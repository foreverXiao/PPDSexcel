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codeName="ThisWorkbook"/>
  <mc:AlternateContent xmlns:mc="http://schemas.openxmlformats.org/markup-compatibility/2006">
    <mc:Choice Requires="x15">
      <x15ac:absPath xmlns:x15ac="http://schemas.microsoft.com/office/spreadsheetml/2010/11/ac" url="E:\Work\PPPS_Excel\PC51SHAHAI\"/>
    </mc:Choice>
  </mc:AlternateContent>
  <xr:revisionPtr revIDLastSave="0" documentId="10_ncr:8100000_{B809E603-9B96-40C6-91D9-C2B1D4F57F9F}" xr6:coauthVersionLast="34" xr6:coauthVersionMax="34" xr10:uidLastSave="{00000000-0000-0000-0000-000000000000}"/>
  <bookViews>
    <workbookView xWindow="0" yWindow="0" windowWidth="20490" windowHeight="8910" tabRatio="591" xr2:uid="{00000000-000D-0000-FFFF-FFFF00000000}"/>
  </bookViews>
  <sheets>
    <sheet name="Data" sheetId="1" r:id="rId1"/>
    <sheet name="GanttChart" sheetId="2" r:id="rId2"/>
    <sheet name="Para" sheetId="3" r:id="rId3"/>
  </sheets>
  <functionGroups builtInGroupCount="19"/>
  <definedNames>
    <definedName name="_xlnm._FilterDatabase" localSheetId="0" hidden="1">Data!$A$1:$AL$1076</definedName>
    <definedName name="RunningHours" localSheetId="1">AND(GanttChart!A$1&gt;GanttChart!$C1,GanttChart!A$1&lt;=(GanttChart!$C1+GanttChart!$D1))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3" l="1"/>
  <c r="B12" i="3"/>
  <c r="C10" i="3"/>
  <c r="D10" i="3" s="1"/>
  <c r="D6" i="3"/>
  <c r="C6" i="3"/>
  <c r="E2" i="3"/>
  <c r="D2" i="3"/>
  <c r="C2" i="3"/>
  <c r="B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Xiao, Jiuchang</author>
  </authors>
  <commentList>
    <comment ref="A7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If blank, the location is current folder</t>
        </r>
      </text>
    </comment>
    <comment ref="A8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If blank, the location is current folder</t>
        </r>
      </text>
    </comment>
  </commentList>
</comments>
</file>

<file path=xl/sharedStrings.xml><?xml version="1.0" encoding="utf-8"?>
<sst xmlns="http://schemas.openxmlformats.org/spreadsheetml/2006/main" count="24857" uniqueCount="7344">
  <si>
    <t>ITEM</t>
  </si>
  <si>
    <t>ForScheduling</t>
  </si>
  <si>
    <t>OutputToMfg</t>
  </si>
  <si>
    <t>OutputForReview</t>
  </si>
  <si>
    <t>Rmcalculation</t>
  </si>
  <si>
    <t>Pullscrew</t>
  </si>
  <si>
    <t>DelayInBatch</t>
  </si>
  <si>
    <t>AdvanceInBatch</t>
  </si>
  <si>
    <t>StartDate</t>
  </si>
  <si>
    <t>StartTime</t>
  </si>
  <si>
    <t>Earlier by day</t>
  </si>
  <si>
    <t>Later by day</t>
  </si>
  <si>
    <t>FileName</t>
  </si>
  <si>
    <t>export.xlsx</t>
  </si>
  <si>
    <t>Storage Location</t>
  </si>
  <si>
    <t>\\saprc007\Efax\Admin</t>
  </si>
  <si>
    <t>Database Location</t>
  </si>
  <si>
    <t>MFGdatabaseName</t>
  </si>
  <si>
    <t>MFG_Database.xlsx</t>
  </si>
  <si>
    <t>Timestamp</t>
  </si>
  <si>
    <t>CDPS_REPT rprt Location</t>
  </si>
  <si>
    <t>CDPS_REPT rprt</t>
  </si>
  <si>
    <t>COOISPI rprt Location</t>
  </si>
  <si>
    <t>COOISPI</t>
  </si>
  <si>
    <t>COOISPI rprt</t>
  </si>
  <si>
    <t>GanttChartRefresh</t>
  </si>
  <si>
    <t>Ctrl+r</t>
  </si>
  <si>
    <t>ReGenerateCanttLayout</t>
    <phoneticPr fontId="0" type="noConversion"/>
  </si>
  <si>
    <t>Ctrl+l</t>
    <phoneticPr fontId="0" type="noConversion"/>
  </si>
  <si>
    <t>ShortCut</t>
  </si>
  <si>
    <t>Ctrl+w</t>
  </si>
  <si>
    <t>Ctrl+s</t>
  </si>
  <si>
    <t>Resource</t>
  </si>
  <si>
    <t>Order Number</t>
  </si>
  <si>
    <t>Product Number</t>
  </si>
  <si>
    <t>Product Short Description</t>
  </si>
  <si>
    <t>Total Quantity</t>
  </si>
  <si>
    <t>Original Quantity</t>
  </si>
  <si>
    <t>Start Date</t>
  </si>
  <si>
    <t>Start Time</t>
  </si>
  <si>
    <t>End Date</t>
  </si>
  <si>
    <t>End Time</t>
  </si>
  <si>
    <t>Priority</t>
  </si>
  <si>
    <t>Base Unit of Measure</t>
  </si>
  <si>
    <t>Op. Duration (Gross)</t>
  </si>
  <si>
    <t>MAD date</t>
  </si>
  <si>
    <t>Order End Date</t>
  </si>
  <si>
    <t>Setup Group</t>
  </si>
  <si>
    <t>Pegged Requirement Order Number</t>
  </si>
  <si>
    <t>Item Number</t>
  </si>
  <si>
    <t>Requirement Date</t>
  </si>
  <si>
    <t>Suboperation Number</t>
  </si>
  <si>
    <t>Char #1</t>
  </si>
  <si>
    <t>Char #2</t>
  </si>
  <si>
    <t>Char #7</t>
  </si>
  <si>
    <t>Base Quantity</t>
  </si>
  <si>
    <t>Deallocated</t>
  </si>
  <si>
    <t>Fixed</t>
  </si>
  <si>
    <t>Receipt Quantity / Requirements Quantity</t>
  </si>
  <si>
    <t>Category Short Text</t>
  </si>
  <si>
    <t>WSHAEXL01_PC51_008</t>
  </si>
  <si>
    <t>000200576554</t>
  </si>
  <si>
    <t>22024913</t>
  </si>
  <si>
    <t>SE1GFN2-701-BAG-00-00-00</t>
  </si>
  <si>
    <t>KG</t>
  </si>
  <si>
    <t>0/16:21:12</t>
  </si>
  <si>
    <t>NORF7O</t>
  </si>
  <si>
    <t>000030</t>
  </si>
  <si>
    <t>SE1GFN2</t>
  </si>
  <si>
    <t>701</t>
  </si>
  <si>
    <t>BAG</t>
  </si>
  <si>
    <t>No</t>
  </si>
  <si>
    <t>False</t>
  </si>
  <si>
    <t>PrcOrd (C)</t>
  </si>
  <si>
    <t>000200567466</t>
  </si>
  <si>
    <t>22040866</t>
  </si>
  <si>
    <t>PCN2615-BK1066-BAG-00-00-00</t>
  </si>
  <si>
    <t>0/04:05:18</t>
  </si>
  <si>
    <t>NOR7O</t>
  </si>
  <si>
    <t>0002455165</t>
  </si>
  <si>
    <t>000010</t>
  </si>
  <si>
    <t>BK1066</t>
  </si>
  <si>
    <t>000200489904</t>
  </si>
  <si>
    <t>22036954</t>
  </si>
  <si>
    <t>PVX0901-BK1066-BAG-00-00-00</t>
  </si>
  <si>
    <t>0002327011</t>
  </si>
  <si>
    <t>PVX0901</t>
  </si>
  <si>
    <t>0096000253</t>
  </si>
  <si>
    <t>22095416</t>
  </si>
  <si>
    <t>GFN20-701-BAG-00-00-00</t>
  </si>
  <si>
    <t>0/08:10:36</t>
  </si>
  <si>
    <t>MISC99</t>
  </si>
  <si>
    <t>0002438599</t>
  </si>
  <si>
    <t>000020</t>
  </si>
  <si>
    <t>GFN20</t>
  </si>
  <si>
    <t>PlOrd. (F)</t>
  </si>
  <si>
    <t>0097777506</t>
  </si>
  <si>
    <t>0/16:34:56</t>
  </si>
  <si>
    <t/>
  </si>
  <si>
    <t>0097755548</t>
  </si>
  <si>
    <t>0/08:17:28</t>
  </si>
  <si>
    <t>000200431427</t>
  </si>
  <si>
    <t>22024908</t>
  </si>
  <si>
    <t>SE1GFN1-701-BAG-00-00-00</t>
  </si>
  <si>
    <t>0/07:02:51</t>
  </si>
  <si>
    <t>0002218693</t>
  </si>
  <si>
    <t>SE1GFN1</t>
  </si>
  <si>
    <t>PrcOrd (R)</t>
  </si>
  <si>
    <t>0087160091</t>
  </si>
  <si>
    <t>22032814</t>
  </si>
  <si>
    <t>PCN2910-BK1066-BAG-00-00-00</t>
  </si>
  <si>
    <t>0/09:42:02</t>
  </si>
  <si>
    <t>0002328532</t>
  </si>
  <si>
    <t>0096044402</t>
  </si>
  <si>
    <t>0097776719</t>
  </si>
  <si>
    <t>22030621</t>
  </si>
  <si>
    <t>PCN2910-BK1D694-BAG-00-00-00</t>
  </si>
  <si>
    <t>0097755549</t>
  </si>
  <si>
    <t>0002458474</t>
  </si>
  <si>
    <t>0097756323</t>
  </si>
  <si>
    <t>000200576568</t>
  </si>
  <si>
    <t>22032847</t>
  </si>
  <si>
    <t>PX2906-701-BAG-00-00-00</t>
  </si>
  <si>
    <t>0/04:08:44</t>
  </si>
  <si>
    <t>0002463030</t>
  </si>
  <si>
    <t>0096169138</t>
  </si>
  <si>
    <t>0086323985</t>
  </si>
  <si>
    <t>22017944</t>
  </si>
  <si>
    <t>PX1600X-701-BAG-00-00-00</t>
  </si>
  <si>
    <t>PX1600X</t>
  </si>
  <si>
    <t>0097792775</t>
  </si>
  <si>
    <t>0000</t>
  </si>
  <si>
    <t>0097083828</t>
  </si>
  <si>
    <t>0097793105</t>
  </si>
  <si>
    <t>0097776874</t>
  </si>
  <si>
    <t>000200431428</t>
  </si>
  <si>
    <t>0002218696</t>
  </si>
  <si>
    <t>0098075108</t>
  </si>
  <si>
    <t>000200571751</t>
  </si>
  <si>
    <t>22098482</t>
  </si>
  <si>
    <t>HM4025H-7A1D372-BAG-00-00-00</t>
  </si>
  <si>
    <t>0002461432</t>
  </si>
  <si>
    <t>000200548439</t>
  </si>
  <si>
    <t>22036424</t>
  </si>
  <si>
    <t>HM3020H-75001-BAG-00-00-00</t>
  </si>
  <si>
    <t>0/12:15:54</t>
  </si>
  <si>
    <t>0002422226</t>
  </si>
  <si>
    <t>000200431356</t>
  </si>
  <si>
    <t>0002218698</t>
  </si>
  <si>
    <t>WSHAEXL02_PC51_008</t>
  </si>
  <si>
    <t>000200526395</t>
  </si>
  <si>
    <t>22020783</t>
  </si>
  <si>
    <t>PX9406-780-BAG-00-00-00</t>
  </si>
  <si>
    <t>NORGDO</t>
  </si>
  <si>
    <t>PX9406</t>
  </si>
  <si>
    <t>780</t>
  </si>
  <si>
    <t>000200571997</t>
  </si>
  <si>
    <t>22032620</t>
  </si>
  <si>
    <t>N1250-111-BAG-00-00-00</t>
  </si>
  <si>
    <t>0/17:38:13</t>
  </si>
  <si>
    <t>LEXXOO</t>
  </si>
  <si>
    <t>0002458264</t>
  </si>
  <si>
    <t>N1250</t>
  </si>
  <si>
    <t>111</t>
  </si>
  <si>
    <t>000200576555</t>
  </si>
  <si>
    <t>22023605</t>
  </si>
  <si>
    <t>HS2000X-111-BAG-00-00-00</t>
  </si>
  <si>
    <t>0/08:49:34</t>
  </si>
  <si>
    <t>HS2000X</t>
  </si>
  <si>
    <t>000200576556</t>
  </si>
  <si>
    <t>000200545493</t>
  </si>
  <si>
    <t>22040824</t>
  </si>
  <si>
    <t>N1250-BK1066-BAG-00-00-00</t>
  </si>
  <si>
    <t>0/04:18:11</t>
  </si>
  <si>
    <t>0002417933</t>
  </si>
  <si>
    <t>000200576458</t>
  </si>
  <si>
    <t>22095738</t>
  </si>
  <si>
    <t>GFN30F-701S-BAG-00-00-00</t>
  </si>
  <si>
    <t>GFN30F</t>
  </si>
  <si>
    <t>701S</t>
  </si>
  <si>
    <t>000200576457</t>
  </si>
  <si>
    <t>0/08:36:21</t>
  </si>
  <si>
    <t>0002270996</t>
  </si>
  <si>
    <t>000200562768</t>
  </si>
  <si>
    <t>22096205</t>
  </si>
  <si>
    <t>GFN30F-801S-BAG-00-00-00</t>
  </si>
  <si>
    <t>0/08:49:06</t>
  </si>
  <si>
    <t>0002448866</t>
  </si>
  <si>
    <t>22036470</t>
  </si>
  <si>
    <t>HS2000X-WH8C022-BAG-00-00-00</t>
  </si>
  <si>
    <t>0/17:12:42</t>
  </si>
  <si>
    <t>NOR8O</t>
  </si>
  <si>
    <t>WH8C022</t>
  </si>
  <si>
    <t>000200543652</t>
  </si>
  <si>
    <t>22037390</t>
  </si>
  <si>
    <t>PX9406P-BK2D115-BAG-00-00-00</t>
  </si>
  <si>
    <t>0/04:24:33</t>
  </si>
  <si>
    <t>0002414604</t>
  </si>
  <si>
    <t>PX9406P</t>
  </si>
  <si>
    <t>0002423647</t>
  </si>
  <si>
    <t>000200513144</t>
  </si>
  <si>
    <t>22066660</t>
  </si>
  <si>
    <t>GFN1F-701S-BAG-00-00-00</t>
  </si>
  <si>
    <t>0002360952</t>
  </si>
  <si>
    <t>GFN1F</t>
  </si>
  <si>
    <t>000200576559</t>
  </si>
  <si>
    <t>22028782</t>
  </si>
  <si>
    <t>N225X-111-BAG-00-00-00</t>
  </si>
  <si>
    <t>NOR1O</t>
  </si>
  <si>
    <t>0002462799</t>
  </si>
  <si>
    <t>N225X</t>
  </si>
  <si>
    <t>000200572818</t>
  </si>
  <si>
    <t>22036869</t>
  </si>
  <si>
    <t>N300X-780-BAG-00-00-00</t>
  </si>
  <si>
    <t>0002431725</t>
  </si>
  <si>
    <t>N300X</t>
  </si>
  <si>
    <t>000200570281</t>
  </si>
  <si>
    <t>22036884</t>
  </si>
  <si>
    <t>NH7114-BK1005-BAG-00-00-00</t>
  </si>
  <si>
    <t>0002459300</t>
  </si>
  <si>
    <t>NH7114</t>
  </si>
  <si>
    <t>BK1005</t>
  </si>
  <si>
    <t>0098127741</t>
  </si>
  <si>
    <t>22023606</t>
  </si>
  <si>
    <t>HS2000X-701-BAG-00-00-00</t>
  </si>
  <si>
    <t>0/04:24:47</t>
  </si>
  <si>
    <t>000200574696</t>
  </si>
  <si>
    <t>22024914</t>
  </si>
  <si>
    <t>SE1GFN2-780-BAG-00-00-00</t>
  </si>
  <si>
    <t>0/05:28:03</t>
  </si>
  <si>
    <t>NORFGDO</t>
  </si>
  <si>
    <t>0002466316</t>
  </si>
  <si>
    <t>0097084275</t>
  </si>
  <si>
    <t>22095737</t>
  </si>
  <si>
    <t>GFN20F-N780S-BAG-00-00-00</t>
  </si>
  <si>
    <t>GFN20F</t>
  </si>
  <si>
    <t>N780S</t>
  </si>
  <si>
    <t>000200549321</t>
  </si>
  <si>
    <t>22030522</t>
  </si>
  <si>
    <t>N190X-7N4D004-BAG-00-00-00</t>
  </si>
  <si>
    <t>0002418970</t>
  </si>
  <si>
    <t>N190X</t>
  </si>
  <si>
    <t>7N4D004</t>
  </si>
  <si>
    <t>000200567457</t>
  </si>
  <si>
    <t>0002455212</t>
  </si>
  <si>
    <t>000200571671</t>
  </si>
  <si>
    <t>22038865</t>
  </si>
  <si>
    <t>731S-111-BAG-00-00-00</t>
  </si>
  <si>
    <t>0002461376</t>
  </si>
  <si>
    <t>731S</t>
  </si>
  <si>
    <t>000200545494</t>
  </si>
  <si>
    <t>0002417937</t>
  </si>
  <si>
    <t>000200569540</t>
  </si>
  <si>
    <t>22018340</t>
  </si>
  <si>
    <t>C2800-GY1C205-BAG-00-00-00</t>
  </si>
  <si>
    <t>0002457929</t>
  </si>
  <si>
    <t>C2800</t>
  </si>
  <si>
    <t>GY1C205</t>
  </si>
  <si>
    <t>22095736</t>
  </si>
  <si>
    <t>GFN20F-701S-BAG-00-00-00</t>
  </si>
  <si>
    <t>0002436861</t>
  </si>
  <si>
    <t>000200572762</t>
  </si>
  <si>
    <t>22024508</t>
  </si>
  <si>
    <t>N225X-701-BAG-00-00-00</t>
  </si>
  <si>
    <t>0002462817</t>
  </si>
  <si>
    <t>000200562573</t>
  </si>
  <si>
    <t>0/13:13:39</t>
  </si>
  <si>
    <t>4502885097</t>
  </si>
  <si>
    <t>000200567200</t>
  </si>
  <si>
    <t>0/17:39:08</t>
  </si>
  <si>
    <t>000200570814</t>
  </si>
  <si>
    <t>22096206</t>
  </si>
  <si>
    <t>GFN30F-873S-BAG-00-00-00</t>
  </si>
  <si>
    <t>0002459967</t>
  </si>
  <si>
    <t>873S</t>
  </si>
  <si>
    <t>0097271372</t>
  </si>
  <si>
    <t>000313466444</t>
  </si>
  <si>
    <t>22018200</t>
  </si>
  <si>
    <t>500R-GY5G048-BAG-00-00-00</t>
  </si>
  <si>
    <t>0002453500</t>
  </si>
  <si>
    <t>500R</t>
  </si>
  <si>
    <t>PlOrd.</t>
  </si>
  <si>
    <t>0092864583</t>
  </si>
  <si>
    <t>0002456672</t>
  </si>
  <si>
    <t>0097695106</t>
  </si>
  <si>
    <t>0002461505</t>
  </si>
  <si>
    <t>0097080838</t>
  </si>
  <si>
    <t>0002466609</t>
  </si>
  <si>
    <t>0097084274</t>
  </si>
  <si>
    <t>0002237764</t>
  </si>
  <si>
    <t>000200545495</t>
  </si>
  <si>
    <t>0002417943</t>
  </si>
  <si>
    <t>0089722964</t>
  </si>
  <si>
    <t>0090238106</t>
  </si>
  <si>
    <t>0097792842</t>
  </si>
  <si>
    <t>000200569521</t>
  </si>
  <si>
    <t>0002457932</t>
  </si>
  <si>
    <t>000200545584</t>
  </si>
  <si>
    <t>0002417946</t>
  </si>
  <si>
    <t>0094769879</t>
  </si>
  <si>
    <t>0095448250</t>
  </si>
  <si>
    <t>22018853</t>
  </si>
  <si>
    <t>N300X-701-BAG-00-00-00</t>
  </si>
  <si>
    <t>000200520284</t>
  </si>
  <si>
    <t>0002372665</t>
  </si>
  <si>
    <t>0097794074</t>
  </si>
  <si>
    <t>0002405430</t>
  </si>
  <si>
    <t>0097788172</t>
  </si>
  <si>
    <t>22024919</t>
  </si>
  <si>
    <t>SE1X-701-BAG-00-00-00</t>
  </si>
  <si>
    <t>SE1X</t>
  </si>
  <si>
    <t>0097792831</t>
  </si>
  <si>
    <t>0096000254</t>
  </si>
  <si>
    <t>000200572751</t>
  </si>
  <si>
    <t>0002462810</t>
  </si>
  <si>
    <t>0097793887</t>
  </si>
  <si>
    <t>0097792123</t>
  </si>
  <si>
    <t>0097969592</t>
  </si>
  <si>
    <t>0002414812</t>
  </si>
  <si>
    <t>000200545535</t>
  </si>
  <si>
    <t>0002417953</t>
  </si>
  <si>
    <t>0097793911</t>
  </si>
  <si>
    <t>0098132545</t>
  </si>
  <si>
    <t>0097792771</t>
  </si>
  <si>
    <t>0098075109</t>
  </si>
  <si>
    <t>0097788984</t>
  </si>
  <si>
    <t>0098128708</t>
  </si>
  <si>
    <t>0002417793</t>
  </si>
  <si>
    <t>0095999286</t>
  </si>
  <si>
    <t>0095999287</t>
  </si>
  <si>
    <t>000200545305</t>
  </si>
  <si>
    <t>0002417239</t>
  </si>
  <si>
    <t>0098128260</t>
  </si>
  <si>
    <t>4502908835</t>
  </si>
  <si>
    <t>0095999288</t>
  </si>
  <si>
    <t>000200573555</t>
  </si>
  <si>
    <t>22032538</t>
  </si>
  <si>
    <t>GFN1520V-701F-BAG-00-00-00</t>
  </si>
  <si>
    <t>0002464428</t>
  </si>
  <si>
    <t>GFN1520V</t>
  </si>
  <si>
    <t>701F</t>
  </si>
  <si>
    <t>0098128709</t>
  </si>
  <si>
    <t>0092845169</t>
  </si>
  <si>
    <t>0098126583</t>
  </si>
  <si>
    <t>0002415942</t>
  </si>
  <si>
    <t>0098128259</t>
  </si>
  <si>
    <t>000200552256</t>
  </si>
  <si>
    <t>22095158</t>
  </si>
  <si>
    <t>GFN20-801-BAG-00-00-00</t>
  </si>
  <si>
    <t>0002429494</t>
  </si>
  <si>
    <t>801</t>
  </si>
  <si>
    <t>000200545603</t>
  </si>
  <si>
    <t>0002417954</t>
  </si>
  <si>
    <t>000200545255</t>
  </si>
  <si>
    <t>0002417240</t>
  </si>
  <si>
    <t>000200559134</t>
  </si>
  <si>
    <t>0002442903</t>
  </si>
  <si>
    <t>0098129933</t>
  </si>
  <si>
    <t>000200545285</t>
  </si>
  <si>
    <t>0002417241</t>
  </si>
  <si>
    <t>0098129934</t>
  </si>
  <si>
    <t>WSHAEXL03_PC51_008</t>
  </si>
  <si>
    <t>000200550430</t>
  </si>
  <si>
    <t>22039171</t>
  </si>
  <si>
    <t>943-GY8D440-BAG-00-00-00</t>
  </si>
  <si>
    <t>0/18:01:05</t>
  </si>
  <si>
    <t>0002426026</t>
  </si>
  <si>
    <t>943</t>
  </si>
  <si>
    <t>GY8D440</t>
  </si>
  <si>
    <t>000200550431</t>
  </si>
  <si>
    <t>0/13:30:49</t>
  </si>
  <si>
    <t>000200519213</t>
  </si>
  <si>
    <t>22037110</t>
  </si>
  <si>
    <t>ML7694-GY8E536-BAG-00-00-00</t>
  </si>
  <si>
    <t>0/18:22:03</t>
  </si>
  <si>
    <t>0002371076</t>
  </si>
  <si>
    <t>ML7694</t>
  </si>
  <si>
    <t>GY8E536</t>
  </si>
  <si>
    <t>000200567428</t>
  </si>
  <si>
    <t>22037112</t>
  </si>
  <si>
    <t>ML7694-WH8G785-BAG-00-00-00</t>
  </si>
  <si>
    <t>0002455164</t>
  </si>
  <si>
    <t>WH8G785</t>
  </si>
  <si>
    <t>000200576455</t>
  </si>
  <si>
    <t>22018199</t>
  </si>
  <si>
    <t>500R-131-BAG-00-00-00</t>
  </si>
  <si>
    <t>0/09:00:32</t>
  </si>
  <si>
    <t>LEXF1X</t>
  </si>
  <si>
    <t>131</t>
  </si>
  <si>
    <t>000200503184</t>
  </si>
  <si>
    <t>22019277</t>
  </si>
  <si>
    <t>241R-111-BAG-00-00-00</t>
  </si>
  <si>
    <t>0002343946</t>
  </si>
  <si>
    <t>241R</t>
  </si>
  <si>
    <t>000200410338</t>
  </si>
  <si>
    <t>22018730</t>
  </si>
  <si>
    <t>LS2-6162-BAG-00-00-00</t>
  </si>
  <si>
    <t>LEX6DT</t>
  </si>
  <si>
    <t>0002178165</t>
  </si>
  <si>
    <t>LS2</t>
  </si>
  <si>
    <t>6162</t>
  </si>
  <si>
    <t>000200560330</t>
  </si>
  <si>
    <t>22017072</t>
  </si>
  <si>
    <t>3413R-739-BAG-00-00-00</t>
  </si>
  <si>
    <t>LEXF7O</t>
  </si>
  <si>
    <t>0002445230</t>
  </si>
  <si>
    <t>3413R</t>
  </si>
  <si>
    <t>739</t>
  </si>
  <si>
    <t>000200553784</t>
  </si>
  <si>
    <t>22031231</t>
  </si>
  <si>
    <t>500R-73231-BAG-00-00-00</t>
  </si>
  <si>
    <t>0/04:30:16</t>
  </si>
  <si>
    <t>0002432354</t>
  </si>
  <si>
    <t>73231</t>
  </si>
  <si>
    <t>000200555006</t>
  </si>
  <si>
    <t>22105472</t>
  </si>
  <si>
    <t>121R-GY8F074-SSS-00-00-00</t>
  </si>
  <si>
    <t>0002435050</t>
  </si>
  <si>
    <t>121R</t>
  </si>
  <si>
    <t>GY8F074</t>
  </si>
  <si>
    <t>SSS</t>
  </si>
  <si>
    <t>0092461786</t>
  </si>
  <si>
    <t>0002403612</t>
  </si>
  <si>
    <t>0092463176</t>
  </si>
  <si>
    <t>0002403620</t>
  </si>
  <si>
    <t>000200497257</t>
  </si>
  <si>
    <t>22039644</t>
  </si>
  <si>
    <t>C6200-WH9D397-BAG-00-00-00</t>
  </si>
  <si>
    <t>0002337995</t>
  </si>
  <si>
    <t>C6200</t>
  </si>
  <si>
    <t>WH9D397</t>
  </si>
  <si>
    <t>000200543694</t>
  </si>
  <si>
    <t>22021728</t>
  </si>
  <si>
    <t>3412R-131-BAG-00-00-00</t>
  </si>
  <si>
    <t>0/09:11:02</t>
  </si>
  <si>
    <t>0002414703</t>
  </si>
  <si>
    <t>3412R</t>
  </si>
  <si>
    <t>000200557252</t>
  </si>
  <si>
    <t>22037868</t>
  </si>
  <si>
    <t>3412ECR-WH8E395-BAG-00-00-00</t>
  </si>
  <si>
    <t>LEXF8O</t>
  </si>
  <si>
    <t>0002439201</t>
  </si>
  <si>
    <t>3412ECR</t>
  </si>
  <si>
    <t>WH8E395</t>
  </si>
  <si>
    <t>0092430290</t>
  </si>
  <si>
    <t>0002403630</t>
  </si>
  <si>
    <t>0092430289</t>
  </si>
  <si>
    <t>0002403627</t>
  </si>
  <si>
    <t>000200554972</t>
  </si>
  <si>
    <t>0002435065</t>
  </si>
  <si>
    <t>000200558307</t>
  </si>
  <si>
    <t>22038257</t>
  </si>
  <si>
    <t>925-7T6D157-BAG-00-00-00</t>
  </si>
  <si>
    <t>925</t>
  </si>
  <si>
    <t>7T6D157</t>
  </si>
  <si>
    <t>000200554685</t>
  </si>
  <si>
    <t>22031379</t>
  </si>
  <si>
    <t>920-WH4C129-BAG-00-00-00</t>
  </si>
  <si>
    <t>0/05:24:19</t>
  </si>
  <si>
    <t>LEX8O</t>
  </si>
  <si>
    <t>0002434291</t>
  </si>
  <si>
    <t>920</t>
  </si>
  <si>
    <t>WH4C129</t>
  </si>
  <si>
    <t>000200550085</t>
  </si>
  <si>
    <t>22031866</t>
  </si>
  <si>
    <t>CX7240-8N9D079-BAG-00-00-00</t>
  </si>
  <si>
    <t>COYFR8O</t>
  </si>
  <si>
    <t>0002425429</t>
  </si>
  <si>
    <t>CX7240</t>
  </si>
  <si>
    <t>8N9D079</t>
  </si>
  <si>
    <t>000200574704</t>
  </si>
  <si>
    <t>22028890</t>
  </si>
  <si>
    <t>C2800-WH9B034-BAG-00-00-00</t>
  </si>
  <si>
    <t>0002466278</t>
  </si>
  <si>
    <t>WH9B034</t>
  </si>
  <si>
    <t>000200480046</t>
  </si>
  <si>
    <t>22022249</t>
  </si>
  <si>
    <t>C2800-111-BAG-00-00-00</t>
  </si>
  <si>
    <t>COYFR1O</t>
  </si>
  <si>
    <t>0002307233</t>
  </si>
  <si>
    <t>0097350979</t>
  </si>
  <si>
    <t>22022070</t>
  </si>
  <si>
    <t>945-NC-BAG-00-00-00</t>
  </si>
  <si>
    <t>LEX1T</t>
  </si>
  <si>
    <t>945</t>
  </si>
  <si>
    <t>NC</t>
  </si>
  <si>
    <t>22022020</t>
  </si>
  <si>
    <t>940A-116-BAG-00-00-00</t>
  </si>
  <si>
    <t>LEXFR1T</t>
  </si>
  <si>
    <t>940A</t>
  </si>
  <si>
    <t>116</t>
  </si>
  <si>
    <t>000200570672</t>
  </si>
  <si>
    <t>22045266</t>
  </si>
  <si>
    <t>C6600-7R3D023-BAG-00-00-00</t>
  </si>
  <si>
    <t>0002459691</t>
  </si>
  <si>
    <t>C6600</t>
  </si>
  <si>
    <t>7R3D023</t>
  </si>
  <si>
    <t>000200568365</t>
  </si>
  <si>
    <t>22018361</t>
  </si>
  <si>
    <t>C6600-111-BAG-00-00-00</t>
  </si>
  <si>
    <t>0096011956</t>
  </si>
  <si>
    <t>000200549038</t>
  </si>
  <si>
    <t>22033634</t>
  </si>
  <si>
    <t>3413R-GY1D257-BAG-00-00-00</t>
  </si>
  <si>
    <t>LEXFGDO</t>
  </si>
  <si>
    <t>0002423534</t>
  </si>
  <si>
    <t>GY1D257</t>
  </si>
  <si>
    <t>0098133786</t>
  </si>
  <si>
    <t>22017080</t>
  </si>
  <si>
    <t>943A-116-BAG-00-00-00</t>
  </si>
  <si>
    <t>0/04:36:05</t>
  </si>
  <si>
    <t>943A</t>
  </si>
  <si>
    <t>0097350980</t>
  </si>
  <si>
    <t>0097353504</t>
  </si>
  <si>
    <t>22022267</t>
  </si>
  <si>
    <t>C2950-111-BAG-00-00-00</t>
  </si>
  <si>
    <t>C2950</t>
  </si>
  <si>
    <t>0097774437</t>
  </si>
  <si>
    <t>0092463393</t>
  </si>
  <si>
    <t>0002403633</t>
  </si>
  <si>
    <t>0097353918</t>
  </si>
  <si>
    <t>000200559298</t>
  </si>
  <si>
    <t>22019556</t>
  </si>
  <si>
    <t>940-GY6123-BAG-00-00-00</t>
  </si>
  <si>
    <t>LEXGDO</t>
  </si>
  <si>
    <t>0002443305</t>
  </si>
  <si>
    <t>940</t>
  </si>
  <si>
    <t>GY6123</t>
  </si>
  <si>
    <t>0098116825</t>
  </si>
  <si>
    <t>22019707</t>
  </si>
  <si>
    <t>C6200-111-BAG-00-00-00</t>
  </si>
  <si>
    <t>0092463394</t>
  </si>
  <si>
    <t>0002403634</t>
  </si>
  <si>
    <t>0097353919</t>
  </si>
  <si>
    <t>0002236033</t>
  </si>
  <si>
    <t>0096103090</t>
  </si>
  <si>
    <t>22088072</t>
  </si>
  <si>
    <t>CX2244ME-8T8D280-BAG-00-00-00</t>
  </si>
  <si>
    <t>0/03:36:13</t>
  </si>
  <si>
    <t>4503060960</t>
  </si>
  <si>
    <t>CX2244ME</t>
  </si>
  <si>
    <t>8T8D280</t>
  </si>
  <si>
    <t>000200576584</t>
  </si>
  <si>
    <t>0002468509</t>
  </si>
  <si>
    <t>000200550086</t>
  </si>
  <si>
    <t>0002425430</t>
  </si>
  <si>
    <t>0097353690</t>
  </si>
  <si>
    <t>WSHAEXL04_PC51_008</t>
  </si>
  <si>
    <t>000200576553</t>
  </si>
  <si>
    <t>0/11:46:18</t>
  </si>
  <si>
    <t>0002345665</t>
  </si>
  <si>
    <t>000200576479</t>
  </si>
  <si>
    <t>22041318</t>
  </si>
  <si>
    <t>PX9406P-7001-BAG-00-00-00</t>
  </si>
  <si>
    <t>7001</t>
  </si>
  <si>
    <t>000200576477</t>
  </si>
  <si>
    <t>000200576480</t>
  </si>
  <si>
    <t>000200576481</t>
  </si>
  <si>
    <t>000200574638</t>
  </si>
  <si>
    <t>22024438</t>
  </si>
  <si>
    <t>PX1005X-701-BAG-00-00-00</t>
  </si>
  <si>
    <t>0/05:56:30</t>
  </si>
  <si>
    <t>PX1005X</t>
  </si>
  <si>
    <t>000200570852</t>
  </si>
  <si>
    <t>22022725</t>
  </si>
  <si>
    <t>CX7240-7M1D051-BAG-00-00-00</t>
  </si>
  <si>
    <t>0002460208</t>
  </si>
  <si>
    <t>7M1D051</t>
  </si>
  <si>
    <t>000200561429</t>
  </si>
  <si>
    <t>0/11:53:00</t>
  </si>
  <si>
    <t>0002376284</t>
  </si>
  <si>
    <t>000200559036</t>
  </si>
  <si>
    <t>0002346817</t>
  </si>
  <si>
    <t>000200559039</t>
  </si>
  <si>
    <t>0002379247</t>
  </si>
  <si>
    <t>0070104680</t>
  </si>
  <si>
    <t>22024902</t>
  </si>
  <si>
    <t>SE100X-701-BAG-00-00-00</t>
  </si>
  <si>
    <t>SE100X</t>
  </si>
  <si>
    <t>0083537443</t>
  </si>
  <si>
    <t>0085134293</t>
  </si>
  <si>
    <t>0002241775</t>
  </si>
  <si>
    <t>0083537442</t>
  </si>
  <si>
    <t>0002290360</t>
  </si>
  <si>
    <t>0083537444</t>
  </si>
  <si>
    <t>0002290369</t>
  </si>
  <si>
    <t>0096149720</t>
  </si>
  <si>
    <t>0093212678</t>
  </si>
  <si>
    <t>0093228788</t>
  </si>
  <si>
    <t>0093230023</t>
  </si>
  <si>
    <t>0093176770</t>
  </si>
  <si>
    <t>0093212592</t>
  </si>
  <si>
    <t>0093176772</t>
  </si>
  <si>
    <t>0086299668</t>
  </si>
  <si>
    <t>0002346810</t>
  </si>
  <si>
    <t>0097351520</t>
  </si>
  <si>
    <t>0097352404</t>
  </si>
  <si>
    <t>0097351521</t>
  </si>
  <si>
    <t>0097325947</t>
  </si>
  <si>
    <t>0097325948</t>
  </si>
  <si>
    <t>0097352590</t>
  </si>
  <si>
    <t>0002295258</t>
  </si>
  <si>
    <t>0086323195</t>
  </si>
  <si>
    <t>0097352405</t>
  </si>
  <si>
    <t>0097325949</t>
  </si>
  <si>
    <t>0002286315</t>
  </si>
  <si>
    <t>0097352406</t>
  </si>
  <si>
    <t>0002295289</t>
  </si>
  <si>
    <t>0097352407</t>
  </si>
  <si>
    <t>0097352408</t>
  </si>
  <si>
    <t>0097788246</t>
  </si>
  <si>
    <t>0/10:41:42</t>
  </si>
  <si>
    <t>0097352409</t>
  </si>
  <si>
    <t>0097325950</t>
  </si>
  <si>
    <t>0097352625</t>
  </si>
  <si>
    <t>0097350973</t>
  </si>
  <si>
    <t>0097776873</t>
  </si>
  <si>
    <t>000200559041</t>
  </si>
  <si>
    <t>0097774444</t>
  </si>
  <si>
    <t>0097776361</t>
  </si>
  <si>
    <t>0097785525</t>
  </si>
  <si>
    <t>0097785524</t>
  </si>
  <si>
    <t>000200559102</t>
  </si>
  <si>
    <t>000200530716</t>
  </si>
  <si>
    <t>0097789190</t>
  </si>
  <si>
    <t>000200567230</t>
  </si>
  <si>
    <t>0096149719</t>
  </si>
  <si>
    <t>WSHAEXL05_PC51_008</t>
  </si>
  <si>
    <t>000200497023</t>
  </si>
  <si>
    <t>22020355</t>
  </si>
  <si>
    <t>HS2000X-GY8D625-BAG-00-00-00</t>
  </si>
  <si>
    <t>0/14:27:03</t>
  </si>
  <si>
    <t>NORGLO</t>
  </si>
  <si>
    <t>0002337532</t>
  </si>
  <si>
    <t>GY8D625</t>
  </si>
  <si>
    <t>000200543574</t>
  </si>
  <si>
    <t>22020062</t>
  </si>
  <si>
    <t>FN215X-780-BAG-00-00-00</t>
  </si>
  <si>
    <t>0/02:53:25</t>
  </si>
  <si>
    <t>0002414576</t>
  </si>
  <si>
    <t>FN215X</t>
  </si>
  <si>
    <t>000200547846</t>
  </si>
  <si>
    <t>22030635</t>
  </si>
  <si>
    <t>PX2907-75008-BAG-00-00-00</t>
  </si>
  <si>
    <t>0/05:46:49</t>
  </si>
  <si>
    <t>0002421018</t>
  </si>
  <si>
    <t>PX2907</t>
  </si>
  <si>
    <t>75008</t>
  </si>
  <si>
    <t>000200556887</t>
  </si>
  <si>
    <t>22023022</t>
  </si>
  <si>
    <t>FN215X-701-BAG-00-00-00</t>
  </si>
  <si>
    <t>000200554616</t>
  </si>
  <si>
    <t>22037195</t>
  </si>
  <si>
    <t>N1250-4N4D011-BAG-00-00-00</t>
  </si>
  <si>
    <t>4N4D011</t>
  </si>
  <si>
    <t>000200554684</t>
  </si>
  <si>
    <t>0002434274</t>
  </si>
  <si>
    <t>000200557202</t>
  </si>
  <si>
    <t>22023608</t>
  </si>
  <si>
    <t>HS2000X-8952-BAG-00-00-00</t>
  </si>
  <si>
    <t>0002436401</t>
  </si>
  <si>
    <t>8952</t>
  </si>
  <si>
    <t>000200568791</t>
  </si>
  <si>
    <t>22036882</t>
  </si>
  <si>
    <t>NH7010-GN6D122-BAG-00-00-00</t>
  </si>
  <si>
    <t>0/01:26:42</t>
  </si>
  <si>
    <t>NOR3DO</t>
  </si>
  <si>
    <t>NH7010</t>
  </si>
  <si>
    <t>GN6D122</t>
  </si>
  <si>
    <t>000200568754</t>
  </si>
  <si>
    <t>0002457023</t>
  </si>
  <si>
    <t>000200550354</t>
  </si>
  <si>
    <t>22028763</t>
  </si>
  <si>
    <t>FN215X-111-BAG-00-00-00</t>
  </si>
  <si>
    <t>0/18:42:50</t>
  </si>
  <si>
    <t>0002426023</t>
  </si>
  <si>
    <t>000200573652</t>
  </si>
  <si>
    <t>22080571</t>
  </si>
  <si>
    <t>WCD915-7A1D285-SBG-00-00-00</t>
  </si>
  <si>
    <t>0/01:31:55</t>
  </si>
  <si>
    <t>0002464789</t>
  </si>
  <si>
    <t>WCD915</t>
  </si>
  <si>
    <t>7A1D285</t>
  </si>
  <si>
    <t>SBG</t>
  </si>
  <si>
    <t>000200573746</t>
  </si>
  <si>
    <t>22080572</t>
  </si>
  <si>
    <t>WCD915-8A7D027-SBG-00-00-00</t>
  </si>
  <si>
    <t>0002464765</t>
  </si>
  <si>
    <t>8A7D027</t>
  </si>
  <si>
    <t>000200573724</t>
  </si>
  <si>
    <t>22080588</t>
  </si>
  <si>
    <t>WCD855-7A1D234-SBG-00-00-00</t>
  </si>
  <si>
    <t>0/03:00:41</t>
  </si>
  <si>
    <t>NORWC7O</t>
  </si>
  <si>
    <t>0002464752</t>
  </si>
  <si>
    <t>WCD855</t>
  </si>
  <si>
    <t>7A1D234</t>
  </si>
  <si>
    <t>000200573639</t>
  </si>
  <si>
    <t>22080585</t>
  </si>
  <si>
    <t>WCD841U-7A8D032-SBG-00-00-00</t>
  </si>
  <si>
    <t>1/05:00:31</t>
  </si>
  <si>
    <t>NORWCGLO</t>
  </si>
  <si>
    <t>0002464577</t>
  </si>
  <si>
    <t>WCD841U</t>
  </si>
  <si>
    <t>7A8D032</t>
  </si>
  <si>
    <t>000200572847</t>
  </si>
  <si>
    <t>22045686</t>
  </si>
  <si>
    <t>WCP841-7N1D111-SBG-00-00-00</t>
  </si>
  <si>
    <t>0002463032</t>
  </si>
  <si>
    <t>WCP841</t>
  </si>
  <si>
    <t>7N1D111</t>
  </si>
  <si>
    <t>22041364</t>
  </si>
  <si>
    <t>WCD801A-BK1066-SBG-00-00-00</t>
  </si>
  <si>
    <t>0/06:01:21</t>
  </si>
  <si>
    <t>WCD801A</t>
  </si>
  <si>
    <t>000200570015</t>
  </si>
  <si>
    <t>22033011</t>
  </si>
  <si>
    <t>WCP921-BK1066-SBG-00-00-00</t>
  </si>
  <si>
    <t>0/00:52:01</t>
  </si>
  <si>
    <t>0002458803</t>
  </si>
  <si>
    <t>WCP921</t>
  </si>
  <si>
    <t>000200558294</t>
  </si>
  <si>
    <t>22032732</t>
  </si>
  <si>
    <t>PX9406P-GY5E492-BAG-00-00-00</t>
  </si>
  <si>
    <t>0002441302</t>
  </si>
  <si>
    <t>GY5E492</t>
  </si>
  <si>
    <t>000200575209</t>
  </si>
  <si>
    <t>22030783</t>
  </si>
  <si>
    <t>WCP781-BK1066-SBG-00-00-00</t>
  </si>
  <si>
    <t>0/00:54:12</t>
  </si>
  <si>
    <t>0002467148</t>
  </si>
  <si>
    <t>WCP781</t>
  </si>
  <si>
    <t>000200574744</t>
  </si>
  <si>
    <t>0/02:54:03</t>
  </si>
  <si>
    <t>000200570886</t>
  </si>
  <si>
    <t>22029416</t>
  </si>
  <si>
    <t>FN150X-GY6C356-BAG-00-00-00</t>
  </si>
  <si>
    <t>0/01:30:20</t>
  </si>
  <si>
    <t>0002459628</t>
  </si>
  <si>
    <t>FN150X</t>
  </si>
  <si>
    <t>GY6C356</t>
  </si>
  <si>
    <t>000200570788</t>
  </si>
  <si>
    <t>22020908</t>
  </si>
  <si>
    <t>SE1GFN3-701-BAG-00-00-00</t>
  </si>
  <si>
    <t>0002459911</t>
  </si>
  <si>
    <t>SE1GFN3</t>
  </si>
  <si>
    <t>000200570576</t>
  </si>
  <si>
    <t>299905089</t>
  </si>
  <si>
    <t>NH6020-7N4D004</t>
  </si>
  <si>
    <t>0002459671</t>
  </si>
  <si>
    <t>NH6020</t>
  </si>
  <si>
    <t>000200561393</t>
  </si>
  <si>
    <t>22037144</t>
  </si>
  <si>
    <t>SE1V-BK1066-BAG-00-00-00</t>
  </si>
  <si>
    <t>0002446757</t>
  </si>
  <si>
    <t>SE1V</t>
  </si>
  <si>
    <t>000200574743</t>
  </si>
  <si>
    <t>0002464582</t>
  </si>
  <si>
    <t>000200573530</t>
  </si>
  <si>
    <t>22032844</t>
  </si>
  <si>
    <t>PX2801Z-BK1066-BAG-00-00-00</t>
  </si>
  <si>
    <t>0002464414</t>
  </si>
  <si>
    <t>PX2801Z</t>
  </si>
  <si>
    <t>000200571811</t>
  </si>
  <si>
    <t>22038876</t>
  </si>
  <si>
    <t>731S-WH9E116F-BAG-00-00-00</t>
  </si>
  <si>
    <t>0002461578</t>
  </si>
  <si>
    <t>WH9E116F</t>
  </si>
  <si>
    <t>000200571790</t>
  </si>
  <si>
    <t>22037376</t>
  </si>
  <si>
    <t>PX9406-GY3E171-BAG-00-00-00</t>
  </si>
  <si>
    <t>0002461511</t>
  </si>
  <si>
    <t>GY3E171</t>
  </si>
  <si>
    <t>000200551485</t>
  </si>
  <si>
    <t>0002427873</t>
  </si>
  <si>
    <t>000200561554</t>
  </si>
  <si>
    <t>22032647</t>
  </si>
  <si>
    <t>N300X-GN3E084-BAG-00-00-00</t>
  </si>
  <si>
    <t>0002447180</t>
  </si>
  <si>
    <t>GN3E084</t>
  </si>
  <si>
    <t>000200562452</t>
  </si>
  <si>
    <t>22041244</t>
  </si>
  <si>
    <t>N300X-VT6E022-BAG-00-00-00</t>
  </si>
  <si>
    <t>NOR9DO</t>
  </si>
  <si>
    <t>0002448472</t>
  </si>
  <si>
    <t>VT6E022</t>
  </si>
  <si>
    <t>000200576653</t>
  </si>
  <si>
    <t>22032998</t>
  </si>
  <si>
    <t>WCD855-BK1066-SBG-00-00-00</t>
  </si>
  <si>
    <t>0/02:54:14</t>
  </si>
  <si>
    <t>0002468510</t>
  </si>
  <si>
    <t>000200561541</t>
  </si>
  <si>
    <t>22041242</t>
  </si>
  <si>
    <t>N300X-GY2E479-BAG-00-00-00</t>
  </si>
  <si>
    <t>0002447167</t>
  </si>
  <si>
    <t>GY2E479</t>
  </si>
  <si>
    <t>0098113594</t>
  </si>
  <si>
    <t>22029453</t>
  </si>
  <si>
    <t>PX9406P-BL5G048-BAG-00-00-00</t>
  </si>
  <si>
    <t>0/03:45:51</t>
  </si>
  <si>
    <t>4503081033</t>
  </si>
  <si>
    <t>BL5G048</t>
  </si>
  <si>
    <t>000200573610</t>
  </si>
  <si>
    <t>22036850</t>
  </si>
  <si>
    <t>N190X-GY9174-BAG-00-00-00</t>
  </si>
  <si>
    <t>0002464510</t>
  </si>
  <si>
    <t>GY9174</t>
  </si>
  <si>
    <t>000200569860</t>
  </si>
  <si>
    <t>22040814</t>
  </si>
  <si>
    <t>N1050-BK1066-BAG-00-00-00</t>
  </si>
  <si>
    <t>0/04:20:07</t>
  </si>
  <si>
    <t>0002458482</t>
  </si>
  <si>
    <t>N1050</t>
  </si>
  <si>
    <t>000200549207</t>
  </si>
  <si>
    <t>22031186</t>
  </si>
  <si>
    <t>731S-701S-BAG-00-00-00</t>
  </si>
  <si>
    <t>0002423673</t>
  </si>
  <si>
    <t>000200574939</t>
  </si>
  <si>
    <t>0/03:06:00</t>
  </si>
  <si>
    <t>0002466810</t>
  </si>
  <si>
    <t>000200574825</t>
  </si>
  <si>
    <t>22032641</t>
  </si>
  <si>
    <t>N225Z-BK1066-BAG-00-00-00</t>
  </si>
  <si>
    <t>0/09:02:02</t>
  </si>
  <si>
    <t>0002466589</t>
  </si>
  <si>
    <t>N225Z</t>
  </si>
  <si>
    <t>000200545271</t>
  </si>
  <si>
    <t>0002417266</t>
  </si>
  <si>
    <t>000200572798</t>
  </si>
  <si>
    <t>22096047</t>
  </si>
  <si>
    <t>GFN30-780-BAG-00-00-00</t>
  </si>
  <si>
    <t>GFN30</t>
  </si>
  <si>
    <t>000200562784</t>
  </si>
  <si>
    <t>22018844</t>
  </si>
  <si>
    <t>N190X-701-BAG-00-00-00</t>
  </si>
  <si>
    <t>0002447037</t>
  </si>
  <si>
    <t>000200554693</t>
  </si>
  <si>
    <t>0/17:20:28</t>
  </si>
  <si>
    <t>0002434333</t>
  </si>
  <si>
    <t>000200554628</t>
  </si>
  <si>
    <t>0002434277</t>
  </si>
  <si>
    <t>000200576460</t>
  </si>
  <si>
    <t>22022815</t>
  </si>
  <si>
    <t>EX130-770-BAG-00-00-00</t>
  </si>
  <si>
    <t>0/15:03:23</t>
  </si>
  <si>
    <t>0002468489</t>
  </si>
  <si>
    <t>EX130</t>
  </si>
  <si>
    <t>770</t>
  </si>
  <si>
    <t>000200571758</t>
  </si>
  <si>
    <t>0/06:10:06</t>
  </si>
  <si>
    <t>0002461626</t>
  </si>
  <si>
    <t>000200567225</t>
  </si>
  <si>
    <t>22028063</t>
  </si>
  <si>
    <t>SE1GFN1-780-BAG-00-00-00</t>
  </si>
  <si>
    <t>0002454720</t>
  </si>
  <si>
    <t>000200554705</t>
  </si>
  <si>
    <t>0002434279</t>
  </si>
  <si>
    <t>000200487847</t>
  </si>
  <si>
    <t>0002281896</t>
  </si>
  <si>
    <t>000200571870</t>
  </si>
  <si>
    <t>0002461728</t>
  </si>
  <si>
    <t>000200488681</t>
  </si>
  <si>
    <t>0002281899</t>
  </si>
  <si>
    <t>000200521267</t>
  </si>
  <si>
    <t>0002374214</t>
  </si>
  <si>
    <t>000200573621</t>
  </si>
  <si>
    <t>0002464702</t>
  </si>
  <si>
    <t>0093391781</t>
  </si>
  <si>
    <t>22040815</t>
  </si>
  <si>
    <t>N1050-BL2G084-BAG-00-00-00</t>
  </si>
  <si>
    <t>NOR2DO</t>
  </si>
  <si>
    <t>4503029057</t>
  </si>
  <si>
    <t>BL2G084</t>
  </si>
  <si>
    <t>000200571905</t>
  </si>
  <si>
    <t>22021817</t>
  </si>
  <si>
    <t>731-780-BAG-00-00-00</t>
  </si>
  <si>
    <t>0002456456</t>
  </si>
  <si>
    <t>731</t>
  </si>
  <si>
    <t>000200542757</t>
  </si>
  <si>
    <t>22095148</t>
  </si>
  <si>
    <t>7310-701-BAG-00-00-00</t>
  </si>
  <si>
    <t>0002409280</t>
  </si>
  <si>
    <t>7310</t>
  </si>
  <si>
    <t>000200568753</t>
  </si>
  <si>
    <t>22041234</t>
  </si>
  <si>
    <t>N300-701-BAG-00-00-00</t>
  </si>
  <si>
    <t>0002456994</t>
  </si>
  <si>
    <t>N300</t>
  </si>
  <si>
    <t>000200552257</t>
  </si>
  <si>
    <t>0/11:33:38</t>
  </si>
  <si>
    <t>000200550112</t>
  </si>
  <si>
    <t>22060061</t>
  </si>
  <si>
    <t>NH6020-100-BAG-00-00-00</t>
  </si>
  <si>
    <t>2/09:48:12</t>
  </si>
  <si>
    <t>0002425572</t>
  </si>
  <si>
    <t>100</t>
  </si>
  <si>
    <t>000200550053</t>
  </si>
  <si>
    <t>0002425560</t>
  </si>
  <si>
    <t>000200550113</t>
  </si>
  <si>
    <t>1/04:54:06</t>
  </si>
  <si>
    <t>000200550100</t>
  </si>
  <si>
    <t>0002425557</t>
  </si>
  <si>
    <t>WSHAEXL06_PC51_008</t>
  </si>
  <si>
    <t>000200574737</t>
  </si>
  <si>
    <t>22106211</t>
  </si>
  <si>
    <t>SE1GFN2-111-BAG-00-01-00</t>
  </si>
  <si>
    <t>000200566069</t>
  </si>
  <si>
    <t>000200554533</t>
  </si>
  <si>
    <t>22024528</t>
  </si>
  <si>
    <t>NH7010-GY6G005-BAG-00-00-00</t>
  </si>
  <si>
    <t>GY6G005</t>
  </si>
  <si>
    <t>000200576516</t>
  </si>
  <si>
    <t>22073242</t>
  </si>
  <si>
    <t>IGN5531-71003-SSS-00-00-00</t>
  </si>
  <si>
    <t>1/00:50:42</t>
  </si>
  <si>
    <t>4503067808</t>
  </si>
  <si>
    <t>IGN5531</t>
  </si>
  <si>
    <t>71003</t>
  </si>
  <si>
    <t>000200576518</t>
  </si>
  <si>
    <t>4503067809</t>
  </si>
  <si>
    <t>4503067810</t>
  </si>
  <si>
    <t>000200569550</t>
  </si>
  <si>
    <t>22037213</t>
  </si>
  <si>
    <t>N190X-111-BAG-00-00-00</t>
  </si>
  <si>
    <t>0002456390</t>
  </si>
  <si>
    <t>0097081359</t>
  </si>
  <si>
    <t>4503067812</t>
  </si>
  <si>
    <t>0097082056</t>
  </si>
  <si>
    <t>4503067888</t>
  </si>
  <si>
    <t>000200572660</t>
  </si>
  <si>
    <t>22036604</t>
  </si>
  <si>
    <t>GFN1-YW8A007-BAG-00-00-00</t>
  </si>
  <si>
    <t>0/02:29:04</t>
  </si>
  <si>
    <t>NORF4O</t>
  </si>
  <si>
    <t>0002459561</t>
  </si>
  <si>
    <t>GFN1</t>
  </si>
  <si>
    <t>YW8A007</t>
  </si>
  <si>
    <t>000200572845</t>
  </si>
  <si>
    <t>0002459619</t>
  </si>
  <si>
    <t>0089117216</t>
  </si>
  <si>
    <t>4503067889</t>
  </si>
  <si>
    <t>0097082058</t>
  </si>
  <si>
    <t>4503067896</t>
  </si>
  <si>
    <t>0097081539</t>
  </si>
  <si>
    <t>4503067899</t>
  </si>
  <si>
    <t>0097080826</t>
  </si>
  <si>
    <t>4503067898</t>
  </si>
  <si>
    <t>0097081043</t>
  </si>
  <si>
    <t>4503067897</t>
  </si>
  <si>
    <t>0097082134</t>
  </si>
  <si>
    <t>4503067900</t>
  </si>
  <si>
    <t>0097081044</t>
  </si>
  <si>
    <t>4503067905</t>
  </si>
  <si>
    <t>000200497063</t>
  </si>
  <si>
    <t>0/11:55:59</t>
  </si>
  <si>
    <t>0002335603</t>
  </si>
  <si>
    <t>0097081361</t>
  </si>
  <si>
    <t>4503067904</t>
  </si>
  <si>
    <t>0097080825</t>
  </si>
  <si>
    <t>4503067902</t>
  </si>
  <si>
    <t>0097081045</t>
  </si>
  <si>
    <t>4503067906</t>
  </si>
  <si>
    <t>0097082135</t>
  </si>
  <si>
    <t>4503069790</t>
  </si>
  <si>
    <t>0097081046</t>
  </si>
  <si>
    <t>4503069789</t>
  </si>
  <si>
    <t>0087853874</t>
  </si>
  <si>
    <t>22080186</t>
  </si>
  <si>
    <t>WCA955-111-SBG-00-00-00</t>
  </si>
  <si>
    <t>0/07:09:36</t>
  </si>
  <si>
    <t>NORWC1O</t>
  </si>
  <si>
    <t>WCA955</t>
  </si>
  <si>
    <t>000200447176</t>
  </si>
  <si>
    <t>22079928</t>
  </si>
  <si>
    <t>WCD933-5A2D002-SBG-00-00-00</t>
  </si>
  <si>
    <t>0/09:32:48</t>
  </si>
  <si>
    <t>0002247930</t>
  </si>
  <si>
    <t>WCD933</t>
  </si>
  <si>
    <t>5A2D002</t>
  </si>
  <si>
    <t>000200497085</t>
  </si>
  <si>
    <t>0002335604</t>
  </si>
  <si>
    <t>000200568767</t>
  </si>
  <si>
    <t>0/01:11:36</t>
  </si>
  <si>
    <t>0002457008</t>
  </si>
  <si>
    <t>0097080831</t>
  </si>
  <si>
    <t>4503069797</t>
  </si>
  <si>
    <t>0097080829</t>
  </si>
  <si>
    <t>4503069795</t>
  </si>
  <si>
    <t>0097080827</t>
  </si>
  <si>
    <t>4503069793</t>
  </si>
  <si>
    <t>0097082076</t>
  </si>
  <si>
    <t>4503069792</t>
  </si>
  <si>
    <t>0097080828</t>
  </si>
  <si>
    <t>4503069794</t>
  </si>
  <si>
    <t>0097080830</t>
  </si>
  <si>
    <t>4503069796</t>
  </si>
  <si>
    <t>WSHAEXL07_PC51_008</t>
  </si>
  <si>
    <t>000200559148</t>
  </si>
  <si>
    <t>22018121</t>
  </si>
  <si>
    <t>2110R-7301-BAG-00-00-00</t>
  </si>
  <si>
    <t>0/02:46:40</t>
  </si>
  <si>
    <t>0002442918</t>
  </si>
  <si>
    <t>2110R</t>
  </si>
  <si>
    <t>7301</t>
  </si>
  <si>
    <t>000200532787</t>
  </si>
  <si>
    <t>0/04:58:50</t>
  </si>
  <si>
    <t>0002394503</t>
  </si>
  <si>
    <t>000200531593</t>
  </si>
  <si>
    <t>22037979</t>
  </si>
  <si>
    <t>1000R-GN6D040-BAG-00-00-00</t>
  </si>
  <si>
    <t>0/01:29:39</t>
  </si>
  <si>
    <t>ULT3DO</t>
  </si>
  <si>
    <t>1000R</t>
  </si>
  <si>
    <t>GN6D040</t>
  </si>
  <si>
    <t>0/00:29:53</t>
  </si>
  <si>
    <t>0/09:15:33</t>
  </si>
  <si>
    <t>000200531538</t>
  </si>
  <si>
    <t>22019073</t>
  </si>
  <si>
    <t>1000R-GY2B087-BAG-00-00-00</t>
  </si>
  <si>
    <t>0/01:59:32</t>
  </si>
  <si>
    <t>ULTGDO</t>
  </si>
  <si>
    <t>GY2B087</t>
  </si>
  <si>
    <t>000200574620</t>
  </si>
  <si>
    <t>22017766</t>
  </si>
  <si>
    <t>FNH2160-780-BAG-00-00-00</t>
  </si>
  <si>
    <t>FNH2160</t>
  </si>
  <si>
    <t>000200574846</t>
  </si>
  <si>
    <t>22036868</t>
  </si>
  <si>
    <t>N300X-111-BAG-00-00-00</t>
  </si>
  <si>
    <t>000200549224</t>
  </si>
  <si>
    <t>22096112</t>
  </si>
  <si>
    <t>GFN20F-7M1D101F-BAG-00-00-00</t>
  </si>
  <si>
    <t>0/04:37:47</t>
  </si>
  <si>
    <t>0002423742</t>
  </si>
  <si>
    <t>7M1D101F</t>
  </si>
  <si>
    <t>000200563986</t>
  </si>
  <si>
    <t>22029462</t>
  </si>
  <si>
    <t>SE100P-WH7C062-BAG-00-00-00</t>
  </si>
  <si>
    <t>SE100P</t>
  </si>
  <si>
    <t>WH7C062</t>
  </si>
  <si>
    <t>000200569760</t>
  </si>
  <si>
    <t>22021108</t>
  </si>
  <si>
    <t>1000-7A1D252-BAG-00-00-00</t>
  </si>
  <si>
    <t>0002456429</t>
  </si>
  <si>
    <t>1000</t>
  </si>
  <si>
    <t>7A1D252</t>
  </si>
  <si>
    <t>000200548568</t>
  </si>
  <si>
    <t>22021142</t>
  </si>
  <si>
    <t>1000R-7101-BAG-00-00-00</t>
  </si>
  <si>
    <t>0/00:55:33</t>
  </si>
  <si>
    <t>ULT7O</t>
  </si>
  <si>
    <t>0002422208</t>
  </si>
  <si>
    <t>7101</t>
  </si>
  <si>
    <t>0/00:14:57</t>
  </si>
  <si>
    <t>000200556954</t>
  </si>
  <si>
    <t>22037004</t>
  </si>
  <si>
    <t>PX2801Z-OR8B008-BAG-00-00-00</t>
  </si>
  <si>
    <t>NOROO</t>
  </si>
  <si>
    <t>0002438627</t>
  </si>
  <si>
    <t>OR8B008</t>
  </si>
  <si>
    <t>000200572010</t>
  </si>
  <si>
    <t>22037162</t>
  </si>
  <si>
    <t>SE1X-GY2E009-BAG-00-00-00</t>
  </si>
  <si>
    <t>GY2E009</t>
  </si>
  <si>
    <t>000200567363</t>
  </si>
  <si>
    <t>22096118</t>
  </si>
  <si>
    <t>7310-111-BAG-00-00-00</t>
  </si>
  <si>
    <t>000200533505</t>
  </si>
  <si>
    <t>22033128</t>
  </si>
  <si>
    <t>1000-BL7079-BAG-00-00-00</t>
  </si>
  <si>
    <t>ULT2DO</t>
  </si>
  <si>
    <t>BL7079</t>
  </si>
  <si>
    <t>000200546370</t>
  </si>
  <si>
    <t>22030661</t>
  </si>
  <si>
    <t>1000-BR7095-BAG-00-00-00</t>
  </si>
  <si>
    <t>0/01:51:07</t>
  </si>
  <si>
    <t>ULT5DO</t>
  </si>
  <si>
    <t>0002410895</t>
  </si>
  <si>
    <t>BR7095</t>
  </si>
  <si>
    <t>000200546846</t>
  </si>
  <si>
    <t>22033154</t>
  </si>
  <si>
    <t>1000R-RD6B018-BAG-00-00-00</t>
  </si>
  <si>
    <t>ULT6DO</t>
  </si>
  <si>
    <t>0002417385</t>
  </si>
  <si>
    <t>RD6B018</t>
  </si>
  <si>
    <t>000200546893</t>
  </si>
  <si>
    <t>000200534688</t>
  </si>
  <si>
    <t>22033123</t>
  </si>
  <si>
    <t>1000-BL3122-BAG-00-00-00</t>
  </si>
  <si>
    <t>0/18:31:07</t>
  </si>
  <si>
    <t>0002398072</t>
  </si>
  <si>
    <t>BL3122</t>
  </si>
  <si>
    <t>000200510318</t>
  </si>
  <si>
    <t>22021106</t>
  </si>
  <si>
    <t>1000-7101-BAG-00-00-00</t>
  </si>
  <si>
    <t>0002355755</t>
  </si>
  <si>
    <t>000200536077</t>
  </si>
  <si>
    <t>0002400395</t>
  </si>
  <si>
    <t>000200568449</t>
  </si>
  <si>
    <t>22021145</t>
  </si>
  <si>
    <t>1000R-GN5081-BAG-00-00-00</t>
  </si>
  <si>
    <t>0002456600</t>
  </si>
  <si>
    <t>GN5081</t>
  </si>
  <si>
    <t>000200560223</t>
  </si>
  <si>
    <t>22040973</t>
  </si>
  <si>
    <t>SE1GFN2-70699-BAG-00-00-00</t>
  </si>
  <si>
    <t>0002444953</t>
  </si>
  <si>
    <t>70699</t>
  </si>
  <si>
    <t>000200576448</t>
  </si>
  <si>
    <t>0/05:58:36</t>
  </si>
  <si>
    <t>0002468464</t>
  </si>
  <si>
    <t>000200576431</t>
  </si>
  <si>
    <t>0002468460</t>
  </si>
  <si>
    <t>000200574110</t>
  </si>
  <si>
    <t>0002465535</t>
  </si>
  <si>
    <t>000200574089</t>
  </si>
  <si>
    <t>22086756</t>
  </si>
  <si>
    <t>1000R-OR7B010-BAG-00-00-00</t>
  </si>
  <si>
    <t>0002465526</t>
  </si>
  <si>
    <t>OR7B010</t>
  </si>
  <si>
    <t>000200558078</t>
  </si>
  <si>
    <t>22022978</t>
  </si>
  <si>
    <t>EL003-NC-BAG-00-00-00</t>
  </si>
  <si>
    <t>PC1O</t>
  </si>
  <si>
    <t>0002440767</t>
  </si>
  <si>
    <t>EL003</t>
  </si>
  <si>
    <t>000200532833</t>
  </si>
  <si>
    <t>22037568</t>
  </si>
  <si>
    <t>TPN9221-GY1493T-BAG-00-00-00</t>
  </si>
  <si>
    <t>3/20:35:33</t>
  </si>
  <si>
    <t>0002394742</t>
  </si>
  <si>
    <t>TPN9221</t>
  </si>
  <si>
    <t>GY1493T</t>
  </si>
  <si>
    <t>000200569962</t>
  </si>
  <si>
    <t>22029638</t>
  </si>
  <si>
    <t>1010-GY6G143-BAG-00-00-00</t>
  </si>
  <si>
    <t>0002458588</t>
  </si>
  <si>
    <t>1010</t>
  </si>
  <si>
    <t>GY6G143</t>
  </si>
  <si>
    <t>000200572928</t>
  </si>
  <si>
    <t>22039650</t>
  </si>
  <si>
    <t>C6303-BK1066-BAG-00-00-00</t>
  </si>
  <si>
    <t>0002463199</t>
  </si>
  <si>
    <t>C6303</t>
  </si>
  <si>
    <t>000200533481</t>
  </si>
  <si>
    <t>299901425</t>
  </si>
  <si>
    <t>HS2000X-6G4A1253</t>
  </si>
  <si>
    <t>0002396128</t>
  </si>
  <si>
    <t>6G4A1253</t>
  </si>
  <si>
    <t>000200560140</t>
  </si>
  <si>
    <t>0002443138</t>
  </si>
  <si>
    <t>000200573552</t>
  </si>
  <si>
    <t>22028656</t>
  </si>
  <si>
    <t>Z20001-BK1B694-BAG-00-00-00</t>
  </si>
  <si>
    <t>0002464416</t>
  </si>
  <si>
    <t>Z20001</t>
  </si>
  <si>
    <t>BK1B694</t>
  </si>
  <si>
    <t>000200549162</t>
  </si>
  <si>
    <t>22037954</t>
  </si>
  <si>
    <t>1000-BL1B081T-BAG-00-00-00</t>
  </si>
  <si>
    <t>ULT2DT</t>
  </si>
  <si>
    <t>0002423564</t>
  </si>
  <si>
    <t>BL1B081T</t>
  </si>
  <si>
    <t>000200485078</t>
  </si>
  <si>
    <t>22017567</t>
  </si>
  <si>
    <t>2310-7301-BAG-00-00-00</t>
  </si>
  <si>
    <t>1/22:17:47</t>
  </si>
  <si>
    <t>ULTF7O</t>
  </si>
  <si>
    <t>0002304562</t>
  </si>
  <si>
    <t>2310</t>
  </si>
  <si>
    <t>000200559078</t>
  </si>
  <si>
    <t>22019057</t>
  </si>
  <si>
    <t>1000-GY2C261-BAG-00-00-00</t>
  </si>
  <si>
    <t>0002430015</t>
  </si>
  <si>
    <t>GY2C261</t>
  </si>
  <si>
    <t>000200533469</t>
  </si>
  <si>
    <t>0002394498</t>
  </si>
  <si>
    <t>000200561480</t>
  </si>
  <si>
    <t>22036871</t>
  </si>
  <si>
    <t>N300X-BR7E123-BAG-00-00-00</t>
  </si>
  <si>
    <t>0002447189</t>
  </si>
  <si>
    <t>BR7E123</t>
  </si>
  <si>
    <t>000200569592</t>
  </si>
  <si>
    <t>0002458070</t>
  </si>
  <si>
    <t>000200552317</t>
  </si>
  <si>
    <t>0002429642</t>
  </si>
  <si>
    <t>000200551343</t>
  </si>
  <si>
    <t>22033151</t>
  </si>
  <si>
    <t>1000R-21019-BAG-00-00-00</t>
  </si>
  <si>
    <t>ULT2DX</t>
  </si>
  <si>
    <t>0002427593</t>
  </si>
  <si>
    <t>21019</t>
  </si>
  <si>
    <t>000200551266</t>
  </si>
  <si>
    <t>22037978</t>
  </si>
  <si>
    <t>1000R-BR7156-BAG-00-00-00</t>
  </si>
  <si>
    <t>0002427583</t>
  </si>
  <si>
    <t>BR7156</t>
  </si>
  <si>
    <t>000200549958</t>
  </si>
  <si>
    <t>0002410893</t>
  </si>
  <si>
    <t>000200521191</t>
  </si>
  <si>
    <t>22017590</t>
  </si>
  <si>
    <t>4001-7402-BAG-00-00-00</t>
  </si>
  <si>
    <t>0002374074</t>
  </si>
  <si>
    <t>4001</t>
  </si>
  <si>
    <t>7402</t>
  </si>
  <si>
    <t>WSHAEXL08_PC51_008</t>
  </si>
  <si>
    <t>000200574808</t>
  </si>
  <si>
    <t>22033780</t>
  </si>
  <si>
    <t>505RU-7A1D069-BAG-00-00-00</t>
  </si>
  <si>
    <t>505RU</t>
  </si>
  <si>
    <t>7A1D069</t>
  </si>
  <si>
    <t>000200552284</t>
  </si>
  <si>
    <t>22029311</t>
  </si>
  <si>
    <t>CM6140-7R1D137-BAG-00-00-00</t>
  </si>
  <si>
    <t>0/15:09:05</t>
  </si>
  <si>
    <t>0002429451</t>
  </si>
  <si>
    <t>CM6140</t>
  </si>
  <si>
    <t>7R1D137</t>
  </si>
  <si>
    <t>000200546458</t>
  </si>
  <si>
    <t>22038378</t>
  </si>
  <si>
    <t>945-7P1D051-BAG-00-00-00</t>
  </si>
  <si>
    <t>7P1D051</t>
  </si>
  <si>
    <t>000200572836</t>
  </si>
  <si>
    <t>299903299</t>
  </si>
  <si>
    <t>325C-7A5A2961</t>
  </si>
  <si>
    <t>325C</t>
  </si>
  <si>
    <t>7A5A2961</t>
  </si>
  <si>
    <t>000200543607</t>
  </si>
  <si>
    <t>22022996</t>
  </si>
  <si>
    <t>ENH2900-8A9D020-BAG-00-00-00</t>
  </si>
  <si>
    <t>5/21:23:14</t>
  </si>
  <si>
    <t>XEN8O</t>
  </si>
  <si>
    <t>0002414464</t>
  </si>
  <si>
    <t>ENH2900</t>
  </si>
  <si>
    <t>8A9D020</t>
  </si>
  <si>
    <t>000200573755</t>
  </si>
  <si>
    <t>22017368</t>
  </si>
  <si>
    <t>ENH2900-1001-BAG-00-00-00</t>
  </si>
  <si>
    <t>0/04:00:19</t>
  </si>
  <si>
    <t>XEN1O</t>
  </si>
  <si>
    <t>1001</t>
  </si>
  <si>
    <t>299902816</t>
  </si>
  <si>
    <t>EXL1414-8G6A2496</t>
  </si>
  <si>
    <t>0/08:00:38</t>
  </si>
  <si>
    <t>EXL1414</t>
  </si>
  <si>
    <t>8G6A2496</t>
  </si>
  <si>
    <t>000200570594</t>
  </si>
  <si>
    <t>22019986</t>
  </si>
  <si>
    <t>EXL1414T-7A1D030T-BAG-00-00-00</t>
  </si>
  <si>
    <t>0/12:00:57</t>
  </si>
  <si>
    <t>0002459610</t>
  </si>
  <si>
    <t>EXL1414T</t>
  </si>
  <si>
    <t>7A1D030T</t>
  </si>
  <si>
    <t>000200573663</t>
  </si>
  <si>
    <t>0/16:01:16</t>
  </si>
  <si>
    <t>0002464622</t>
  </si>
  <si>
    <t>000200574885</t>
  </si>
  <si>
    <t>22017663</t>
  </si>
  <si>
    <t>BFL4000U-WH3150-BAG-00-00-00</t>
  </si>
  <si>
    <t>0002466597</t>
  </si>
  <si>
    <t>BFL4000U</t>
  </si>
  <si>
    <t>WH3150</t>
  </si>
  <si>
    <t>000200572732</t>
  </si>
  <si>
    <t>0002462843</t>
  </si>
  <si>
    <t>WSHAEXL09_PC51_008</t>
  </si>
  <si>
    <t>000200542649</t>
  </si>
  <si>
    <t>22034507</t>
  </si>
  <si>
    <t>940A-BL1A529T-BAG-00-00-00</t>
  </si>
  <si>
    <t>0/02:15:51</t>
  </si>
  <si>
    <t>LEXFR2DT</t>
  </si>
  <si>
    <t>0002412615</t>
  </si>
  <si>
    <t>BL1A529T</t>
  </si>
  <si>
    <t>0/00:21:26</t>
  </si>
  <si>
    <t>C1200HF</t>
  </si>
  <si>
    <t>000200558923</t>
  </si>
  <si>
    <t>22038377</t>
  </si>
  <si>
    <t>945-7M1D115-BAG-00-00-00</t>
  </si>
  <si>
    <t>0/15:05:45</t>
  </si>
  <si>
    <t>0002442621</t>
  </si>
  <si>
    <t>7M1D115</t>
  </si>
  <si>
    <t>000200568253</t>
  </si>
  <si>
    <t>22029980</t>
  </si>
  <si>
    <t>943A-GY5D606-BAG-00-00-00</t>
  </si>
  <si>
    <t>0/21:25:43</t>
  </si>
  <si>
    <t>LEXFRGDO</t>
  </si>
  <si>
    <t>0002455530</t>
  </si>
  <si>
    <t>GY5D606</t>
  </si>
  <si>
    <t>000200566644</t>
  </si>
  <si>
    <t>22035996</t>
  </si>
  <si>
    <t>EXL9414T-7T1D346S-BAG-00-00-00</t>
  </si>
  <si>
    <t>0/03:47:06</t>
  </si>
  <si>
    <t>0002454128</t>
  </si>
  <si>
    <t>EXL9414T</t>
  </si>
  <si>
    <t>7T1D346S</t>
  </si>
  <si>
    <t>000200541037</t>
  </si>
  <si>
    <t>22034364</t>
  </si>
  <si>
    <t>920A-GY6D710T-BAG-00-00-00</t>
  </si>
  <si>
    <t>0/03:34:17</t>
  </si>
  <si>
    <t>LEXFRGDT</t>
  </si>
  <si>
    <t>0002409908</t>
  </si>
  <si>
    <t>920A</t>
  </si>
  <si>
    <t>GY6D710T</t>
  </si>
  <si>
    <t>000200574724</t>
  </si>
  <si>
    <t>22036922</t>
  </si>
  <si>
    <t>LS2-RD4B057T-BAG-00-00-00</t>
  </si>
  <si>
    <t>0002466285</t>
  </si>
  <si>
    <t>RD4B057T</t>
  </si>
  <si>
    <t>000200555890</t>
  </si>
  <si>
    <t>22018962</t>
  </si>
  <si>
    <t>SLX2432T-NA9D082T-BAG-00-00-00</t>
  </si>
  <si>
    <t>0/14:17:09</t>
  </si>
  <si>
    <t>LEXX1T</t>
  </si>
  <si>
    <t>0002436389</t>
  </si>
  <si>
    <t>SLX2432T</t>
  </si>
  <si>
    <t>NA9D082T</t>
  </si>
  <si>
    <t>000200557034</t>
  </si>
  <si>
    <t>22019159</t>
  </si>
  <si>
    <t>131-111N-BAG-00-00-00</t>
  </si>
  <si>
    <t>0/07:08:34</t>
  </si>
  <si>
    <t>0002436399</t>
  </si>
  <si>
    <t>111N</t>
  </si>
  <si>
    <t>000200539005</t>
  </si>
  <si>
    <t>22018087</t>
  </si>
  <si>
    <t>141R-111-BAG-00-00-00</t>
  </si>
  <si>
    <t>141R</t>
  </si>
  <si>
    <t>000200571855</t>
  </si>
  <si>
    <t>22040053</t>
  </si>
  <si>
    <t>FXD141R-WH4502X-BAG-00-00-00</t>
  </si>
  <si>
    <t>0/00:42:51</t>
  </si>
  <si>
    <t>LEX8X</t>
  </si>
  <si>
    <t>FXD141R</t>
  </si>
  <si>
    <t>WH4502X</t>
  </si>
  <si>
    <t>22036067</t>
  </si>
  <si>
    <t>EXL1413T-7B1D026T-BAG-00-00-00</t>
  </si>
  <si>
    <t>0/07:34:48</t>
  </si>
  <si>
    <t>LEXX7T</t>
  </si>
  <si>
    <t>EXL1413T</t>
  </si>
  <si>
    <t>7B1D026T</t>
  </si>
  <si>
    <t>000200529021</t>
  </si>
  <si>
    <t>22041034</t>
  </si>
  <si>
    <t>LS2-7056-BAG-00-00-00</t>
  </si>
  <si>
    <t>0002386389</t>
  </si>
  <si>
    <t>7056</t>
  </si>
  <si>
    <t>22021389</t>
  </si>
  <si>
    <t>143R-111-BAG-00-00-00</t>
  </si>
  <si>
    <t>143R</t>
  </si>
  <si>
    <t>000200571865</t>
  </si>
  <si>
    <t>22021271</t>
  </si>
  <si>
    <t>121R-WH3A022X-BAG-00-00-00</t>
  </si>
  <si>
    <t>0002461669</t>
  </si>
  <si>
    <t>WH3A022X</t>
  </si>
  <si>
    <t>000200560005</t>
  </si>
  <si>
    <t>22033096</t>
  </si>
  <si>
    <t>123R-WH5C051X-BAG-00-00-00</t>
  </si>
  <si>
    <t>0002443276</t>
  </si>
  <si>
    <t>123R</t>
  </si>
  <si>
    <t>WH5C051X</t>
  </si>
  <si>
    <t>000200562641</t>
  </si>
  <si>
    <t>299905765</t>
  </si>
  <si>
    <t>143R-3G7A4190T</t>
  </si>
  <si>
    <t>0002448784</t>
  </si>
  <si>
    <t>3G7A4190T</t>
  </si>
  <si>
    <t>000200548309</t>
  </si>
  <si>
    <t>22032380</t>
  </si>
  <si>
    <t>EXL1433T-GY4G001T-BAG-00-00-00</t>
  </si>
  <si>
    <t>1/11:42:51</t>
  </si>
  <si>
    <t>LEXXGDT</t>
  </si>
  <si>
    <t>0002421924</t>
  </si>
  <si>
    <t>EXL1433T</t>
  </si>
  <si>
    <t>GY4G001T</t>
  </si>
  <si>
    <t>000200554934</t>
  </si>
  <si>
    <t>22023219</t>
  </si>
  <si>
    <t>FXE121R-BK1A184T-BAG-00-00-00</t>
  </si>
  <si>
    <t>LEX7T</t>
  </si>
  <si>
    <t>0002434987</t>
  </si>
  <si>
    <t>FXE121R</t>
  </si>
  <si>
    <t>BK1A184T</t>
  </si>
  <si>
    <t>000200537924</t>
  </si>
  <si>
    <t>22028401</t>
  </si>
  <si>
    <t>241R-GY5D607T-BAG-00-00-00</t>
  </si>
  <si>
    <t>0002404029</t>
  </si>
  <si>
    <t>GY5D607T</t>
  </si>
  <si>
    <t>000200536266</t>
  </si>
  <si>
    <t>22039032</t>
  </si>
  <si>
    <t>920A-GY2E081T-BAG-00-00-00</t>
  </si>
  <si>
    <t>0002400876</t>
  </si>
  <si>
    <t>GY2E081T</t>
  </si>
  <si>
    <t>000200571842</t>
  </si>
  <si>
    <t>22032770</t>
  </si>
  <si>
    <t>ML7681-7R3D005X-BAG-00-00-00</t>
  </si>
  <si>
    <t>0/03:47:34</t>
  </si>
  <si>
    <t>LEXFGDX</t>
  </si>
  <si>
    <t>0002461622</t>
  </si>
  <si>
    <t>ML7681</t>
  </si>
  <si>
    <t>7R3D005X</t>
  </si>
  <si>
    <t>000200559300</t>
  </si>
  <si>
    <t>22033341</t>
  </si>
  <si>
    <t>144H-111FC-BAG-00-00-00</t>
  </si>
  <si>
    <t>LEXHC1T</t>
  </si>
  <si>
    <t>0002429534</t>
  </si>
  <si>
    <t>144H</t>
  </si>
  <si>
    <t>111FC</t>
  </si>
  <si>
    <t>000200567130</t>
  </si>
  <si>
    <t>0002454702</t>
  </si>
  <si>
    <t>000200568508</t>
  </si>
  <si>
    <t>22040729</t>
  </si>
  <si>
    <t>FXD171R-WH6B024X-BAG-00-00-00</t>
  </si>
  <si>
    <t>0002456670</t>
  </si>
  <si>
    <t>FXD171R</t>
  </si>
  <si>
    <t>WH6B024X</t>
  </si>
  <si>
    <t>000200553681</t>
  </si>
  <si>
    <t>22034279</t>
  </si>
  <si>
    <t>945A-7T1D059T-BAG-00-00-00</t>
  </si>
  <si>
    <t>0002432343</t>
  </si>
  <si>
    <t>945A</t>
  </si>
  <si>
    <t>7T1D059T</t>
  </si>
  <si>
    <t>000200549047</t>
  </si>
  <si>
    <t>22036274</t>
  </si>
  <si>
    <t>FXG121R-BL4F027G-BAG-00-00-00</t>
  </si>
  <si>
    <t>LEX2DO</t>
  </si>
  <si>
    <t>0002423449</t>
  </si>
  <si>
    <t>FXG121R</t>
  </si>
  <si>
    <t>BL4F027G</t>
  </si>
  <si>
    <t>000200573477</t>
  </si>
  <si>
    <t>0002464409</t>
  </si>
  <si>
    <t>000200513278</t>
  </si>
  <si>
    <t>22019283</t>
  </si>
  <si>
    <t>243R-111-BAG-00-00-00</t>
  </si>
  <si>
    <t>LEXFGLO</t>
  </si>
  <si>
    <t>0002361355</t>
  </si>
  <si>
    <t>243R</t>
  </si>
  <si>
    <t>000200570636</t>
  </si>
  <si>
    <t>22021290</t>
  </si>
  <si>
    <t>123R-BL9F006X-BAG-00-00-00</t>
  </si>
  <si>
    <t>LEX2LX</t>
  </si>
  <si>
    <t>0002459630</t>
  </si>
  <si>
    <t>BL9F006X</t>
  </si>
  <si>
    <t>000200542010</t>
  </si>
  <si>
    <t>22039947</t>
  </si>
  <si>
    <t>EXL9414T-NA8E034T-BAG-00-00-00</t>
  </si>
  <si>
    <t>0002411604</t>
  </si>
  <si>
    <t>NA8E034T</t>
  </si>
  <si>
    <t>000200562725</t>
  </si>
  <si>
    <t>0002448812</t>
  </si>
  <si>
    <t>000200545577</t>
  </si>
  <si>
    <t>0002417949</t>
  </si>
  <si>
    <t>000200495918</t>
  </si>
  <si>
    <t>22037594</t>
  </si>
  <si>
    <t>143R-71257-BAG-00-00-00</t>
  </si>
  <si>
    <t>0002335525</t>
  </si>
  <si>
    <t>71257</t>
  </si>
  <si>
    <t>000200521952</t>
  </si>
  <si>
    <t>22027971</t>
  </si>
  <si>
    <t>101R-111-BAG-00-00-00</t>
  </si>
  <si>
    <t>0002372278</t>
  </si>
  <si>
    <t>101R</t>
  </si>
  <si>
    <t>000200549470</t>
  </si>
  <si>
    <t>22044315</t>
  </si>
  <si>
    <t>FXD121R-NA8G018X-BAG-00-00-00</t>
  </si>
  <si>
    <t>0002424268</t>
  </si>
  <si>
    <t>FXD121R</t>
  </si>
  <si>
    <t>NA8G018X</t>
  </si>
  <si>
    <t>WSHAEXL10_PC51_008</t>
  </si>
  <si>
    <t>000200567540</t>
  </si>
  <si>
    <t>22037355</t>
  </si>
  <si>
    <t>XTWM206-GY2E365-BAG-00-00-00</t>
  </si>
  <si>
    <t>0/14:22:41</t>
  </si>
  <si>
    <t>XTWM206</t>
  </si>
  <si>
    <t>GY2E365</t>
  </si>
  <si>
    <t>000200566126</t>
  </si>
  <si>
    <t>22044077</t>
  </si>
  <si>
    <t>357U-GY1G418-BAG-00-00-00</t>
  </si>
  <si>
    <t>0/04:20:44</t>
  </si>
  <si>
    <t>0002450433</t>
  </si>
  <si>
    <t>357U</t>
  </si>
  <si>
    <t>GY1G418</t>
  </si>
  <si>
    <t>000200558988</t>
  </si>
  <si>
    <t>22033941</t>
  </si>
  <si>
    <t>357U-GY7B303-BAG-00-00-00</t>
  </si>
  <si>
    <t>0/13:41:55</t>
  </si>
  <si>
    <t>GY7B303</t>
  </si>
  <si>
    <t>000200570962</t>
  </si>
  <si>
    <t>22017303</t>
  </si>
  <si>
    <t>553-BK1066-BAG-00-00-00</t>
  </si>
  <si>
    <t>0/00:10:52</t>
  </si>
  <si>
    <t>0002460206</t>
  </si>
  <si>
    <t>553</t>
  </si>
  <si>
    <t>000200556222</t>
  </si>
  <si>
    <t>22038579</t>
  </si>
  <si>
    <t>357U-WH5E122-BAG-00-00-00</t>
  </si>
  <si>
    <t>0002437253</t>
  </si>
  <si>
    <t>WH5E122</t>
  </si>
  <si>
    <t>000200573581</t>
  </si>
  <si>
    <t>22038042</t>
  </si>
  <si>
    <t>553-OR5G078-BAG-00-00-00</t>
  </si>
  <si>
    <t>0002464611</t>
  </si>
  <si>
    <t>OR5G078</t>
  </si>
  <si>
    <t>000200558963</t>
  </si>
  <si>
    <t>22041108</t>
  </si>
  <si>
    <t>V3900WX-WH8E373-BAG-00-00-00</t>
  </si>
  <si>
    <t>0/06:50:58</t>
  </si>
  <si>
    <t>V3900WX</t>
  </si>
  <si>
    <t>WH8E373</t>
  </si>
  <si>
    <t>000200559010</t>
  </si>
  <si>
    <t>22021775</t>
  </si>
  <si>
    <t>357U-4262-BAG-00-00-00</t>
  </si>
  <si>
    <t>0002442722</t>
  </si>
  <si>
    <t>4262</t>
  </si>
  <si>
    <t>000200568752</t>
  </si>
  <si>
    <t>299901892</t>
  </si>
  <si>
    <t>420C-GY7B904</t>
  </si>
  <si>
    <t>0/03:25:29</t>
  </si>
  <si>
    <t>0002441062</t>
  </si>
  <si>
    <t>420C</t>
  </si>
  <si>
    <t>GY7B904</t>
  </si>
  <si>
    <t>000200562414</t>
  </si>
  <si>
    <t>22032805</t>
  </si>
  <si>
    <t>V3900WX-WH6G137-BAG-00-00-00</t>
  </si>
  <si>
    <t>WH6G137</t>
  </si>
  <si>
    <t>000200541013</t>
  </si>
  <si>
    <t>22031904</t>
  </si>
  <si>
    <t>DR48-GY6D523-BAG-00-00-00</t>
  </si>
  <si>
    <t>0002409800</t>
  </si>
  <si>
    <t>DR48</t>
  </si>
  <si>
    <t>GY6D523</t>
  </si>
  <si>
    <t>000200559074</t>
  </si>
  <si>
    <t>22038686</t>
  </si>
  <si>
    <t>4521-1001-BAG-00-00-00</t>
  </si>
  <si>
    <t>0002442909</t>
  </si>
  <si>
    <t>4521</t>
  </si>
  <si>
    <t>22031065</t>
  </si>
  <si>
    <t>420-WH6E281-BAG-00-00-00</t>
  </si>
  <si>
    <t>1/10:14:48</t>
  </si>
  <si>
    <t>420</t>
  </si>
  <si>
    <t>WH6E281</t>
  </si>
  <si>
    <t>364</t>
  </si>
  <si>
    <t>000200537653</t>
  </si>
  <si>
    <t>22019885</t>
  </si>
  <si>
    <t>DR48-8051-BAG-00-00-00</t>
  </si>
  <si>
    <t>0002403716</t>
  </si>
  <si>
    <t>8051</t>
  </si>
  <si>
    <t>000200556942</t>
  </si>
  <si>
    <t>0002438576</t>
  </si>
  <si>
    <t>000200561560</t>
  </si>
  <si>
    <t>22035494</t>
  </si>
  <si>
    <t>DR48-GN5G003-BAG-00-00-00</t>
  </si>
  <si>
    <t>0002447300</t>
  </si>
  <si>
    <t>GN5G003</t>
  </si>
  <si>
    <t>000200561580</t>
  </si>
  <si>
    <t>22045424</t>
  </si>
  <si>
    <t>DR48-BL4G186-BAG-00-00-00</t>
  </si>
  <si>
    <t>0002447298</t>
  </si>
  <si>
    <t>BL4G186</t>
  </si>
  <si>
    <t>000200552531</t>
  </si>
  <si>
    <t>22031109</t>
  </si>
  <si>
    <t>310SE0-7001-BAG-00-00-00</t>
  </si>
  <si>
    <t>0002414573</t>
  </si>
  <si>
    <t>310SE0</t>
  </si>
  <si>
    <t>000200526375</t>
  </si>
  <si>
    <t>22034189</t>
  </si>
  <si>
    <t>553-7001-BAG-00-00-00</t>
  </si>
  <si>
    <t>0002382508</t>
  </si>
  <si>
    <t>0/00:41:06</t>
  </si>
  <si>
    <t>000200566425</t>
  </si>
  <si>
    <t>22038552</t>
  </si>
  <si>
    <t>357-GY2G313-BAG-00-00-00</t>
  </si>
  <si>
    <t>0/02:03:17</t>
  </si>
  <si>
    <t>0002453901</t>
  </si>
  <si>
    <t>357</t>
  </si>
  <si>
    <t>GY2G313</t>
  </si>
  <si>
    <t>000200555895</t>
  </si>
  <si>
    <t>22031532</t>
  </si>
  <si>
    <t>C2950-7T1D250-BAG-00-00-00</t>
  </si>
  <si>
    <t>COYFR7O</t>
  </si>
  <si>
    <t>0002436427</t>
  </si>
  <si>
    <t>7T1D250</t>
  </si>
  <si>
    <t>000200559526</t>
  </si>
  <si>
    <t>22045238</t>
  </si>
  <si>
    <t>C2950HF-GY1D453-BAG-00-00-00</t>
  </si>
  <si>
    <t>0002443804</t>
  </si>
  <si>
    <t>C2950HF</t>
  </si>
  <si>
    <t>GY1D453</t>
  </si>
  <si>
    <t>22024815</t>
  </si>
  <si>
    <t>V3900WX-BK1066-BAG-00-00-00</t>
  </si>
  <si>
    <t>0/14:29:06</t>
  </si>
  <si>
    <t>000200562435</t>
  </si>
  <si>
    <t>22040377</t>
  </si>
  <si>
    <t>HRA222-WH4C030U-BAG-00-00-00</t>
  </si>
  <si>
    <t>GEL8O</t>
  </si>
  <si>
    <t>0002448411</t>
  </si>
  <si>
    <t>HRA222</t>
  </si>
  <si>
    <t>WH4C030U</t>
  </si>
  <si>
    <t>000200561289</t>
  </si>
  <si>
    <t>22043956</t>
  </si>
  <si>
    <t>C6200-7T1D394-BAG-00-00-00</t>
  </si>
  <si>
    <t>0002446689</t>
  </si>
  <si>
    <t>7T1D394</t>
  </si>
  <si>
    <t>0/03:37:16</t>
  </si>
  <si>
    <t>000200560346</t>
  </si>
  <si>
    <t>22033927</t>
  </si>
  <si>
    <t>357-WH2D026-BAG-00-00-00</t>
  </si>
  <si>
    <t>0002445209</t>
  </si>
  <si>
    <t>WH2D026</t>
  </si>
  <si>
    <t>000200569814</t>
  </si>
  <si>
    <t>22021962</t>
  </si>
  <si>
    <t>553U-GY3G297-BAG-00-00-00</t>
  </si>
  <si>
    <t>0/20:32:53</t>
  </si>
  <si>
    <t>0002457974</t>
  </si>
  <si>
    <t>553U</t>
  </si>
  <si>
    <t>GY3G297</t>
  </si>
  <si>
    <t>0096103479</t>
  </si>
  <si>
    <t>4503060959</t>
  </si>
  <si>
    <t>000200537659</t>
  </si>
  <si>
    <t>22029684</t>
  </si>
  <si>
    <t>357-WH5C033-BAG-00-00-00</t>
  </si>
  <si>
    <t>0002402403</t>
  </si>
  <si>
    <t>WH5C033</t>
  </si>
  <si>
    <t>000200539013</t>
  </si>
  <si>
    <t>22044074</t>
  </si>
  <si>
    <t>357-7M7D049-BAG-00-00-00</t>
  </si>
  <si>
    <t>0002406163</t>
  </si>
  <si>
    <t>7M7D049</t>
  </si>
  <si>
    <t>000200560142</t>
  </si>
  <si>
    <t>22019333</t>
  </si>
  <si>
    <t>357-GY81044-BAG-00-00-00</t>
  </si>
  <si>
    <t>0002444872</t>
  </si>
  <si>
    <t>GY81044</t>
  </si>
  <si>
    <t>000200568472</t>
  </si>
  <si>
    <t>22037842</t>
  </si>
  <si>
    <t>310SE0-WH4581-BAG-00-00-00</t>
  </si>
  <si>
    <t>0002456632</t>
  </si>
  <si>
    <t>WH4581</t>
  </si>
  <si>
    <t>000200575025</t>
  </si>
  <si>
    <t>22031897</t>
  </si>
  <si>
    <t>DR48-4456-BAG-00-00-00</t>
  </si>
  <si>
    <t>0/07:14:33</t>
  </si>
  <si>
    <t>VALF4O</t>
  </si>
  <si>
    <t>0002466782</t>
  </si>
  <si>
    <t>4456</t>
  </si>
  <si>
    <t>000200571975</t>
  </si>
  <si>
    <t>0002461904</t>
  </si>
  <si>
    <t>000200574814</t>
  </si>
  <si>
    <t>22038036</t>
  </si>
  <si>
    <t>553-BK2D116-BAG-00-00-00</t>
  </si>
  <si>
    <t>0002466568</t>
  </si>
  <si>
    <t>BK2D116</t>
  </si>
  <si>
    <t>000200554586</t>
  </si>
  <si>
    <t>0002434009</t>
  </si>
  <si>
    <t>000200574741</t>
  </si>
  <si>
    <t>22034195</t>
  </si>
  <si>
    <t>553-GY6G326-BAG-00-00-00</t>
  </si>
  <si>
    <t>0002466564</t>
  </si>
  <si>
    <t>GY6G326</t>
  </si>
  <si>
    <t>000200573439</t>
  </si>
  <si>
    <t>22031041</t>
  </si>
  <si>
    <t>357U-GY5E455-BAG-00-00-00</t>
  </si>
  <si>
    <t>0002464578</t>
  </si>
  <si>
    <t>GY5E455</t>
  </si>
  <si>
    <t>000200545349</t>
  </si>
  <si>
    <t>22028836</t>
  </si>
  <si>
    <t>4521-BK1066-BAG-00-00-00</t>
  </si>
  <si>
    <t>0002417351</t>
  </si>
  <si>
    <t>000200540765</t>
  </si>
  <si>
    <t>22031214</t>
  </si>
  <si>
    <t>457-GN4072-BAG-00-00-00</t>
  </si>
  <si>
    <t>0002409118</t>
  </si>
  <si>
    <t>457</t>
  </si>
  <si>
    <t>GN4072</t>
  </si>
  <si>
    <t>000200569869</t>
  </si>
  <si>
    <t>299904013</t>
  </si>
  <si>
    <t>357U-7G7A2125</t>
  </si>
  <si>
    <t>0002445084</t>
  </si>
  <si>
    <t>7G7A2125</t>
  </si>
  <si>
    <t>000200572870</t>
  </si>
  <si>
    <t>22020960</t>
  </si>
  <si>
    <t>V3900WX-GY8E431-BAG-00-00-00</t>
  </si>
  <si>
    <t>0002432321</t>
  </si>
  <si>
    <t>GY8E431</t>
  </si>
  <si>
    <t>000200573575</t>
  </si>
  <si>
    <t>22035813</t>
  </si>
  <si>
    <t>DF004AXC-BK8115-BAG-00-00-00</t>
  </si>
  <si>
    <t>1/11:56:43</t>
  </si>
  <si>
    <t>PC7O</t>
  </si>
  <si>
    <t>0002464581</t>
  </si>
  <si>
    <t>DF004AXC</t>
  </si>
  <si>
    <t>BK8115</t>
  </si>
  <si>
    <t>000200537651</t>
  </si>
  <si>
    <t>22038585</t>
  </si>
  <si>
    <t>364-1001-BAG-00-00-00</t>
  </si>
  <si>
    <t>0002402514</t>
  </si>
  <si>
    <t>000200575009</t>
  </si>
  <si>
    <t>22029769</t>
  </si>
  <si>
    <t>855-YW7A041-BAG-00-00-00</t>
  </si>
  <si>
    <t>0002466817</t>
  </si>
  <si>
    <t>855</t>
  </si>
  <si>
    <t>YW7A041</t>
  </si>
  <si>
    <t>000200571833</t>
  </si>
  <si>
    <t>22035496</t>
  </si>
  <si>
    <t>DR48-GY2593-BAG-00-00-00</t>
  </si>
  <si>
    <t>0002461518</t>
  </si>
  <si>
    <t>GY2593</t>
  </si>
  <si>
    <t>000200547584</t>
  </si>
  <si>
    <t>22029685</t>
  </si>
  <si>
    <t>357M-BK1066-BAG-00-00-00</t>
  </si>
  <si>
    <t>0002420730</t>
  </si>
  <si>
    <t>357M</t>
  </si>
  <si>
    <t>000200550287</t>
  </si>
  <si>
    <t>22033643</t>
  </si>
  <si>
    <t>3706-GY8G367-BAG-00-00-00</t>
  </si>
  <si>
    <t>0002258936</t>
  </si>
  <si>
    <t>3706</t>
  </si>
  <si>
    <t>GY8G367</t>
  </si>
  <si>
    <t>000200572989</t>
  </si>
  <si>
    <t>22032487</t>
  </si>
  <si>
    <t>FXC630SK-GY5G042M-BAG-00-00-00</t>
  </si>
  <si>
    <t>0/00:10:47</t>
  </si>
  <si>
    <t>0002463580</t>
  </si>
  <si>
    <t>FXC630SK</t>
  </si>
  <si>
    <t>GY5G042M</t>
  </si>
  <si>
    <t>000200573028</t>
  </si>
  <si>
    <t>0002463574</t>
  </si>
  <si>
    <t>000200573025</t>
  </si>
  <si>
    <t>0002463518</t>
  </si>
  <si>
    <t>000200572956</t>
  </si>
  <si>
    <t>0/00:32:21</t>
  </si>
  <si>
    <t>0002463494</t>
  </si>
  <si>
    <t>000200496046</t>
  </si>
  <si>
    <t>0002335579</t>
  </si>
  <si>
    <t>000200553584</t>
  </si>
  <si>
    <t>0002432013</t>
  </si>
  <si>
    <t>000200574866</t>
  </si>
  <si>
    <t>0002466572</t>
  </si>
  <si>
    <t>000200549070</t>
  </si>
  <si>
    <t>22027892</t>
  </si>
  <si>
    <t>DR48-7001-BAG-00-00-00</t>
  </si>
  <si>
    <t>0002423473</t>
  </si>
  <si>
    <t>000200533483</t>
  </si>
  <si>
    <t>299901392</t>
  </si>
  <si>
    <t>553U-2R4A1010</t>
  </si>
  <si>
    <t>0/01:32:28</t>
  </si>
  <si>
    <t>0002385721</t>
  </si>
  <si>
    <t>2R4A1010</t>
  </si>
  <si>
    <t>000200508789</t>
  </si>
  <si>
    <t>22019769</t>
  </si>
  <si>
    <t>CR7500-BK1041-BAG-00-00-00</t>
  </si>
  <si>
    <t>GEL7O</t>
  </si>
  <si>
    <t>0002350891</t>
  </si>
  <si>
    <t>CR7500</t>
  </si>
  <si>
    <t>BK1041</t>
  </si>
  <si>
    <t>000200554558</t>
  </si>
  <si>
    <t>22025024</t>
  </si>
  <si>
    <t>X4820-YW3D010-BAG-00-00-00</t>
  </si>
  <si>
    <t>0002434072</t>
  </si>
  <si>
    <t>X4820</t>
  </si>
  <si>
    <t>YW3D010</t>
  </si>
  <si>
    <t>000200574889</t>
  </si>
  <si>
    <t>0002466622</t>
  </si>
  <si>
    <t>000200547338</t>
  </si>
  <si>
    <t>22021631</t>
  </si>
  <si>
    <t>420-1001-BAG-00-00-00</t>
  </si>
  <si>
    <t>0002417610</t>
  </si>
  <si>
    <t>000200567208</t>
  </si>
  <si>
    <t>22019477</t>
  </si>
  <si>
    <t>855-1001-BAG-00-00-00</t>
  </si>
  <si>
    <t>0002454755</t>
  </si>
  <si>
    <t>000200561550</t>
  </si>
  <si>
    <t>0002447074</t>
  </si>
  <si>
    <t>000200558756</t>
  </si>
  <si>
    <t>22021743</t>
  </si>
  <si>
    <t>3414R-739-BAG-00-00-00</t>
  </si>
  <si>
    <t>0002442187</t>
  </si>
  <si>
    <t>3414R</t>
  </si>
  <si>
    <t>000200574859</t>
  </si>
  <si>
    <t>0/14:39:22</t>
  </si>
  <si>
    <t>0002466701</t>
  </si>
  <si>
    <t>WSHAEXL11_PC51_008</t>
  </si>
  <si>
    <t>000200560037</t>
  </si>
  <si>
    <t>22022433</t>
  </si>
  <si>
    <t>CM6240-701-BAG-00-00-00</t>
  </si>
  <si>
    <t>0/02:26:12</t>
  </si>
  <si>
    <t>CM6240</t>
  </si>
  <si>
    <t>000200576315</t>
  </si>
  <si>
    <t>299903779</t>
  </si>
  <si>
    <t>945-7T2A3357</t>
  </si>
  <si>
    <t>0/01:56:57</t>
  </si>
  <si>
    <t>7T2A3357</t>
  </si>
  <si>
    <t>000200567470</t>
  </si>
  <si>
    <t>22033621</t>
  </si>
  <si>
    <t>3412R-GY2E372-BAG-00-00-00</t>
  </si>
  <si>
    <t>0/01:51:48</t>
  </si>
  <si>
    <t>GY2E372</t>
  </si>
  <si>
    <t>000200553335</t>
  </si>
  <si>
    <t>22035234</t>
  </si>
  <si>
    <t>CX7240-8T4D044-BAG-00-00-00</t>
  </si>
  <si>
    <t>0/12:25:20</t>
  </si>
  <si>
    <t>8T4D044</t>
  </si>
  <si>
    <t>000200572782</t>
  </si>
  <si>
    <t>22030066</t>
  </si>
  <si>
    <t>CX2244ME-BK1005-BAG-00-00-00</t>
  </si>
  <si>
    <t>0/00:19:30</t>
  </si>
  <si>
    <t>000200558948</t>
  </si>
  <si>
    <t>22040384</t>
  </si>
  <si>
    <t>HRA222F-BL5E120-BAG-00-00-00</t>
  </si>
  <si>
    <t>0/12:59:42</t>
  </si>
  <si>
    <t>GEL2DO</t>
  </si>
  <si>
    <t>HRA222F</t>
  </si>
  <si>
    <t>BL5E120</t>
  </si>
  <si>
    <t>000200560302</t>
  </si>
  <si>
    <t>22028491</t>
  </si>
  <si>
    <t>CX7211-WH9A224-BAG-00-00-00</t>
  </si>
  <si>
    <t>0/03:06:20</t>
  </si>
  <si>
    <t>0002445139</t>
  </si>
  <si>
    <t>CX7211</t>
  </si>
  <si>
    <t>WH9A224</t>
  </si>
  <si>
    <t>000200551345</t>
  </si>
  <si>
    <t>22031380</t>
  </si>
  <si>
    <t>920-WH9C021-BAG-00-00-00</t>
  </si>
  <si>
    <t>0002427626</t>
  </si>
  <si>
    <t>WH9C021</t>
  </si>
  <si>
    <t>000200560184</t>
  </si>
  <si>
    <t>22036166</t>
  </si>
  <si>
    <t>EXL1414-WH9E195-BAG-00-00-00</t>
  </si>
  <si>
    <t>0/06:12:40</t>
  </si>
  <si>
    <t>0002444919</t>
  </si>
  <si>
    <t>WH9E195</t>
  </si>
  <si>
    <t>000200558894</t>
  </si>
  <si>
    <t>22030425</t>
  </si>
  <si>
    <t>HRA222-WH7D349-BAG-00-00-00</t>
  </si>
  <si>
    <t>0002442291</t>
  </si>
  <si>
    <t>WH7D349</t>
  </si>
  <si>
    <t>000200535950</t>
  </si>
  <si>
    <t>22022709</t>
  </si>
  <si>
    <t>CX2244ME-8T9D023-BAG-00-00-00</t>
  </si>
  <si>
    <t>8T9D023</t>
  </si>
  <si>
    <t>000200525340</t>
  </si>
  <si>
    <t>299904225</t>
  </si>
  <si>
    <t>943A-7G7A2842</t>
  </si>
  <si>
    <t>0002380668</t>
  </si>
  <si>
    <t>7G7A2842</t>
  </si>
  <si>
    <t>000200573708</t>
  </si>
  <si>
    <t>000200558287</t>
  </si>
  <si>
    <t>22035018</t>
  </si>
  <si>
    <t>C2950-4T6D005-BAG-00-00-00</t>
  </si>
  <si>
    <t>0002441181</t>
  </si>
  <si>
    <t>4T6D005</t>
  </si>
  <si>
    <t>000200574999</t>
  </si>
  <si>
    <t>0/00:09:45</t>
  </si>
  <si>
    <t>0002466898</t>
  </si>
  <si>
    <t>000200558217</t>
  </si>
  <si>
    <t>22035019</t>
  </si>
  <si>
    <t>C2950-4T6D073-BAG-00-00-00</t>
  </si>
  <si>
    <t>0002441174</t>
  </si>
  <si>
    <t>4T6D073</t>
  </si>
  <si>
    <t>000200559379</t>
  </si>
  <si>
    <t>22038408</t>
  </si>
  <si>
    <t>945-BL3D150-BAG-00-00-00</t>
  </si>
  <si>
    <t>0/01:14:32</t>
  </si>
  <si>
    <t>0002443625</t>
  </si>
  <si>
    <t>BL3D150</t>
  </si>
  <si>
    <t>000200568776</t>
  </si>
  <si>
    <t>22037997</t>
  </si>
  <si>
    <t>505RU-7T8D570-BAG-00-00-00</t>
  </si>
  <si>
    <t>0002448607</t>
  </si>
  <si>
    <t>7T8D570</t>
  </si>
  <si>
    <t>000200562829</t>
  </si>
  <si>
    <t>0002448996</t>
  </si>
  <si>
    <t>000200558288</t>
  </si>
  <si>
    <t>22035357</t>
  </si>
  <si>
    <t>D20001-BK8833-BAG-00-00-00</t>
  </si>
  <si>
    <t>0002441228</t>
  </si>
  <si>
    <t>D20001</t>
  </si>
  <si>
    <t>BK8833</t>
  </si>
  <si>
    <t>000200569602</t>
  </si>
  <si>
    <t>22036218</t>
  </si>
  <si>
    <t>EXL1414T-WH9E175-BAG-00-00-00</t>
  </si>
  <si>
    <t>0002457952</t>
  </si>
  <si>
    <t>WH9E175</t>
  </si>
  <si>
    <t>000200558162</t>
  </si>
  <si>
    <t>22031252</t>
  </si>
  <si>
    <t>505RU-7T8D558-BAG-00-00-00</t>
  </si>
  <si>
    <t>0002440780</t>
  </si>
  <si>
    <t>7T8D558</t>
  </si>
  <si>
    <t>000200550355</t>
  </si>
  <si>
    <t>0/02:10:26</t>
  </si>
  <si>
    <t>0002426025</t>
  </si>
  <si>
    <t>000200551295</t>
  </si>
  <si>
    <t>299902738</t>
  </si>
  <si>
    <t>EXL1414-6G7A2328</t>
  </si>
  <si>
    <t>0002427513</t>
  </si>
  <si>
    <t>6G7A2328</t>
  </si>
  <si>
    <t>000200559009</t>
  </si>
  <si>
    <t>22044789</t>
  </si>
  <si>
    <t>500R-WH9G709-BAG-00-00-00</t>
  </si>
  <si>
    <t>0002442696</t>
  </si>
  <si>
    <t>WH9G709</t>
  </si>
  <si>
    <t>000200549073</t>
  </si>
  <si>
    <t>22029841</t>
  </si>
  <si>
    <t>500R-RD5D188-BAG-00-00-00</t>
  </si>
  <si>
    <t>0002423511</t>
  </si>
  <si>
    <t>RD5D188</t>
  </si>
  <si>
    <t>000200542686</t>
  </si>
  <si>
    <t>22021690</t>
  </si>
  <si>
    <t>500-739-BAG-00-00-00</t>
  </si>
  <si>
    <t>0/00:09:19</t>
  </si>
  <si>
    <t>0002412692</t>
  </si>
  <si>
    <t>500</t>
  </si>
  <si>
    <t>000200553483</t>
  </si>
  <si>
    <t>22036450</t>
  </si>
  <si>
    <t>HRA222F-BK2E067-BAG-00-00-00</t>
  </si>
  <si>
    <t>0/06:29:51</t>
  </si>
  <si>
    <t>GELGDO</t>
  </si>
  <si>
    <t>BK2E067</t>
  </si>
  <si>
    <t>000200566027</t>
  </si>
  <si>
    <t>22038707</t>
  </si>
  <si>
    <t>500-YW5C027-BAG-00-00-00</t>
  </si>
  <si>
    <t>LEXF4O</t>
  </si>
  <si>
    <t>0002453212</t>
  </si>
  <si>
    <t>YW5C027</t>
  </si>
  <si>
    <t>000200556934</t>
  </si>
  <si>
    <t>22032142</t>
  </si>
  <si>
    <t>D20001-BK1A647-BAG-00-00-00</t>
  </si>
  <si>
    <t>0002438652</t>
  </si>
  <si>
    <t>BK1A647</t>
  </si>
  <si>
    <t>000200567179</t>
  </si>
  <si>
    <t>299901369</t>
  </si>
  <si>
    <t>C6600-BL1513</t>
  </si>
  <si>
    <t>0002454798</t>
  </si>
  <si>
    <t>BL1513</t>
  </si>
  <si>
    <t>0/06:32:57</t>
  </si>
  <si>
    <t>000050</t>
  </si>
  <si>
    <t>22036442</t>
  </si>
  <si>
    <t>HRA222-10000-BAG-00-00-00</t>
  </si>
  <si>
    <t>0002459693</t>
  </si>
  <si>
    <t>10000</t>
  </si>
  <si>
    <t>000200566340</t>
  </si>
  <si>
    <t>299904423</t>
  </si>
  <si>
    <t>CM6140-7T7A3687</t>
  </si>
  <si>
    <t>0/00:37:16</t>
  </si>
  <si>
    <t>0002453869</t>
  </si>
  <si>
    <t>7T7A3687</t>
  </si>
  <si>
    <t>000200570964</t>
  </si>
  <si>
    <t>22019785</t>
  </si>
  <si>
    <t>CR8510-NA1000-BAG-00-00-00</t>
  </si>
  <si>
    <t>GEL1O</t>
  </si>
  <si>
    <t>0002457954</t>
  </si>
  <si>
    <t>CR8510</t>
  </si>
  <si>
    <t>NA1000</t>
  </si>
  <si>
    <t>000200567531</t>
  </si>
  <si>
    <t>22044405</t>
  </si>
  <si>
    <t>945-7T8D640-BAG-00-00-00</t>
  </si>
  <si>
    <t>0002455351</t>
  </si>
  <si>
    <t>7T8D640</t>
  </si>
  <si>
    <t>000200567469</t>
  </si>
  <si>
    <t>22034003</t>
  </si>
  <si>
    <t>920-7T3D080-BAG-00-00-00</t>
  </si>
  <si>
    <t>0002455196</t>
  </si>
  <si>
    <t>7T3D080</t>
  </si>
  <si>
    <t>000200567218</t>
  </si>
  <si>
    <t>22034792</t>
  </si>
  <si>
    <t>BPL1000-BK1C340-BAG-00-00-00</t>
  </si>
  <si>
    <t>0/00:55:54</t>
  </si>
  <si>
    <t>LEXFR7O</t>
  </si>
  <si>
    <t>0002454781</t>
  </si>
  <si>
    <t>BPL1000</t>
  </si>
  <si>
    <t>BK1C340</t>
  </si>
  <si>
    <t>000200562713</t>
  </si>
  <si>
    <t>0/18:38:01</t>
  </si>
  <si>
    <t>0002448797</t>
  </si>
  <si>
    <t>000200558303</t>
  </si>
  <si>
    <t>22031614</t>
  </si>
  <si>
    <t>C1200HF-BK3D018-BAG-00-00-00</t>
  </si>
  <si>
    <t>COYGDO</t>
  </si>
  <si>
    <t>0002441229</t>
  </si>
  <si>
    <t>BK3D018</t>
  </si>
  <si>
    <t>000200572757</t>
  </si>
  <si>
    <t>0002462846</t>
  </si>
  <si>
    <t>000200569591</t>
  </si>
  <si>
    <t>22040379</t>
  </si>
  <si>
    <t>HRA222F-7D7D005-BAG-00-00-00</t>
  </si>
  <si>
    <t>0002458068</t>
  </si>
  <si>
    <t>7D7D005</t>
  </si>
  <si>
    <t>000200563882</t>
  </si>
  <si>
    <t>22036438</t>
  </si>
  <si>
    <t>HRA170-BK2G008-BAG-00-00-00</t>
  </si>
  <si>
    <t>0002448846</t>
  </si>
  <si>
    <t>HRA170</t>
  </si>
  <si>
    <t>BK2G008</t>
  </si>
  <si>
    <t>000200571985</t>
  </si>
  <si>
    <t>22034316</t>
  </si>
  <si>
    <t>905-WH9F083-BAG-00-00-00</t>
  </si>
  <si>
    <t>0002461701</t>
  </si>
  <si>
    <t>905</t>
  </si>
  <si>
    <t>WH9F083</t>
  </si>
  <si>
    <t>000200570711</t>
  </si>
  <si>
    <t>22030085</t>
  </si>
  <si>
    <t>CX7240-8T9D310-BAG-00-00-00</t>
  </si>
  <si>
    <t>0002459829</t>
  </si>
  <si>
    <t>8T9D310</t>
  </si>
  <si>
    <t>000200548674</t>
  </si>
  <si>
    <t>22019549</t>
  </si>
  <si>
    <t>940-701-BAG-00-00-00</t>
  </si>
  <si>
    <t>0/12:20:43</t>
  </si>
  <si>
    <t>LEX7O</t>
  </si>
  <si>
    <t>0002422689</t>
  </si>
  <si>
    <t>000200542541</t>
  </si>
  <si>
    <t>22034343</t>
  </si>
  <si>
    <t>920-WH9G206-BAG-00-00-00</t>
  </si>
  <si>
    <t>0002412632</t>
  </si>
  <si>
    <t>WH9G206</t>
  </si>
  <si>
    <t>000200571946</t>
  </si>
  <si>
    <t>22022500</t>
  </si>
  <si>
    <t>CX2244ME-111-BAG-00-00-00</t>
  </si>
  <si>
    <t>0002461801</t>
  </si>
  <si>
    <t>000200570752</t>
  </si>
  <si>
    <t>22031787</t>
  </si>
  <si>
    <t>C6600-71865-BAG-00-00-00</t>
  </si>
  <si>
    <t>0002459751</t>
  </si>
  <si>
    <t>71865</t>
  </si>
  <si>
    <t>000200524286</t>
  </si>
  <si>
    <t>22029849</t>
  </si>
  <si>
    <t>505RU-WH8E372-BAG-00-00-00</t>
  </si>
  <si>
    <t>0002378968</t>
  </si>
  <si>
    <t>WH8E372</t>
  </si>
  <si>
    <t>000200558305</t>
  </si>
  <si>
    <t>22037998</t>
  </si>
  <si>
    <t>505RU-BL2A254-BAG-00-00-00</t>
  </si>
  <si>
    <t>LEXF2DO</t>
  </si>
  <si>
    <t>0002441266</t>
  </si>
  <si>
    <t>BL2A254</t>
  </si>
  <si>
    <t>000200558306</t>
  </si>
  <si>
    <t>22033788</t>
  </si>
  <si>
    <t>505RU-WH9F090-BAG-00-00-00</t>
  </si>
  <si>
    <t>0002441267</t>
  </si>
  <si>
    <t>WH9F090</t>
  </si>
  <si>
    <t>000200572013</t>
  </si>
  <si>
    <t>22035067</t>
  </si>
  <si>
    <t>CM6140-7R3D032-BAG-00-00-00</t>
  </si>
  <si>
    <t>0/03:14:56</t>
  </si>
  <si>
    <t>COYFRGDO</t>
  </si>
  <si>
    <t>0002461948</t>
  </si>
  <si>
    <t>7R3D032</t>
  </si>
  <si>
    <t>000200571723</t>
  </si>
  <si>
    <t>22031753</t>
  </si>
  <si>
    <t>C6200-BK2B004-BAG-00-00-00</t>
  </si>
  <si>
    <t>0/01:17:58</t>
  </si>
  <si>
    <t>0002461324</t>
  </si>
  <si>
    <t>BK2B004</t>
  </si>
  <si>
    <t>000200545418</t>
  </si>
  <si>
    <t>22086929</t>
  </si>
  <si>
    <t>C2950-GY1D193-BAG-00-00-00</t>
  </si>
  <si>
    <t>0002417717</t>
  </si>
  <si>
    <t>GY1D193</t>
  </si>
  <si>
    <t>000200561702</t>
  </si>
  <si>
    <t>22034988</t>
  </si>
  <si>
    <t>C2800-96214-BAG-00-00-00</t>
  </si>
  <si>
    <t>0002447326</t>
  </si>
  <si>
    <t>96214</t>
  </si>
  <si>
    <t>000200572938</t>
  </si>
  <si>
    <t>22037856</t>
  </si>
  <si>
    <t>3412ECR-7P1D008-BAG-00-00-00</t>
  </si>
  <si>
    <t>0002463367</t>
  </si>
  <si>
    <t>7P1D008</t>
  </si>
  <si>
    <t>000200556023</t>
  </si>
  <si>
    <t>22035948</t>
  </si>
  <si>
    <t>EFL36-BK1A603-BAG-00-00-00</t>
  </si>
  <si>
    <t>0002436555</t>
  </si>
  <si>
    <t>EFL36</t>
  </si>
  <si>
    <t>BK1A603</t>
  </si>
  <si>
    <t>000200573684</t>
  </si>
  <si>
    <t>22031701</t>
  </si>
  <si>
    <t>C6600-GY6761-BAG-00-00-00</t>
  </si>
  <si>
    <t>0/03:44:10</t>
  </si>
  <si>
    <t>0002464473</t>
  </si>
  <si>
    <t>GY6761</t>
  </si>
  <si>
    <t>000200573436</t>
  </si>
  <si>
    <t>22034219</t>
  </si>
  <si>
    <t>945-7T2D197-BAG-00-00-00</t>
  </si>
  <si>
    <t>0002464496</t>
  </si>
  <si>
    <t>7T2D197</t>
  </si>
  <si>
    <t>000200576388</t>
  </si>
  <si>
    <t>0002466519</t>
  </si>
  <si>
    <t>000200576526</t>
  </si>
  <si>
    <t>22019816</t>
  </si>
  <si>
    <t>CX7240-BK1D420-BAG-00-00-00</t>
  </si>
  <si>
    <t>0002468491</t>
  </si>
  <si>
    <t>BK1D420</t>
  </si>
  <si>
    <t>000200576557</t>
  </si>
  <si>
    <t>0002468488</t>
  </si>
  <si>
    <t>000200556958</t>
  </si>
  <si>
    <t>22031877</t>
  </si>
  <si>
    <t>DF004-GY2D398-BAG-00-00-00</t>
  </si>
  <si>
    <t>0002438654</t>
  </si>
  <si>
    <t>DF004</t>
  </si>
  <si>
    <t>GY2D398</t>
  </si>
  <si>
    <t>000200573826</t>
  </si>
  <si>
    <t>22032594</t>
  </si>
  <si>
    <t>HRA170-WH4324-BAG-00-00-00</t>
  </si>
  <si>
    <t>0002465079</t>
  </si>
  <si>
    <t>WH4324</t>
  </si>
  <si>
    <t>000200572749</t>
  </si>
  <si>
    <t>0002462801</t>
  </si>
  <si>
    <t>000200570905</t>
  </si>
  <si>
    <t>22028839</t>
  </si>
  <si>
    <t>500R-83224-BAG-00-00-00</t>
  </si>
  <si>
    <t>0002460128</t>
  </si>
  <si>
    <t>83224</t>
  </si>
  <si>
    <t>000200560281</t>
  </si>
  <si>
    <t>22034089</t>
  </si>
  <si>
    <t>500R-60355-BAG-00-00-00</t>
  </si>
  <si>
    <t>0002445332</t>
  </si>
  <si>
    <t>60355</t>
  </si>
  <si>
    <t>0093270841</t>
  </si>
  <si>
    <t>22036440</t>
  </si>
  <si>
    <t>HRA170-GY6E500U-BAG-00-00-00</t>
  </si>
  <si>
    <t>0002409744</t>
  </si>
  <si>
    <t>GY6E500U</t>
  </si>
  <si>
    <t>000200551218</t>
  </si>
  <si>
    <t>299903374</t>
  </si>
  <si>
    <t>EXL1414-9G7A2995</t>
  </si>
  <si>
    <t>0002427490</t>
  </si>
  <si>
    <t>9G7A2995</t>
  </si>
  <si>
    <t>000200567362</t>
  </si>
  <si>
    <t>22032595</t>
  </si>
  <si>
    <t>HRA222-BK1A021-BAG-00-00-00</t>
  </si>
  <si>
    <t>0002454939</t>
  </si>
  <si>
    <t>BK1A021</t>
  </si>
  <si>
    <t>000200573678</t>
  </si>
  <si>
    <t>22031255</t>
  </si>
  <si>
    <t>505RU-YW6E070-BAG-00-00-00</t>
  </si>
  <si>
    <t>0002464884</t>
  </si>
  <si>
    <t>YW6E070</t>
  </si>
  <si>
    <t>22017535</t>
  </si>
  <si>
    <t>123R-701-BAG-00-00-00</t>
  </si>
  <si>
    <t>0002434726</t>
  </si>
  <si>
    <t>000200560551</t>
  </si>
  <si>
    <t>0002445729</t>
  </si>
  <si>
    <t>000200570787</t>
  </si>
  <si>
    <t>22031791</t>
  </si>
  <si>
    <t>C6600-7M3D029-BAG-00-00-00</t>
  </si>
  <si>
    <t>0002459687</t>
  </si>
  <si>
    <t>7M3D029</t>
  </si>
  <si>
    <t>000200570773</t>
  </si>
  <si>
    <t>22038955</t>
  </si>
  <si>
    <t>C6600-GY5A405-BAG-00-00-00</t>
  </si>
  <si>
    <t>0002459683</t>
  </si>
  <si>
    <t>GY5A405</t>
  </si>
  <si>
    <t>000200541914</t>
  </si>
  <si>
    <t>0002411390</t>
  </si>
  <si>
    <t>000200517901</t>
  </si>
  <si>
    <t>0002369011</t>
  </si>
  <si>
    <t>000200537987</t>
  </si>
  <si>
    <t>0002404276</t>
  </si>
  <si>
    <t>000200572729</t>
  </si>
  <si>
    <t>22023993</t>
  </si>
  <si>
    <t>LF1520A-BK1005-BAG-00-00-00</t>
  </si>
  <si>
    <t>0002462790</t>
  </si>
  <si>
    <t>LF1520A</t>
  </si>
  <si>
    <t>000200568560</t>
  </si>
  <si>
    <t>0002456827</t>
  </si>
  <si>
    <t>000200561041</t>
  </si>
  <si>
    <t>0002446593</t>
  </si>
  <si>
    <t>000200548614</t>
  </si>
  <si>
    <t>0002422438</t>
  </si>
  <si>
    <t>000200568557</t>
  </si>
  <si>
    <t>0002453611</t>
  </si>
  <si>
    <t>000200570784</t>
  </si>
  <si>
    <t>22022553</t>
  </si>
  <si>
    <t>C6600-7M7D027-BAG-00-00-00</t>
  </si>
  <si>
    <t>COYFRGLO</t>
  </si>
  <si>
    <t>0002459672</t>
  </si>
  <si>
    <t>7M7D027</t>
  </si>
  <si>
    <t>000200542879</t>
  </si>
  <si>
    <t>0002413305</t>
  </si>
  <si>
    <t>000200562298</t>
  </si>
  <si>
    <t>0002448358</t>
  </si>
  <si>
    <t>WSHAEXL21_PC51_008</t>
  </si>
  <si>
    <t>1/02:21:24</t>
  </si>
  <si>
    <t>0002421122</t>
  </si>
  <si>
    <t>000200567209</t>
  </si>
  <si>
    <t>000040</t>
  </si>
  <si>
    <t>000200576475</t>
  </si>
  <si>
    <t>22019323</t>
  </si>
  <si>
    <t>357-1001-BAG-00-00-00</t>
  </si>
  <si>
    <t>VAL1O</t>
  </si>
  <si>
    <t>22017581</t>
  </si>
  <si>
    <t>357-BK1066-BAG-00-00-00</t>
  </si>
  <si>
    <t>1/01:50:23</t>
  </si>
  <si>
    <t>VAL7O</t>
  </si>
  <si>
    <t>0002453258</t>
  </si>
  <si>
    <t>000200569548</t>
  </si>
  <si>
    <t>22033924</t>
  </si>
  <si>
    <t>357-GY8D697-BAG-00-00-00</t>
  </si>
  <si>
    <t>0002454797</t>
  </si>
  <si>
    <t>GY8D697</t>
  </si>
  <si>
    <t>000200569706</t>
  </si>
  <si>
    <t>0/12:55:12</t>
  </si>
  <si>
    <t>0002458131</t>
  </si>
  <si>
    <t>22021432</t>
  </si>
  <si>
    <t>1731-BK1066-BAG-00-00-00</t>
  </si>
  <si>
    <t>XEN7O</t>
  </si>
  <si>
    <t>0002463526</t>
  </si>
  <si>
    <t>1731</t>
  </si>
  <si>
    <t>000200566129</t>
  </si>
  <si>
    <t>22039132</t>
  </si>
  <si>
    <t>940A-110-BAG-00-00-00</t>
  </si>
  <si>
    <t>0/06:27:36</t>
  </si>
  <si>
    <t>0002453346</t>
  </si>
  <si>
    <t>110</t>
  </si>
  <si>
    <t>000200428510</t>
  </si>
  <si>
    <t>0002213347</t>
  </si>
  <si>
    <t>0098128775</t>
  </si>
  <si>
    <t>1/02:05:53</t>
  </si>
  <si>
    <t>000200573845</t>
  </si>
  <si>
    <t>22017531</t>
  </si>
  <si>
    <t>121R-112-BAG-00-00-00</t>
  </si>
  <si>
    <t>0/19:46:03</t>
  </si>
  <si>
    <t>0002464904</t>
  </si>
  <si>
    <t>112</t>
  </si>
  <si>
    <t>0097350978</t>
  </si>
  <si>
    <t>WSHAEXL22_PC51_008</t>
  </si>
  <si>
    <t>22031084</t>
  </si>
  <si>
    <t>241S-WH9G203-BAG-00-00-00</t>
  </si>
  <si>
    <t>241S</t>
  </si>
  <si>
    <t>WH9G203</t>
  </si>
  <si>
    <t>22019425</t>
  </si>
  <si>
    <t>5220U-YW6A028-BAG-00-00-00</t>
  </si>
  <si>
    <t>1/02:24:24</t>
  </si>
  <si>
    <t>XEN4O</t>
  </si>
  <si>
    <t>5220U</t>
  </si>
  <si>
    <t>YW6A028</t>
  </si>
  <si>
    <t>000200498161</t>
  </si>
  <si>
    <t>22030691</t>
  </si>
  <si>
    <t>1105-78211-BAG-00-00-00</t>
  </si>
  <si>
    <t>0/13:02:16</t>
  </si>
  <si>
    <t>0002339317</t>
  </si>
  <si>
    <t>1105</t>
  </si>
  <si>
    <t>78211</t>
  </si>
  <si>
    <t>22021633</t>
  </si>
  <si>
    <t>420-BK1066-BAG-00-00-00</t>
  </si>
  <si>
    <t>VALF7O</t>
  </si>
  <si>
    <t>000200502179</t>
  </si>
  <si>
    <t>22021921</t>
  </si>
  <si>
    <t>508-BK1066-BAG-00-00-00</t>
  </si>
  <si>
    <t>0002344058</t>
  </si>
  <si>
    <t>508</t>
  </si>
  <si>
    <t>000200552711</t>
  </si>
  <si>
    <t>22089617</t>
  </si>
  <si>
    <t>CY8630-701-BAG-00-00-00</t>
  </si>
  <si>
    <t>1/02:04:32</t>
  </si>
  <si>
    <t>0002430358</t>
  </si>
  <si>
    <t>CY8630</t>
  </si>
  <si>
    <t>000200576513</t>
  </si>
  <si>
    <t>22030748</t>
  </si>
  <si>
    <t>141R-GY6A427-BAG-00-00-00</t>
  </si>
  <si>
    <t>GY6A427</t>
  </si>
  <si>
    <t>0094717410</t>
  </si>
  <si>
    <t>000200539771</t>
  </si>
  <si>
    <t>22086028</t>
  </si>
  <si>
    <t>XTWM206-WH6G187-BAG-00-00-00</t>
  </si>
  <si>
    <t>0002406061</t>
  </si>
  <si>
    <t>WH6G187</t>
  </si>
  <si>
    <t>000200567431</t>
  </si>
  <si>
    <t>0/06:31:08</t>
  </si>
  <si>
    <t>0002455242</t>
  </si>
  <si>
    <t>000200569614</t>
  </si>
  <si>
    <t>22017603</t>
  </si>
  <si>
    <t>5220U-1001-BAG-00-00-00</t>
  </si>
  <si>
    <t>0002458061</t>
  </si>
  <si>
    <t>000200553354</t>
  </si>
  <si>
    <t>0002431743</t>
  </si>
  <si>
    <t>000200533558</t>
  </si>
  <si>
    <t>22032603</t>
  </si>
  <si>
    <t>HRA222F-GY8E417-BAG-00-00-00</t>
  </si>
  <si>
    <t>0002396458</t>
  </si>
  <si>
    <t>GY8E417</t>
  </si>
  <si>
    <t>000200561481</t>
  </si>
  <si>
    <t>22017180</t>
  </si>
  <si>
    <t>DR51-1001-BAG-00-00-00</t>
  </si>
  <si>
    <t>0/19:33:24</t>
  </si>
  <si>
    <t>VALF1O</t>
  </si>
  <si>
    <t>0002447137</t>
  </si>
  <si>
    <t>DR51</t>
  </si>
  <si>
    <t>000200494185</t>
  </si>
  <si>
    <t>0002334035</t>
  </si>
  <si>
    <t>0094717412</t>
  </si>
  <si>
    <t>0002424170</t>
  </si>
  <si>
    <t>0094717411</t>
  </si>
  <si>
    <t>000200537161</t>
  </si>
  <si>
    <t>0002402886</t>
  </si>
  <si>
    <t>0097375655</t>
  </si>
  <si>
    <t>000200559120</t>
  </si>
  <si>
    <t>0002442940</t>
  </si>
  <si>
    <t>000200529133</t>
  </si>
  <si>
    <t>0/03:54:41</t>
  </si>
  <si>
    <t>0002386416</t>
  </si>
  <si>
    <t>000200574857</t>
  </si>
  <si>
    <t>0/07:49:22</t>
  </si>
  <si>
    <t>0002466550</t>
  </si>
  <si>
    <t>000200562804</t>
  </si>
  <si>
    <t>0002448988</t>
  </si>
  <si>
    <t>000200495978</t>
  </si>
  <si>
    <t>0002335572</t>
  </si>
  <si>
    <t>0094717413</t>
  </si>
  <si>
    <t>000200534990</t>
  </si>
  <si>
    <t>22038486</t>
  </si>
  <si>
    <t>243R-WH4B198-BAG-00-00-00</t>
  </si>
  <si>
    <t>LEXFR8O</t>
  </si>
  <si>
    <t>0002398807</t>
  </si>
  <si>
    <t>WH4B198</t>
  </si>
  <si>
    <t>000200553374</t>
  </si>
  <si>
    <t>0002431744</t>
  </si>
  <si>
    <t>0097376577</t>
  </si>
  <si>
    <t>0002448803</t>
  </si>
  <si>
    <t>000200547777</t>
  </si>
  <si>
    <t>22028666</t>
  </si>
  <si>
    <t>141R-GY5G126-BAG-00-00-00</t>
  </si>
  <si>
    <t>0002414488</t>
  </si>
  <si>
    <t>GY5G126</t>
  </si>
  <si>
    <t>000200568789</t>
  </si>
  <si>
    <t>0002456719</t>
  </si>
  <si>
    <t>0097351049</t>
  </si>
  <si>
    <t>22029056</t>
  </si>
  <si>
    <t>C1200HF-RD3G073-BAG-00-00-00</t>
  </si>
  <si>
    <t>COY6DO</t>
  </si>
  <si>
    <t>0002424259</t>
  </si>
  <si>
    <t>RD3G073</t>
  </si>
  <si>
    <t>000200551388</t>
  </si>
  <si>
    <t>0002427803</t>
  </si>
  <si>
    <t>000200495921</t>
  </si>
  <si>
    <t>0002335568</t>
  </si>
  <si>
    <t>000200553321</t>
  </si>
  <si>
    <t>0002431745</t>
  </si>
  <si>
    <t>000200498223</t>
  </si>
  <si>
    <t>0002339319</t>
  </si>
  <si>
    <t>000200554585</t>
  </si>
  <si>
    <t>22022244</t>
  </si>
  <si>
    <t>C1200HF-WH8334-BAG-00-00-00</t>
  </si>
  <si>
    <t>0002434004</t>
  </si>
  <si>
    <t>WH8334</t>
  </si>
  <si>
    <t>000200496030</t>
  </si>
  <si>
    <t>0002335574</t>
  </si>
  <si>
    <t>000200549469</t>
  </si>
  <si>
    <t>22034465</t>
  </si>
  <si>
    <t>C1200HF-GY6G152-BAG-00-00-00</t>
  </si>
  <si>
    <t>0002424251</t>
  </si>
  <si>
    <t>GY6G152</t>
  </si>
  <si>
    <t>000200572843</t>
  </si>
  <si>
    <t>0/15:48:07</t>
  </si>
  <si>
    <t>0002462889</t>
  </si>
  <si>
    <t>000200553402</t>
  </si>
  <si>
    <t>0002431746</t>
  </si>
  <si>
    <t>000200534991</t>
  </si>
  <si>
    <t>000200494168</t>
  </si>
  <si>
    <t>0002334038</t>
  </si>
  <si>
    <t>000200563947</t>
  </si>
  <si>
    <t>0002450586</t>
  </si>
  <si>
    <t>000200542038</t>
  </si>
  <si>
    <t>0002411682</t>
  </si>
  <si>
    <t>000200553403</t>
  </si>
  <si>
    <t>0002431747</t>
  </si>
  <si>
    <t>000200496009</t>
  </si>
  <si>
    <t>0002335575</t>
  </si>
  <si>
    <t>000200496006</t>
  </si>
  <si>
    <t>0002335569</t>
  </si>
  <si>
    <t>000200496045</t>
  </si>
  <si>
    <t>0002335576</t>
  </si>
  <si>
    <t>000200544218</t>
  </si>
  <si>
    <t>0002414746</t>
  </si>
  <si>
    <t>000200553404</t>
  </si>
  <si>
    <t>0002431748</t>
  </si>
  <si>
    <t>000200496028</t>
  </si>
  <si>
    <t>22029050</t>
  </si>
  <si>
    <t>C1200HF-GY1D457U-BAG-00-00-00</t>
  </si>
  <si>
    <t>0002335537</t>
  </si>
  <si>
    <t>GY1D457U</t>
  </si>
  <si>
    <t>000200542108</t>
  </si>
  <si>
    <t>0002411697</t>
  </si>
  <si>
    <t>WSHAEXL23_PC51_008</t>
  </si>
  <si>
    <t>VAL8O</t>
  </si>
  <si>
    <t>000200562756</t>
  </si>
  <si>
    <t>22021779</t>
  </si>
  <si>
    <t>357U-BK1066-BAG-00-00-00</t>
  </si>
  <si>
    <t>0002400345</t>
  </si>
  <si>
    <t>000200576438</t>
  </si>
  <si>
    <t>22017721</t>
  </si>
  <si>
    <t>DR48-BK1066-BAG-00-00-00</t>
  </si>
  <si>
    <t>000200457955</t>
  </si>
  <si>
    <t>0002266167</t>
  </si>
  <si>
    <t>000200554826</t>
  </si>
  <si>
    <t>0002434693</t>
  </si>
  <si>
    <t>000200576511</t>
  </si>
  <si>
    <t>22017144</t>
  </si>
  <si>
    <t>3412ECR-739-BAG-00-00-00</t>
  </si>
  <si>
    <t>0/13:10:05</t>
  </si>
  <si>
    <t>0002455171</t>
  </si>
  <si>
    <t>000200552251</t>
  </si>
  <si>
    <t>22084468</t>
  </si>
  <si>
    <t>C6600-2T6D065-BAG-00-00-00</t>
  </si>
  <si>
    <t>0002429461</t>
  </si>
  <si>
    <t>2T6D065</t>
  </si>
  <si>
    <t>000200568284</t>
  </si>
  <si>
    <t>22028454</t>
  </si>
  <si>
    <t>943A-GY3D549-BAG-00-00-00</t>
  </si>
  <si>
    <t>0002455517</t>
  </si>
  <si>
    <t>GY3D549</t>
  </si>
  <si>
    <t>000200566163</t>
  </si>
  <si>
    <t>22032078</t>
  </si>
  <si>
    <t>CX7240-BK1D797-BAG-00-00-00</t>
  </si>
  <si>
    <t>0002453334</t>
  </si>
  <si>
    <t>BK1D797</t>
  </si>
  <si>
    <t>000200535905</t>
  </si>
  <si>
    <t>0/05:12:54</t>
  </si>
  <si>
    <t>0002398615</t>
  </si>
  <si>
    <t>000200547782</t>
  </si>
  <si>
    <t>22030099</t>
  </si>
  <si>
    <t>C6200-GY2E474-BAG-00-00-00</t>
  </si>
  <si>
    <t>0002420735</t>
  </si>
  <si>
    <t>GY2E474</t>
  </si>
  <si>
    <t>0097082342</t>
  </si>
  <si>
    <t>000200550024</t>
  </si>
  <si>
    <t>22039488</t>
  </si>
  <si>
    <t>C2950-7T1D300-BAG-00-00-00</t>
  </si>
  <si>
    <t>0002425439</t>
  </si>
  <si>
    <t>7T1D300</t>
  </si>
  <si>
    <t>000200551527</t>
  </si>
  <si>
    <t>22034256</t>
  </si>
  <si>
    <t>945-GY2E572-BAG-00-00-00</t>
  </si>
  <si>
    <t>0002427937</t>
  </si>
  <si>
    <t>GY2E572</t>
  </si>
  <si>
    <t>000200558238</t>
  </si>
  <si>
    <t>22031289</t>
  </si>
  <si>
    <t>925-7T2D216-BAG-00-00-00</t>
  </si>
  <si>
    <t>0002441271</t>
  </si>
  <si>
    <t>7T2D216</t>
  </si>
  <si>
    <t>000200498204</t>
  </si>
  <si>
    <t>0002339313</t>
  </si>
  <si>
    <t>000200554909</t>
  </si>
  <si>
    <t>22029773</t>
  </si>
  <si>
    <t>905-BK1G030-BAG-00-00-00</t>
  </si>
  <si>
    <t>0002434967</t>
  </si>
  <si>
    <t>BK1G030</t>
  </si>
  <si>
    <t>000200551452</t>
  </si>
  <si>
    <t>0002427943</t>
  </si>
  <si>
    <t>WSHAEXL24_PC51_008</t>
  </si>
  <si>
    <t>000200576476</t>
  </si>
  <si>
    <t>22019581</t>
  </si>
  <si>
    <t>945-701-BAG-00-00-00</t>
  </si>
  <si>
    <t>0/12:21:39</t>
  </si>
  <si>
    <t>000200551494</t>
  </si>
  <si>
    <t>22106119</t>
  </si>
  <si>
    <t>EF004XXP-7A2A3913-BAG-00-00-00</t>
  </si>
  <si>
    <t>0/14:49:59</t>
  </si>
  <si>
    <t>0002420903</t>
  </si>
  <si>
    <t>EF004XXP</t>
  </si>
  <si>
    <t>7A2A3913</t>
  </si>
  <si>
    <t>000200558023</t>
  </si>
  <si>
    <t>0002440637</t>
  </si>
  <si>
    <t>000200561311</t>
  </si>
  <si>
    <t>22022719</t>
  </si>
  <si>
    <t>CX7211-BK1005-BAG-00-00-00</t>
  </si>
  <si>
    <t>1/00:43:19</t>
  </si>
  <si>
    <t>0002442716</t>
  </si>
  <si>
    <t>000200576439</t>
  </si>
  <si>
    <t>22022271</t>
  </si>
  <si>
    <t>C2950-701-BAG-00-00-00</t>
  </si>
  <si>
    <t>0002398103</t>
  </si>
  <si>
    <t>0097756321</t>
  </si>
  <si>
    <t>0002425903</t>
  </si>
  <si>
    <t>22037995</t>
  </si>
  <si>
    <t>505RU-739-BAG-00-00-00</t>
  </si>
  <si>
    <t>000200575043</t>
  </si>
  <si>
    <t>22019082</t>
  </si>
  <si>
    <t>1010-7A1D128-BAG-00-00-00</t>
  </si>
  <si>
    <t>0002466788</t>
  </si>
  <si>
    <t>7A1D128</t>
  </si>
  <si>
    <t>000200574754</t>
  </si>
  <si>
    <t>0/11:16:54</t>
  </si>
  <si>
    <t>0002466463</t>
  </si>
  <si>
    <t>000200568658</t>
  </si>
  <si>
    <t>0002456840</t>
  </si>
  <si>
    <t>0094510312</t>
  </si>
  <si>
    <t>000200576397</t>
  </si>
  <si>
    <t>22039729</t>
  </si>
  <si>
    <t>EXL1414T-7A1D040-BAG-00-00-00</t>
  </si>
  <si>
    <t>0/04:59:38</t>
  </si>
  <si>
    <t>LEXX7O</t>
  </si>
  <si>
    <t>0002468428</t>
  </si>
  <si>
    <t>7A1D040</t>
  </si>
  <si>
    <t>0097351796</t>
  </si>
  <si>
    <t>000200561039</t>
  </si>
  <si>
    <t>0002442715</t>
  </si>
  <si>
    <t>0094510313</t>
  </si>
  <si>
    <t>0002407914</t>
  </si>
  <si>
    <t>0097351799</t>
  </si>
  <si>
    <t>0097368151</t>
  </si>
  <si>
    <t>1/06:54:08</t>
  </si>
  <si>
    <t>0097351798</t>
  </si>
  <si>
    <t>0097368150</t>
  </si>
  <si>
    <t>000200576604</t>
  </si>
  <si>
    <t>0/06:17:08</t>
  </si>
  <si>
    <t>0002468500</t>
  </si>
  <si>
    <t>WSHAEXL31_PC51_008</t>
  </si>
  <si>
    <t>22019254</t>
  </si>
  <si>
    <t>221R-701-BAG-00-00-00</t>
  </si>
  <si>
    <t>221R</t>
  </si>
  <si>
    <t>0/11:50:26</t>
  </si>
  <si>
    <t>000200567226</t>
  </si>
  <si>
    <t>22032291</t>
  </si>
  <si>
    <t>FXD171R-WH6E057X-BAG-00-00-00</t>
  </si>
  <si>
    <t>0/05:58:44</t>
  </si>
  <si>
    <t>WH6E057X</t>
  </si>
  <si>
    <t>000200551657</t>
  </si>
  <si>
    <t>0/23:26:48</t>
  </si>
  <si>
    <t>0002423916</t>
  </si>
  <si>
    <t>000200541727</t>
  </si>
  <si>
    <t>22023563</t>
  </si>
  <si>
    <t>HF1130-111-BAG-00-00-00</t>
  </si>
  <si>
    <t>0/11:43:24</t>
  </si>
  <si>
    <t>0002409399</t>
  </si>
  <si>
    <t>HF1130</t>
  </si>
  <si>
    <t>000200494321</t>
  </si>
  <si>
    <t>0002334289</t>
  </si>
  <si>
    <t>000200428401</t>
  </si>
  <si>
    <t>0002213339</t>
  </si>
  <si>
    <t>000200494106</t>
  </si>
  <si>
    <t>22021418</t>
  </si>
  <si>
    <t>144R-111FC-BAG-00-00-00</t>
  </si>
  <si>
    <t>0002333907</t>
  </si>
  <si>
    <t>144R</t>
  </si>
  <si>
    <t>000200494124</t>
  </si>
  <si>
    <t>0002333898</t>
  </si>
  <si>
    <t>000200538642</t>
  </si>
  <si>
    <t>0002405425</t>
  </si>
  <si>
    <t>000200494095</t>
  </si>
  <si>
    <t>0002333912</t>
  </si>
  <si>
    <t>000200526414</t>
  </si>
  <si>
    <t>22019125</t>
  </si>
  <si>
    <t>121R-111-BAG-00-00-00</t>
  </si>
  <si>
    <t>0002382390</t>
  </si>
  <si>
    <t>000200570791</t>
  </si>
  <si>
    <t>0002438940</t>
  </si>
  <si>
    <t>000200529130</t>
  </si>
  <si>
    <t>0/05:51:42</t>
  </si>
  <si>
    <t>0002386408</t>
  </si>
  <si>
    <t>0097375705</t>
  </si>
  <si>
    <t>0002430112</t>
  </si>
  <si>
    <t>000200560458</t>
  </si>
  <si>
    <t>000200551387</t>
  </si>
  <si>
    <t>0002427790</t>
  </si>
  <si>
    <t>000200533479</t>
  </si>
  <si>
    <t>22043850</t>
  </si>
  <si>
    <t>143R-GY8G467X-BAG-00-00-00</t>
  </si>
  <si>
    <t>0002394594</t>
  </si>
  <si>
    <t>GY8G467X</t>
  </si>
  <si>
    <t>000200563792</t>
  </si>
  <si>
    <t>22021280</t>
  </si>
  <si>
    <t>123R-111-BAG-00-00-00</t>
  </si>
  <si>
    <t>0002450296</t>
  </si>
  <si>
    <t>000200494074</t>
  </si>
  <si>
    <t>0002333884</t>
  </si>
  <si>
    <t>000200562639</t>
  </si>
  <si>
    <t>0002448743</t>
  </si>
  <si>
    <t>000200499057</t>
  </si>
  <si>
    <t>0002340724</t>
  </si>
  <si>
    <t>000200559316</t>
  </si>
  <si>
    <t>0002443315</t>
  </si>
  <si>
    <t>000200494073</t>
  </si>
  <si>
    <t>0002333879</t>
  </si>
  <si>
    <t>000200494107</t>
  </si>
  <si>
    <t>000200494125</t>
  </si>
  <si>
    <t>0097375707</t>
  </si>
  <si>
    <t>000200529033</t>
  </si>
  <si>
    <t>0002386363</t>
  </si>
  <si>
    <t>0097375708</t>
  </si>
  <si>
    <t>0002445712</t>
  </si>
  <si>
    <t>000200570777</t>
  </si>
  <si>
    <t>0002438945</t>
  </si>
  <si>
    <t>000200574655</t>
  </si>
  <si>
    <t>0/23:40:52</t>
  </si>
  <si>
    <t>0002460167</t>
  </si>
  <si>
    <t>000200570972</t>
  </si>
  <si>
    <t>0/11:57:28</t>
  </si>
  <si>
    <t>0002459981</t>
  </si>
  <si>
    <t>000200570665</t>
  </si>
  <si>
    <t>22029559</t>
  </si>
  <si>
    <t>123R-WH5E042X-BAG-00-00-00</t>
  </si>
  <si>
    <t>0/05:58:40</t>
  </si>
  <si>
    <t>0002459620</t>
  </si>
  <si>
    <t>WH5E042X</t>
  </si>
  <si>
    <t>0097375710</t>
  </si>
  <si>
    <t>0002430119</t>
  </si>
  <si>
    <t>0097375709</t>
  </si>
  <si>
    <t>0002424235</t>
  </si>
  <si>
    <t>000200573773</t>
  </si>
  <si>
    <t>22021351</t>
  </si>
  <si>
    <t>141R-112-BAG-00-00-00</t>
  </si>
  <si>
    <t>0/17:35:06</t>
  </si>
  <si>
    <t>0002464891</t>
  </si>
  <si>
    <t>000200531849</t>
  </si>
  <si>
    <t>22088923</t>
  </si>
  <si>
    <t>143R-WH8G674-BAG-00-00-00</t>
  </si>
  <si>
    <t>0002392285</t>
  </si>
  <si>
    <t>WH8G674</t>
  </si>
  <si>
    <t>000200574998</t>
  </si>
  <si>
    <t>0002466807</t>
  </si>
  <si>
    <t>000200570810</t>
  </si>
  <si>
    <t>0002438948</t>
  </si>
  <si>
    <t>0097375704</t>
  </si>
  <si>
    <t>000200560212</t>
  </si>
  <si>
    <t>0002445092</t>
  </si>
  <si>
    <t>000200494075</t>
  </si>
  <si>
    <t>000200560234</t>
  </si>
  <si>
    <t>0002445085</t>
  </si>
  <si>
    <t>000200567421</t>
  </si>
  <si>
    <t>0002454699</t>
  </si>
  <si>
    <t>0097375702</t>
  </si>
  <si>
    <t>0097375703</t>
  </si>
  <si>
    <t>000200498073</t>
  </si>
  <si>
    <t>22020459</t>
  </si>
  <si>
    <t>LS2-4158-BAG-00-00-00</t>
  </si>
  <si>
    <t>LEX4T</t>
  </si>
  <si>
    <t>0002335638</t>
  </si>
  <si>
    <t>4158</t>
  </si>
  <si>
    <t>000200498097</t>
  </si>
  <si>
    <t>000200494021</t>
  </si>
  <si>
    <t>0002333891</t>
  </si>
  <si>
    <t>000200507105</t>
  </si>
  <si>
    <t>0002351017</t>
  </si>
  <si>
    <t>000200531850</t>
  </si>
  <si>
    <t>000200506650</t>
  </si>
  <si>
    <t>0002350436</t>
  </si>
  <si>
    <t>000200498096</t>
  </si>
  <si>
    <t>0002335639</t>
  </si>
  <si>
    <t>0094604318</t>
  </si>
  <si>
    <t>22031083</t>
  </si>
  <si>
    <t>241S-WH4113-BAG-00-00-00</t>
  </si>
  <si>
    <t>WH4113</t>
  </si>
  <si>
    <t>0094604319</t>
  </si>
  <si>
    <t>0094604320</t>
  </si>
  <si>
    <t>000200494122</t>
  </si>
  <si>
    <t>000200507106</t>
  </si>
  <si>
    <t>000200498098</t>
  </si>
  <si>
    <t>0002335773</t>
  </si>
  <si>
    <t>WSHAEXL32_PC51_008</t>
  </si>
  <si>
    <t>000200568263</t>
  </si>
  <si>
    <t>22033779</t>
  </si>
  <si>
    <t>505RU-4R5D026-BAG-00-00-00</t>
  </si>
  <si>
    <t>0/03:38:59</t>
  </si>
  <si>
    <t>0002455077</t>
  </si>
  <si>
    <t>4R5D026</t>
  </si>
  <si>
    <t>000200576474</t>
  </si>
  <si>
    <t>22017351</t>
  </si>
  <si>
    <t>CX7240-701-BAG-00-00-00</t>
  </si>
  <si>
    <t>1/00:19:51</t>
  </si>
  <si>
    <t>000200572924</t>
  </si>
  <si>
    <t>22030161</t>
  </si>
  <si>
    <t>C6600-GY9D094-BAG-00-00-00</t>
  </si>
  <si>
    <t>1/00:34:27</t>
  </si>
  <si>
    <t>0002463182</t>
  </si>
  <si>
    <t>GY9D094</t>
  </si>
  <si>
    <t>0/12:17:14</t>
  </si>
  <si>
    <t>0002420502</t>
  </si>
  <si>
    <t>000200516891</t>
  </si>
  <si>
    <t>22031251</t>
  </si>
  <si>
    <t>505RU-7T1D073-BAG-00-00-00</t>
  </si>
  <si>
    <t>0/06:04:58</t>
  </si>
  <si>
    <t>0002367682</t>
  </si>
  <si>
    <t>7T1D073</t>
  </si>
  <si>
    <t>000200553731</t>
  </si>
  <si>
    <t>22038722</t>
  </si>
  <si>
    <t>500R-73234-BAG-00-00-00</t>
  </si>
  <si>
    <t>0/12:09:56</t>
  </si>
  <si>
    <t>0002432375</t>
  </si>
  <si>
    <t>73234</t>
  </si>
  <si>
    <t>22022574</t>
  </si>
  <si>
    <t>C6600-8M9D029-BAG-00-00-00</t>
  </si>
  <si>
    <t>0/03:41:10</t>
  </si>
  <si>
    <t>0002442708</t>
  </si>
  <si>
    <t>8M9D029</t>
  </si>
  <si>
    <t>0095996169</t>
  </si>
  <si>
    <t>0002420504</t>
  </si>
  <si>
    <t>000200558308</t>
  </si>
  <si>
    <t>22031253</t>
  </si>
  <si>
    <t>505RU-GY2E539-BAG-00-00-00</t>
  </si>
  <si>
    <t>GY2E539</t>
  </si>
  <si>
    <t>000200554677</t>
  </si>
  <si>
    <t>22033751</t>
  </si>
  <si>
    <t>500R-GY6E402-BAG-00-00-00</t>
  </si>
  <si>
    <t>0002434302</t>
  </si>
  <si>
    <t>GY6E402</t>
  </si>
  <si>
    <t>000200570613</t>
  </si>
  <si>
    <t>22031671</t>
  </si>
  <si>
    <t>C6600-BK1B128-BAG-00-00-00</t>
  </si>
  <si>
    <t>0002459666</t>
  </si>
  <si>
    <t>BK1B128</t>
  </si>
  <si>
    <t>000200535104</t>
  </si>
  <si>
    <t>22038741</t>
  </si>
  <si>
    <t>500R-RD4A056-BAG-00-00-00</t>
  </si>
  <si>
    <t>LEXF6DO</t>
  </si>
  <si>
    <t>0002398911</t>
  </si>
  <si>
    <t>RD4A056</t>
  </si>
  <si>
    <t>000200559360</t>
  </si>
  <si>
    <t>22029835</t>
  </si>
  <si>
    <t>500R-73215-BAG-00-00-00</t>
  </si>
  <si>
    <t>0002443616</t>
  </si>
  <si>
    <t>73215</t>
  </si>
  <si>
    <t>000200567528</t>
  </si>
  <si>
    <t>0002455331</t>
  </si>
  <si>
    <t>000200576539</t>
  </si>
  <si>
    <t>0/03:42:21</t>
  </si>
  <si>
    <t>0002468669</t>
  </si>
  <si>
    <t>000200562457</t>
  </si>
  <si>
    <t>0002448503</t>
  </si>
  <si>
    <t>000200547486</t>
  </si>
  <si>
    <t>22022286</t>
  </si>
  <si>
    <t>C2950-YW8295S-BAG-00-00-00</t>
  </si>
  <si>
    <t>0/06:08:37</t>
  </si>
  <si>
    <t>COYFR4O</t>
  </si>
  <si>
    <t>0002420585</t>
  </si>
  <si>
    <t>YW8295S</t>
  </si>
  <si>
    <t>0097368147</t>
  </si>
  <si>
    <t>000200558309</t>
  </si>
  <si>
    <t>0002441297</t>
  </si>
  <si>
    <t>000200566403</t>
  </si>
  <si>
    <t>0002453727</t>
  </si>
  <si>
    <t>000200559562</t>
  </si>
  <si>
    <t>0002443871</t>
  </si>
  <si>
    <t>22021700</t>
  </si>
  <si>
    <t>500R-739-BAG-00-00-00</t>
  </si>
  <si>
    <t>000200554724</t>
  </si>
  <si>
    <t>0002434309</t>
  </si>
  <si>
    <t>000200573713</t>
  </si>
  <si>
    <t>0/06:10:35</t>
  </si>
  <si>
    <t>0002464865</t>
  </si>
  <si>
    <t>0097353691</t>
  </si>
  <si>
    <t>22039680</t>
  </si>
  <si>
    <t>C6600-701-BAG-00-00-00</t>
  </si>
  <si>
    <t>0095454757</t>
  </si>
  <si>
    <t>0095996170</t>
  </si>
  <si>
    <t>0002439171</t>
  </si>
  <si>
    <t>0097368148</t>
  </si>
  <si>
    <t>1/06:24:49</t>
  </si>
  <si>
    <t>0097351797</t>
  </si>
  <si>
    <t>0002461774</t>
  </si>
  <si>
    <t>000200550121</t>
  </si>
  <si>
    <t>22018354</t>
  </si>
  <si>
    <t>C6200-701-BAG-00-00-00</t>
  </si>
  <si>
    <t>000200568575</t>
  </si>
  <si>
    <t>0002456749</t>
  </si>
  <si>
    <t>0097353692</t>
  </si>
  <si>
    <t>0097368149</t>
  </si>
  <si>
    <t>0097350981</t>
  </si>
  <si>
    <t>000200553729</t>
  </si>
  <si>
    <t>0002432364</t>
  </si>
  <si>
    <t>000200562479</t>
  </si>
  <si>
    <t>0002448480</t>
  </si>
  <si>
    <t>000200576655</t>
  </si>
  <si>
    <t>22038832</t>
  </si>
  <si>
    <t>C6200-OR5B049-BAG-00-00-00</t>
  </si>
  <si>
    <t>COYFROO</t>
  </si>
  <si>
    <t>0002468661</t>
  </si>
  <si>
    <t>OR5B049</t>
  </si>
  <si>
    <t>000200550555</t>
  </si>
  <si>
    <t>22039683</t>
  </si>
  <si>
    <t>C6600-7B1D005-BAG-00-00-00</t>
  </si>
  <si>
    <t>0002426278</t>
  </si>
  <si>
    <t>7B1D005</t>
  </si>
  <si>
    <t>000200528408</t>
  </si>
  <si>
    <t>22034407</t>
  </si>
  <si>
    <t>925-GY1G168-BAG-00-00-00</t>
  </si>
  <si>
    <t>0/09:51:14</t>
  </si>
  <si>
    <t>0002385324</t>
  </si>
  <si>
    <t>GY1G168</t>
  </si>
  <si>
    <t>WSHAEXL33_PC51_008</t>
  </si>
  <si>
    <t>000200576520</t>
  </si>
  <si>
    <t>22021359</t>
  </si>
  <si>
    <t>141R-701-BAG-00-00-00</t>
  </si>
  <si>
    <t>0/22:01:35</t>
  </si>
  <si>
    <t>000200576517</t>
  </si>
  <si>
    <t>0002333523</t>
  </si>
  <si>
    <t>000200576514</t>
  </si>
  <si>
    <t>0002333507</t>
  </si>
  <si>
    <t>000200576519</t>
  </si>
  <si>
    <t>0002257374</t>
  </si>
  <si>
    <t>000200566647</t>
  </si>
  <si>
    <t>0/03:18:14</t>
  </si>
  <si>
    <t>0075337392</t>
  </si>
  <si>
    <t>0002333548</t>
  </si>
  <si>
    <t>0083586924</t>
  </si>
  <si>
    <t>0002333611</t>
  </si>
  <si>
    <t>0080845712</t>
  </si>
  <si>
    <t>0002333573</t>
  </si>
  <si>
    <t>000200573605</t>
  </si>
  <si>
    <t>22098314</t>
  </si>
  <si>
    <t>7530-14600-OCT-00-00-00</t>
  </si>
  <si>
    <t>1/09:42:02</t>
  </si>
  <si>
    <t>0002433936</t>
  </si>
  <si>
    <t>7530</t>
  </si>
  <si>
    <t>14600</t>
  </si>
  <si>
    <t>OCT</t>
  </si>
  <si>
    <t>000200572860</t>
  </si>
  <si>
    <t>0002463349</t>
  </si>
  <si>
    <t>000200570670</t>
  </si>
  <si>
    <t>0/05:30:24</t>
  </si>
  <si>
    <t>0002459682</t>
  </si>
  <si>
    <t>0080845714</t>
  </si>
  <si>
    <t>0002333567</t>
  </si>
  <si>
    <t>0080845715</t>
  </si>
  <si>
    <t>0002421039</t>
  </si>
  <si>
    <t>0075337388</t>
  </si>
  <si>
    <t>0002333604</t>
  </si>
  <si>
    <t>000200549468</t>
  </si>
  <si>
    <t>0002424248</t>
  </si>
  <si>
    <t>000200558271</t>
  </si>
  <si>
    <t>0002441127</t>
  </si>
  <si>
    <t>000200500367</t>
  </si>
  <si>
    <t>299900552</t>
  </si>
  <si>
    <t>C1200HF-GY4H029</t>
  </si>
  <si>
    <t>0002340721</t>
  </si>
  <si>
    <t>GY4H029</t>
  </si>
  <si>
    <t>0094716249</t>
  </si>
  <si>
    <t>0002424255</t>
  </si>
  <si>
    <t>0094716250</t>
  </si>
  <si>
    <t>22023863</t>
  </si>
  <si>
    <t>MC8002-701-BAG-00-00-00</t>
  </si>
  <si>
    <t>COY7O</t>
  </si>
  <si>
    <t>0002275473</t>
  </si>
  <si>
    <t>MC8002</t>
  </si>
  <si>
    <t>000200526550</t>
  </si>
  <si>
    <t>0002382669</t>
  </si>
  <si>
    <t>000200562885</t>
  </si>
  <si>
    <t>0002449114</t>
  </si>
  <si>
    <t>0002454697</t>
  </si>
  <si>
    <t>0070066339</t>
  </si>
  <si>
    <t>0002333867</t>
  </si>
  <si>
    <t>0077255852</t>
  </si>
  <si>
    <t>0077255854</t>
  </si>
  <si>
    <t>0002333870</t>
  </si>
  <si>
    <t>0077255853</t>
  </si>
  <si>
    <t>0002333878</t>
  </si>
  <si>
    <t>0072974333</t>
  </si>
  <si>
    <t>0002333900</t>
  </si>
  <si>
    <t>000200550263</t>
  </si>
  <si>
    <t>0075336086</t>
  </si>
  <si>
    <t>0002333892</t>
  </si>
  <si>
    <t>0075336093</t>
  </si>
  <si>
    <t>0094716241</t>
  </si>
  <si>
    <t>0002370473</t>
  </si>
  <si>
    <t>000200550262</t>
  </si>
  <si>
    <t>0094716242</t>
  </si>
  <si>
    <t>0002333896</t>
  </si>
  <si>
    <t>0086376346</t>
  </si>
  <si>
    <t>0002333903</t>
  </si>
  <si>
    <t>0094716243</t>
  </si>
  <si>
    <t>0002333906</t>
  </si>
  <si>
    <t>0094716244</t>
  </si>
  <si>
    <t>0002333930</t>
  </si>
  <si>
    <t>000200493234</t>
  </si>
  <si>
    <t>22043778</t>
  </si>
  <si>
    <t>123R-GY2G415-BAG-00-00-00</t>
  </si>
  <si>
    <t>0/11:00:48</t>
  </si>
  <si>
    <t>0002325155</t>
  </si>
  <si>
    <t>GY2G415</t>
  </si>
  <si>
    <t>000200570809</t>
  </si>
  <si>
    <t>0/05:33:42</t>
  </si>
  <si>
    <t>0002459936</t>
  </si>
  <si>
    <t>0094715499</t>
  </si>
  <si>
    <t>0002333937</t>
  </si>
  <si>
    <t>0083539337</t>
  </si>
  <si>
    <t>0002333988</t>
  </si>
  <si>
    <t>0094715498</t>
  </si>
  <si>
    <t>0002333958</t>
  </si>
  <si>
    <t>0083539338</t>
  </si>
  <si>
    <t>0002333961</t>
  </si>
  <si>
    <t>0075336080</t>
  </si>
  <si>
    <t>0002333967</t>
  </si>
  <si>
    <t>0094715500</t>
  </si>
  <si>
    <t>0002333974</t>
  </si>
  <si>
    <t>0094715501</t>
  </si>
  <si>
    <t>0002333980</t>
  </si>
  <si>
    <t>000200563931</t>
  </si>
  <si>
    <t>22017397</t>
  </si>
  <si>
    <t>G3220A-10000-BAG-00-00-00</t>
  </si>
  <si>
    <t>0/20:55:30</t>
  </si>
  <si>
    <t>0002450438</t>
  </si>
  <si>
    <t>G3220A</t>
  </si>
  <si>
    <t>000200563865</t>
  </si>
  <si>
    <t>0002449027</t>
  </si>
  <si>
    <t>000200563932</t>
  </si>
  <si>
    <t>0002450440</t>
  </si>
  <si>
    <t>000200563905</t>
  </si>
  <si>
    <t>0002450422</t>
  </si>
  <si>
    <t>000200500423</t>
  </si>
  <si>
    <t>0002340722</t>
  </si>
  <si>
    <t>1/20:56:02</t>
  </si>
  <si>
    <t>000200575060</t>
  </si>
  <si>
    <t>0/05:34:49</t>
  </si>
  <si>
    <t>0002466885</t>
  </si>
  <si>
    <t>0094700215</t>
  </si>
  <si>
    <t>0002333992</t>
  </si>
  <si>
    <t>0094700214</t>
  </si>
  <si>
    <t>0002333997</t>
  </si>
  <si>
    <t>0094700216</t>
  </si>
  <si>
    <t>0002438617</t>
  </si>
  <si>
    <t>0094700217</t>
  </si>
  <si>
    <t>0002334011</t>
  </si>
  <si>
    <t>0094700218</t>
  </si>
  <si>
    <t>0002333999</t>
  </si>
  <si>
    <t>0094700219</t>
  </si>
  <si>
    <t>0002334000</t>
  </si>
  <si>
    <t>0094700223</t>
  </si>
  <si>
    <t>0002334005</t>
  </si>
  <si>
    <t>0094700222</t>
  </si>
  <si>
    <t>0002334004</t>
  </si>
  <si>
    <t>0094700220</t>
  </si>
  <si>
    <t>0002334010</t>
  </si>
  <si>
    <t>0094700221</t>
  </si>
  <si>
    <t>0002334012</t>
  </si>
  <si>
    <t>0094700224</t>
  </si>
  <si>
    <t>0002334015</t>
  </si>
  <si>
    <t>0094700225</t>
  </si>
  <si>
    <t>000200563840</t>
  </si>
  <si>
    <t>0002450450</t>
  </si>
  <si>
    <t>000200495979</t>
  </si>
  <si>
    <t>22021257</t>
  </si>
  <si>
    <t>121R-701-BAG-00-00-00</t>
  </si>
  <si>
    <t>0002335554</t>
  </si>
  <si>
    <t>WSHAEXL34_PC51_008</t>
  </si>
  <si>
    <t>0/06:15:56</t>
  </si>
  <si>
    <t>000200576478</t>
  </si>
  <si>
    <t>0/12:24:25</t>
  </si>
  <si>
    <t>22018193</t>
  </si>
  <si>
    <t>4521-8244-BAG-00-00-00</t>
  </si>
  <si>
    <t>0/07:26:39</t>
  </si>
  <si>
    <t>VALFGDO</t>
  </si>
  <si>
    <t>8244</t>
  </si>
  <si>
    <t>000200543539</t>
  </si>
  <si>
    <t>22026893</t>
  </si>
  <si>
    <t>325-1001-BAG-00-00-00</t>
  </si>
  <si>
    <t>0002414541</t>
  </si>
  <si>
    <t>325</t>
  </si>
  <si>
    <t>000200502152</t>
  </si>
  <si>
    <t>22033942</t>
  </si>
  <si>
    <t>357U-GY8F076-BAG-00-00-00</t>
  </si>
  <si>
    <t>VALGDO</t>
  </si>
  <si>
    <t>0002344041</t>
  </si>
  <si>
    <t>GY8F076</t>
  </si>
  <si>
    <t>000200562827</t>
  </si>
  <si>
    <t>22017146</t>
  </si>
  <si>
    <t>357U-GY7G281-BAG-00-00-00</t>
  </si>
  <si>
    <t>0/06:12:13</t>
  </si>
  <si>
    <t>0002448881</t>
  </si>
  <si>
    <t>GY7G281</t>
  </si>
  <si>
    <t>000200556919</t>
  </si>
  <si>
    <t>0/22:19:57</t>
  </si>
  <si>
    <t>0002438677</t>
  </si>
  <si>
    <t>000200568323</t>
  </si>
  <si>
    <t>22028404</t>
  </si>
  <si>
    <t>357-WH9D216-BAG-00-00-00</t>
  </si>
  <si>
    <t>1/00:48:50</t>
  </si>
  <si>
    <t>0002456416</t>
  </si>
  <si>
    <t>WH9D216</t>
  </si>
  <si>
    <t>000200567551</t>
  </si>
  <si>
    <t>0002455504</t>
  </si>
  <si>
    <t>000200567479</t>
  </si>
  <si>
    <t>0002455309</t>
  </si>
  <si>
    <t>000200567374</t>
  </si>
  <si>
    <t>22038557</t>
  </si>
  <si>
    <t>357-GY7D518-BAG-00-00-00</t>
  </si>
  <si>
    <t>0002455202</t>
  </si>
  <si>
    <t>GY7D518</t>
  </si>
  <si>
    <t>000200542652</t>
  </si>
  <si>
    <t>0002412691</t>
  </si>
  <si>
    <t>000200573756</t>
  </si>
  <si>
    <t>22019301</t>
  </si>
  <si>
    <t>310SE0-BK1066-BAG-00-00-00</t>
  </si>
  <si>
    <t>0/12:38:52</t>
  </si>
  <si>
    <t>0002465066</t>
  </si>
  <si>
    <t>000200571696</t>
  </si>
  <si>
    <t>0/12:42:48</t>
  </si>
  <si>
    <t>0002461398</t>
  </si>
  <si>
    <t>000200567197</t>
  </si>
  <si>
    <t>1/01:16:49</t>
  </si>
  <si>
    <t>000200549443</t>
  </si>
  <si>
    <t>22031160</t>
  </si>
  <si>
    <t>553-OR5G003-BAG-00-00-00</t>
  </si>
  <si>
    <t>0002424139</t>
  </si>
  <si>
    <t>OR5G003</t>
  </si>
  <si>
    <t>000200570693</t>
  </si>
  <si>
    <t>0/06:21:24</t>
  </si>
  <si>
    <t>0002459705</t>
  </si>
  <si>
    <t>000200549389</t>
  </si>
  <si>
    <t>0002424130</t>
  </si>
  <si>
    <t>000200569637</t>
  </si>
  <si>
    <t>22031164</t>
  </si>
  <si>
    <t>553U-GY3G129-BAG-00-00-00</t>
  </si>
  <si>
    <t>0/04:57:46</t>
  </si>
  <si>
    <t>0002454809</t>
  </si>
  <si>
    <t>GY3G129</t>
  </si>
  <si>
    <t>000200561605</t>
  </si>
  <si>
    <t>22038589</t>
  </si>
  <si>
    <t>364-WH7D376-BAG-00-00-00</t>
  </si>
  <si>
    <t>0002447211</t>
  </si>
  <si>
    <t>WH7D376</t>
  </si>
  <si>
    <t>000200572877</t>
  </si>
  <si>
    <t>0/06:20:26</t>
  </si>
  <si>
    <t>0002463354</t>
  </si>
  <si>
    <t>000200572797</t>
  </si>
  <si>
    <t>22037260</t>
  </si>
  <si>
    <t>V3900WX-YW6E071-BAG-00-00-00</t>
  </si>
  <si>
    <t>0/06:21:49</t>
  </si>
  <si>
    <t>VAL4O</t>
  </si>
  <si>
    <t>0002462952</t>
  </si>
  <si>
    <t>YW6E071</t>
  </si>
  <si>
    <t>000200542607</t>
  </si>
  <si>
    <t>22037852</t>
  </si>
  <si>
    <t>325FC-1001-BAG-00-00-00</t>
  </si>
  <si>
    <t>0002412571</t>
  </si>
  <si>
    <t>325FC</t>
  </si>
  <si>
    <t>000200558840</t>
  </si>
  <si>
    <t>22037263</t>
  </si>
  <si>
    <t>V4860HR-1001-BAG-00-00-00</t>
  </si>
  <si>
    <t>0002442655</t>
  </si>
  <si>
    <t>V4860HR</t>
  </si>
  <si>
    <t>000200550428</t>
  </si>
  <si>
    <t>0/03:43:20</t>
  </si>
  <si>
    <t>0002425971</t>
  </si>
  <si>
    <t>000200565895</t>
  </si>
  <si>
    <t>0002449026</t>
  </si>
  <si>
    <t>0095997378</t>
  </si>
  <si>
    <t>000200553544</t>
  </si>
  <si>
    <t>0002431914</t>
  </si>
  <si>
    <t>000200567459</t>
  </si>
  <si>
    <t>22084142</t>
  </si>
  <si>
    <t>V3900WX-GY8H043-BAG-00-00-00</t>
  </si>
  <si>
    <t>0/16:44:58</t>
  </si>
  <si>
    <t>0002455226</t>
  </si>
  <si>
    <t>GY8H043</t>
  </si>
  <si>
    <t>000200542606</t>
  </si>
  <si>
    <t>22024826</t>
  </si>
  <si>
    <t>V4860HR-BK1066-BAG-00-00-00</t>
  </si>
  <si>
    <t>0002412564</t>
  </si>
  <si>
    <t>000200561342</t>
  </si>
  <si>
    <t>0002446685</t>
  </si>
  <si>
    <t>0087586011</t>
  </si>
  <si>
    <t>0002419142</t>
  </si>
  <si>
    <t>000200558839</t>
  </si>
  <si>
    <t>0002442653</t>
  </si>
  <si>
    <t>000200468016</t>
  </si>
  <si>
    <t>0097776458</t>
  </si>
  <si>
    <t>0/12:33:43</t>
  </si>
  <si>
    <t>000200567432</t>
  </si>
  <si>
    <t>22028630</t>
  </si>
  <si>
    <t>364-WH8G708-BAG-00-00-00</t>
  </si>
  <si>
    <t>0/06:38:16</t>
  </si>
  <si>
    <t>0002455261</t>
  </si>
  <si>
    <t>WH8G708</t>
  </si>
  <si>
    <t>000200571680</t>
  </si>
  <si>
    <t>0/05:03:33</t>
  </si>
  <si>
    <t>0002461421</t>
  </si>
  <si>
    <t>0097353507</t>
  </si>
  <si>
    <t>0097695116</t>
  </si>
  <si>
    <t>1/01:07:27</t>
  </si>
  <si>
    <t>0098075114</t>
  </si>
  <si>
    <t>0097774440</t>
  </si>
  <si>
    <t>22019426</t>
  </si>
  <si>
    <t>553-1001-BAG-00-00-00</t>
  </si>
  <si>
    <t>0098133785</t>
  </si>
  <si>
    <t>000200547366</t>
  </si>
  <si>
    <t>22032797</t>
  </si>
  <si>
    <t>V3900WX-7M8D027-BAG-00-00-00</t>
  </si>
  <si>
    <t>VALGLO</t>
  </si>
  <si>
    <t>0002420530</t>
  </si>
  <si>
    <t>7M8D027</t>
  </si>
  <si>
    <t>000200562844</t>
  </si>
  <si>
    <t>0002449088</t>
  </si>
  <si>
    <t>000200556149</t>
  </si>
  <si>
    <t>0002437163</t>
  </si>
  <si>
    <t>000200572837</t>
  </si>
  <si>
    <t>0002463170</t>
  </si>
  <si>
    <t>0097774441</t>
  </si>
  <si>
    <t>000200570598</t>
  </si>
  <si>
    <t>22035492</t>
  </si>
  <si>
    <t>DR48-BK1762-BAG-00-00-00</t>
  </si>
  <si>
    <t>0002459678</t>
  </si>
  <si>
    <t>BK1762</t>
  </si>
  <si>
    <t>0097744169</t>
  </si>
  <si>
    <t>0/08:53:58</t>
  </si>
  <si>
    <t>WSHAEXL35_PC51_008</t>
  </si>
  <si>
    <t>0/23:35:52</t>
  </si>
  <si>
    <t>22035576</t>
  </si>
  <si>
    <t>ENH2900-7A8D036-BAG-00-00-00</t>
  </si>
  <si>
    <t>XENGLO</t>
  </si>
  <si>
    <t>7A8D036</t>
  </si>
  <si>
    <t>0/04:39:04</t>
  </si>
  <si>
    <t>000200566092</t>
  </si>
  <si>
    <t>0002453302</t>
  </si>
  <si>
    <t>22033228</t>
  </si>
  <si>
    <t>141R-WH8G792-BAG-00-00-00</t>
  </si>
  <si>
    <t>0/11:37:40</t>
  </si>
  <si>
    <t>WH8G792</t>
  </si>
  <si>
    <t>000200545325</t>
  </si>
  <si>
    <t>1/23:32:56</t>
  </si>
  <si>
    <t>0002417267</t>
  </si>
  <si>
    <t>000200567450</t>
  </si>
  <si>
    <t>0002455108</t>
  </si>
  <si>
    <t>000200570907</t>
  </si>
  <si>
    <t>0/01:12:30</t>
  </si>
  <si>
    <t>0002460151</t>
  </si>
  <si>
    <t>000200560204</t>
  </si>
  <si>
    <t>0/20:55:49</t>
  </si>
  <si>
    <t>0002444971</t>
  </si>
  <si>
    <t>000200495959</t>
  </si>
  <si>
    <t>0002335514</t>
  </si>
  <si>
    <t>000314938872</t>
  </si>
  <si>
    <t>0002466419</t>
  </si>
  <si>
    <t>000200557945</t>
  </si>
  <si>
    <t>0/02:19:32</t>
  </si>
  <si>
    <t>0002440567</t>
  </si>
  <si>
    <t>000200543516</t>
  </si>
  <si>
    <t>22018379</t>
  </si>
  <si>
    <t>C6600-WH9A311-BAG-00-00-00</t>
  </si>
  <si>
    <t>0002414427</t>
  </si>
  <si>
    <t>WH9A311</t>
  </si>
  <si>
    <t>000200495961</t>
  </si>
  <si>
    <t>0002335518</t>
  </si>
  <si>
    <t>000200495972</t>
  </si>
  <si>
    <t>0002335517</t>
  </si>
  <si>
    <t>000200496025</t>
  </si>
  <si>
    <t>22044333</t>
  </si>
  <si>
    <t>143R-WH9G485-BAG-00-00-00</t>
  </si>
  <si>
    <t>WH9G485</t>
  </si>
  <si>
    <t>000200557304</t>
  </si>
  <si>
    <t>0002439259</t>
  </si>
  <si>
    <t>WSHAEXL36_PC51_008</t>
  </si>
  <si>
    <t>0/02:17:56</t>
  </si>
  <si>
    <t>0/06:53:48</t>
  </si>
  <si>
    <t>0002392138</t>
  </si>
  <si>
    <t>000200559230</t>
  </si>
  <si>
    <t>0/04:35:52</t>
  </si>
  <si>
    <t>0002443273</t>
  </si>
  <si>
    <t>000200495920</t>
  </si>
  <si>
    <t>0/22:59:19</t>
  </si>
  <si>
    <t>0002335566</t>
  </si>
  <si>
    <t>22019415</t>
  </si>
  <si>
    <t>5220U-BK1066-BAG-00-00-00</t>
  </si>
  <si>
    <t>000200540790</t>
  </si>
  <si>
    <t>0/11:29:39</t>
  </si>
  <si>
    <t>0002409325</t>
  </si>
  <si>
    <t>000200510624</t>
  </si>
  <si>
    <t>0/18:23:27</t>
  </si>
  <si>
    <t>0002356175</t>
  </si>
  <si>
    <t>22039079</t>
  </si>
  <si>
    <t>CL100-7001-BAG-00-00-00</t>
  </si>
  <si>
    <t>CL100</t>
  </si>
  <si>
    <t>000200559192</t>
  </si>
  <si>
    <t>0002436802</t>
  </si>
  <si>
    <t>000200567357</t>
  </si>
  <si>
    <t>22031763</t>
  </si>
  <si>
    <t>C6200-OR3C107-BAG-00-00-00</t>
  </si>
  <si>
    <t>0002455266</t>
  </si>
  <si>
    <t>OR3C107</t>
  </si>
  <si>
    <t>000200552305</t>
  </si>
  <si>
    <t>22084473</t>
  </si>
  <si>
    <t>C6600-7T6D253-BAG-00-00-00</t>
  </si>
  <si>
    <t>0002429463</t>
  </si>
  <si>
    <t>7T6D253</t>
  </si>
  <si>
    <t>000200539746</t>
  </si>
  <si>
    <t>22033602</t>
  </si>
  <si>
    <t>3412ECR-GY2E372-BAG-00-00-00</t>
  </si>
  <si>
    <t>0002407340</t>
  </si>
  <si>
    <t>000200570716</t>
  </si>
  <si>
    <t>22028704</t>
  </si>
  <si>
    <t>C7410-BK1C340-BAG-00-00-00</t>
  </si>
  <si>
    <t>C7410</t>
  </si>
  <si>
    <t>000200570737</t>
  </si>
  <si>
    <t>22035624</t>
  </si>
  <si>
    <t>CX7240-BK1D805-BAG-00-00-00</t>
  </si>
  <si>
    <t>0/04:46:09</t>
  </si>
  <si>
    <t>0002459771</t>
  </si>
  <si>
    <t>BK1D805</t>
  </si>
  <si>
    <t>000200515849</t>
  </si>
  <si>
    <t>22035192</t>
  </si>
  <si>
    <t>CX7211-7T1D166-BAG-00-00-00</t>
  </si>
  <si>
    <t>0002365321</t>
  </si>
  <si>
    <t>7T1D166</t>
  </si>
  <si>
    <t>0096098125</t>
  </si>
  <si>
    <t>22088391</t>
  </si>
  <si>
    <t>CX2244ME-7T5D428-BAG-00-00-00</t>
  </si>
  <si>
    <t>0/09:11:43</t>
  </si>
  <si>
    <t>4503060957</t>
  </si>
  <si>
    <t>7T5D428</t>
  </si>
  <si>
    <t>000200552238</t>
  </si>
  <si>
    <t>0/07:00:41</t>
  </si>
  <si>
    <t>0002429458</t>
  </si>
  <si>
    <t>22040495</t>
  </si>
  <si>
    <t>EXL1414-WH9G658-BAG-00-00-00</t>
  </si>
  <si>
    <t>WH9G658</t>
  </si>
  <si>
    <t>000200572873</t>
  </si>
  <si>
    <t>22031940</t>
  </si>
  <si>
    <t>C7210A-BK1066-BAG-00-00-00</t>
  </si>
  <si>
    <t>0/04:38:37</t>
  </si>
  <si>
    <t>0002463233</t>
  </si>
  <si>
    <t>C7210A</t>
  </si>
  <si>
    <t>000200572868</t>
  </si>
  <si>
    <t>22038527</t>
  </si>
  <si>
    <t>BPL1000-BK1C294-BAG-00-00-00</t>
  </si>
  <si>
    <t>0/06:12:32</t>
  </si>
  <si>
    <t>0002445134</t>
  </si>
  <si>
    <t>BK1C294</t>
  </si>
  <si>
    <t>22030739</t>
  </si>
  <si>
    <t>141R-BL3A238-BAG-00-00-00</t>
  </si>
  <si>
    <t>0002446705</t>
  </si>
  <si>
    <t>BL3A238</t>
  </si>
  <si>
    <t>000200574781</t>
  </si>
  <si>
    <t>0002466591</t>
  </si>
  <si>
    <t>000200573604</t>
  </si>
  <si>
    <t>22039052</t>
  </si>
  <si>
    <t>C7230P-BK1D616-BAG-00-00-00</t>
  </si>
  <si>
    <t>0/04:42:09</t>
  </si>
  <si>
    <t>0002464467</t>
  </si>
  <si>
    <t>C7230P</t>
  </si>
  <si>
    <t>BK1D616</t>
  </si>
  <si>
    <t>000200570393</t>
  </si>
  <si>
    <t>22021393</t>
  </si>
  <si>
    <t>143R-701-BAG-00-00-00</t>
  </si>
  <si>
    <t>0/04:42:04</t>
  </si>
  <si>
    <t>000200561866</t>
  </si>
  <si>
    <t>22028144</t>
  </si>
  <si>
    <t>CL100-78211-BAG-00-00-00</t>
  </si>
  <si>
    <t>0002440790</t>
  </si>
  <si>
    <t>000200571776</t>
  </si>
  <si>
    <t>0002461541</t>
  </si>
  <si>
    <t>000200566030</t>
  </si>
  <si>
    <t>22033864</t>
  </si>
  <si>
    <t>6620U-BK1066-BAG-00-00-00</t>
  </si>
  <si>
    <t>0002453228</t>
  </si>
  <si>
    <t>6620U</t>
  </si>
  <si>
    <t>000200573682</t>
  </si>
  <si>
    <t>22038028</t>
  </si>
  <si>
    <t>5220U-WH9G575-BAG-00-00-00</t>
  </si>
  <si>
    <t>0/02:23:10</t>
  </si>
  <si>
    <t>LEXXGDX</t>
  </si>
  <si>
    <t>0002464615</t>
  </si>
  <si>
    <t>WH9G575</t>
  </si>
  <si>
    <t>000200570394</t>
  </si>
  <si>
    <t>0002448839</t>
  </si>
  <si>
    <t>000200576466</t>
  </si>
  <si>
    <t>22019215</t>
  </si>
  <si>
    <t>1731-1001-BAG-00-00-00</t>
  </si>
  <si>
    <t>0/02:25:56</t>
  </si>
  <si>
    <t>0002468431</t>
  </si>
  <si>
    <t>000200560326</t>
  </si>
  <si>
    <t>0002445191</t>
  </si>
  <si>
    <t>000200568663</t>
  </si>
  <si>
    <t>0002456765</t>
  </si>
  <si>
    <t>000200570717</t>
  </si>
  <si>
    <t>22040648</t>
  </si>
  <si>
    <t>MC8002-WH9C274-BAG-00-00-00</t>
  </si>
  <si>
    <t>0/04:43:34</t>
  </si>
  <si>
    <t>COY8O</t>
  </si>
  <si>
    <t>0002459938</t>
  </si>
  <si>
    <t>WH9C274</t>
  </si>
  <si>
    <t>000200534819</t>
  </si>
  <si>
    <t>0002398368</t>
  </si>
  <si>
    <t>000200559101</t>
  </si>
  <si>
    <t>22019416</t>
  </si>
  <si>
    <t>5220U-BL1A569-BAG-00-00-00</t>
  </si>
  <si>
    <t>XEN2DO</t>
  </si>
  <si>
    <t>0002442880</t>
  </si>
  <si>
    <t>BL1A569</t>
  </si>
  <si>
    <t>000200571725</t>
  </si>
  <si>
    <t>22029848</t>
  </si>
  <si>
    <t>505RU-8T8D118-BAG-00-00-00</t>
  </si>
  <si>
    <t>0/04:44:15</t>
  </si>
  <si>
    <t>0002461360</t>
  </si>
  <si>
    <t>8T8D118</t>
  </si>
  <si>
    <t>000200499146</t>
  </si>
  <si>
    <t>0002316739</t>
  </si>
  <si>
    <t>0096103083</t>
  </si>
  <si>
    <t>000200535980</t>
  </si>
  <si>
    <t>22028156</t>
  </si>
  <si>
    <t>DR51-7001-BAG-00-00-00</t>
  </si>
  <si>
    <t>0002400234</t>
  </si>
  <si>
    <t>000200566202</t>
  </si>
  <si>
    <t>22037724</t>
  </si>
  <si>
    <t>WFL34-YWNAT-BAG-00-00-00</t>
  </si>
  <si>
    <t>VALF8O</t>
  </si>
  <si>
    <t>0002453454</t>
  </si>
  <si>
    <t>WFL34</t>
  </si>
  <si>
    <t>YWNAT</t>
  </si>
  <si>
    <t>WSHAEXL41_PC51_008</t>
  </si>
  <si>
    <t>000200576562</t>
  </si>
  <si>
    <t>22064716</t>
  </si>
  <si>
    <t>30YK270E-10000-OCT-00-00-00</t>
  </si>
  <si>
    <t>0/02:36:36</t>
  </si>
  <si>
    <t>30YK270E</t>
  </si>
  <si>
    <t>000200576564</t>
  </si>
  <si>
    <t>0/05:13:12</t>
  </si>
  <si>
    <t>000200576512</t>
  </si>
  <si>
    <t>22064297</t>
  </si>
  <si>
    <t>20YK270E-10000-OCT-00-00-00</t>
  </si>
  <si>
    <t>20YK270E</t>
  </si>
  <si>
    <t>22088738</t>
  </si>
  <si>
    <t>60YM241-10000-OCT-00-00-00</t>
  </si>
  <si>
    <t>0/03:28:48</t>
  </si>
  <si>
    <t>60YM241</t>
  </si>
  <si>
    <t>0/03:54:54</t>
  </si>
  <si>
    <t>0002422841</t>
  </si>
  <si>
    <t>22088928</t>
  </si>
  <si>
    <t>30YM241-10000-OCT-00-00-00</t>
  </si>
  <si>
    <t>0/03:49:41</t>
  </si>
  <si>
    <t>30YM241</t>
  </si>
  <si>
    <t>0097889264</t>
  </si>
  <si>
    <t>0097889265</t>
  </si>
  <si>
    <t>0097889266</t>
  </si>
  <si>
    <t>0097889267</t>
  </si>
  <si>
    <t>000200566136</t>
  </si>
  <si>
    <t>22019364</t>
  </si>
  <si>
    <t>40YM240-10000-OCT-00-00-00</t>
  </si>
  <si>
    <t>0/03:18:22</t>
  </si>
  <si>
    <t>40YM240</t>
  </si>
  <si>
    <t>000200566184</t>
  </si>
  <si>
    <t xml:space="preserve">0008599414  PX2906-701-BAG    5070KG   22032847    (200576568)  IN2      </t>
  </si>
  <si>
    <t xml:space="preserve">  SE1GFN2-701-BAG    20000KG   22024913    (96169138)  IN1      </t>
  </si>
  <si>
    <t xml:space="preserve">  PX1600X-701-BAG    10140KG   22017944    (86323985)  IN1      </t>
  </si>
  <si>
    <t xml:space="preserve">  GFN20-701-BAG    10140KG   22095416    (97792775)  IN1      </t>
  </si>
  <si>
    <t xml:space="preserve">  PCN2910-BK1D694-BAG    20000KG   22030621    (97083828)        </t>
  </si>
  <si>
    <t xml:space="preserve">  GFN20-701-BAG    10140KG   22095416    (97793105)  IN1      </t>
  </si>
  <si>
    <t xml:space="preserve">  PCN2910-BK1D694-BAG    20280KG   22030621    (97776874)        </t>
  </si>
  <si>
    <t xml:space="preserve">  SE1GFN1-701-BAG    20000KG   22024908    (200431428)  IN2      </t>
  </si>
  <si>
    <t xml:space="preserve">  PCN2910-BK1D694-BAG    20280KG   22030621    (98075108)        </t>
  </si>
  <si>
    <t xml:space="preserve">  HM4025H-7A1D372-BAG    10140KG   22098482    (200571751)        </t>
  </si>
  <si>
    <t xml:space="preserve">  HM3020H-75001-BAG    15000KG   22036424    (200548439)        </t>
  </si>
  <si>
    <t xml:space="preserve">  HM4025H-75001-BAG    20000KG   22040915    (92323059)        </t>
  </si>
  <si>
    <t xml:space="preserve">  HM4025H-75001-BAG    20000KG   22040915    (95998002)        </t>
  </si>
  <si>
    <t xml:space="preserve">  SE1GFN1-701-BAG    10000KG   22024908    (200431356)  IN2      </t>
  </si>
  <si>
    <t xml:space="preserve">  PX9406-780-BAG    10247KG   22020783    (97792842)  IN1      </t>
  </si>
  <si>
    <t xml:space="preserve">0008544565  N190X-7N4D004-BAG    10000KG   22030522    (200569521)  IN2      </t>
  </si>
  <si>
    <t xml:space="preserve">0008314178  N1250-BK1066-BAG    5000KG   22040824    (200545584)  IN2      </t>
  </si>
  <si>
    <t xml:space="preserve">  HS2000X-111-BAG    10256KG   22023605    (94771335)  IN1      </t>
  </si>
  <si>
    <t xml:space="preserve">  HS2000X-111-BAG    10256KG   22023605    (94769879)  IN1      </t>
  </si>
  <si>
    <t xml:space="preserve">  N300X-701-BAG    20000KG   22018853    (95448250)        </t>
  </si>
  <si>
    <t xml:space="preserve">0007866744  GFN1F-701S-BAG    10000KG   22066660    (200520284)  IN2      </t>
  </si>
  <si>
    <t xml:space="preserve">  N300X-701-BAG    20494KG   22018853    (97792831)        </t>
  </si>
  <si>
    <t xml:space="preserve">0008562545  N225X-701-BAG    5123.5KG   22024508    (200572751)  IN2      </t>
  </si>
  <si>
    <t xml:space="preserve">  N300X-701-BAG    20494KG   22018853    (97793887)        </t>
  </si>
  <si>
    <t xml:space="preserve">0008314190  N1250-BK1066-BAG    5000KG   22040824    (200545535)  IN2      </t>
  </si>
  <si>
    <t xml:space="preserve">  N300X-701-BAG    20494KG   22018853    (97793911)        </t>
  </si>
  <si>
    <t xml:space="preserve">  GFN30F-701S-BAG    10247KG   22095738    (98132545)  IN4      </t>
  </si>
  <si>
    <t xml:space="preserve">  HS2000X-111-BAG    10256KG   22023605    (98128708)  IN1      </t>
  </si>
  <si>
    <t xml:space="preserve">  N1250-BK1066-BAG    5000KG   22040824    (200545305)  IN2      </t>
  </si>
  <si>
    <t xml:space="preserve">  N300X-701-BAG    10247KG   22018853    (98128260)        </t>
  </si>
  <si>
    <t xml:space="preserve">  GFN1520V-701F-BAG    5123.5KG   22032538    (200573555)        </t>
  </si>
  <si>
    <t xml:space="preserve">  HS2000X-111-BAG    10256KG   22023605    (98128709)  IN1      </t>
  </si>
  <si>
    <t xml:space="preserve">  N300X-701-BAG    20494KG   22018853    (98126583)        </t>
  </si>
  <si>
    <t xml:space="preserve">  N300X-701-BAG    10247KG   22018853    (98128259)        </t>
  </si>
  <si>
    <t xml:space="preserve">  GFN20-801-BAG    20000KG   22095158    (200552256)        </t>
  </si>
  <si>
    <t xml:space="preserve">  N1250-BK1066-BAG    5000KG   22040824    (200545603)  IN2      </t>
  </si>
  <si>
    <t xml:space="preserve">  N1250-BK1066-BAG    5000KG   22040824    (200545255)  IN2      </t>
  </si>
  <si>
    <t xml:space="preserve">  GFN1F-701S-BAG    10000KG   22066660    (200559134)  IN2      </t>
  </si>
  <si>
    <t xml:space="preserve">  N1250-BK1066-BAG    5000KG   22040824    (200545285)  IN2      </t>
  </si>
  <si>
    <t xml:space="preserve">  945-NC-BAG    20000KG   22022070    (97350980)        </t>
  </si>
  <si>
    <t xml:space="preserve">  C2950-111-BAG    20000KG   22022267    (97353504)  IY1      </t>
  </si>
  <si>
    <t xml:space="preserve">  121R-GY8F074-SSS    10000KG   22105472    (92463393)  IL2      </t>
  </si>
  <si>
    <t xml:space="preserve">  945-NC-BAG    20000KG   22022070    (97353918)        </t>
  </si>
  <si>
    <t xml:space="preserve">  C6200-111-BAG    10194KG   22019707    (98116825)  IY1      </t>
  </si>
  <si>
    <t xml:space="preserve">  121R-GY8F074-SSS    10000KG   22105472    (92463394)  IL2      </t>
  </si>
  <si>
    <t xml:space="preserve">  945-NC-BAG    20000KG   22022070    (97353919)        </t>
  </si>
  <si>
    <t xml:space="preserve">  CX7240-8N9D079-BAG    20000KG   22031866    (200550086)  IY2      </t>
  </si>
  <si>
    <t xml:space="preserve">  C2950-111-BAG    20000KG   22022267    (97353690)  IY1      </t>
  </si>
  <si>
    <t xml:space="preserve">  PX9406P-7001-BAG    20000KG   22041318    (93212678)  IN4      </t>
  </si>
  <si>
    <t xml:space="preserve">  PX9406P-7001-BAG    20000KG   22041318    (93228788)  IN4      </t>
  </si>
  <si>
    <t xml:space="preserve">  PX9406P-7001-BAG    20000KG   22041318    (93230023)  IN4      </t>
  </si>
  <si>
    <t xml:space="preserve">  PX9406P-7001-BAG    20000KG   22041318    (93176770)  IN4      </t>
  </si>
  <si>
    <t xml:space="preserve">  PX9406P-7001-BAG    20000KG   22041318    (93212592)  IN4      </t>
  </si>
  <si>
    <t xml:space="preserve">  PX9406P-7001-BAG    20000KG   22041318    (93176772)  IN4      </t>
  </si>
  <si>
    <t xml:space="preserve">  PX1600X-701-BAG    10095KG   22017944    (86299668)  IN1      </t>
  </si>
  <si>
    <t xml:space="preserve">  PX9406P-7001-BAG    20000KG   22041318    (97351520)  IN4      </t>
  </si>
  <si>
    <t xml:space="preserve">  PX9406P-7001-BAG    20000KG   22041318    (97352404)  IN4      </t>
  </si>
  <si>
    <t xml:space="preserve">  PX9406P-7001-BAG    20000KG   22041318    (97351521)  IN4      </t>
  </si>
  <si>
    <t xml:space="preserve">  PX9406P-7001-BAG    20000KG   22041318    (97325947)  IN4      </t>
  </si>
  <si>
    <t xml:space="preserve">  PX9406P-7001-BAG    20000KG   22041318    (97325948)  IN4      </t>
  </si>
  <si>
    <t xml:space="preserve">  PX9406P-7001-BAG    20000KG   22041318    (97352590)  IN4      </t>
  </si>
  <si>
    <t xml:space="preserve">  PX1600X-701-BAG    20000KG   22017944    (86323195)  IN1      </t>
  </si>
  <si>
    <t xml:space="preserve">  PX9406P-7001-BAG    20000KG   22041318    (97352405)  IN4      </t>
  </si>
  <si>
    <t xml:space="preserve">  PX9406P-7001-BAG    20000KG   22041318    (97325949)  IN4      </t>
  </si>
  <si>
    <t xml:space="preserve">  PX9406P-7001-BAG    20000KG   22041318    (97352406)  IN4      </t>
  </si>
  <si>
    <t xml:space="preserve">  PX9406P-7001-BAG    20000KG   22041318    (97352407)  IN4      </t>
  </si>
  <si>
    <t xml:space="preserve">  PX9406P-7001-BAG    20000KG   22041318    (97352408)  IN4      </t>
  </si>
  <si>
    <t xml:space="preserve">  PX9406P-7001-BAG    20000KG   22041318    (97352409)  IN4      </t>
  </si>
  <si>
    <t xml:space="preserve">  PX9406P-7001-BAG    20000KG   22041318    (97325950)  IN4      </t>
  </si>
  <si>
    <t xml:space="preserve">  PX9406P-7001-BAG    20000KG   22041318    (97352625)  IN4      </t>
  </si>
  <si>
    <t xml:space="preserve">  PX9406P-7001-BAG    20000KG   22041318    (97350973)  IN4      </t>
  </si>
  <si>
    <t xml:space="preserve">  PX9406P-7001-BAG    20190KG   22041318    (97776873)  IN4      </t>
  </si>
  <si>
    <t xml:space="preserve">  PX9406P-7001-BAG    20190KG   22041318    (97774444)  IN4      </t>
  </si>
  <si>
    <t xml:space="preserve">  PX9406P-7001-BAG    20190KG   22041318    (97776361)  IN4      </t>
  </si>
  <si>
    <t xml:space="preserve">  PX1600X-701-BAG    20190KG   22017944    (200559102)  IN1      </t>
  </si>
  <si>
    <t xml:space="preserve">  PX1600X-701-BAG    20000KG   22017944    (200530716)  IN1      </t>
  </si>
  <si>
    <t xml:space="preserve">  PX1600X-701-BAG    20000KG   22017944    (200567230)  IN1      </t>
  </si>
  <si>
    <t xml:space="preserve">0008351673  FN215X-111-BAG    6475KG   22028763    (200550354)  IN2      </t>
  </si>
  <si>
    <t xml:space="preserve">0008375212  N1250-4N4D011-BAG    5000KG   22037195    (200554628)  IN2      </t>
  </si>
  <si>
    <t xml:space="preserve">0008599179  EX130-770-BAG    5209.5KG   22022815    (200576460)  IN2      </t>
  </si>
  <si>
    <t xml:space="preserve">0008556752  FN215X-701-BAG    2134.2KG   22023022    (200571758)  IN2      </t>
  </si>
  <si>
    <t xml:space="preserve">0008532060  SE1GFN1-780-BAG    2000KG   22028063    (200567225)  IN2      </t>
  </si>
  <si>
    <t xml:space="preserve">0008375220  N1250-4N4D011-BAG    5000KG   22037195    (200554705)  IN2      </t>
  </si>
  <si>
    <t xml:space="preserve">0007479401  WCD915-7A1D285-SBG    5000KG   22080571    (200487847)  IN2      </t>
  </si>
  <si>
    <t xml:space="preserve">0008556944  PX2801Z-BK1066-BAG    2083.8KG   22032844    (200571870)  IN2      </t>
  </si>
  <si>
    <t xml:space="preserve">0007504054  WCD915-8A7D027-SBG    6000KG   22080572    (200488681)  IN2      </t>
  </si>
  <si>
    <t xml:space="preserve">0007886881  731S-701S-BAG    2000KG   22031186    (200521267)  IN2      </t>
  </si>
  <si>
    <t xml:space="preserve">0008570530  HS2000X-GY8D625-BAG    5209.5KG   22020355    (200573621)  IN2      </t>
  </si>
  <si>
    <t xml:space="preserve">  N1050-BL2G084-BAG    5209.5KG   22040815    (93391781)  IN2      </t>
  </si>
  <si>
    <t xml:space="preserve">  7310-701-BAG    2000KG   22095148    (200542757)        </t>
  </si>
  <si>
    <t xml:space="preserve">  N300-701-BAG    500KG   22041234    (200568753)  IN2      </t>
  </si>
  <si>
    <t xml:space="preserve">  GFN20-801-BAG    4000KG   22095158    (200552257)        </t>
  </si>
  <si>
    <t xml:space="preserve">  NH6020-100-BAG    20000KG   22060061    (200550112)  IN2      </t>
  </si>
  <si>
    <t xml:space="preserve">  NH6020-100-BAG    20000KG   22060061    (200550053)  IN2      </t>
  </si>
  <si>
    <t xml:space="preserve">  NH6020-100-BAG    10000KG   22060061    (200550113)  IN2      </t>
  </si>
  <si>
    <t xml:space="preserve">  NH6020-100-BAG    20000KG   22060061    (200550100)  IN2      </t>
  </si>
  <si>
    <t xml:space="preserve">  IGN5531-71003-SSS    10410KG   22073242    (97082134)  IN2      </t>
  </si>
  <si>
    <t xml:space="preserve">  IGN5531-71003-SSS    10410KG   22073242    (97081044)  IN2      </t>
  </si>
  <si>
    <t xml:space="preserve">0007611290  EX130-770-BAG    5000KG   22022815    (200497063)  IN2      </t>
  </si>
  <si>
    <t xml:space="preserve">  IGN5531-71003-SSS    10410KG   22073242    (97081361)  IN2      </t>
  </si>
  <si>
    <t xml:space="preserve">  IGN5531-71003-SSS    10410KG   22073242    (97080825)  IN2      </t>
  </si>
  <si>
    <t xml:space="preserve">  IGN5531-71003-SSS    10410KG   22073242    (97081045)  IN2      </t>
  </si>
  <si>
    <t xml:space="preserve">  IGN5531-71003-SSS    10410KG   22073242    (97082135)  IN2      </t>
  </si>
  <si>
    <t xml:space="preserve">  IGN5531-71003-SSS    10410KG   22073242    (97081046)  IN2      </t>
  </si>
  <si>
    <t xml:space="preserve">  WCA955-111-SBG    3000KG   22080186    (87853874)        </t>
  </si>
  <si>
    <t xml:space="preserve">  WCD933-5A2D002-SBG    4000KG   22079928    (200447176)        </t>
  </si>
  <si>
    <t xml:space="preserve">  EX130-770-BAG    5000KG   22022815    (200497085)  IN2      </t>
  </si>
  <si>
    <t xml:space="preserve">  NH7010-GY6G005-BAG    500KG   22024528    (200568767)  IN2      </t>
  </si>
  <si>
    <t xml:space="preserve">  IGN5531-71003-SSS    10410KG   22073242    (97080831)  IN2      </t>
  </si>
  <si>
    <t xml:space="preserve">  IGN5531-71003-SSS    10410KG   22073242    (97080829)  IN2      </t>
  </si>
  <si>
    <t xml:space="preserve">  IGN5531-71003-SSS    10410KG   22073242    (97080827)  IN2      </t>
  </si>
  <si>
    <t xml:space="preserve">  IGN5531-71003-SSS    10410KG   22073242    (97082076)  IN2      </t>
  </si>
  <si>
    <t xml:space="preserve">  IGN5531-71003-SSS    10410KG   22073242    (97080828)  IN2      </t>
  </si>
  <si>
    <t xml:space="preserve">  IGN5531-71003-SSS    10410KG   22073242    (97080830)  IN2      </t>
  </si>
  <si>
    <t xml:space="preserve">0008563429  C6303-BK1066-BAG    26.895KG   22039650    (200572928)  IT2      </t>
  </si>
  <si>
    <t xml:space="preserve">0008228043  HS2000X-6G4A1253-    1000KG   299901425    (200533481)  IN2      </t>
  </si>
  <si>
    <t xml:space="preserve">0008440547  N300-701-BAG    500KG   22041234    (200560140)  IN2      </t>
  </si>
  <si>
    <t xml:space="preserve">0008569052  Z20001-BK1B694-BAG    100KG   22028656    (200573552)  IT2      </t>
  </si>
  <si>
    <t xml:space="preserve">0008346067  1000-BL1B081T-BAG    500KG   22037954    (200549162)  IU2      </t>
  </si>
  <si>
    <t xml:space="preserve">  1000-BL3122-BAG    1000KG   22033123    (200533469)  IU2      </t>
  </si>
  <si>
    <t xml:space="preserve">  N300X-BR7E123-BAG    500KG   22036871    (200561480)        </t>
  </si>
  <si>
    <t xml:space="preserve">  1000R-7101-BAG    100KG   22021142    (200569592)  IU2      </t>
  </si>
  <si>
    <t xml:space="preserve">  TPN9221-GY1493T-BAG    10000KG   22037568    (200552317)  IN2      </t>
  </si>
  <si>
    <t xml:space="preserve">  1000-7101-BAG    100KG   22021106    (200549958)  IU2      </t>
  </si>
  <si>
    <t xml:space="preserve">  4001-7402-BAG    26.895KG   22017590    (200521191)        </t>
  </si>
  <si>
    <t xml:space="preserve">0008562648  BFL4000U-WH3150-BAG    2114.8KG   22017663    (200572732)  IL2      </t>
  </si>
  <si>
    <t xml:space="preserve">0008551165  123R-BL9F006X-BAG    2113.4KG   22021290    (200570636)  IL2      </t>
  </si>
  <si>
    <t xml:space="preserve">0008297828  EXL9414T-NA8E034T-BAG    100KG   22039947    (200542010)  IX2      </t>
  </si>
  <si>
    <t xml:space="preserve">0008491204  143R-3G7A4190T-    2000KG   299905765    (200562725)  IL2      </t>
  </si>
  <si>
    <t xml:space="preserve">  420-1001-BAG    1000KG   22021631    (200547338)  IV2      </t>
  </si>
  <si>
    <t xml:space="preserve">0008354360  EXL1414-9G7A2995-    100KG   299903374    (200551218)  IX2      </t>
  </si>
  <si>
    <t xml:space="preserve">0008375990  123R-701-BAG    1994.814KG   22017535    (200554876)  IL2      </t>
  </si>
  <si>
    <t xml:space="preserve">0008551947  C6600-7M3D029-BAG    523.05KG   22031791    (200570787)  IL2      </t>
  </si>
  <si>
    <t xml:space="preserve">0008297396  505RU-WH8E372-BAG    1000KG   22029849    (200541914)  IL2      </t>
  </si>
  <si>
    <t xml:space="preserve">0008250785  505RU-7T8D558-BAG    100KG   22031252    (200537987)  IL2      </t>
  </si>
  <si>
    <t xml:space="preserve">  505RU-WH8E372-BAG    1000KG   22029849    (200562298)  IL2      </t>
  </si>
  <si>
    <t xml:space="preserve">0008571860  121R-112-BAG    15299.999KG   22017531    (200573845)  IL2      </t>
  </si>
  <si>
    <t xml:space="preserve">  C6600-111-BAG    20000KG   22018361    (97350978)  IY4      </t>
  </si>
  <si>
    <t xml:space="preserve">0008322817  141R-GY5G126-BAG    10000KG   22028666    (200547777)  IL2      </t>
  </si>
  <si>
    <t xml:space="preserve">0008538811  5220U-1001-BAG    10000KG   22017603    (200568789)  IV2      </t>
  </si>
  <si>
    <t xml:space="preserve">0007601214  420-1001-BAG    10000KG   22021631    (200495921)  IV2      </t>
  </si>
  <si>
    <t xml:space="preserve">0008370741  CY8630-701-BAG    20000KG   22089617    (200553321)  IY2      </t>
  </si>
  <si>
    <t xml:space="preserve">0007622342  1105-78211-BAG    10000KG   22030691    (200498223)  IV2      </t>
  </si>
  <si>
    <t xml:space="preserve">0007601272  420-BK1066-BAG    10000KG   22021633    (200496030)  IV2      </t>
  </si>
  <si>
    <t xml:space="preserve">0008347451  C1200HF-GY6G152-BAG    5000KG   22034465    (200549469)  IY2      </t>
  </si>
  <si>
    <t xml:space="preserve">0008563106  DR51-1001-BAG    12120KG   22017180    (200572843)  IV2      </t>
  </si>
  <si>
    <t xml:space="preserve">0008370744  CY8630-701-BAG    20000KG   22089617    (200553402)  IY2      </t>
  </si>
  <si>
    <t xml:space="preserve">  508-BK1066-BAG    20000KG   22021921    (200494168)  IV2      </t>
  </si>
  <si>
    <t xml:space="preserve">  420-1001-BAG    3000KG   22021631    (200563947)  IV2      </t>
  </si>
  <si>
    <t xml:space="preserve">  420-1001-BAG    3000KG   22021631    (200542038)  IV2      </t>
  </si>
  <si>
    <t xml:space="preserve">  CY8630-701-BAG    20000KG   22089617    (200553403)  IY2      </t>
  </si>
  <si>
    <t xml:space="preserve">  420-BK1066-BAG    10000KG   22021633    (200496009)  IV2      </t>
  </si>
  <si>
    <t xml:space="preserve">  420-1001-BAG    10000KG   22021631    (200496006)  IV2      </t>
  </si>
  <si>
    <t xml:space="preserve">  420-BK1066-BAG    10000KG   22021633    (200496045)  IV2      </t>
  </si>
  <si>
    <t xml:space="preserve">  508-BK1066-BAG    20000KG   22021921    (200544218)  IV2      </t>
  </si>
  <si>
    <t xml:space="preserve">  CY8630-701-BAG    20000KG   22089617    (200553404)  IY2      </t>
  </si>
  <si>
    <t xml:space="preserve">  C1200HF-GY1D457U-BAG    10000KG   22029050    (200496028)        </t>
  </si>
  <si>
    <t xml:space="preserve">  420-1001-BAG    3000KG   22021631    (200542108)  IV2      </t>
  </si>
  <si>
    <t xml:space="preserve">  945-GY2E572-BAG    5000KG   22034256    (200551452)  IL2      </t>
  </si>
  <si>
    <t xml:space="preserve">  945-701-BAG    10000KG   22019581    (94510312)  IL1      </t>
  </si>
  <si>
    <t xml:space="preserve">0008598442  EXL1414T-7A1D040-BAG    4040KG   22039729    (200576397)  IX2      </t>
  </si>
  <si>
    <t xml:space="preserve">  3412ECR-739-BAG    20000KG   22017144    (97351796)  IL1      </t>
  </si>
  <si>
    <t xml:space="preserve">0008469000  CX7211-BK1005-BAG    20000KG   22022719    (200561039)  IY2      </t>
  </si>
  <si>
    <t xml:space="preserve">  945-701-BAG    10000KG   22019581    (94510313)  IL1      </t>
  </si>
  <si>
    <t xml:space="preserve">  3412ECR-739-BAG    20000KG   22017144    (97351799)  IL1      </t>
  </si>
  <si>
    <t xml:space="preserve">  C2950-701-BAG    25000KG   22022271    (97368151)  IY1      </t>
  </si>
  <si>
    <t xml:space="preserve">  3412ECR-739-BAG    20000KG   22017144    (97351798)  IL1      </t>
  </si>
  <si>
    <t xml:space="preserve">  C2950-701-BAG    20000KG   22022271    (97368150)  IY1      </t>
  </si>
  <si>
    <t xml:space="preserve">  CX7211-BK1005-BAG    5085KG   22022719    (200576604)  IY2      </t>
  </si>
  <si>
    <t xml:space="preserve">  141R-GY6A427-BAG    20000KG   22030748    (97375705)  IL1      </t>
  </si>
  <si>
    <t xml:space="preserve">0007574055  121R-111-BAG    10000KG   22019125    (200494073)  IL2      </t>
  </si>
  <si>
    <t xml:space="preserve">  141R-GY6A427-BAG    20000KG   22030748    (97375708)  IL1      </t>
  </si>
  <si>
    <t xml:space="preserve">0008578396  241R-111-BAG    20200KG   22019277    (200574655)  IL2      </t>
  </si>
  <si>
    <t xml:space="preserve">0008554229  144R-111FC-BAG    10200KG   22021418    (200570972)  IL2      </t>
  </si>
  <si>
    <t xml:space="preserve">  141R-GY6A427-BAG    20000KG   22030748    (97375710)  IL1      </t>
  </si>
  <si>
    <t xml:space="preserve">  141R-GY6A427-BAG    10000KG   22030748    (97375709)  IL1      </t>
  </si>
  <si>
    <t xml:space="preserve">0008571830  141R-112-BAG    15000KG   22021351    (200573773)  IL2      </t>
  </si>
  <si>
    <t xml:space="preserve">0008219001  143R-WH8G674-BAG    20000KG   22088923    (200531849)  IL2      </t>
  </si>
  <si>
    <t xml:space="preserve">0008583164  143R-111-BAG    10100KG   22021389    (200574998)  IL2      </t>
  </si>
  <si>
    <t xml:space="preserve">  141R-GY6A427-BAG    20000KG   22030748    (97375704)  IL1      </t>
  </si>
  <si>
    <t xml:space="preserve">0008441922  143R-111-BAG    5000KG   22021389    (200560212)  IL2      </t>
  </si>
  <si>
    <t xml:space="preserve">0007574107  141R-111-BAG    10000KG   22018087    (200494075)  IL2      </t>
  </si>
  <si>
    <t xml:space="preserve">0008441839  121R-111-BAG    15000KG   22019125    (200560234)  IL2      </t>
  </si>
  <si>
    <t xml:space="preserve">0008533151  241R-111-BAG    10000KG   22019277    (200567421)  IL2      </t>
  </si>
  <si>
    <t xml:space="preserve">  141R-GY6A427-BAG    20000KG   22030748    (97375702)  IL1      </t>
  </si>
  <si>
    <t xml:space="preserve">  141R-GY6A427-BAG    20000KG   22030748    (97375703)  IL1      </t>
  </si>
  <si>
    <t xml:space="preserve">  LS2-RD4B057T-BAG    20000KG   22036922    (200498097)  IL2      </t>
  </si>
  <si>
    <t xml:space="preserve">  141R-111-BAG    10000KG   22018087    (200494021)  IL2      </t>
  </si>
  <si>
    <t xml:space="preserve">  121R-111-BAG    10000KG   22019125    (200507105)  IL2      </t>
  </si>
  <si>
    <t xml:space="preserve">  143R-WH8G674-BAG    20000KG   22088923    (200531850)  IL2      </t>
  </si>
  <si>
    <t xml:space="preserve">  241R-111-BAG    10000KG   22019277    (200506650)  IL2      </t>
  </si>
  <si>
    <t xml:space="preserve">  241S-WH4113-BAG    20000KG   22031083    (94604318)        </t>
  </si>
  <si>
    <t xml:space="preserve">  241S-WH4113-BAG    20000KG   22031083    (94604319)        </t>
  </si>
  <si>
    <t xml:space="preserve">  241S-WH4113-BAG    20000KG   22031083    (94604320)        </t>
  </si>
  <si>
    <t xml:space="preserve">  141R-111-BAG    10000KG   22018087    (200494122)  IL2      </t>
  </si>
  <si>
    <t xml:space="preserve">  121R-111-BAG    10000KG   22019125    (200507106)  IL2      </t>
  </si>
  <si>
    <t xml:space="preserve">  LS2-RD4B057T-BAG    20000KG   22036922    (200498098)  IL2      </t>
  </si>
  <si>
    <t xml:space="preserve">0008571081  505RU-GY2E539-BAG    5077KG   22031253    (200573713)  IL2      </t>
  </si>
  <si>
    <t xml:space="preserve">  C6600-701-BAG    10000KG   22039680    (97353691)  IY1      </t>
  </si>
  <si>
    <t xml:space="preserve">  3412ECR-739-BAG    20000KG   22017144    (95454757)  IL1      </t>
  </si>
  <si>
    <t xml:space="preserve">  C2950-701-BAG    20000KG   22022271    (95996170)  IY1      </t>
  </si>
  <si>
    <t xml:space="preserve">  C2950-701-BAG    25000KG   22022271    (97368148)  IY1      </t>
  </si>
  <si>
    <t xml:space="preserve">  3412ECR-739-BAG    20000KG   22017144    (97351797)  IL1      </t>
  </si>
  <si>
    <t xml:space="preserve">0008349943  C6200-701-BAG    20000KG   22018354    (200550121)  IY1      </t>
  </si>
  <si>
    <t xml:space="preserve">0008537947  505RU-GY2E539-BAG    3000KG   22031253    (200568575)  IL2      </t>
  </si>
  <si>
    <t xml:space="preserve">  C6600-701-BAG    10000KG   22039680    (97353692)  IY1      </t>
  </si>
  <si>
    <t xml:space="preserve">  C2950-701-BAG    20000KG   22022271    (97368149)  IY1      </t>
  </si>
  <si>
    <t xml:space="preserve">  C6600-701-BAG    10000KG   22039680    (97350981)  IY1      </t>
  </si>
  <si>
    <t xml:space="preserve">  505RU-7T1D073-BAG    5000KG   22031251    (200562479)  IL2      </t>
  </si>
  <si>
    <t xml:space="preserve">  C6600-7B1D005-BAG    5000KG   22039683    (200550555)        </t>
  </si>
  <si>
    <t xml:space="preserve">  141R-701-BAG    20000KG   22021359    (77255852)  IL1      </t>
  </si>
  <si>
    <t xml:space="preserve">  141R-701-BAG    20000KG   22021359    (77255854)  IL1      </t>
  </si>
  <si>
    <t xml:space="preserve">  141R-701-BAG    20000KG   22021359    (77255853)  IL1      </t>
  </si>
  <si>
    <t xml:space="preserve">  141R-701-BAG    20000KG   22021359    (72974333)  IL1      </t>
  </si>
  <si>
    <t xml:space="preserve">0008349954  C6200-701-BAG    20000KG   22018354    (200550263)  IY1      </t>
  </si>
  <si>
    <t xml:space="preserve">  141R-701-BAG    20000KG   22021359    (75336086)  IL1      </t>
  </si>
  <si>
    <t xml:space="preserve">  141R-701-BAG    20000KG   22021359    (75336093)  IL1      </t>
  </si>
  <si>
    <t xml:space="preserve">  141R-701-BAG    20000KG   22021359    (94716241)  IL1      </t>
  </si>
  <si>
    <t xml:space="preserve">0008349950  C6200-701-BAG    20000KG   22018354    (200550262)  IY1      </t>
  </si>
  <si>
    <t xml:space="preserve">  141R-701-BAG    20000KG   22021359    (94716242)  IL1      </t>
  </si>
  <si>
    <t xml:space="preserve">  141R-701-BAG    20000KG   22021359    (86376346)  IL1      </t>
  </si>
  <si>
    <t xml:space="preserve">  141R-701-BAG    20000KG   22021359    (94716243)  IL1      </t>
  </si>
  <si>
    <t xml:space="preserve">  141R-701-BAG    20000KG   22021359    (94716244)  IL1      </t>
  </si>
  <si>
    <t xml:space="preserve">0007566757  123R-GY2G415-BAG    10000KG   22043778    (200493234)  IL2      </t>
  </si>
  <si>
    <t xml:space="preserve">0008552002  MC8002-701-BAG    5050KG   22023863    (200570809)  IY2      </t>
  </si>
  <si>
    <t xml:space="preserve">  141R-701-BAG    20000KG   22021359    (94715499)  IL1      </t>
  </si>
  <si>
    <t xml:space="preserve">  141R-701-BAG    20000KG   22021359    (83539337)  IL1      </t>
  </si>
  <si>
    <t xml:space="preserve">  141R-701-BAG    20000KG   22021359    (94715498)  IL1      </t>
  </si>
  <si>
    <t xml:space="preserve">  141R-701-BAG    20000KG   22021359    (83539338)  IL1      </t>
  </si>
  <si>
    <t xml:space="preserve">  141R-701-BAG    20000KG   22021359    (75336080)  IL1      </t>
  </si>
  <si>
    <t xml:space="preserve">  141R-701-BAG    20000KG   22021359    (94715500)  IL1      </t>
  </si>
  <si>
    <t xml:space="preserve">  141R-701-BAG    20000KG   22021359    (94715501)  IL1      </t>
  </si>
  <si>
    <t xml:space="preserve">  G3220A-10000-BAG    19000KG   22017397    (200563931)        </t>
  </si>
  <si>
    <t xml:space="preserve">  G3220A-10000-BAG    3000KG   22017397    (200563865)        </t>
  </si>
  <si>
    <t xml:space="preserve">  G3220A-10000-BAG    19000KG   22017397    (200563932)        </t>
  </si>
  <si>
    <t xml:space="preserve">  G3220A-10000-BAG    20000KG   22017397    (200563905)        </t>
  </si>
  <si>
    <t xml:space="preserve">  C1200HF-GY4H029-    5000KG   299900552    (200500423)  IY2      </t>
  </si>
  <si>
    <t xml:space="preserve">  7530-14600-OCT    40799.998KG   22098314    (200573606)  IP2      </t>
  </si>
  <si>
    <t xml:space="preserve">  C1200HF-GY6G152-BAG    5067KG   22034465    (200575060)  IY2      </t>
  </si>
  <si>
    <t xml:space="preserve">  141R-701-BAG    20000KG   22021359    (94700215)  IL1      </t>
  </si>
  <si>
    <t xml:space="preserve">  141R-701-BAG    20000KG   22021359    (94700214)  IL1      </t>
  </si>
  <si>
    <t xml:space="preserve">  141R-701-BAG    20000KG   22021359    (94700216)  IL1      </t>
  </si>
  <si>
    <t xml:space="preserve">  141R-701-BAG    20000KG   22021359    (94700217)  IL1      </t>
  </si>
  <si>
    <t xml:space="preserve">  141R-701-BAG    20000KG   22021359    (94700218)  IL1      </t>
  </si>
  <si>
    <t xml:space="preserve">  141R-701-BAG    20000KG   22021359    (94700219)  IL1      </t>
  </si>
  <si>
    <t xml:space="preserve">  141R-701-BAG    20000KG   22021359    (94700223)  IL1      </t>
  </si>
  <si>
    <t xml:space="preserve">  141R-701-BAG    20000KG   22021359    (94700222)  IL1      </t>
  </si>
  <si>
    <t xml:space="preserve">  141R-701-BAG    20000KG   22021359    (94700220)  IL1      </t>
  </si>
  <si>
    <t xml:space="preserve">  141R-701-BAG    20000KG   22021359    (94700221)  IL1      </t>
  </si>
  <si>
    <t xml:space="preserve">  141R-701-BAG    20000KG   22021359    (94700224)  IL1      </t>
  </si>
  <si>
    <t xml:space="preserve">  141R-701-BAG    20000KG   22021359    (94700225)  IL1      </t>
  </si>
  <si>
    <t xml:space="preserve">  G3220A-10000-BAG    19000KG   22017397    (200563840)        </t>
  </si>
  <si>
    <t xml:space="preserve">  121R-701-BAG    10000KG   22021257    (200495979)        </t>
  </si>
  <si>
    <t xml:space="preserve">0008398243  ENH2900-8A9D020-BAG    1000KG   22022996    (200557945)  IV2      </t>
  </si>
  <si>
    <t xml:space="preserve">0008551134  123R-WH9450-BAG    2078KG   22030951    (200570663)  IL2      </t>
  </si>
  <si>
    <t xml:space="preserve">0008305669  C6600-WH9A311-BAG    2000KG   22018379    (200543516)  IY2      </t>
  </si>
  <si>
    <t xml:space="preserve">0007601116  141R-WH8G792-BAG    5000KG   22033228    (200495961)  IL2      </t>
  </si>
  <si>
    <t xml:space="preserve">0007601104  141R-WH8G792-BAG    5000KG   22033228    (200495972)  IL2      </t>
  </si>
  <si>
    <t xml:space="preserve">0007601177  143R-WH9G485-BAG    5000KG   22044333    (200496025)  IL2      </t>
  </si>
  <si>
    <t xml:space="preserve">  C6600-WH9A311-BAG    2000KG   22018379    (200557304)  IY2      </t>
  </si>
  <si>
    <t xml:space="preserve">0008524764  6620U-BK1066-BAG    1000KG   22033864    (200566030)  IV2      </t>
  </si>
  <si>
    <t xml:space="preserve">0008570176  5220U-WH9G575-BAG    1038KG   22038028    (200573682)  IV2      </t>
  </si>
  <si>
    <t xml:space="preserve">0008550669  143R-701-BAG    2045KG   22021393    (200570394)  IL2      </t>
  </si>
  <si>
    <t xml:space="preserve">0008598463  1731-1001-BAG    1058KG   22019215    (200576466)  IV2      </t>
  </si>
  <si>
    <t xml:space="preserve">0008443143  CL100-7001-BAG    10000KG   22039079    (200560326)  IV2      </t>
  </si>
  <si>
    <t xml:space="preserve">0008538006  505RU-7T1D073-BAG    1000KG   22031251    (200568663)  IL2      </t>
  </si>
  <si>
    <t xml:space="preserve">0008552007  MC8002-WH9C274-BAG    2055.8KG   22040648    (200570717)  IY2      </t>
  </si>
  <si>
    <t xml:space="preserve">0008232950  C6600-7T6D253-BAG    1000KG   22084473    (200534819)  IY2      </t>
  </si>
  <si>
    <t xml:space="preserve">0008416404  5220U-BL1A569-BAG    1000KG   22019416    (200559101)  IV2      </t>
  </si>
  <si>
    <t xml:space="preserve">  505RU-8T8D118-BAG    2060.8KG   22029848    (200571725)        </t>
  </si>
  <si>
    <t xml:space="preserve">  CL100-7001-BAG    5000KG   22039079    (200499146)  IV2      </t>
  </si>
  <si>
    <t xml:space="preserve">  CX2244ME-7T5D428-BAG    3000KG   22088391    (96103083)        </t>
  </si>
  <si>
    <t xml:space="preserve">  DR51-7001-BAG    2000KG   22028156    (200535980)        </t>
  </si>
  <si>
    <t xml:space="preserve">  WFL34-YWNAT-BAG    1000KG   22037724    (200566202)        </t>
  </si>
  <si>
    <t>L01</t>
  </si>
  <si>
    <t>L03</t>
  </si>
  <si>
    <t>L04</t>
  </si>
  <si>
    <t>L05</t>
  </si>
  <si>
    <t>L06</t>
  </si>
  <si>
    <t>L07</t>
  </si>
  <si>
    <t>L08</t>
  </si>
  <si>
    <t>L09</t>
  </si>
  <si>
    <t>L10</t>
  </si>
  <si>
    <t>L11</t>
  </si>
  <si>
    <t>L21</t>
  </si>
  <si>
    <t>L22</t>
  </si>
  <si>
    <t>L23</t>
  </si>
  <si>
    <t>L24</t>
  </si>
  <si>
    <t>L31</t>
  </si>
  <si>
    <t>L32</t>
  </si>
  <si>
    <t>L33</t>
  </si>
  <si>
    <t>L34</t>
  </si>
  <si>
    <t>L35</t>
  </si>
  <si>
    <t>L36</t>
  </si>
  <si>
    <t>L41</t>
  </si>
  <si>
    <t xml:space="preserve">PO remark database </t>
  </si>
  <si>
    <t xml:space="preserve">  500R-131-BAG    10000KG   22018199    (96011956)  IL4     Br.   </t>
  </si>
  <si>
    <t xml:space="preserve">0008345965  3413R-GY1D257-BAG    5000KG   22033634    (200549038)  IL2     Br.   </t>
  </si>
  <si>
    <t xml:space="preserve">  943A-116-BAG    5107.5KG   22017080    (98133786)       Br.   </t>
  </si>
  <si>
    <t xml:space="preserve">  940A-116-BAG    20388KG   22022020    (97774437)  IL4     Br.   </t>
  </si>
  <si>
    <t xml:space="preserve">0008419307  940-GY6123-BAG    10000KG   22019556    (200559298)  IL2     Br.   </t>
  </si>
  <si>
    <t xml:space="preserve">  CX2244ME-8T8D280-BAG    4000KG   22088072    (96103090)       Br.   </t>
  </si>
  <si>
    <t xml:space="preserve">  940-GY6123-BAG    10194KG   22019556    (200576584)  IL2     Br.   </t>
  </si>
  <si>
    <t xml:space="preserve">  143R-71257-BAG    2000KG   22037594    (200495918)       Br.   </t>
  </si>
  <si>
    <t xml:space="preserve">0008248035  364-1001-BAG    500KG   22038585    (200537651)  IV2     Br.   </t>
  </si>
  <si>
    <t xml:space="preserve">0008582829  855-YW7A041-BAG    2000KG   22029769    (200575009)  IV2     Br.   </t>
  </si>
  <si>
    <t xml:space="preserve">0008556719  DR48-GY2593-BAG    528.7KG   22035496    (200571833)  IV2     Br.   </t>
  </si>
  <si>
    <t xml:space="preserve">0008321164  357M-BK1066-BAG    500KG   22029685    (200547584)  IV2     Br.   </t>
  </si>
  <si>
    <t xml:space="preserve">0008350010  3706-GY8G367-BAG    1000KG   22033643    (200550287)  IV2     Br.   </t>
  </si>
  <si>
    <t xml:space="preserve">0008565047  FXC630SK-GY5G042M-BAG    26.24KG   22032487    (200572989)  IY2     Br.   </t>
  </si>
  <si>
    <t xml:space="preserve">0008564716  FXC630SK-GY5G042M-BAG    26.24KG   22032487    (200573028)  IY2     Br.   </t>
  </si>
  <si>
    <t xml:space="preserve">0008563859  FXC630SK-GY5G042M-BAG    26.24KG   22032487    (200573025)  IY2     Br.   </t>
  </si>
  <si>
    <t xml:space="preserve">0008563812  FXC630SK-GY5G042M-BAG    78.72KG   22032487    (200572956)  IY2     Br.   </t>
  </si>
  <si>
    <t xml:space="preserve">0007601313  420-WH6E281-BAG    5000KG   22031065    (200496046)  IV2     Br.   </t>
  </si>
  <si>
    <t xml:space="preserve">0008371470  457-GN4072-BAG    1000KG   22031214    (200553584)  IV2     Br.   </t>
  </si>
  <si>
    <t xml:space="preserve">0008581450  553-GY6G326-BAG    500KG   22034195    (200574866)  IV2     Br.   </t>
  </si>
  <si>
    <t xml:space="preserve">0008345813  DR48-7001-BAG    1000KG   22027892    (200549070)  IV2     Br.   </t>
  </si>
  <si>
    <t xml:space="preserve">0008227792  553U-2R4A1010-    225KG   299901392    (200533483)  IV2     Br.   </t>
  </si>
  <si>
    <t xml:space="preserve">0007730316  CR7500-BK1041-BAG    2000KG   22019769    (200508789)  IC2     Br.   </t>
  </si>
  <si>
    <t xml:space="preserve">  X4820-YW3D010-BAG    2000KG   22025024    (200554558)       Br.   </t>
  </si>
  <si>
    <t xml:space="preserve">  553-OR5G078-BAG    2114.8KG   22038042    (200574889)  IV2     Br.   </t>
  </si>
  <si>
    <t xml:space="preserve">  855-1001-BAG    2000KG   22019477    (200567208)  IV2     Br.   </t>
  </si>
  <si>
    <t xml:space="preserve">  457-GN4072-BAG    1000KG   22031214    (200561550)  IV2     Br.   </t>
  </si>
  <si>
    <t xml:space="preserve">  3414R-739-BAG    2000KG   22021743    (200558756)  IL2     Br.   </t>
  </si>
  <si>
    <t xml:space="preserve">  X4820-YW3D010-BAG    2139.8KG   22025024    (200574859)       Br.   </t>
  </si>
  <si>
    <t xml:space="preserve">  HRA170-GY6E500U-BAG    2000KG   22036440    (93270841)       Br.   </t>
  </si>
  <si>
    <t xml:space="preserve">0008532944  HRA222-BK1A021-BAG    2000KG   22032595    (200567362)  IC2     Br.   </t>
  </si>
  <si>
    <t xml:space="preserve">0008571096  505RU-YW6E070-BAG    2092.2KG   22031255    (200573678)  IL2     Br.   </t>
  </si>
  <si>
    <t xml:space="preserve">0008450109  LS2-7056-BAG    2000KG   22041034    (200560551)  IL2     Br.   </t>
  </si>
  <si>
    <t xml:space="preserve">0008551923  C6600-GY5A405-BAG    523.05KG   22038955    (200570773)  IY2     Br.   </t>
  </si>
  <si>
    <t xml:space="preserve">0007823525  505RU-WH9F090-BAG    2000KG   22033788    (200517901)  IL2     Br.   </t>
  </si>
  <si>
    <t xml:space="preserve">0008562506  LF1520A-BK1005-BAG    2092.2KG   22023993    (200572729)  IT2     Br.   </t>
  </si>
  <si>
    <t xml:space="preserve">  505RU-YW6E070-BAG    2000KG   22031255    (200568557)  IL2     Br.   </t>
  </si>
  <si>
    <t xml:space="preserve">  C6600-7M7D027-BAG    1046.1KG   22022553    (200570784)  IY2     Br.   </t>
  </si>
  <si>
    <t xml:space="preserve">  505RU-WH9F090-BAG    2000KG   22033788    (200542879)  IL2     Br.   </t>
  </si>
  <si>
    <t xml:space="preserve">0008525474  940A-110-BAG    5000KG   22039132    (200566129)  IL2     Br.   </t>
  </si>
  <si>
    <t xml:space="preserve">  357-1001-BAG    20200KG   22019323    (98128775)  IV1     Br.   </t>
  </si>
  <si>
    <t xml:space="preserve">  5220U-YW6A028-BAG    20000KG   22019425    (97376577)  IV1     Br.   </t>
  </si>
  <si>
    <t xml:space="preserve">  C1200HF-RD3G073-BAG    20000KG   22029056    (97351049)  IY1     Br.   </t>
  </si>
  <si>
    <t xml:space="preserve">0008357057  241S-WH9G203-BAG    20000KG   22031084    (200551388)  IL2     Br.   </t>
  </si>
  <si>
    <t xml:space="preserve">0008374774  C1200HF-WH8334-BAG    5000KG   22022244    (200554585)  IY2     Br.   </t>
  </si>
  <si>
    <t xml:space="preserve">  905-BK1G030-BAG    10000KG   22029773    (200554909)       Br.   </t>
  </si>
  <si>
    <t xml:space="preserve">0008552021  LS2-6162-BAG    10100KG   22018730    (200570777)  IL2     Br.   </t>
  </si>
  <si>
    <t xml:space="preserve">0008551143  123R-WH5E042X-BAG    5099KG   22029559    (200570665)  IL2     Br.   </t>
  </si>
  <si>
    <t xml:space="preserve">0008552027  LS2-6162-BAG    10100KG   22018730    (200570810)  IL2     Br.   </t>
  </si>
  <si>
    <t xml:space="preserve">0008423314  500R-73234-BAG    10000KG   22038722    (200559562)  IL2     Br.   </t>
  </si>
  <si>
    <t xml:space="preserve">0008375339  500R-GY6E402-BAG    10000KG   22033751    (200554724)  IL2     Br.   </t>
  </si>
  <si>
    <t xml:space="preserve">  C6200-OR5B049-BAG    5050KG   22038832    (200576655)       Br.   </t>
  </si>
  <si>
    <t xml:space="preserve">  925-GY1G168-BAG    8100KG   22034407    (200528408)  IL2     Br.   </t>
  </si>
  <si>
    <t xml:space="preserve">  DR48-BK1066-BAG    20000KG   22017721    (87586011)  IV1     Br.   </t>
  </si>
  <si>
    <t xml:space="preserve">0008415139  V4860HR-BK1066-BAG    5000KG   22024826    (200558839)  IV2     Br.   </t>
  </si>
  <si>
    <t xml:space="preserve">0007301723  357-BK1066-BAG    20376KG   22017581    (200468016)  IV1     Br.   </t>
  </si>
  <si>
    <t xml:space="preserve">  DR48-BK1066-BAG    10125KG   22017721    (97776458)  IV1     Br.   </t>
  </si>
  <si>
    <t xml:space="preserve">0008533546  364-WH8G708-BAG    5350KG   22028630    (200567432)  IV2     Br.   </t>
  </si>
  <si>
    <t xml:space="preserve">0008556239  310SE0-7001-BAG    4077.6KG   22031109    (200571680)  IV2     Br.   </t>
  </si>
  <si>
    <t xml:space="preserve">  357-BK1066-BAG    20000KG   22017581    (97353507)  IV1     Br.   </t>
  </si>
  <si>
    <t xml:space="preserve">  DR48-BK1066-BAG    20250KG   22017721    (97695116)  IV1     Br.   </t>
  </si>
  <si>
    <t xml:space="preserve">  357-BK1066-BAG    20376KG   22017581    (98075114)  IV1     Br.   </t>
  </si>
  <si>
    <t xml:space="preserve">  553-1001-BAG    5123.5KG   22019426    (97774440)  IV1     Br.   </t>
  </si>
  <si>
    <t xml:space="preserve">  V3900WX-7M8D027-BAG    5000KG   22032797    (200547366)       Br.   </t>
  </si>
  <si>
    <t xml:space="preserve">  357U-GY8F076-BAG    20000KG   22033942    (200562844)  IV2     Br.   </t>
  </si>
  <si>
    <t xml:space="preserve">  V3900WX-WH8E373-BAG    10000KG   22041108    (200556149)  IV2     Br.   </t>
  </si>
  <si>
    <t xml:space="preserve">  V3900WX-GY8E431-BAG    5129KG   22020960    (200572837)  IV2     Br.   </t>
  </si>
  <si>
    <t xml:space="preserve">  553-1001-BAG    5123.5KG   22019426    (97774441)  IV1     Br.   </t>
  </si>
  <si>
    <t xml:space="preserve">  DR48-BK1762-BAG    20250KG   22035492    (200570598)       Br.   </t>
  </si>
  <si>
    <t xml:space="preserve">  553-1001-BAG    7172.9KG   22019426    (97744169)  IV1     Br.   </t>
  </si>
  <si>
    <t xml:space="preserve">  PCN2910-BK1D694-BAG    20000KG   22030621    (97083371)        </t>
    <phoneticPr fontId="6" type="noConversion"/>
  </si>
  <si>
    <t xml:space="preserve">  GFN20-701-BAG    10140KG   22095416    (97755549)  IN1      </t>
    <phoneticPr fontId="6" type="noConversion"/>
  </si>
  <si>
    <t xml:space="preserve">  GFN20-701-BAG    10140KG   22095416    (97756323)  IN1      </t>
    <phoneticPr fontId="6" type="noConversion"/>
  </si>
  <si>
    <t xml:space="preserve">0008599414  PX2906-701-BAG    5070KG   22032847    (200576568)  IN2      </t>
    <phoneticPr fontId="6" type="noConversion"/>
  </si>
  <si>
    <t xml:space="preserve">  SE1GFN2-701-BAG    20000KG   22024913    (96169138)  IN1      </t>
    <phoneticPr fontId="6" type="noConversion"/>
  </si>
  <si>
    <t xml:space="preserve">  PX1600X-701-BAG    10140KG   22017944    (86323985)  IN1      </t>
    <phoneticPr fontId="6" type="noConversion"/>
  </si>
  <si>
    <t xml:space="preserve">  PCN2910-BK1D694-BAG    20000KG   22030621    (97083828)        </t>
    <phoneticPr fontId="6" type="noConversion"/>
  </si>
  <si>
    <t xml:space="preserve">  GFN20-701-BAG    10140KG   22095416    (97793105)  IN1      </t>
    <phoneticPr fontId="6" type="noConversion"/>
  </si>
  <si>
    <t xml:space="preserve">  PCN2910-BK1D694-BAG    20280KG   22030621    (97776874)        </t>
    <phoneticPr fontId="6" type="noConversion"/>
  </si>
  <si>
    <t xml:space="preserve">  SE1GFN1-701-BAG    20000KG   22024908    (200431428)  IN2      </t>
    <phoneticPr fontId="6" type="noConversion"/>
  </si>
  <si>
    <t xml:space="preserve">  PCN2910-BK1D694-BAG    20280KG   22030621    (98075108)        </t>
    <phoneticPr fontId="6" type="noConversion"/>
  </si>
  <si>
    <t xml:space="preserve">  HM4025H-7A1D372-BAG    10140KG   22098482    (200571751)        </t>
    <phoneticPr fontId="6" type="noConversion"/>
  </si>
  <si>
    <t xml:space="preserve">  HM4025H-75001-BAG    20000KG   22040915    (92323059)        </t>
    <phoneticPr fontId="6" type="noConversion"/>
  </si>
  <si>
    <t xml:space="preserve">  HM4025H-75001-BAG    20000KG   22040915    (95998002)        </t>
    <phoneticPr fontId="6" type="noConversion"/>
  </si>
  <si>
    <t xml:space="preserve">  SE1GFN1-701-BAG    10000KG   22024908    (200431356)  IN2      </t>
    <phoneticPr fontId="6" type="noConversion"/>
  </si>
  <si>
    <t xml:space="preserve">  GFN20F-N780S-BAG    10247KG   22095737    (97695106)        </t>
    <phoneticPr fontId="6" type="noConversion"/>
  </si>
  <si>
    <t xml:space="preserve">  GFN20F-701S-BAG    10000KG   22095736    (97080838)        </t>
    <phoneticPr fontId="6" type="noConversion"/>
  </si>
  <si>
    <t xml:space="preserve">  GFN20F-701S-BAG    10000KG   22095736    (97084274)        </t>
    <phoneticPr fontId="6" type="noConversion"/>
  </si>
  <si>
    <t xml:space="preserve">  HS2000X-701-BAG    10000KG   22023606    (90238106)        </t>
    <phoneticPr fontId="6" type="noConversion"/>
  </si>
  <si>
    <t xml:space="preserve">  PX9406-780-BAG    10247KG   22020783    (97792842)  IN1      </t>
    <phoneticPr fontId="6" type="noConversion"/>
  </si>
  <si>
    <t xml:space="preserve">0008544565  N190X-7N4D004-BAG    10000KG   22030522    (200569521)  IN2      </t>
    <phoneticPr fontId="6" type="noConversion"/>
  </si>
  <si>
    <t xml:space="preserve">0008314178  N1250-BK1066-BAG    5000KG   22040824    (200545584)  IN2      </t>
    <phoneticPr fontId="6" type="noConversion"/>
  </si>
  <si>
    <t xml:space="preserve">  HS2000X-111-BAG    10256KG   22023605    (94769879)  IN1      </t>
    <phoneticPr fontId="6" type="noConversion"/>
  </si>
  <si>
    <t xml:space="preserve">  N300X-701-BAG    20000KG   22018853    (95448250)        </t>
    <phoneticPr fontId="6" type="noConversion"/>
  </si>
  <si>
    <t xml:space="preserve">  HS2000X-WH8C022-BAG    20512KG   22036470    (97794074)        </t>
    <phoneticPr fontId="6" type="noConversion"/>
  </si>
  <si>
    <t xml:space="preserve">  SE1X-701-BAG    20494KG   22024919    (97788172)  IN4      </t>
    <phoneticPr fontId="6" type="noConversion"/>
  </si>
  <si>
    <t xml:space="preserve">  N300X-701-BAG    20494KG   22018853    (97792831)        </t>
    <phoneticPr fontId="6" type="noConversion"/>
  </si>
  <si>
    <t xml:space="preserve">  GFN20F-N780S-BAG    10000KG   22095737    (96000254)        </t>
    <phoneticPr fontId="6" type="noConversion"/>
  </si>
  <si>
    <t xml:space="preserve">0008562545  N225X-701-BAG    5123.5KG   22024508    (200572751)  IN2      </t>
    <phoneticPr fontId="6" type="noConversion"/>
  </si>
  <si>
    <t xml:space="preserve">  N300X-701-BAG    20494KG   22018853    (97793887)        </t>
    <phoneticPr fontId="6" type="noConversion"/>
  </si>
  <si>
    <t xml:space="preserve">  GFN20F-N780S-BAG    10247KG   22095737    (97792123)        </t>
    <phoneticPr fontId="6" type="noConversion"/>
  </si>
  <si>
    <t xml:space="preserve">  GFN20F-701S-BAG    10247KG   22095736    (97969592)        </t>
    <phoneticPr fontId="6" type="noConversion"/>
  </si>
  <si>
    <t xml:space="preserve">0008314190  N1250-BK1066-BAG    5000KG   22040824    (200545535)  IN2      </t>
    <phoneticPr fontId="6" type="noConversion"/>
  </si>
  <si>
    <t xml:space="preserve">  N300X-701-BAG    20494KG   22018853    (97793911)        </t>
    <phoneticPr fontId="6" type="noConversion"/>
  </si>
  <si>
    <t xml:space="preserve">  GFN30F-701S-BAG    10247KG   22095738    (98132545)  IN4      </t>
    <phoneticPr fontId="6" type="noConversion"/>
  </si>
  <si>
    <t xml:space="preserve">  HS2000X-WH8C022-BAG    20512KG   22036470    (97792771)        </t>
    <phoneticPr fontId="6" type="noConversion"/>
  </si>
  <si>
    <t xml:space="preserve">  GFN20F-701S-BAG    10247KG   22095736    (98075109)        </t>
    <phoneticPr fontId="6" type="noConversion"/>
  </si>
  <si>
    <t xml:space="preserve">  SE1X-701-BAG    10247KG   22024919    (97788984)  IN4      </t>
    <phoneticPr fontId="6" type="noConversion"/>
  </si>
  <si>
    <t xml:space="preserve">  HS2000X-111-BAG    10256KG   22023605    (98128708)  IN1      </t>
    <phoneticPr fontId="6" type="noConversion"/>
  </si>
  <si>
    <t xml:space="preserve">  N300X-701-BAG    10247KG   22018853    (98128260)        </t>
    <phoneticPr fontId="6" type="noConversion"/>
  </si>
  <si>
    <t xml:space="preserve">  GFN1520V-701F-BAG    5123.5KG   22032538    (200573555)        </t>
    <phoneticPr fontId="6" type="noConversion"/>
  </si>
  <si>
    <t xml:space="preserve">  N300X-701-BAG    20494KG   22018853    (98126583)        </t>
    <phoneticPr fontId="6" type="noConversion"/>
  </si>
  <si>
    <t xml:space="preserve">  N300X-701-BAG    10247KG   22018853    (98128259)        </t>
    <phoneticPr fontId="6" type="noConversion"/>
  </si>
  <si>
    <t xml:space="preserve">  GFN20-801-BAG    20000KG   22095158    (200552256)        </t>
    <phoneticPr fontId="6" type="noConversion"/>
  </si>
  <si>
    <t xml:space="preserve">  N1250-BK1066-BAG    5000KG   22040824    (200545603)  IN2      </t>
    <phoneticPr fontId="6" type="noConversion"/>
  </si>
  <si>
    <t xml:space="preserve">  N1250-BK1066-BAG    5000KG   22040824    (200545255)  IN2      </t>
    <phoneticPr fontId="6" type="noConversion"/>
  </si>
  <si>
    <t xml:space="preserve">  GFN1F-701S-BAG    10000KG   22066660    (200559134)  IN2      </t>
    <phoneticPr fontId="6" type="noConversion"/>
  </si>
  <si>
    <t xml:space="preserve">  HS2000X-WH8C022-BAG    20512KG   22036470    (98129933)        </t>
    <phoneticPr fontId="6" type="noConversion"/>
  </si>
  <si>
    <t xml:space="preserve">  N1250-BK1066-BAG    5000KG   22040824    (200545285)  IN2      </t>
    <phoneticPr fontId="6" type="noConversion"/>
  </si>
  <si>
    <t xml:space="preserve">  HS2000X-WH8C022-BAG    20512KG   22036470    (98129934)        </t>
    <phoneticPr fontId="6" type="noConversion"/>
  </si>
  <si>
    <t xml:space="preserve">  500R-131-BAG    10000KG   22018199    (96011956)  IL4     Br.   </t>
    <phoneticPr fontId="6" type="noConversion"/>
  </si>
  <si>
    <t xml:space="preserve">0008345965  3413R-GY1D257-BAG    5000KG   22033634    (200549038)  IL2     Br.   </t>
    <phoneticPr fontId="6" type="noConversion"/>
  </si>
  <si>
    <t xml:space="preserve">  943A-116-BAG    5107.5KG   22017080    (98133786)       Br.   </t>
    <phoneticPr fontId="6" type="noConversion"/>
  </si>
  <si>
    <t xml:space="preserve">  945-NC-BAG    20000KG   22022070    (97350980)        </t>
    <phoneticPr fontId="6" type="noConversion"/>
  </si>
  <si>
    <t xml:space="preserve">  C2950-111-BAG    20000KG   22022267    (97353504)  IY1      </t>
    <phoneticPr fontId="6" type="noConversion"/>
  </si>
  <si>
    <t xml:space="preserve">  940A-116-BAG    20388KG   22022020    (97774437)  IL4     Br.   </t>
    <phoneticPr fontId="6" type="noConversion"/>
  </si>
  <si>
    <t xml:space="preserve">  121R-GY8F074-SSS    10000KG   22105472    (92463393)  IL2      </t>
    <phoneticPr fontId="6" type="noConversion"/>
  </si>
  <si>
    <t xml:space="preserve">  945-NC-BAG    20000KG   22022070    (97353918)        </t>
    <phoneticPr fontId="6" type="noConversion"/>
  </si>
  <si>
    <t xml:space="preserve">0008419307  940-GY6123-BAG    10000KG   22019556    (200559298)  IL2     Br.   </t>
    <phoneticPr fontId="6" type="noConversion"/>
  </si>
  <si>
    <t xml:space="preserve">  C6200-111-BAG    10194KG   22019707    (98116825)  IY1      </t>
    <phoneticPr fontId="6" type="noConversion"/>
  </si>
  <si>
    <t xml:space="preserve">  121R-GY8F074-SSS    10000KG   22105472    (92463394)  IL2      </t>
    <phoneticPr fontId="6" type="noConversion"/>
  </si>
  <si>
    <t xml:space="preserve">  945-NC-BAG    20000KG   22022070    (97353919)        </t>
    <phoneticPr fontId="6" type="noConversion"/>
  </si>
  <si>
    <t xml:space="preserve">  CX2244ME-8T8D280-BAG    4000KG   22088072    (96103090)       Br.   </t>
    <phoneticPr fontId="6" type="noConversion"/>
  </si>
  <si>
    <t xml:space="preserve">  940-GY6123-BAG    10194KG   22019556    (200576584)  IL2     Br.   </t>
    <phoneticPr fontId="6" type="noConversion"/>
  </si>
  <si>
    <t xml:space="preserve">  CX7240-8N9D079-BAG    20000KG   22031866    (200550086)  IY2      </t>
    <phoneticPr fontId="6" type="noConversion"/>
  </si>
  <si>
    <t xml:space="preserve">  C2950-111-BAG    20000KG   22022267    (97353690)  IY1      </t>
    <phoneticPr fontId="6" type="noConversion"/>
  </si>
  <si>
    <t xml:space="preserve">  SE1X-701-BAG    20000KG   22024919    (96149720)  IN4      </t>
    <phoneticPr fontId="6" type="noConversion"/>
  </si>
  <si>
    <t xml:space="preserve">  PX9406P-7001-BAG    20000KG   22041318    (93212678)  IN4      </t>
    <phoneticPr fontId="6" type="noConversion"/>
  </si>
  <si>
    <t xml:space="preserve">  PX9406P-7001-BAG    20000KG   22041318    (93228788)  IN4      </t>
    <phoneticPr fontId="6" type="noConversion"/>
  </si>
  <si>
    <t xml:space="preserve">  PX9406P-7001-BAG    20000KG   22041318    (93230023)  IN4      </t>
    <phoneticPr fontId="6" type="noConversion"/>
  </si>
  <si>
    <t xml:space="preserve">  PX9406P-7001-BAG    20000KG   22041318    (93176770)  IN4      </t>
    <phoneticPr fontId="6" type="noConversion"/>
  </si>
  <si>
    <t xml:space="preserve">  PX9406P-7001-BAG    20000KG   22041318    (93212592)  IN4      </t>
    <phoneticPr fontId="6" type="noConversion"/>
  </si>
  <si>
    <t xml:space="preserve">  PX9406P-7001-BAG    20000KG   22041318    (93176772)  IN4      </t>
    <phoneticPr fontId="6" type="noConversion"/>
  </si>
  <si>
    <t xml:space="preserve">  PX1600X-701-BAG    10095KG   22017944    (86299668)  IN1      </t>
    <phoneticPr fontId="6" type="noConversion"/>
  </si>
  <si>
    <t xml:space="preserve">  PX9406P-7001-BAG    20000KG   22041318    (97351520)  IN4      </t>
    <phoneticPr fontId="6" type="noConversion"/>
  </si>
  <si>
    <t xml:space="preserve">  PX9406P-7001-BAG    20000KG   22041318    (97352404)  IN4      </t>
    <phoneticPr fontId="6" type="noConversion"/>
  </si>
  <si>
    <t xml:space="preserve">  PX9406P-7001-BAG    20000KG   22041318    (97351521)  IN4      </t>
    <phoneticPr fontId="6" type="noConversion"/>
  </si>
  <si>
    <t xml:space="preserve">  PX9406P-7001-BAG    20000KG   22041318    (97325947)  IN4      </t>
    <phoneticPr fontId="6" type="noConversion"/>
  </si>
  <si>
    <t xml:space="preserve">  PX9406P-7001-BAG    20000KG   22041318    (97325948)  IN4      </t>
    <phoneticPr fontId="6" type="noConversion"/>
  </si>
  <si>
    <t xml:space="preserve">  PX9406P-7001-BAG    20000KG   22041318    (97352590)  IN4      </t>
    <phoneticPr fontId="6" type="noConversion"/>
  </si>
  <si>
    <t xml:space="preserve">  PX1600X-701-BAG    20000KG   22017944    (86323195)  IN1      </t>
    <phoneticPr fontId="6" type="noConversion"/>
  </si>
  <si>
    <t xml:space="preserve">  PX9406P-7001-BAG    20000KG   22041318    (97352405)  IN4      </t>
    <phoneticPr fontId="6" type="noConversion"/>
  </si>
  <si>
    <t xml:space="preserve">  PX9406P-7001-BAG    20000KG   22041318    (97325949)  IN4      </t>
    <phoneticPr fontId="6" type="noConversion"/>
  </si>
  <si>
    <t xml:space="preserve">  PX9406P-7001-BAG    20000KG   22041318    (97352406)  IN4      </t>
    <phoneticPr fontId="6" type="noConversion"/>
  </si>
  <si>
    <t xml:space="preserve">  PX9406P-7001-BAG    20000KG   22041318    (97352407)  IN4      </t>
    <phoneticPr fontId="6" type="noConversion"/>
  </si>
  <si>
    <t xml:space="preserve">  PX9406P-7001-BAG    20000KG   22041318    (97352408)  IN4      </t>
    <phoneticPr fontId="6" type="noConversion"/>
  </si>
  <si>
    <t xml:space="preserve">  SE1X-701-BAG    18171KG   22024919    (97788246)  IN4      </t>
    <phoneticPr fontId="6" type="noConversion"/>
  </si>
  <si>
    <t xml:space="preserve">  PX9406P-7001-BAG    20000KG   22041318    (97352409)  IN4      </t>
    <phoneticPr fontId="6" type="noConversion"/>
  </si>
  <si>
    <t xml:space="preserve">  PX9406P-7001-BAG    20000KG   22041318    (97325950)  IN4      </t>
    <phoneticPr fontId="6" type="noConversion"/>
  </si>
  <si>
    <t xml:space="preserve">  PX9406P-7001-BAG    20000KG   22041318    (97352625)  IN4      </t>
    <phoneticPr fontId="6" type="noConversion"/>
  </si>
  <si>
    <t xml:space="preserve">  PX9406P-7001-BAG    20000KG   22041318    (97350973)  IN4      </t>
    <phoneticPr fontId="6" type="noConversion"/>
  </si>
  <si>
    <t xml:space="preserve">  PX9406P-7001-BAG    20190KG   22041318    (97776873)  IN4      </t>
    <phoneticPr fontId="6" type="noConversion"/>
  </si>
  <si>
    <t xml:space="preserve">  PX1600X-701-BAG    20190KG   22017944    (200559041)  IN1      </t>
    <phoneticPr fontId="6" type="noConversion"/>
  </si>
  <si>
    <t xml:space="preserve">  PX9406P-7001-BAG    20190KG   22041318    (97774444)  IN4      </t>
    <phoneticPr fontId="6" type="noConversion"/>
  </si>
  <si>
    <t xml:space="preserve">  PX9406P-7001-BAG    20190KG   22041318    (97776361)  IN4      </t>
    <phoneticPr fontId="6" type="noConversion"/>
  </si>
  <si>
    <t xml:space="preserve">  SE1X-701-BAG    20190KG   22024919    (97785525)  IN4      </t>
    <phoneticPr fontId="6" type="noConversion"/>
  </si>
  <si>
    <t xml:space="preserve">  SE1X-701-BAG    20190KG   22024919    (97785524)  IN4      </t>
    <phoneticPr fontId="6" type="noConversion"/>
  </si>
  <si>
    <t xml:space="preserve">  PX1600X-701-BAG    20190KG   22017944    (200559102)  IN1      </t>
    <phoneticPr fontId="6" type="noConversion"/>
  </si>
  <si>
    <t xml:space="preserve">  PX1600X-701-BAG    20000KG   22017944    (200530716)  IN1      </t>
    <phoneticPr fontId="6" type="noConversion"/>
  </si>
  <si>
    <t xml:space="preserve">  SE1X-701-BAG    20190KG   22024919    (97789190)  IN4      </t>
    <phoneticPr fontId="6" type="noConversion"/>
  </si>
  <si>
    <t xml:space="preserve">  PX1600X-701-BAG    20000KG   22017944    (200567230)  IN1      </t>
    <phoneticPr fontId="6" type="noConversion"/>
  </si>
  <si>
    <t xml:space="preserve">  SE1X-701-BAG    20000KG   22024919    (96149719)  IN4      </t>
    <phoneticPr fontId="6" type="noConversion"/>
  </si>
  <si>
    <t xml:space="preserve">0008375376  WCD855-7A1D234-SBG    6000KG   22080588    (200554693)  IN2      </t>
    <phoneticPr fontId="6" type="noConversion"/>
  </si>
  <si>
    <t xml:space="preserve">0008375212  N1250-4N4D011-BAG    5000KG   22037195    (200554628)  IN2      </t>
    <phoneticPr fontId="6" type="noConversion"/>
  </si>
  <si>
    <t xml:space="preserve">0008599179  EX130-770-BAG    5209.5KG   22022815    (200576460)  IN2      </t>
    <phoneticPr fontId="6" type="noConversion"/>
  </si>
  <si>
    <t xml:space="preserve">0008556752  FN215X-701-BAG    2134.2KG   22023022    (200571758)  IN2      </t>
    <phoneticPr fontId="6" type="noConversion"/>
  </si>
  <si>
    <t xml:space="preserve">0008532060  SE1GFN1-780-BAG    2000KG   22028063    (200567225)  IN2      </t>
    <phoneticPr fontId="6" type="noConversion"/>
  </si>
  <si>
    <t xml:space="preserve">0008375220  N1250-4N4D011-BAG    5000KG   22037195    (200554705)  IN2      </t>
    <phoneticPr fontId="6" type="noConversion"/>
  </si>
  <si>
    <t xml:space="preserve">0007479401  WCD915-7A1D285-SBG    5000KG   22080571    (200487847)  IN2      </t>
    <phoneticPr fontId="6" type="noConversion"/>
  </si>
  <si>
    <t xml:space="preserve">0008556944  PX2801Z-BK1066-BAG    2083.8KG   22032844    (200571870)  IN2      </t>
    <phoneticPr fontId="6" type="noConversion"/>
  </si>
  <si>
    <t xml:space="preserve">0007504054  WCD915-8A7D027-SBG    6000KG   22080572    (200488681)  IN2      </t>
    <phoneticPr fontId="6" type="noConversion"/>
  </si>
  <si>
    <t xml:space="preserve">0007886881  731S-701S-BAG    2000KG   22031186    (200521267)  IN2      </t>
    <phoneticPr fontId="6" type="noConversion"/>
  </si>
  <si>
    <t xml:space="preserve">0008570530  HS2000X-GY8D625-BAG    5209.5KG   22020355    (200573621)  IN2      </t>
    <phoneticPr fontId="6" type="noConversion"/>
  </si>
  <si>
    <t xml:space="preserve">  N1050-BL2G084-BAG    5209.5KG   22040815    (93391781)  IN2      </t>
    <phoneticPr fontId="6" type="noConversion"/>
  </si>
  <si>
    <t xml:space="preserve">  731-780-BAG    520.95KG   22021817    (200571905)        </t>
    <phoneticPr fontId="6" type="noConversion"/>
  </si>
  <si>
    <t xml:space="preserve">  7310-701-BAG    2000KG   22095148    (200542757)        </t>
    <phoneticPr fontId="6" type="noConversion"/>
  </si>
  <si>
    <t xml:space="preserve">  N300-701-BAG    500KG   22041234    (200568753)  IN2      </t>
    <phoneticPr fontId="6" type="noConversion"/>
  </si>
  <si>
    <t xml:space="preserve">  GFN20-801-BAG    4000KG   22095158    (200552257)        </t>
    <phoneticPr fontId="6" type="noConversion"/>
  </si>
  <si>
    <t xml:space="preserve">  NH6020-100-BAG    20000KG   22060061    (200550112)  IN2      </t>
    <phoneticPr fontId="6" type="noConversion"/>
  </si>
  <si>
    <t xml:space="preserve">  NH6020-100-BAG    20000KG   22060061    (200550053)  IN2      </t>
    <phoneticPr fontId="6" type="noConversion"/>
  </si>
  <si>
    <t xml:space="preserve">  NH6020-100-BAG    10000KG   22060061    (200550113)  IN2      </t>
    <phoneticPr fontId="6" type="noConversion"/>
  </si>
  <si>
    <t xml:space="preserve">  NH6020-100-BAG    20000KG   22060061    (200550100)  IN2      </t>
    <phoneticPr fontId="6" type="noConversion"/>
  </si>
  <si>
    <t xml:space="preserve">  IGN5531-71003-SSS    10410KG   22073242    (97082134)  IN2      </t>
    <phoneticPr fontId="6" type="noConversion"/>
  </si>
  <si>
    <t xml:space="preserve">  IGN5531-71003-SSS    10410KG   22073242    (97081044)  IN2      </t>
    <phoneticPr fontId="6" type="noConversion"/>
  </si>
  <si>
    <t xml:space="preserve">0007611290  EX130-770-BAG    5000KG   22022815    (200497063)  IN2      </t>
    <phoneticPr fontId="6" type="noConversion"/>
  </si>
  <si>
    <t xml:space="preserve">  IGN5531-71003-SSS    10410KG   22073242    (97081361)  IN2      </t>
    <phoneticPr fontId="6" type="noConversion"/>
  </si>
  <si>
    <t xml:space="preserve">  IGN5531-71003-SSS    10410KG   22073242    (97080825)  IN2      </t>
    <phoneticPr fontId="6" type="noConversion"/>
  </si>
  <si>
    <t xml:space="preserve">  IGN5531-71003-SSS    10410KG   22073242    (97081045)  IN2      </t>
    <phoneticPr fontId="6" type="noConversion"/>
  </si>
  <si>
    <t xml:space="preserve">  IGN5531-71003-SSS    10410KG   22073242    (97082135)  IN2      </t>
    <phoneticPr fontId="6" type="noConversion"/>
  </si>
  <si>
    <t xml:space="preserve">  IGN5531-71003-SSS    10410KG   22073242    (97081046)  IN2      </t>
    <phoneticPr fontId="6" type="noConversion"/>
  </si>
  <si>
    <t xml:space="preserve">  WCA955-111-SBG    3000KG   22080186    (87853874)        </t>
    <phoneticPr fontId="6" type="noConversion"/>
  </si>
  <si>
    <t xml:space="preserve">  WCD933-5A2D002-SBG    4000KG   22079928    (200447176)        </t>
    <phoneticPr fontId="6" type="noConversion"/>
  </si>
  <si>
    <t xml:space="preserve">  EX130-770-BAG    5000KG   22022815    (200497085)  IN2      </t>
    <phoneticPr fontId="6" type="noConversion"/>
  </si>
  <si>
    <t xml:space="preserve">  NH7010-GY6G005-BAG    500KG   22024528    (200568767)  IN2      </t>
    <phoneticPr fontId="6" type="noConversion"/>
  </si>
  <si>
    <t xml:space="preserve">  IGN5531-71003-SSS    10410KG   22073242    (97080831)  IN2      </t>
    <phoneticPr fontId="6" type="noConversion"/>
  </si>
  <si>
    <t xml:space="preserve">  IGN5531-71003-SSS    10410KG   22073242    (97080829)  IN2      </t>
    <phoneticPr fontId="6" type="noConversion"/>
  </si>
  <si>
    <t xml:space="preserve">  IGN5531-71003-SSS    10410KG   22073242    (97080827)  IN2      </t>
    <phoneticPr fontId="6" type="noConversion"/>
  </si>
  <si>
    <t xml:space="preserve">  IGN5531-71003-SSS    10410KG   22073242    (97082076)  IN2      </t>
    <phoneticPr fontId="6" type="noConversion"/>
  </si>
  <si>
    <t xml:space="preserve">  IGN5531-71003-SSS    10410KG   22073242    (97080828)  IN2      </t>
    <phoneticPr fontId="6" type="noConversion"/>
  </si>
  <si>
    <t xml:space="preserve">  IGN5531-71003-SSS    10410KG   22073242    (97080830)  IN2      </t>
    <phoneticPr fontId="6" type="noConversion"/>
  </si>
  <si>
    <t xml:space="preserve">0008546386  1010-GY6G143-BAG    200KG   22029638    (200569962)  IU2      </t>
    <phoneticPr fontId="6" type="noConversion"/>
  </si>
  <si>
    <t xml:space="preserve">0008563429  C6303-BK1066-BAG    26.895KG   22039650    (200572928)  IT2      </t>
    <phoneticPr fontId="6" type="noConversion"/>
  </si>
  <si>
    <t xml:space="preserve">0008228043  HS2000X-6G4A1253-    1000KG   299901425    (200533481)  IN2      </t>
    <phoneticPr fontId="6" type="noConversion"/>
  </si>
  <si>
    <t xml:space="preserve">0008440547  N300-701-BAG    500KG   22041234    (200560140)  IN2      </t>
    <phoneticPr fontId="6" type="noConversion"/>
  </si>
  <si>
    <t xml:space="preserve">0008569052  Z20001-BK1B694-BAG    100KG   22028656    (200573552)  IT2      </t>
    <phoneticPr fontId="6" type="noConversion"/>
  </si>
  <si>
    <t xml:space="preserve">0008346067  1000-BL1B081T-BAG    500KG   22037954    (200549162)  IU2      </t>
    <phoneticPr fontId="6" type="noConversion"/>
  </si>
  <si>
    <t xml:space="preserve">  2310-7301-BAG    5000KG   22017567    (200485078)        </t>
    <phoneticPr fontId="6" type="noConversion"/>
  </si>
  <si>
    <t xml:space="preserve">  1000-GY2C261-BAG    1000KG   22019057    (200559078)        </t>
    <phoneticPr fontId="6" type="noConversion"/>
  </si>
  <si>
    <t xml:space="preserve">  1000-BL3122-BAG    1000KG   22033123    (200533469)  IU2      </t>
    <phoneticPr fontId="6" type="noConversion"/>
  </si>
  <si>
    <t xml:space="preserve">  N300X-BR7E123-BAG    500KG   22036871    (200561480)        </t>
    <phoneticPr fontId="6" type="noConversion"/>
  </si>
  <si>
    <t xml:space="preserve">  1000R-7101-BAG    100KG   22021142    (200569592)  IU2      </t>
    <phoneticPr fontId="6" type="noConversion"/>
  </si>
  <si>
    <t xml:space="preserve">  TPN9221-GY1493T-BAG    10000KG   22037568    (200552317)  IN2      </t>
    <phoneticPr fontId="6" type="noConversion"/>
  </si>
  <si>
    <t xml:space="preserve">  1000R-21019-BAG    500KG   22033151    (200551343)        </t>
    <phoneticPr fontId="6" type="noConversion"/>
  </si>
  <si>
    <t xml:space="preserve">  1000R-BR7156-BAG    300KG   22037978    (200551266)        </t>
    <phoneticPr fontId="6" type="noConversion"/>
  </si>
  <si>
    <t xml:space="preserve">  1000-7101-BAG    100KG   22021106    (200549958)  IU2      </t>
    <phoneticPr fontId="6" type="noConversion"/>
  </si>
  <si>
    <t xml:space="preserve">  4001-7402-BAG    26.895KG   22017590    (200521191)        </t>
    <phoneticPr fontId="6" type="noConversion"/>
  </si>
  <si>
    <t xml:space="preserve">0008562648  BFL4000U-WH3150-BAG    2114.8KG   22017663    (200572732)  IL2      </t>
    <phoneticPr fontId="6" type="noConversion"/>
  </si>
  <si>
    <t xml:space="preserve">0007779724  243R-111-BAG    2000KG   22019283    (200513278)  IL2      </t>
    <phoneticPr fontId="6" type="noConversion"/>
  </si>
  <si>
    <t xml:space="preserve">0008551165  123R-BL9F006X-BAG    2113.4KG   22021290    (200570636)  IL2      </t>
    <phoneticPr fontId="6" type="noConversion"/>
  </si>
  <si>
    <t xml:space="preserve">0008297828  EXL9414T-NA8E034T-BAG    100KG   22039947    (200542010)  IX2      </t>
    <phoneticPr fontId="6" type="noConversion"/>
  </si>
  <si>
    <t xml:space="preserve">0008491204  143R-3G7A4190T-    2000KG   299905765    (200562725)  IL2      </t>
    <phoneticPr fontId="6" type="noConversion"/>
  </si>
  <si>
    <t xml:space="preserve">  243R-111-BAG    2000KG   22019283    (200545577)  IL2      </t>
    <phoneticPr fontId="6" type="noConversion"/>
  </si>
  <si>
    <t xml:space="preserve">  143R-71257-BAG    2000KG   22037594    (200495918)       Br.   </t>
    <phoneticPr fontId="6" type="noConversion"/>
  </si>
  <si>
    <t xml:space="preserve">  101R-111-BAG    2000KG   22027971    (200521952)        </t>
    <phoneticPr fontId="6" type="noConversion"/>
  </si>
  <si>
    <t xml:space="preserve">  FXD121R-NA8G018X-BAG    3000KG   22044315    (200549470)        </t>
    <phoneticPr fontId="6" type="noConversion"/>
  </si>
  <si>
    <t xml:space="preserve">0008582829  855-YW7A041-BAG    2000KG   22029769    (200575009)  IV2     Br.   </t>
    <phoneticPr fontId="6" type="noConversion"/>
  </si>
  <si>
    <t xml:space="preserve">0008321164  357M-BK1066-BAG    500KG   22029685    (200547584)  IV2     Br.   </t>
    <phoneticPr fontId="6" type="noConversion"/>
  </si>
  <si>
    <t xml:space="preserve">0008350010  3706-GY8G367-BAG    1000KG   22033643    (200550287)  IV2     Br.   </t>
    <phoneticPr fontId="6" type="noConversion"/>
  </si>
  <si>
    <t xml:space="preserve">0008565047  FXC630SK-GY5G042M-BAG    26.24KG   22032487    (200572989)  IY2     Br.   </t>
    <phoneticPr fontId="6" type="noConversion"/>
  </si>
  <si>
    <t xml:space="preserve">0008564716  FXC630SK-GY5G042M-BAG    26.24KG   22032487    (200573028)  IY2     Br.   </t>
    <phoneticPr fontId="6" type="noConversion"/>
  </si>
  <si>
    <t xml:space="preserve">0008563859  FXC630SK-GY5G042M-BAG    26.24KG   22032487    (200573025)  IY2     Br.   </t>
    <phoneticPr fontId="6" type="noConversion"/>
  </si>
  <si>
    <t xml:space="preserve">0008563812  FXC630SK-GY5G042M-BAG    78.72KG   22032487    (200572956)  IY2     Br.   </t>
    <phoneticPr fontId="6" type="noConversion"/>
  </si>
  <si>
    <t xml:space="preserve">0007601313  420-WH6E281-BAG    5000KG   22031065    (200496046)  IV2     Br.   </t>
    <phoneticPr fontId="6" type="noConversion"/>
  </si>
  <si>
    <t xml:space="preserve">0008371470  457-GN4072-BAG    1000KG   22031214    (200553584)  IV2     Br.   </t>
    <phoneticPr fontId="6" type="noConversion"/>
  </si>
  <si>
    <t xml:space="preserve">0008581450  553-GY6G326-BAG    500KG   22034195    (200574866)  IV2     Br.   </t>
    <phoneticPr fontId="6" type="noConversion"/>
  </si>
  <si>
    <t xml:space="preserve">0008345813  DR48-7001-BAG    1000KG   22027892    (200549070)  IV2     Br.   </t>
    <phoneticPr fontId="6" type="noConversion"/>
  </si>
  <si>
    <t xml:space="preserve">0008227792  553U-2R4A1010-    225KG   299901392    (200533483)  IV2     Br.   </t>
    <phoneticPr fontId="6" type="noConversion"/>
  </si>
  <si>
    <t xml:space="preserve">0007730316  CR7500-BK1041-BAG    2000KG   22019769    (200508789)  IC2     Br.   </t>
    <phoneticPr fontId="6" type="noConversion"/>
  </si>
  <si>
    <t xml:space="preserve">  X4820-YW3D010-BAG    2000KG   22025024    (200554558)       Br.   </t>
    <phoneticPr fontId="6" type="noConversion"/>
  </si>
  <si>
    <t xml:space="preserve">  553-OR5G078-BAG    2114.8KG   22038042    (200574889)  IV2     Br.   </t>
    <phoneticPr fontId="6" type="noConversion"/>
  </si>
  <si>
    <t xml:space="preserve">  420-1001-BAG    1000KG   22021631    (200547338)  IV2      </t>
    <phoneticPr fontId="6" type="noConversion"/>
  </si>
  <si>
    <t xml:space="preserve">  855-1001-BAG    2000KG   22019477    (200567208)  IV2     Br.   </t>
    <phoneticPr fontId="6" type="noConversion"/>
  </si>
  <si>
    <t xml:space="preserve">  457-GN4072-BAG    1000KG   22031214    (200561550)  IV2     Br.   </t>
    <phoneticPr fontId="6" type="noConversion"/>
  </si>
  <si>
    <t xml:space="preserve">  3414R-739-BAG    2000KG   22021743    (200558756)  IL2     Br.   </t>
    <phoneticPr fontId="6" type="noConversion"/>
  </si>
  <si>
    <t xml:space="preserve">  X4820-YW3D010-BAG    2139.8KG   22025024    (200574859)       Br.   </t>
    <phoneticPr fontId="6" type="noConversion"/>
  </si>
  <si>
    <t xml:space="preserve">0008444393  500R-60355-BAG    300KG   22034089    (200560281)  IL2     Br.   </t>
    <phoneticPr fontId="6" type="noConversion"/>
  </si>
  <si>
    <t xml:space="preserve">  HRA170-GY6E500U-BAG    2000KG   22036440    (93270841)       Br.   </t>
    <phoneticPr fontId="6" type="noConversion"/>
  </si>
  <si>
    <t xml:space="preserve">0008354360  EXL1414-9G7A2995-    100KG   299903374    (200551218)  IX2      </t>
    <phoneticPr fontId="6" type="noConversion"/>
  </si>
  <si>
    <t xml:space="preserve">0008532944  HRA222-BK1A021-BAG    2000KG   22032595    (200567362)  IC2     Br.   </t>
    <phoneticPr fontId="6" type="noConversion"/>
  </si>
  <si>
    <t xml:space="preserve">0008571096  505RU-YW6E070-BAG    2092.2KG   22031255    (200573678)  IL2     Br.   </t>
    <phoneticPr fontId="6" type="noConversion"/>
  </si>
  <si>
    <t xml:space="preserve">0008375990  123R-701-BAG    1994.814KG   22017535    (200554876)  IL2      </t>
    <phoneticPr fontId="6" type="noConversion"/>
  </si>
  <si>
    <t xml:space="preserve">0008450109  LS2-7056-BAG    2000KG   22041034    (200560551)  IL2     Br.   </t>
    <phoneticPr fontId="6" type="noConversion"/>
  </si>
  <si>
    <t xml:space="preserve">0008551947  C6600-7M3D029-BAG    523.05KG   22031791    (200570787)  IL2      </t>
    <phoneticPr fontId="6" type="noConversion"/>
  </si>
  <si>
    <t xml:space="preserve">0008551923  C6600-GY5A405-BAG    523.05KG   22038955    (200570773)  IY2     Br.   </t>
    <phoneticPr fontId="6" type="noConversion"/>
  </si>
  <si>
    <t xml:space="preserve">0008297396  505RU-WH8E372-BAG    1000KG   22029849    (200541914)  IL2      </t>
    <phoneticPr fontId="6" type="noConversion"/>
  </si>
  <si>
    <t xml:space="preserve">0007823525  505RU-WH9F090-BAG    2000KG   22033788    (200517901)  IL2     Br.   </t>
    <phoneticPr fontId="6" type="noConversion"/>
  </si>
  <si>
    <t xml:space="preserve">0008250785  505RU-7T8D558-BAG    100KG   22031252    (200537987)  IL2      </t>
    <phoneticPr fontId="6" type="noConversion"/>
  </si>
  <si>
    <t xml:space="preserve">0008562506  LF1520A-BK1005-BAG    2092.2KG   22023993    (200572729)  IT2     Br.   </t>
    <phoneticPr fontId="6" type="noConversion"/>
  </si>
  <si>
    <t xml:space="preserve">  HRA222F-BK2E067-BAG    2092.2KG   22036450    (200571599)  IC2     Br.   </t>
    <phoneticPr fontId="6" type="noConversion"/>
  </si>
  <si>
    <t xml:space="preserve">  500-739-BAG    25KG   22021690    (200568560)  IL2     Br.   </t>
    <phoneticPr fontId="6" type="noConversion"/>
  </si>
  <si>
    <t xml:space="preserve">  500R-RD5D188-BAG    1000KG   22029841    (200561041)  IL2     Br.   </t>
    <phoneticPr fontId="6" type="noConversion"/>
  </si>
  <si>
    <t xml:space="preserve">  HRA222F-BK2E067-BAG    2092.2KG   22036450    (200571598)  IC2     Br.   </t>
    <phoneticPr fontId="6" type="noConversion"/>
  </si>
  <si>
    <t xml:space="preserve">  505RU-7T8D558-BAG    1000KG   22031252    (200548614)  IL2      </t>
    <phoneticPr fontId="6" type="noConversion"/>
  </si>
  <si>
    <t xml:space="preserve">  505RU-YW6E070-BAG    2000KG   22031255    (200568557)  IL2     Br.   </t>
    <phoneticPr fontId="6" type="noConversion"/>
  </si>
  <si>
    <t xml:space="preserve">  C6600-7M7D027-BAG    1046.1KG   22022553    (200570784)  IY2     Br.   </t>
    <phoneticPr fontId="6" type="noConversion"/>
  </si>
  <si>
    <t xml:space="preserve">  505RU-WH9F090-BAG    2000KG   22033788    (200542879)  IL2     Br.   </t>
    <phoneticPr fontId="6" type="noConversion"/>
  </si>
  <si>
    <t xml:space="preserve">  505RU-WH8E372-BAG    1000KG   22029849    (200562298)  IL2      </t>
    <phoneticPr fontId="6" type="noConversion"/>
  </si>
  <si>
    <t xml:space="preserve">  357-1001-BAG    20200KG   22019323    (98128775)  IV1     Br.   </t>
    <phoneticPr fontId="6" type="noConversion"/>
  </si>
  <si>
    <t xml:space="preserve">0008571860  121R-112-BAG    15299.999KG   22017531    (200573845)  IL2      </t>
    <phoneticPr fontId="6" type="noConversion"/>
  </si>
  <si>
    <t xml:space="preserve">  C6600-111-BAG    20000KG   22018361    (97350978)  IY4      </t>
    <phoneticPr fontId="6" type="noConversion"/>
  </si>
  <si>
    <t xml:space="preserve">0008370739  CY8630-701-BAG    20000KG   22089617    (200553374)  IY2      </t>
    <phoneticPr fontId="6" type="noConversion"/>
  </si>
  <si>
    <t xml:space="preserve">  5220U-YW6A028-BAG    20000KG   22019425    (97376577)  IV1     Br.   </t>
    <phoneticPr fontId="6" type="noConversion"/>
  </si>
  <si>
    <t xml:space="preserve">0008322817  141R-GY5G126-BAG    10000KG   22028666    (200547777)  IL2      </t>
    <phoneticPr fontId="6" type="noConversion"/>
  </si>
  <si>
    <t xml:space="preserve">0008538811  5220U-1001-BAG    10000KG   22017603    (200568789)  IV2      </t>
    <phoneticPr fontId="6" type="noConversion"/>
  </si>
  <si>
    <t xml:space="preserve">  C1200HF-RD3G073-BAG    20000KG   22029056    (97351049)  IY1     Br.   </t>
    <phoneticPr fontId="6" type="noConversion"/>
  </si>
  <si>
    <t xml:space="preserve">0008357057  241S-WH9G203-BAG    20000KG   22031084    (200551388)  IL2     Br.   </t>
    <phoneticPr fontId="6" type="noConversion"/>
  </si>
  <si>
    <t xml:space="preserve">0007601214  420-1001-BAG    10000KG   22021631    (200495921)  IV2      </t>
    <phoneticPr fontId="6" type="noConversion"/>
  </si>
  <si>
    <t xml:space="preserve">0008370741  CY8630-701-BAG    20000KG   22089617    (200553321)  IY2      </t>
    <phoneticPr fontId="6" type="noConversion"/>
  </si>
  <si>
    <t xml:space="preserve">0007622342  1105-78211-BAG    10000KG   22030691    (200498223)  IV2      </t>
    <phoneticPr fontId="6" type="noConversion"/>
  </si>
  <si>
    <t xml:space="preserve">0008374774  C1200HF-WH8334-BAG    5000KG   22022244    (200554585)  IY2     Br.   </t>
    <phoneticPr fontId="6" type="noConversion"/>
  </si>
  <si>
    <t xml:space="preserve">0007601272  420-BK1066-BAG    10000KG   22021633    (200496030)  IV2      </t>
    <phoneticPr fontId="6" type="noConversion"/>
  </si>
  <si>
    <t xml:space="preserve">0008347451  C1200HF-GY6G152-BAG    5000KG   22034465    (200549469)  IY2      </t>
    <phoneticPr fontId="6" type="noConversion"/>
  </si>
  <si>
    <t xml:space="preserve">0008563106  DR51-1001-BAG    12120KG   22017180    (200572843)  IV2      </t>
    <phoneticPr fontId="6" type="noConversion"/>
  </si>
  <si>
    <t xml:space="preserve">0008370744  CY8630-701-BAG    20000KG   22089617    (200553402)  IY2      </t>
    <phoneticPr fontId="6" type="noConversion"/>
  </si>
  <si>
    <t xml:space="preserve">  243R-WH4B198-BAG    20000KG   22038486    (200534991)  IL2      </t>
    <phoneticPr fontId="6" type="noConversion"/>
  </si>
  <si>
    <t xml:space="preserve">  508-BK1066-BAG    20000KG   22021921    (200494168)  IV2      </t>
    <phoneticPr fontId="6" type="noConversion"/>
  </si>
  <si>
    <t xml:space="preserve">  420-1001-BAG    3000KG   22021631    (200563947)  IV2      </t>
    <phoneticPr fontId="6" type="noConversion"/>
  </si>
  <si>
    <t xml:space="preserve">  420-1001-BAG    3000KG   22021631    (200542038)  IV2      </t>
    <phoneticPr fontId="6" type="noConversion"/>
  </si>
  <si>
    <t xml:space="preserve">  CY8630-701-BAG    20000KG   22089617    (200553403)  IY2      </t>
    <phoneticPr fontId="6" type="noConversion"/>
  </si>
  <si>
    <t xml:space="preserve">  420-BK1066-BAG    10000KG   22021633    (200496009)  IV2      </t>
    <phoneticPr fontId="6" type="noConversion"/>
  </si>
  <si>
    <t xml:space="preserve">  420-1001-BAG    10000KG   22021631    (200496006)  IV2      </t>
    <phoneticPr fontId="6" type="noConversion"/>
  </si>
  <si>
    <t xml:space="preserve">  420-BK1066-BAG    10000KG   22021633    (200496045)  IV2      </t>
    <phoneticPr fontId="6" type="noConversion"/>
  </si>
  <si>
    <t xml:space="preserve">  508-BK1066-BAG    20000KG   22021921    (200544218)  IV2      </t>
    <phoneticPr fontId="6" type="noConversion"/>
  </si>
  <si>
    <t xml:space="preserve">  CY8630-701-BAG    20000KG   22089617    (200553404)  IY2      </t>
    <phoneticPr fontId="6" type="noConversion"/>
  </si>
  <si>
    <t xml:space="preserve">  C1200HF-GY1D457U-BAG    10000KG   22029050    (200496028)        </t>
    <phoneticPr fontId="6" type="noConversion"/>
  </si>
  <si>
    <t xml:space="preserve">  420-1001-BAG    3000KG   22021631    (200542108)  IV2      </t>
    <phoneticPr fontId="6" type="noConversion"/>
  </si>
  <si>
    <t xml:space="preserve">  905-BK1G030-BAG    10000KG   22029773    (200554909)       Br.   </t>
    <phoneticPr fontId="6" type="noConversion"/>
  </si>
  <si>
    <t xml:space="preserve">  945-GY2E572-BAG    5000KG   22034256    (200551452)  IL2      </t>
    <phoneticPr fontId="6" type="noConversion"/>
  </si>
  <si>
    <t xml:space="preserve">  945-701-BAG    10000KG   22019581    (94510312)  IL1      </t>
    <phoneticPr fontId="6" type="noConversion"/>
  </si>
  <si>
    <t xml:space="preserve">0008598442  EXL1414T-7A1D040-BAG    4040KG   22039729    (200576397)  IX2      </t>
    <phoneticPr fontId="6" type="noConversion"/>
  </si>
  <si>
    <t xml:space="preserve">  3412ECR-739-BAG    20000KG   22017144    (97351796)  IL1      </t>
    <phoneticPr fontId="6" type="noConversion"/>
  </si>
  <si>
    <t xml:space="preserve">0008469000  CX7211-BK1005-BAG    20000KG   22022719    (200561039)  IY2      </t>
    <phoneticPr fontId="6" type="noConversion"/>
  </si>
  <si>
    <t xml:space="preserve">  945-701-BAG    10000KG   22019581    (94510313)  IL1      </t>
    <phoneticPr fontId="6" type="noConversion"/>
  </si>
  <si>
    <t xml:space="preserve">  3412ECR-739-BAG    20000KG   22017144    (97351799)  IL1      </t>
    <phoneticPr fontId="6" type="noConversion"/>
  </si>
  <si>
    <t xml:space="preserve">  C2950-701-BAG    25000KG   22022271    (97368151)  IY1      </t>
    <phoneticPr fontId="6" type="noConversion"/>
  </si>
  <si>
    <t xml:space="preserve">  3412ECR-739-BAG    20000KG   22017144    (97351798)  IL1      </t>
    <phoneticPr fontId="6" type="noConversion"/>
  </si>
  <si>
    <t xml:space="preserve">  C2950-701-BAG    20000KG   22022271    (97368150)  IY1      </t>
    <phoneticPr fontId="6" type="noConversion"/>
  </si>
  <si>
    <t xml:space="preserve">  CX7211-BK1005-BAG    5085KG   22022719    (200576604)  IY2      </t>
    <phoneticPr fontId="6" type="noConversion"/>
  </si>
  <si>
    <t xml:space="preserve">  141R-GY6A427-BAG    20000KG   22030748    (97375707)  IL1      </t>
    <phoneticPr fontId="6" type="noConversion"/>
  </si>
  <si>
    <t xml:space="preserve">0008118880  121R-WH3A022X-BAG    10000KG   22021271    (200529033)  IL2     Br.   </t>
    <phoneticPr fontId="6" type="noConversion"/>
  </si>
  <si>
    <t xml:space="preserve">  141R-GY6A427-BAG    20000KG   22030748    (97375708)  IL1      </t>
    <phoneticPr fontId="6" type="noConversion"/>
  </si>
  <si>
    <t xml:space="preserve">0008552021  LS2-6162-BAG    10100KG   22018730    (200570777)  IL2     Br.   </t>
    <phoneticPr fontId="6" type="noConversion"/>
  </si>
  <si>
    <t xml:space="preserve">0008578396  241R-111-BAG    20200KG   22019277    (200574655)  IL2      </t>
    <phoneticPr fontId="6" type="noConversion"/>
  </si>
  <si>
    <t xml:space="preserve">0008554229  144R-111FC-BAG    10200KG   22021418    (200570972)  IL2      </t>
    <phoneticPr fontId="6" type="noConversion"/>
  </si>
  <si>
    <t xml:space="preserve">0008551143  123R-WH5E042X-BAG    5099KG   22029559    (200570665)  IL2     Br.   </t>
    <phoneticPr fontId="6" type="noConversion"/>
  </si>
  <si>
    <t xml:space="preserve">  141R-GY6A427-BAG    20000KG   22030748    (97375710)  IL1      </t>
    <phoneticPr fontId="6" type="noConversion"/>
  </si>
  <si>
    <t xml:space="preserve">  141R-GY6A427-BAG    10000KG   22030748    (97375709)  IL1      </t>
    <phoneticPr fontId="6" type="noConversion"/>
  </si>
  <si>
    <t xml:space="preserve">0008571830  141R-112-BAG    15000KG   22021351    (200573773)  IL2      </t>
    <phoneticPr fontId="6" type="noConversion"/>
  </si>
  <si>
    <t xml:space="preserve">0008219001  143R-WH8G674-BAG    20000KG   22088923    (200531849)  IL2      </t>
    <phoneticPr fontId="6" type="noConversion"/>
  </si>
  <si>
    <t xml:space="preserve">0008583164  143R-111-BAG    10100KG   22021389    (200574998)  IL2      </t>
    <phoneticPr fontId="6" type="noConversion"/>
  </si>
  <si>
    <t xml:space="preserve">0008552027  LS2-6162-BAG    10100KG   22018730    (200570810)  IL2     Br.   </t>
    <phoneticPr fontId="6" type="noConversion"/>
  </si>
  <si>
    <t xml:space="preserve">  141R-GY6A427-BAG    20000KG   22030748    (97375704)  IL1      </t>
    <phoneticPr fontId="6" type="noConversion"/>
  </si>
  <si>
    <t xml:space="preserve">0008441922  143R-111-BAG    5000KG   22021389    (200560212)  IL2      </t>
    <phoneticPr fontId="6" type="noConversion"/>
  </si>
  <si>
    <t xml:space="preserve">0007574107  141R-111-BAG    10000KG   22018087    (200494075)  IL2      </t>
    <phoneticPr fontId="6" type="noConversion"/>
  </si>
  <si>
    <t xml:space="preserve">0008441839  121R-111-BAG    15000KG   22019125    (200560234)  IL2      </t>
    <phoneticPr fontId="6" type="noConversion"/>
  </si>
  <si>
    <t xml:space="preserve">0008533151  241R-111-BAG    10000KG   22019277    (200567421)  IL2      </t>
    <phoneticPr fontId="6" type="noConversion"/>
  </si>
  <si>
    <t xml:space="preserve">  141R-GY6A427-BAG    20000KG   22030748    (97375702)  IL1      </t>
    <phoneticPr fontId="6" type="noConversion"/>
  </si>
  <si>
    <t xml:space="preserve">  141R-GY6A427-BAG    20000KG   22030748    (97375703)  IL1      </t>
    <phoneticPr fontId="6" type="noConversion"/>
  </si>
  <si>
    <t xml:space="preserve">  LS2-4158-BAG    5000KG   22020459    (200498073)        </t>
    <phoneticPr fontId="6" type="noConversion"/>
  </si>
  <si>
    <t xml:space="preserve">  LS2-RD4B057T-BAG    20000KG   22036922    (200498097)  IL2      </t>
    <phoneticPr fontId="6" type="noConversion"/>
  </si>
  <si>
    <t xml:space="preserve">  141R-111-BAG    10000KG   22018087    (200494021)  IL2      </t>
    <phoneticPr fontId="6" type="noConversion"/>
  </si>
  <si>
    <t xml:space="preserve">  121R-111-BAG    10000KG   22019125    (200507105)  IL2      </t>
    <phoneticPr fontId="6" type="noConversion"/>
  </si>
  <si>
    <t xml:space="preserve">  143R-WH8G674-BAG    20000KG   22088923    (200531850)  IL2      </t>
    <phoneticPr fontId="6" type="noConversion"/>
  </si>
  <si>
    <t xml:space="preserve">  241R-111-BAG    10000KG   22019277    (200506650)  IL2      </t>
    <phoneticPr fontId="6" type="noConversion"/>
  </si>
  <si>
    <t xml:space="preserve">  LS2-4158-BAG    5000KG   22020459    (200498096)        </t>
    <phoneticPr fontId="6" type="noConversion"/>
  </si>
  <si>
    <t xml:space="preserve">  241S-WH4113-BAG    20000KG   22031083    (94604318)        </t>
    <phoneticPr fontId="6" type="noConversion"/>
  </si>
  <si>
    <t xml:space="preserve">  241S-WH4113-BAG    20000KG   22031083    (94604319)        </t>
    <phoneticPr fontId="6" type="noConversion"/>
  </si>
  <si>
    <t xml:space="preserve">  241S-WH4113-BAG    20000KG   22031083    (94604320)        </t>
    <phoneticPr fontId="6" type="noConversion"/>
  </si>
  <si>
    <t xml:space="preserve">  141R-111-BAG    10000KG   22018087    (200494122)  IL2      </t>
    <phoneticPr fontId="6" type="noConversion"/>
  </si>
  <si>
    <t xml:space="preserve">  121R-111-BAG    10000KG   22019125    (200507106)  IL2      </t>
    <phoneticPr fontId="6" type="noConversion"/>
  </si>
  <si>
    <t xml:space="preserve">  LS2-RD4B057T-BAG    20000KG   22036922    (200498098)  IL2      </t>
    <phoneticPr fontId="6" type="noConversion"/>
  </si>
  <si>
    <t xml:space="preserve">  C2950-701-BAG    20000KG   22022271    (97368147)  IY1      </t>
    <phoneticPr fontId="6" type="noConversion"/>
  </si>
  <si>
    <t xml:space="preserve">0008403228  505RU-GY2E539-BAG    5000KG   22031253    (200558309)  IL2      </t>
    <phoneticPr fontId="6" type="noConversion"/>
  </si>
  <si>
    <t xml:space="preserve">0008526771  CX7240-701-BAG    5000KG   22017351    (200566403)  IY2      </t>
    <phoneticPr fontId="6" type="noConversion"/>
  </si>
  <si>
    <t xml:space="preserve">0008423314  500R-73234-BAG    10000KG   22038722    (200559562)  IL2     Br.   </t>
    <phoneticPr fontId="6" type="noConversion"/>
  </si>
  <si>
    <t xml:space="preserve">  500R-739-BAG    5062KG   22021700    (97793923)       Br.   </t>
    <phoneticPr fontId="6" type="noConversion"/>
  </si>
  <si>
    <t xml:space="preserve">0008375339  500R-GY6E402-BAG    10000KG   22033751    (200554724)  IL2     Br.   </t>
    <phoneticPr fontId="6" type="noConversion"/>
  </si>
  <si>
    <t xml:space="preserve">0008571081  505RU-GY2E539-BAG    5077KG   22031253    (200573713)  IL2      </t>
    <phoneticPr fontId="6" type="noConversion"/>
  </si>
  <si>
    <t xml:space="preserve">  C6600-701-BAG    10000KG   22039680    (97353691)  IY1      </t>
    <phoneticPr fontId="6" type="noConversion"/>
  </si>
  <si>
    <t xml:space="preserve">  3412ECR-739-BAG    20000KG   22017144    (95454757)  IL1      </t>
    <phoneticPr fontId="6" type="noConversion"/>
  </si>
  <si>
    <t xml:space="preserve">  C2950-701-BAG    20000KG   22022271    (95996170)  IY1      </t>
    <phoneticPr fontId="6" type="noConversion"/>
  </si>
  <si>
    <t xml:space="preserve">  C2950-701-BAG    25000KG   22022271    (97368148)  IY1      </t>
    <phoneticPr fontId="6" type="noConversion"/>
  </si>
  <si>
    <t xml:space="preserve">  3412ECR-739-BAG    20000KG   22017144    (97351797)  IL1      </t>
    <phoneticPr fontId="6" type="noConversion"/>
  </si>
  <si>
    <t xml:space="preserve">0008349943  C6200-701-BAG    20000KG   22018354    (200550121)  IY1      </t>
    <phoneticPr fontId="6" type="noConversion"/>
  </si>
  <si>
    <t xml:space="preserve">0008537947  505RU-GY2E539-BAG    3000KG   22031253    (200568575)  IL2      </t>
    <phoneticPr fontId="6" type="noConversion"/>
  </si>
  <si>
    <t xml:space="preserve">  C6600-701-BAG    10000KG   22039680    (97353692)  IY1      </t>
    <phoneticPr fontId="6" type="noConversion"/>
  </si>
  <si>
    <t xml:space="preserve">  C2950-701-BAG    20000KG   22022271    (97368149)  IY1      </t>
    <phoneticPr fontId="6" type="noConversion"/>
  </si>
  <si>
    <t xml:space="preserve">  C6600-701-BAG    10000KG   22039680    (97350981)  IY1      </t>
    <phoneticPr fontId="6" type="noConversion"/>
  </si>
  <si>
    <t xml:space="preserve">  500R-73231-BAG    5000KG   22031231    (200553729)  IL2     Br.   </t>
    <phoneticPr fontId="6" type="noConversion"/>
  </si>
  <si>
    <t xml:space="preserve">  505RU-7T1D073-BAG    5000KG   22031251    (200562479)  IL2      </t>
    <phoneticPr fontId="6" type="noConversion"/>
  </si>
  <si>
    <t xml:space="preserve">  C6200-OR5B049-BAG    5050KG   22038832    (200576655)       Br.   </t>
    <phoneticPr fontId="6" type="noConversion"/>
  </si>
  <si>
    <t xml:space="preserve">  C6600-7B1D005-BAG    5000KG   22039683    (200550555)        </t>
    <phoneticPr fontId="6" type="noConversion"/>
  </si>
  <si>
    <t xml:space="preserve">  925-GY1G168-BAG    8100KG   22034407    (200528408)  IL2     Br.   </t>
    <phoneticPr fontId="6" type="noConversion"/>
  </si>
  <si>
    <t xml:space="preserve">  141R-701-BAG    20000KG   22021359    (70066339)  IL1      </t>
    <phoneticPr fontId="6" type="noConversion"/>
  </si>
  <si>
    <t xml:space="preserve">  141R-701-BAG    20000KG   22021359    (77255852)  IL1      </t>
    <phoneticPr fontId="6" type="noConversion"/>
  </si>
  <si>
    <t xml:space="preserve">  141R-701-BAG    20000KG   22021359    (77255854)  IL1      </t>
    <phoneticPr fontId="6" type="noConversion"/>
  </si>
  <si>
    <t xml:space="preserve">  141R-701-BAG    20000KG   22021359    (77255853)  IL1      </t>
    <phoneticPr fontId="6" type="noConversion"/>
  </si>
  <si>
    <t xml:space="preserve">  141R-701-BAG    20000KG   22021359    (72974333)  IL1      </t>
    <phoneticPr fontId="6" type="noConversion"/>
  </si>
  <si>
    <t xml:space="preserve">0008349954  C6200-701-BAG    20000KG   22018354    (200550263)  IY1      </t>
    <phoneticPr fontId="6" type="noConversion"/>
  </si>
  <si>
    <t xml:space="preserve">  141R-701-BAG    20000KG   22021359    (75336086)  IL1      </t>
    <phoneticPr fontId="6" type="noConversion"/>
  </si>
  <si>
    <t xml:space="preserve">  141R-701-BAG    20000KG   22021359    (75336093)  IL1      </t>
    <phoneticPr fontId="6" type="noConversion"/>
  </si>
  <si>
    <t xml:space="preserve">  141R-701-BAG    20000KG   22021359    (94716241)  IL1      </t>
    <phoneticPr fontId="6" type="noConversion"/>
  </si>
  <si>
    <t xml:space="preserve">0008349950  C6200-701-BAG    20000KG   22018354    (200550262)  IY1      </t>
    <phoneticPr fontId="6" type="noConversion"/>
  </si>
  <si>
    <t xml:space="preserve">  141R-701-BAG    20000KG   22021359    (94716242)  IL1      </t>
    <phoneticPr fontId="6" type="noConversion"/>
  </si>
  <si>
    <t xml:space="preserve">  141R-701-BAG    20000KG   22021359    (86376346)  IL1      </t>
    <phoneticPr fontId="6" type="noConversion"/>
  </si>
  <si>
    <t xml:space="preserve">  141R-701-BAG    20000KG   22021359    (94716243)  IL1      </t>
    <phoneticPr fontId="6" type="noConversion"/>
  </si>
  <si>
    <t xml:space="preserve">  141R-701-BAG    20000KG   22021359    (94716244)  IL1      </t>
    <phoneticPr fontId="6" type="noConversion"/>
  </si>
  <si>
    <t xml:space="preserve">0007566757  123R-GY2G415-BAG    10000KG   22043778    (200493234)  IL2      </t>
    <phoneticPr fontId="6" type="noConversion"/>
  </si>
  <si>
    <t xml:space="preserve">0008552002  MC8002-701-BAG    5050KG   22023863    (200570809)  IY2      </t>
    <phoneticPr fontId="6" type="noConversion"/>
  </si>
  <si>
    <t xml:space="preserve">  141R-701-BAG    20000KG   22021359    (94715499)  IL1      </t>
    <phoneticPr fontId="6" type="noConversion"/>
  </si>
  <si>
    <t xml:space="preserve">  141R-701-BAG    20000KG   22021359    (83539337)  IL1      </t>
    <phoneticPr fontId="6" type="noConversion"/>
  </si>
  <si>
    <t xml:space="preserve">  141R-701-BAG    20000KG   22021359    (94715498)  IL1      </t>
    <phoneticPr fontId="6" type="noConversion"/>
  </si>
  <si>
    <t xml:space="preserve">  141R-701-BAG    20000KG   22021359    (83539338)  IL1      </t>
    <phoneticPr fontId="6" type="noConversion"/>
  </si>
  <si>
    <t xml:space="preserve">  141R-701-BAG    20000KG   22021359    (75336080)  IL1      </t>
    <phoneticPr fontId="6" type="noConversion"/>
  </si>
  <si>
    <t xml:space="preserve">  141R-701-BAG    20000KG   22021359    (94715500)  IL1      </t>
    <phoneticPr fontId="6" type="noConversion"/>
  </si>
  <si>
    <t xml:space="preserve">  141R-701-BAG    20000KG   22021359    (94715501)  IL1      </t>
    <phoneticPr fontId="6" type="noConversion"/>
  </si>
  <si>
    <t xml:space="preserve">  G3220A-10000-BAG    19000KG   22017397    (200563931)        </t>
    <phoneticPr fontId="6" type="noConversion"/>
  </si>
  <si>
    <t xml:space="preserve">  G3220A-10000-BAG    3000KG   22017397    (200563865)        </t>
    <phoneticPr fontId="6" type="noConversion"/>
  </si>
  <si>
    <t xml:space="preserve">  G3220A-10000-BAG    19000KG   22017397    (200563932)        </t>
    <phoneticPr fontId="6" type="noConversion"/>
  </si>
  <si>
    <t xml:space="preserve">  G3220A-10000-BAG    20000KG   22017397    (200563905)        </t>
    <phoneticPr fontId="6" type="noConversion"/>
  </si>
  <si>
    <t xml:space="preserve">  C1200HF-GY4H029-    5000KG   299900552    (200500423)  IY2      </t>
    <phoneticPr fontId="6" type="noConversion"/>
  </si>
  <si>
    <t xml:space="preserve">  7530-14600-OCT    40799.998KG   22098314    (200573606)  IP2      </t>
    <phoneticPr fontId="6" type="noConversion"/>
  </si>
  <si>
    <t xml:space="preserve">  C1200HF-GY6G152-BAG    5067KG   22034465    (200575060)  IY2      </t>
    <phoneticPr fontId="6" type="noConversion"/>
  </si>
  <si>
    <t xml:space="preserve">  141R-701-BAG    20000KG   22021359    (94700215)  IL1      </t>
    <phoneticPr fontId="6" type="noConversion"/>
  </si>
  <si>
    <t xml:space="preserve">  141R-701-BAG    20000KG   22021359    (94700214)  IL1      </t>
    <phoneticPr fontId="6" type="noConversion"/>
  </si>
  <si>
    <t xml:space="preserve">  141R-701-BAG    20000KG   22021359    (94700216)  IL1      </t>
    <phoneticPr fontId="6" type="noConversion"/>
  </si>
  <si>
    <t xml:space="preserve">  141R-701-BAG    20000KG   22021359    (94700217)  IL1      </t>
    <phoneticPr fontId="6" type="noConversion"/>
  </si>
  <si>
    <t xml:space="preserve">  141R-701-BAG    20000KG   22021359    (94700218)  IL1      </t>
    <phoneticPr fontId="6" type="noConversion"/>
  </si>
  <si>
    <t xml:space="preserve">  141R-701-BAG    20000KG   22021359    (94700219)  IL1      </t>
    <phoneticPr fontId="6" type="noConversion"/>
  </si>
  <si>
    <t xml:space="preserve">  141R-701-BAG    20000KG   22021359    (94700223)  IL1      </t>
    <phoneticPr fontId="6" type="noConversion"/>
  </si>
  <si>
    <t xml:space="preserve">  141R-701-BAG    20000KG   22021359    (94700222)  IL1      </t>
    <phoneticPr fontId="6" type="noConversion"/>
  </si>
  <si>
    <t xml:space="preserve">  141R-701-BAG    20000KG   22021359    (94700220)  IL1      </t>
    <phoneticPr fontId="6" type="noConversion"/>
  </si>
  <si>
    <t xml:space="preserve">  141R-701-BAG    20000KG   22021359    (94700221)  IL1      </t>
    <phoneticPr fontId="6" type="noConversion"/>
  </si>
  <si>
    <t xml:space="preserve">  141R-701-BAG    20000KG   22021359    (94700224)  IL1      </t>
    <phoneticPr fontId="6" type="noConversion"/>
  </si>
  <si>
    <t xml:space="preserve">  141R-701-BAG    20000KG   22021359    (94700225)  IL1      </t>
    <phoneticPr fontId="6" type="noConversion"/>
  </si>
  <si>
    <t xml:space="preserve">  G3220A-10000-BAG    19000KG   22017397    (200563840)        </t>
    <phoneticPr fontId="6" type="noConversion"/>
  </si>
  <si>
    <t xml:space="preserve">  121R-701-BAG    10000KG   22021257    (200495979)        </t>
    <phoneticPr fontId="6" type="noConversion"/>
  </si>
  <si>
    <t xml:space="preserve">0008533487  V3900WX-GY8H043-BAG    13500KG   22084142    (200567459)  IV2     Br.   </t>
    <phoneticPr fontId="6" type="noConversion"/>
  </si>
  <si>
    <t xml:space="preserve">0008471079  V3900WX-GY8H043-BAG    10000KG   22084142    (200561342)  IV2     Br.   </t>
    <phoneticPr fontId="6" type="noConversion"/>
  </si>
  <si>
    <t xml:space="preserve">  DR48-BK1066-BAG    20000KG   22017721    (87586011)  IV1     Br.   </t>
    <phoneticPr fontId="6" type="noConversion"/>
  </si>
  <si>
    <t xml:space="preserve">0008415139  V4860HR-BK1066-BAG    5000KG   22024826    (200558839)  IV2     Br.   </t>
    <phoneticPr fontId="6" type="noConversion"/>
  </si>
  <si>
    <t xml:space="preserve">0007301723  357-BK1066-BAG    20376KG   22017581    (200468016)  IV1     Br.   </t>
    <phoneticPr fontId="6" type="noConversion"/>
  </si>
  <si>
    <t xml:space="preserve">  DR48-BK1066-BAG    10125KG   22017721    (97776458)  IV1     Br.   </t>
    <phoneticPr fontId="6" type="noConversion"/>
  </si>
  <si>
    <t xml:space="preserve">0008533546  364-WH8G708-BAG    5350KG   22028630    (200567432)  IV2     Br.   </t>
    <phoneticPr fontId="6" type="noConversion"/>
  </si>
  <si>
    <t xml:space="preserve">0008556239  310SE0-7001-BAG    4077.6KG   22031109    (200571680)  IV2     Br.   </t>
    <phoneticPr fontId="6" type="noConversion"/>
  </si>
  <si>
    <t xml:space="preserve">  357-BK1066-BAG    20000KG   22017581    (97353507)  IV1     Br.   </t>
    <phoneticPr fontId="6" type="noConversion"/>
  </si>
  <si>
    <t xml:space="preserve">  DR48-BK1066-BAG    20250KG   22017721    (97695116)  IV1     Br.   </t>
    <phoneticPr fontId="6" type="noConversion"/>
  </si>
  <si>
    <t xml:space="preserve">  357-BK1066-BAG    20376KG   22017581    (98075114)  IV1     Br.   </t>
    <phoneticPr fontId="6" type="noConversion"/>
  </si>
  <si>
    <t xml:space="preserve">  553-1001-BAG    5123.5KG   22019426    (97774440)  IV1     Br.   </t>
    <phoneticPr fontId="6" type="noConversion"/>
  </si>
  <si>
    <t xml:space="preserve">  V3900WX-BK1066-BAG    10258KG   22024815    (98133785)       Br.   </t>
    <phoneticPr fontId="6" type="noConversion"/>
  </si>
  <si>
    <t xml:space="preserve">  V3900WX-7M8D027-BAG    5000KG   22032797    (200547366)       Br.   </t>
    <phoneticPr fontId="6" type="noConversion"/>
  </si>
  <si>
    <t xml:space="preserve">  357U-GY8F076-BAG    20000KG   22033942    (200562844)  IV2     Br.   </t>
    <phoneticPr fontId="6" type="noConversion"/>
  </si>
  <si>
    <t xml:space="preserve">  V3900WX-WH8E373-BAG    10000KG   22041108    (200556149)  IV2     Br.   </t>
    <phoneticPr fontId="6" type="noConversion"/>
  </si>
  <si>
    <t xml:space="preserve">  V3900WX-GY8E431-BAG    5129KG   22020960    (200572837)  IV2     Br.   </t>
    <phoneticPr fontId="6" type="noConversion"/>
  </si>
  <si>
    <t xml:space="preserve">  553-1001-BAG    5123.5KG   22019426    (97774441)  IV1     Br.   </t>
    <phoneticPr fontId="6" type="noConversion"/>
  </si>
  <si>
    <t xml:space="preserve">  DR48-BK1762-BAG    20250KG   22035492    (200570598)       Br.   </t>
    <phoneticPr fontId="6" type="noConversion"/>
  </si>
  <si>
    <t xml:space="preserve">  553-1001-BAG    7172.9KG   22019426    (97744169)  IV1     Br.   </t>
    <phoneticPr fontId="6" type="noConversion"/>
  </si>
  <si>
    <t xml:space="preserve">  ENH2900-8A9D020-BAG    20446.001KG   22022996    (314938872)  IV2      </t>
    <phoneticPr fontId="6" type="noConversion"/>
  </si>
  <si>
    <t xml:space="preserve">0008398243  ENH2900-8A9D020-BAG    1000KG   22022996    (200557945)  IV2      </t>
    <phoneticPr fontId="6" type="noConversion"/>
  </si>
  <si>
    <t xml:space="preserve">0008551134  123R-WH9450-BAG    2078KG   22030951    (200570663)  IL2      </t>
    <phoneticPr fontId="6" type="noConversion"/>
  </si>
  <si>
    <t xml:space="preserve">0008305669  C6600-WH9A311-BAG    2000KG   22018379    (200543516)  IY2      </t>
    <phoneticPr fontId="6" type="noConversion"/>
  </si>
  <si>
    <t xml:space="preserve">0007601116  141R-WH8G792-BAG    5000KG   22033228    (200495961)  IL2      </t>
    <phoneticPr fontId="6" type="noConversion"/>
  </si>
  <si>
    <t xml:space="preserve">0007601104  141R-WH8G792-BAG    5000KG   22033228    (200495972)  IL2      </t>
    <phoneticPr fontId="6" type="noConversion"/>
  </si>
  <si>
    <t xml:space="preserve">0007601177  143R-WH9G485-BAG    5000KG   22044333    (200496025)  IL2      </t>
    <phoneticPr fontId="6" type="noConversion"/>
  </si>
  <si>
    <t xml:space="preserve">  C6600-WH9A311-BAG    2000KG   22018379    (200557304)  IY2      </t>
    <phoneticPr fontId="6" type="noConversion"/>
  </si>
  <si>
    <t xml:space="preserve">0008478324  CL100-78211-BAG    2000KG   22028144    (200561866)  IV2      </t>
    <phoneticPr fontId="6" type="noConversion"/>
  </si>
  <si>
    <t xml:space="preserve">0008556652  505RU-7A1D069-BAG    1030.4KG   22033780    (200571776)  IL2      </t>
    <phoneticPr fontId="6" type="noConversion"/>
  </si>
  <si>
    <t xml:space="preserve">0008524764  6620U-BK1066-BAG    1000KG   22033864    (200566030)  IV2      </t>
    <phoneticPr fontId="6" type="noConversion"/>
  </si>
  <si>
    <t xml:space="preserve">0008570176  5220U-WH9G575-BAG    1038KG   22038028    (200573682)  IV2      </t>
    <phoneticPr fontId="6" type="noConversion"/>
  </si>
  <si>
    <t xml:space="preserve">0008550669  143R-701-BAG    2045KG   22021393    (200570394)  IL2      </t>
    <phoneticPr fontId="6" type="noConversion"/>
  </si>
  <si>
    <t xml:space="preserve">0008598463  1731-1001-BAG    1058KG   22019215    (200576466)  IV2      </t>
    <phoneticPr fontId="6" type="noConversion"/>
  </si>
  <si>
    <t xml:space="preserve">0008443143  CL100-7001-BAG    10000KG   22039079    (200560326)  IV2      </t>
    <phoneticPr fontId="6" type="noConversion"/>
  </si>
  <si>
    <t xml:space="preserve">0008538006  505RU-7T1D073-BAG    1000KG   22031251    (200568663)  IL2      </t>
    <phoneticPr fontId="6" type="noConversion"/>
  </si>
  <si>
    <t xml:space="preserve">0008552007  MC8002-WH9C274-BAG    2055.8KG   22040648    (200570717)  IY2      </t>
    <phoneticPr fontId="6" type="noConversion"/>
  </si>
  <si>
    <t xml:space="preserve">0008232950  C6600-7T6D253-BAG    1000KG   22084473    (200534819)  IY2      </t>
    <phoneticPr fontId="6" type="noConversion"/>
  </si>
  <si>
    <t xml:space="preserve">0008416404  5220U-BL1A569-BAG    1000KG   22019416    (200559101)  IV2      </t>
    <phoneticPr fontId="6" type="noConversion"/>
  </si>
  <si>
    <t xml:space="preserve">  505RU-8T8D118-BAG    2060.8KG   22029848    (200571725)        </t>
    <phoneticPr fontId="6" type="noConversion"/>
  </si>
  <si>
    <t xml:space="preserve">  CL100-7001-BAG    5000KG   22039079    (200499146)  IV2      </t>
    <phoneticPr fontId="6" type="noConversion"/>
  </si>
  <si>
    <t xml:space="preserve">  CX2244ME-7T5D428-BAG    3000KG   22088391    (96103083)        </t>
    <phoneticPr fontId="6" type="noConversion"/>
  </si>
  <si>
    <t xml:space="preserve">  DR51-7001-BAG    2000KG   22028156    (200535980)        </t>
    <phoneticPr fontId="6" type="noConversion"/>
  </si>
  <si>
    <t xml:space="preserve">  WFL34-YWNAT-BAG    1000KG   22037724    (200566202)        </t>
    <phoneticPr fontId="6" type="noConversion"/>
  </si>
  <si>
    <t>SHA_PC51_SO_PO_Database.XLSX</t>
    <phoneticPr fontId="6" type="noConversion"/>
  </si>
  <si>
    <t>000200576873</t>
  </si>
  <si>
    <t>0002469287</t>
  </si>
  <si>
    <t>000200545192</t>
  </si>
  <si>
    <t>0002417245</t>
  </si>
  <si>
    <t>0098549298</t>
  </si>
  <si>
    <t>0/04:45:12</t>
  </si>
  <si>
    <t>000200576759</t>
  </si>
  <si>
    <t>22033000</t>
  </si>
  <si>
    <t>WCD861A-WH8B240-SBG-00-00-00</t>
  </si>
  <si>
    <t>NORWC8O</t>
  </si>
  <si>
    <t>0002447055</t>
  </si>
  <si>
    <t>WCD861A</t>
  </si>
  <si>
    <t>WH8B240</t>
  </si>
  <si>
    <t>000200576829</t>
  </si>
  <si>
    <t>22041094</t>
  </si>
  <si>
    <t>V3900WX-BL4E035-BAG-00-00-00</t>
  </si>
  <si>
    <t>0002469211</t>
  </si>
  <si>
    <t>BL4E035</t>
  </si>
  <si>
    <t>000315944994</t>
  </si>
  <si>
    <t>3/00:40:16</t>
  </si>
  <si>
    <t>0002464684</t>
  </si>
  <si>
    <t>000200576766</t>
  </si>
  <si>
    <t>000200576601</t>
  </si>
  <si>
    <t>0/02:16:27</t>
  </si>
  <si>
    <t>000200576840</t>
  </si>
  <si>
    <t>22034791</t>
  </si>
  <si>
    <t>BPL1000-BK1A382-BAG-00-00-00</t>
  </si>
  <si>
    <t>0002469297</t>
  </si>
  <si>
    <t>BK1A382</t>
  </si>
  <si>
    <t>000200576681</t>
  </si>
  <si>
    <t>299902264</t>
  </si>
  <si>
    <t>945-4T6D101</t>
  </si>
  <si>
    <t>0/03:53:55</t>
  </si>
  <si>
    <t>0002469081</t>
  </si>
  <si>
    <t>4T6D101</t>
  </si>
  <si>
    <t>0098568279</t>
  </si>
  <si>
    <t>1/02:23:56</t>
  </si>
  <si>
    <t>0002466894</t>
  </si>
  <si>
    <t>0098568280</t>
  </si>
  <si>
    <t>0002424263</t>
  </si>
  <si>
    <t>0098568281</t>
  </si>
  <si>
    <t>0002466896</t>
  </si>
  <si>
    <t>0098568282</t>
  </si>
  <si>
    <t>000200576824</t>
  </si>
  <si>
    <t>0002453306</t>
  </si>
  <si>
    <t>000200576749</t>
  </si>
  <si>
    <t>22107000</t>
  </si>
  <si>
    <t>9125-10121-BAG-00-00-00</t>
  </si>
  <si>
    <t>0/16:43:17</t>
  </si>
  <si>
    <t>0002469005</t>
  </si>
  <si>
    <t>9125</t>
  </si>
  <si>
    <t>10121</t>
  </si>
  <si>
    <t>0002466892</t>
  </si>
  <si>
    <t>22022222</t>
  </si>
  <si>
    <t>C1200HF-701-BAG-00-00-00</t>
  </si>
  <si>
    <t>0098549297</t>
  </si>
  <si>
    <t>000200576963</t>
  </si>
  <si>
    <t>1/18:47:38</t>
  </si>
  <si>
    <t>0002469330</t>
  </si>
  <si>
    <t>0/05:02:01</t>
  </si>
  <si>
    <t>000200576926</t>
  </si>
  <si>
    <t>22033797</t>
  </si>
  <si>
    <t>5220U-7A1D007-BAG-00-00-00</t>
  </si>
  <si>
    <t>0/01:11:35</t>
  </si>
  <si>
    <t>0002469123</t>
  </si>
  <si>
    <t>7A1D007</t>
  </si>
  <si>
    <t>000200576901</t>
  </si>
  <si>
    <t>0002469323</t>
  </si>
  <si>
    <t xml:space="preserve">  HS2000X-701-BAG    10000KG   22023606    (89722964)  IN1      </t>
  </si>
  <si>
    <t xml:space="preserve">  HS2000X-701-BAG    10000KG   22023606    (90238106)  IN1      </t>
  </si>
  <si>
    <t xml:space="preserve">  HS2000X-WH8C022-BAG    20512KG   22036470    (97794074)  IN1      </t>
  </si>
  <si>
    <t xml:space="preserve">  SE1X-701-BAG    20494KG   22024919    (97788172)  IN1      </t>
  </si>
  <si>
    <t xml:space="preserve">  GFN20F-N780S-BAG    10000KG   22095737    (96000254)  IN1      </t>
  </si>
  <si>
    <t xml:space="preserve">  GFN20F-N780S-BAG    10247KG   22095737    (97792123)  IN1      </t>
  </si>
  <si>
    <t xml:space="preserve">  GFN20F-701S-BAG    10247KG   22095736    (97969592)  IN1      </t>
  </si>
  <si>
    <t xml:space="preserve">  HS2000X-WH8C022-BAG    20512KG   22036470    (97792771)  IN1      </t>
  </si>
  <si>
    <t xml:space="preserve">  GFN20F-701S-BAG    10247KG   22095736    (98075109)  IN1      </t>
  </si>
  <si>
    <t xml:space="preserve">  SE1X-701-BAG    10247KG   22024919    (97788984)  IN1      </t>
  </si>
  <si>
    <t xml:space="preserve">  HS2000X-WH8C022-BAG    20000KG   22036470    (95999286)  IN1      </t>
  </si>
  <si>
    <t xml:space="preserve">  HS2000X-WH8C022-BAG    20000KG   22036470    (95999287)  IN1      </t>
  </si>
  <si>
    <t xml:space="preserve">  HS2000X-701-BAG    10000KG   22023606    (95999288)  IN1      </t>
  </si>
  <si>
    <t xml:space="preserve">  HS2000X-701-BAG    10000KG   22023606    (92845169)  IN1      </t>
  </si>
  <si>
    <t xml:space="preserve">  FNH2160-780-BAG    10256KG   22017766    (200576873)  IN2      </t>
  </si>
  <si>
    <t xml:space="preserve">  HS2000X-WH8C022-BAG    20512KG   22036470    (98129933)  IN1      </t>
  </si>
  <si>
    <t xml:space="preserve">  HS2000X-WH8C022-BAG    20512KG   22036470    (98129934)  IN1      </t>
  </si>
  <si>
    <t xml:space="preserve">  N1250-BK1066-BAG    5000KG   22040824    (200545192)  IN2      </t>
  </si>
  <si>
    <t xml:space="preserve">  SE1X-701-BAG    18171KG   22024919    (97788246)  IN1      </t>
  </si>
  <si>
    <t xml:space="preserve">0008415967  PX1600X-701-BAG    20190KG   22017944    (200559041)  IN1      </t>
  </si>
  <si>
    <t xml:space="preserve">  SE1X-701-BAG    20190KG   22024919    (97785525)  IN1      </t>
  </si>
  <si>
    <t xml:space="preserve">  SE1X-701-BAG    20190KG   22024919    (97785524)  IN1      </t>
  </si>
  <si>
    <t xml:space="preserve">  SE1X-701-BAG    20190KG   22024919    (97789190)  IN1      </t>
  </si>
  <si>
    <t xml:space="preserve">  SE1X-701-BAG    20000KG   22024919    (96149719)  IN1      </t>
  </si>
  <si>
    <t xml:space="preserve">0008556953  731-780-BAG    520.95KG   22021817    (200571905)  IN2      </t>
  </si>
  <si>
    <t xml:space="preserve">0007448530  2310-7301-BAG    5000KG   22017567    (200485078)  IU2      </t>
  </si>
  <si>
    <t xml:space="preserve">0008417200  1000-GY2C261-BAG    1000KG   22019057    (200559078)  IU2      </t>
  </si>
  <si>
    <t xml:space="preserve">  1000R-21019-BAG    500KG   22033151    (200551343)  IU2      </t>
  </si>
  <si>
    <t xml:space="preserve">  1000R-BR7156-BAG    300KG   22037978    (200551266)  IU2      </t>
  </si>
  <si>
    <t xml:space="preserve">0008314187  243R-111-BAG    2000KG   22019283    (200545577)  IL2      </t>
  </si>
  <si>
    <t xml:space="preserve">  101R-111-BAG    2000KG   22027971    (200521952)  IL2      </t>
  </si>
  <si>
    <t xml:space="preserve">  FXD121R-NA8G018X-BAG    3000KG   22044315    (200549470)  IX2      </t>
  </si>
  <si>
    <t xml:space="preserve">  420-1001-BAG    10610KG   22021631    (315944994)  IV2      </t>
  </si>
  <si>
    <t xml:space="preserve">0008555775  HRA222F-BK2E067-BAG    2092.2KG   22036450    (200571599)  IC2     Br.   </t>
  </si>
  <si>
    <t xml:space="preserve">0008538145  500-739-BAG    25KG   22021690    (200568560)  IL2     Br.   </t>
  </si>
  <si>
    <t xml:space="preserve">0008469710  500R-RD5D188-BAG    1000KG   22029841    (200561041)  IL2     Br.   </t>
  </si>
  <si>
    <t xml:space="preserve">0008555773  HRA222F-BK2E067-BAG    2092.2KG   22036450    (200571598)  IC2     Br.   </t>
  </si>
  <si>
    <t xml:space="preserve">0008343836  505RU-7T8D558-BAG    1000KG   22031252    (200548614)  IL2      </t>
  </si>
  <si>
    <t xml:space="preserve">  C1200HF-RD3G073-BAG    20248KG   22029056    (98568279)  IY1     Br.   </t>
  </si>
  <si>
    <t xml:space="preserve">  C1200HF-RD3G073-BAG    20248KG   22029056    (98568280)  IY1     Br.   </t>
  </si>
  <si>
    <t xml:space="preserve">  C1200HF-RD3G073-BAG    20248KG   22029056    (98568281)  IY1     Br.   </t>
  </si>
  <si>
    <t xml:space="preserve">  C1200HF-RD3G073-BAG    20248KG   22029056    (98568282)  IY1     Br.   </t>
  </si>
  <si>
    <t xml:space="preserve">0008233687  243R-WH4B198-BAG    20000KG   22038486    (200534991)  IL2      </t>
  </si>
  <si>
    <t xml:space="preserve">  LS2-4158-BAG    5000KG   22020459    (200498073)  IL2      </t>
  </si>
  <si>
    <t xml:space="preserve">  LS2-4158-BAG    5000KG   22020459    (200498096)  IL2      </t>
  </si>
  <si>
    <t xml:space="preserve">  141R-GY6A427-BAG    10100KG   22030748    (97375707)  IL1      </t>
  </si>
  <si>
    <t xml:space="preserve">  500R-739-BAG    3037.2KG   22021700    (97793923)       Br.   </t>
  </si>
  <si>
    <t xml:space="preserve">0008372066  500R-73231-BAG    5000KG   22031231    (200553729)  IL2     Br.   </t>
  </si>
  <si>
    <t xml:space="preserve">  V3900WX-BK1066-BAG    10258KG   22024815    (98133785)  IV1     Br.   </t>
  </si>
  <si>
    <t xml:space="preserve">0008601888  5220U-7A1D007-BAG    519KG   22033797    (200576926)  IV2      </t>
  </si>
  <si>
    <t xml:space="preserve">0008602040  EXL1414-WH9G658-BAG    2000KG   22040495    (200576901)  IX2      </t>
  </si>
  <si>
    <t>CDPS_REPT</t>
  </si>
  <si>
    <t>Ctrl+m</t>
  </si>
  <si>
    <t>000200579182</t>
  </si>
  <si>
    <t>0002468514</t>
  </si>
  <si>
    <t>000200579561</t>
  </si>
  <si>
    <t>0002474192</t>
  </si>
  <si>
    <t>0098624567</t>
  </si>
  <si>
    <t>0098624569</t>
  </si>
  <si>
    <t>22017123</t>
  </si>
  <si>
    <t>V0150B-701-BAG-00-00-00</t>
  </si>
  <si>
    <t>0098628116</t>
  </si>
  <si>
    <t>000200578918</t>
  </si>
  <si>
    <t>0/09:42:01</t>
  </si>
  <si>
    <t>0/10:34:55</t>
  </si>
  <si>
    <t>000200577699</t>
  </si>
  <si>
    <t>000200577814</t>
  </si>
  <si>
    <t>0002340705</t>
  </si>
  <si>
    <t>0002453195</t>
  </si>
  <si>
    <t>0002394303</t>
  </si>
  <si>
    <t>0/11:27:50</t>
  </si>
  <si>
    <t>000200578889</t>
  </si>
  <si>
    <t>0002472665</t>
  </si>
  <si>
    <t>0002353861</t>
  </si>
  <si>
    <t>2001579581</t>
  </si>
  <si>
    <t>000200577808</t>
  </si>
  <si>
    <t>22028387</t>
  </si>
  <si>
    <t>PX9406P-7T1D232-BAG-00-00-00</t>
  </si>
  <si>
    <t>0002470613</t>
  </si>
  <si>
    <t>0002415920</t>
  </si>
  <si>
    <t>0098883821</t>
  </si>
  <si>
    <t>0098620950</t>
  </si>
  <si>
    <t>0098634506</t>
  </si>
  <si>
    <t>0002398161</t>
  </si>
  <si>
    <t>4503085354</t>
  </si>
  <si>
    <t>0098637884</t>
  </si>
  <si>
    <t>0098637554</t>
  </si>
  <si>
    <t>0098634514</t>
  </si>
  <si>
    <t>0002412599</t>
  </si>
  <si>
    <t>0098621485</t>
  </si>
  <si>
    <t>0098636919</t>
  </si>
  <si>
    <t>000200577775</t>
  </si>
  <si>
    <t>0/02:45:19</t>
  </si>
  <si>
    <t>0/07:20:49</t>
  </si>
  <si>
    <t>0/04:35:31</t>
  </si>
  <si>
    <t>0/02:45:18</t>
  </si>
  <si>
    <t>0/08:32:27</t>
  </si>
  <si>
    <t>000200579667</t>
  </si>
  <si>
    <t>22036134</t>
  </si>
  <si>
    <t>FXD121R-WH9G550X-BAG-00-00-00</t>
  </si>
  <si>
    <t>0002474196</t>
  </si>
  <si>
    <t>WH9G550X</t>
  </si>
  <si>
    <t>000200578849</t>
  </si>
  <si>
    <t>0002472637</t>
  </si>
  <si>
    <t>0098620967</t>
  </si>
  <si>
    <t>0002470616</t>
  </si>
  <si>
    <t>000200579596</t>
  </si>
  <si>
    <t>0002474182</t>
  </si>
  <si>
    <t>000200577700</t>
  </si>
  <si>
    <t>000200577697</t>
  </si>
  <si>
    <t>0/05:53:09</t>
  </si>
  <si>
    <t>000200580651</t>
  </si>
  <si>
    <t>000200580652</t>
  </si>
  <si>
    <t>000200580648</t>
  </si>
  <si>
    <t>000200579055</t>
  </si>
  <si>
    <t>0002472949</t>
  </si>
  <si>
    <t>0098626339</t>
  </si>
  <si>
    <t>0002382304</t>
  </si>
  <si>
    <t>0002286617</t>
  </si>
  <si>
    <t>0098624565</t>
  </si>
  <si>
    <t>0098621453</t>
  </si>
  <si>
    <t>0098624566</t>
  </si>
  <si>
    <t>0098624568</t>
  </si>
  <si>
    <t>0/03:05:03</t>
  </si>
  <si>
    <t>0/01:44:03</t>
  </si>
  <si>
    <t>0/01:38:05</t>
  </si>
  <si>
    <t>000200579560</t>
  </si>
  <si>
    <t>22079800</t>
  </si>
  <si>
    <t>WCD801AU-WH9E496-SBG-00-00-00</t>
  </si>
  <si>
    <t>0/00:56:07</t>
  </si>
  <si>
    <t>WCD801AU</t>
  </si>
  <si>
    <t>WH9E496</t>
  </si>
  <si>
    <t>0/17:24:19</t>
  </si>
  <si>
    <t>000200577698</t>
  </si>
  <si>
    <t>000200580005</t>
  </si>
  <si>
    <t>1/06:27:33</t>
  </si>
  <si>
    <t>0002474849</t>
  </si>
  <si>
    <t>000200579879</t>
  </si>
  <si>
    <t>22033004</t>
  </si>
  <si>
    <t>WCD915-WH7E076-SBG-00-00-00</t>
  </si>
  <si>
    <t>0002474838</t>
  </si>
  <si>
    <t>WH7E076</t>
  </si>
  <si>
    <t>000200579043</t>
  </si>
  <si>
    <t>299906052</t>
  </si>
  <si>
    <t>GFN30F-780S</t>
  </si>
  <si>
    <t>0002472906</t>
  </si>
  <si>
    <t>780S</t>
  </si>
  <si>
    <t>000200577809</t>
  </si>
  <si>
    <t>22080581</t>
  </si>
  <si>
    <t>WCD801A-BK2C007-SBG-00-00-00</t>
  </si>
  <si>
    <t>NORWCGDO</t>
  </si>
  <si>
    <t>0002470617</t>
  </si>
  <si>
    <t>BK2C007</t>
  </si>
  <si>
    <t>000200577823</t>
  </si>
  <si>
    <t>0002470584</t>
  </si>
  <si>
    <t>000200579718</t>
  </si>
  <si>
    <t>0002474431</t>
  </si>
  <si>
    <t>000200580633</t>
  </si>
  <si>
    <t>0002476163</t>
  </si>
  <si>
    <t>000200577954</t>
  </si>
  <si>
    <t>0002470969</t>
  </si>
  <si>
    <t>000200579760</t>
  </si>
  <si>
    <t>0002474638</t>
  </si>
  <si>
    <t>000200577806</t>
  </si>
  <si>
    <t>0/01:30:40</t>
  </si>
  <si>
    <t>0002469159</t>
  </si>
  <si>
    <t>0/04:54:25</t>
  </si>
  <si>
    <t>0/02:29:12</t>
  </si>
  <si>
    <t>0/12:25:59</t>
  </si>
  <si>
    <t>000200577815</t>
  </si>
  <si>
    <t>000200577813</t>
  </si>
  <si>
    <t>000200580654</t>
  </si>
  <si>
    <t>0/02:23:33</t>
  </si>
  <si>
    <t>0002476159</t>
  </si>
  <si>
    <t>000200577801</t>
  </si>
  <si>
    <t>0/04:58:08</t>
  </si>
  <si>
    <t>0002470608</t>
  </si>
  <si>
    <t>0/00:55:34</t>
  </si>
  <si>
    <t>0/01:14:43</t>
  </si>
  <si>
    <t>0/03:01:35</t>
  </si>
  <si>
    <t>0/00:55:32</t>
  </si>
  <si>
    <t>000200580153</t>
  </si>
  <si>
    <t>22032727</t>
  </si>
  <si>
    <t>PX9406P-111-BAG-00-00-00</t>
  </si>
  <si>
    <t>000200577882</t>
  </si>
  <si>
    <t>299901206</t>
  </si>
  <si>
    <t>GFN20-111</t>
  </si>
  <si>
    <t>000200580630</t>
  </si>
  <si>
    <t>22017280</t>
  </si>
  <si>
    <t>2200-1000-BAG-00-00-00</t>
  </si>
  <si>
    <t>2200</t>
  </si>
  <si>
    <t>0/00:59:46</t>
  </si>
  <si>
    <t>0/09:57:40</t>
  </si>
  <si>
    <t>0/01:23:20</t>
  </si>
  <si>
    <t>0/19:55:20</t>
  </si>
  <si>
    <t>000200577870</t>
  </si>
  <si>
    <t>22021503</t>
  </si>
  <si>
    <t>2210R-7301-BAG-00-00-00</t>
  </si>
  <si>
    <t>0002470753</t>
  </si>
  <si>
    <t>2210R</t>
  </si>
  <si>
    <t>0098950819</t>
  </si>
  <si>
    <t>0002368718</t>
  </si>
  <si>
    <t>000200578905</t>
  </si>
  <si>
    <t>0/05:05:42</t>
  </si>
  <si>
    <t>0002456801</t>
  </si>
  <si>
    <t>000200578029</t>
  </si>
  <si>
    <t>0/02:59:18</t>
  </si>
  <si>
    <t>0002471098</t>
  </si>
  <si>
    <t>000200577875</t>
  </si>
  <si>
    <t>0002464710</t>
  </si>
  <si>
    <t>000200578868</t>
  </si>
  <si>
    <t>22032822</t>
  </si>
  <si>
    <t>PVX0901-GY3E986-BAG-00-00-00</t>
  </si>
  <si>
    <t>0002463527</t>
  </si>
  <si>
    <t>GY3E986</t>
  </si>
  <si>
    <t>000200579839</t>
  </si>
  <si>
    <t>299904976</t>
  </si>
  <si>
    <t>N1050-5G7A4033</t>
  </si>
  <si>
    <t>0002474835</t>
  </si>
  <si>
    <t>5G7A4033</t>
  </si>
  <si>
    <t>000200579703</t>
  </si>
  <si>
    <t>1/05:53:00</t>
  </si>
  <si>
    <t>0002474271</t>
  </si>
  <si>
    <t>0/00:22:44</t>
  </si>
  <si>
    <t>0/00:45:28</t>
  </si>
  <si>
    <t>000200578976</t>
  </si>
  <si>
    <t>22073868</t>
  </si>
  <si>
    <t>C086079M-100-BAG-00-00-00</t>
  </si>
  <si>
    <t>1/13:52:44</t>
  </si>
  <si>
    <t>0030</t>
  </si>
  <si>
    <t>C086079M</t>
  </si>
  <si>
    <t>0098869185</t>
  </si>
  <si>
    <t>0/22:38:37</t>
  </si>
  <si>
    <t>0/01:25:42</t>
  </si>
  <si>
    <t>000200578916</t>
  </si>
  <si>
    <t>22063233</t>
  </si>
  <si>
    <t>C8260MB-100-BAG-00-00-00</t>
  </si>
  <si>
    <t>C8260MB</t>
  </si>
  <si>
    <t>0/14:43:06</t>
  </si>
  <si>
    <t>0/04:17:09</t>
  </si>
  <si>
    <t>000200578801</t>
  </si>
  <si>
    <t>299905816</t>
  </si>
  <si>
    <t>EXL1414-8T9A4820</t>
  </si>
  <si>
    <t>0002472595</t>
  </si>
  <si>
    <t>8T9A4820</t>
  </si>
  <si>
    <t>0098869237</t>
  </si>
  <si>
    <t>0/07:11:21</t>
  </si>
  <si>
    <t>0/03:37:17</t>
  </si>
  <si>
    <t>000200577952</t>
  </si>
  <si>
    <t>22037831</t>
  </si>
  <si>
    <t>310SE0-4262-BAG-00-00-00</t>
  </si>
  <si>
    <t>0002464468</t>
  </si>
  <si>
    <t>000200580063</t>
  </si>
  <si>
    <t>0/14:34:31</t>
  </si>
  <si>
    <t>0002474986</t>
  </si>
  <si>
    <t>000200579747</t>
  </si>
  <si>
    <t>22043792</t>
  </si>
  <si>
    <t>364-BK2E084-BAG-00-00-00</t>
  </si>
  <si>
    <t>0/17:22:55</t>
  </si>
  <si>
    <t>0002474392</t>
  </si>
  <si>
    <t>BK2E084</t>
  </si>
  <si>
    <t>000200579672</t>
  </si>
  <si>
    <t>0002474215</t>
  </si>
  <si>
    <t>000200578831</t>
  </si>
  <si>
    <t>299903906</t>
  </si>
  <si>
    <t>553-7G1A3450</t>
  </si>
  <si>
    <t>0002470534</t>
  </si>
  <si>
    <t>7G1A3450</t>
  </si>
  <si>
    <t>000200577905</t>
  </si>
  <si>
    <t>0002470796</t>
  </si>
  <si>
    <t>000200579990</t>
  </si>
  <si>
    <t>299900627</t>
  </si>
  <si>
    <t>3706-GY1G327</t>
  </si>
  <si>
    <t>0/07:20:48</t>
  </si>
  <si>
    <t>0002474889</t>
  </si>
  <si>
    <t>GY1G327</t>
  </si>
  <si>
    <t>000200579094</t>
  </si>
  <si>
    <t>22041099</t>
  </si>
  <si>
    <t>V3900WX-GY2G143-BAG-00-00-00</t>
  </si>
  <si>
    <t>0002473296</t>
  </si>
  <si>
    <t>GY2G143</t>
  </si>
  <si>
    <t>000200578932</t>
  </si>
  <si>
    <t>290018654</t>
  </si>
  <si>
    <t>3706-BL2D120</t>
  </si>
  <si>
    <t>0002472928</t>
  </si>
  <si>
    <t>BL2D120</t>
  </si>
  <si>
    <t>000200578833</t>
  </si>
  <si>
    <t>22034053</t>
  </si>
  <si>
    <t>457-7001-BAG-00-00-00</t>
  </si>
  <si>
    <t>0002472625</t>
  </si>
  <si>
    <t>000200579816</t>
  </si>
  <si>
    <t>22018149</t>
  </si>
  <si>
    <t>310SE0-1001-BAG-00-00-00</t>
  </si>
  <si>
    <t>0002474687</t>
  </si>
  <si>
    <t>000200579060</t>
  </si>
  <si>
    <t>0002472980</t>
  </si>
  <si>
    <t>0/03:14:55</t>
  </si>
  <si>
    <t>000200579595</t>
  </si>
  <si>
    <t>22089282</t>
  </si>
  <si>
    <t>CY8630-100-BAG-00-00-00</t>
  </si>
  <si>
    <t>0/00:46:35</t>
  </si>
  <si>
    <t>0/04:13:24</t>
  </si>
  <si>
    <t>000200580650</t>
  </si>
  <si>
    <t>000200579706</t>
  </si>
  <si>
    <t>22065679</t>
  </si>
  <si>
    <t>940A-WH7G173-BAG-00-00-00</t>
  </si>
  <si>
    <t>0002474275</t>
  </si>
  <si>
    <t>WH7G173</t>
  </si>
  <si>
    <t>000200579668</t>
  </si>
  <si>
    <t>22043872</t>
  </si>
  <si>
    <t>CX2244ME-8H9D503-BAG-00-00-00</t>
  </si>
  <si>
    <t>0002456470</t>
  </si>
  <si>
    <t>8H9D503</t>
  </si>
  <si>
    <t>000200577845</t>
  </si>
  <si>
    <t>22034225</t>
  </si>
  <si>
    <t>945-7T8D574-BAG-00-00-00</t>
  </si>
  <si>
    <t>0002470607</t>
  </si>
  <si>
    <t>7T8D574</t>
  </si>
  <si>
    <t>000200577918</t>
  </si>
  <si>
    <t>0002470922</t>
  </si>
  <si>
    <t>000200579716</t>
  </si>
  <si>
    <t>22039309</t>
  </si>
  <si>
    <t>D2000-WT94271-BAG-00-00-00</t>
  </si>
  <si>
    <t>0/06:57:35</t>
  </si>
  <si>
    <t>PC8O</t>
  </si>
  <si>
    <t>0002474385</t>
  </si>
  <si>
    <t>D2000</t>
  </si>
  <si>
    <t>WT94271</t>
  </si>
  <si>
    <t>1/08:29:15</t>
  </si>
  <si>
    <t>000200579817</t>
  </si>
  <si>
    <t>22041428</t>
  </si>
  <si>
    <t>XTWE270M-BR5G043-BAG-00-00-00</t>
  </si>
  <si>
    <t>0002474696</t>
  </si>
  <si>
    <t>XTWE270M</t>
  </si>
  <si>
    <t>BR5G043</t>
  </si>
  <si>
    <t>000200579669</t>
  </si>
  <si>
    <t>22034771</t>
  </si>
  <si>
    <t>C6600-7R6D035-BAG-00-00-00</t>
  </si>
  <si>
    <t>0002474232</t>
  </si>
  <si>
    <t>7R6D035</t>
  </si>
  <si>
    <t>000200577816</t>
  </si>
  <si>
    <t>22034000</t>
  </si>
  <si>
    <t>920-701616-BAG-00-00-00</t>
  </si>
  <si>
    <t>0/00:58:29</t>
  </si>
  <si>
    <t>0002470628</t>
  </si>
  <si>
    <t>701616</t>
  </si>
  <si>
    <t>000200579863</t>
  </si>
  <si>
    <t>22030159</t>
  </si>
  <si>
    <t>C6600-GY8D177-BAG-00-00-00</t>
  </si>
  <si>
    <t>0002474673</t>
  </si>
  <si>
    <t>GY8D177</t>
  </si>
  <si>
    <t>000200579787</t>
  </si>
  <si>
    <t>0002474484</t>
  </si>
  <si>
    <t>000200579842</t>
  </si>
  <si>
    <t>22040064</t>
  </si>
  <si>
    <t>CX7240-GY2D041-BAG-00-00-00</t>
  </si>
  <si>
    <t>0002474517</t>
  </si>
  <si>
    <t>GY2D041</t>
  </si>
  <si>
    <t>000200577842</t>
  </si>
  <si>
    <t>22028466</t>
  </si>
  <si>
    <t>C2800-7R4D003-BAG-00-00-00</t>
  </si>
  <si>
    <t>0002470614</t>
  </si>
  <si>
    <t>7R4D003</t>
  </si>
  <si>
    <t>000200579664</t>
  </si>
  <si>
    <t>22028468</t>
  </si>
  <si>
    <t>C2950-7P1D021-BAG-00-00-00</t>
  </si>
  <si>
    <t>0002474188</t>
  </si>
  <si>
    <t>7P1D021</t>
  </si>
  <si>
    <t>000200577881</t>
  </si>
  <si>
    <t>0002470959</t>
  </si>
  <si>
    <t>000200579771</t>
  </si>
  <si>
    <t>0002474525</t>
  </si>
  <si>
    <t>0/13:10:42</t>
  </si>
  <si>
    <t>0/13:02:57</t>
  </si>
  <si>
    <t>000200578928</t>
  </si>
  <si>
    <t>1/06:00:47</t>
  </si>
  <si>
    <t>0002468523</t>
  </si>
  <si>
    <t>0/14:21:15</t>
  </si>
  <si>
    <t>0/19:22:47</t>
  </si>
  <si>
    <t>1/01:07:02</t>
  </si>
  <si>
    <t>000200579847</t>
  </si>
  <si>
    <t>22037347</t>
  </si>
  <si>
    <t>XTWE270M-GY7G202-BAG-00-00-00</t>
  </si>
  <si>
    <t>0/03:55:49</t>
  </si>
  <si>
    <t>GELXTWGDO</t>
  </si>
  <si>
    <t>0002474702</t>
  </si>
  <si>
    <t>GY7G202</t>
  </si>
  <si>
    <t>0002267522</t>
  </si>
  <si>
    <t>000200577755</t>
  </si>
  <si>
    <t>000200577863</t>
  </si>
  <si>
    <t>0002424253</t>
  </si>
  <si>
    <t>1/02:35:50</t>
  </si>
  <si>
    <t>000200580521</t>
  </si>
  <si>
    <t>0002474353</t>
  </si>
  <si>
    <t>000200577826</t>
  </si>
  <si>
    <t>1/02:26:17</t>
  </si>
  <si>
    <t>0/12:50:21</t>
  </si>
  <si>
    <t>1/02:20:11</t>
  </si>
  <si>
    <t>0/06:35:03</t>
  </si>
  <si>
    <t>000200578975</t>
  </si>
  <si>
    <t>000200577827</t>
  </si>
  <si>
    <t>1/02:23:28</t>
  </si>
  <si>
    <t>000200578958</t>
  </si>
  <si>
    <t>000200578846</t>
  </si>
  <si>
    <t>22018177</t>
  </si>
  <si>
    <t>3706-BK1066-BAG-00-00-00</t>
  </si>
  <si>
    <t>1/02:24:15</t>
  </si>
  <si>
    <t>0002470656</t>
  </si>
  <si>
    <t>0/18:10:34</t>
  </si>
  <si>
    <t>000200578015</t>
  </si>
  <si>
    <t>0/07:04:57</t>
  </si>
  <si>
    <t>0002471151</t>
  </si>
  <si>
    <t>0/15:02:32</t>
  </si>
  <si>
    <t>000200579649</t>
  </si>
  <si>
    <t>0/08:35:12</t>
  </si>
  <si>
    <t>0002474198</t>
  </si>
  <si>
    <t>000200579762</t>
  </si>
  <si>
    <t>0/06:15:50</t>
  </si>
  <si>
    <t>0002474339</t>
  </si>
  <si>
    <t>000200577810</t>
  </si>
  <si>
    <t>0/22:12:03</t>
  </si>
  <si>
    <t>000200577878</t>
  </si>
  <si>
    <t>0/06:16:44</t>
  </si>
  <si>
    <t>0002470918</t>
  </si>
  <si>
    <t>0002394138</t>
  </si>
  <si>
    <t>0/12:18:59</t>
  </si>
  <si>
    <t>0002334356</t>
  </si>
  <si>
    <t>0/06:09:36</t>
  </si>
  <si>
    <t>000200579867</t>
  </si>
  <si>
    <t>22039652</t>
  </si>
  <si>
    <t>C6600-2B2D008-BAG-00-00-00</t>
  </si>
  <si>
    <t>COYFR2DO</t>
  </si>
  <si>
    <t>0002453700</t>
  </si>
  <si>
    <t>2B2D008</t>
  </si>
  <si>
    <t>0/12:21:45</t>
  </si>
  <si>
    <t>000200579087</t>
  </si>
  <si>
    <t>22021914</t>
  </si>
  <si>
    <t>503R-739-BAG-00-00-00</t>
  </si>
  <si>
    <t>0/12:26:56</t>
  </si>
  <si>
    <t>0002473065</t>
  </si>
  <si>
    <t>503R</t>
  </si>
  <si>
    <t>000200579086</t>
  </si>
  <si>
    <t>1/00:53:52</t>
  </si>
  <si>
    <t>000200577924</t>
  </si>
  <si>
    <t>22033617</t>
  </si>
  <si>
    <t>3412R-8375-BAG-00-00-00</t>
  </si>
  <si>
    <t>0002470830</t>
  </si>
  <si>
    <t>8375</t>
  </si>
  <si>
    <t>000200579871</t>
  </si>
  <si>
    <t>0002453707</t>
  </si>
  <si>
    <t>000200579915</t>
  </si>
  <si>
    <t>0002453711</t>
  </si>
  <si>
    <t>000200578816</t>
  </si>
  <si>
    <t>0/04:51:58</t>
  </si>
  <si>
    <t>0002472667</t>
  </si>
  <si>
    <t>0/22:21:24</t>
  </si>
  <si>
    <t>000200580647</t>
  </si>
  <si>
    <t>0098869681</t>
  </si>
  <si>
    <t>000200580655</t>
  </si>
  <si>
    <t>22033905</t>
  </si>
  <si>
    <t>7530-14600-BAG-00-00-00</t>
  </si>
  <si>
    <t>0/11:14:01</t>
  </si>
  <si>
    <t>0002474168</t>
  </si>
  <si>
    <t>000200579577</t>
  </si>
  <si>
    <t>0002474185</t>
  </si>
  <si>
    <t>000200580636</t>
  </si>
  <si>
    <t>22034186</t>
  </si>
  <si>
    <t>5450-13200-BAG-00-00-00</t>
  </si>
  <si>
    <t>0/11:07:24</t>
  </si>
  <si>
    <t>PPTPMF7O</t>
  </si>
  <si>
    <t>0002474511</t>
  </si>
  <si>
    <t>5450</t>
  </si>
  <si>
    <t>13200</t>
  </si>
  <si>
    <t>000200579878</t>
  </si>
  <si>
    <t>0002474836</t>
  </si>
  <si>
    <t>0002472617</t>
  </si>
  <si>
    <t>000200580632</t>
  </si>
  <si>
    <t>0002474162</t>
  </si>
  <si>
    <t>000200580683</t>
  </si>
  <si>
    <t>0002474165</t>
  </si>
  <si>
    <t>000200579146</t>
  </si>
  <si>
    <t>000200563927</t>
  </si>
  <si>
    <t>0002450424</t>
  </si>
  <si>
    <t>000200496011</t>
  </si>
  <si>
    <t>0002335556</t>
  </si>
  <si>
    <t>0/12:40:52</t>
  </si>
  <si>
    <t>0/21:40:35</t>
  </si>
  <si>
    <t>0/11:39:38</t>
  </si>
  <si>
    <t>0002466826</t>
  </si>
  <si>
    <t>0/06:16:47</t>
  </si>
  <si>
    <t>1/01:17:44</t>
  </si>
  <si>
    <t>1/01:26:32</t>
  </si>
  <si>
    <t>0/06:16:52</t>
  </si>
  <si>
    <t>000200579828</t>
  </si>
  <si>
    <t>22044762</t>
  </si>
  <si>
    <t>310SE0-GY8G068-BAG-00-00-00</t>
  </si>
  <si>
    <t>0/03:47:39</t>
  </si>
  <si>
    <t>0002474691</t>
  </si>
  <si>
    <t>GY8G068</t>
  </si>
  <si>
    <t>000200579783</t>
  </si>
  <si>
    <t>0002474445</t>
  </si>
  <si>
    <t>0002332973</t>
  </si>
  <si>
    <t>0098620957</t>
  </si>
  <si>
    <t>0098642226</t>
  </si>
  <si>
    <t>0098642227</t>
  </si>
  <si>
    <t>0002454783</t>
  </si>
  <si>
    <t>0098642228</t>
  </si>
  <si>
    <t>1/18:47:39</t>
  </si>
  <si>
    <t>000200578864</t>
  </si>
  <si>
    <t>22038883</t>
  </si>
  <si>
    <t>C6600-8R8D063-BAG-00-00-00</t>
  </si>
  <si>
    <t>0/02:22:12</t>
  </si>
  <si>
    <t>0002472561</t>
  </si>
  <si>
    <t>8R8D063</t>
  </si>
  <si>
    <t>000200579617</t>
  </si>
  <si>
    <t>22038414</t>
  </si>
  <si>
    <t>945-GY6C148-BAG-00-00-00</t>
  </si>
  <si>
    <t>0/04:49:10</t>
  </si>
  <si>
    <t>0002474172</t>
  </si>
  <si>
    <t>GY6C148</t>
  </si>
  <si>
    <t>000200579645</t>
  </si>
  <si>
    <t>22035402</t>
  </si>
  <si>
    <t>C6600E-GY6C240-BAG-00-00-00</t>
  </si>
  <si>
    <t>0/04:41:52</t>
  </si>
  <si>
    <t>0002474169</t>
  </si>
  <si>
    <t>C6600E</t>
  </si>
  <si>
    <t>GY6C240</t>
  </si>
  <si>
    <t>0/04:44:24</t>
  </si>
  <si>
    <t>0/02:22:07</t>
  </si>
  <si>
    <t>0/11:48:53</t>
  </si>
  <si>
    <t>000200579008</t>
  </si>
  <si>
    <t>0/04:42:46</t>
  </si>
  <si>
    <t>0/23:32:58</t>
  </si>
  <si>
    <t>000200579766</t>
  </si>
  <si>
    <t>299900099</t>
  </si>
  <si>
    <t>5220U-7A1D383</t>
  </si>
  <si>
    <t>0/16:42:12</t>
  </si>
  <si>
    <t>0002468859</t>
  </si>
  <si>
    <t>7A1D383</t>
  </si>
  <si>
    <t>000200578912</t>
  </si>
  <si>
    <t>22019890</t>
  </si>
  <si>
    <t>DR51-BK1066-BAG-00-00-00</t>
  </si>
  <si>
    <t>0/04:45:08</t>
  </si>
  <si>
    <t>0002470648</t>
  </si>
  <si>
    <t>000200578859</t>
  </si>
  <si>
    <t>22044799</t>
  </si>
  <si>
    <t>505RU-8A8D114-BAG-00-00-00</t>
  </si>
  <si>
    <t>0/03:22:32</t>
  </si>
  <si>
    <t>0002472692</t>
  </si>
  <si>
    <t>8A8D114</t>
  </si>
  <si>
    <t>000200578999</t>
  </si>
  <si>
    <t>22021807</t>
  </si>
  <si>
    <t>6620U-1001-BAG-00-00-00</t>
  </si>
  <si>
    <t>0/02:18:26</t>
  </si>
  <si>
    <t>0002472958</t>
  </si>
  <si>
    <t>0/23:33:48</t>
  </si>
  <si>
    <t>000200578940</t>
  </si>
  <si>
    <t>0/01:38:33</t>
  </si>
  <si>
    <t>0002464707</t>
  </si>
  <si>
    <t>000200578917</t>
  </si>
  <si>
    <t>000200580673</t>
  </si>
  <si>
    <t>000200580649</t>
  </si>
  <si>
    <t>0002345383</t>
  </si>
  <si>
    <t xml:space="preserve">  PCN2910-BK1D694-BAG    20000KG   22030621    (97083828)  IN1      </t>
  </si>
  <si>
    <t xml:space="preserve">  PCN2910-BK1D694-BAG    20280KG   22030621    (97776874)  IN1      </t>
  </si>
  <si>
    <t xml:space="preserve">  PCN2910-BK1D694-BAG    20280KG   22030621    (98075108)  IN1      </t>
  </si>
  <si>
    <t xml:space="preserve">  HM3020H-75001-BAG    15000KG   22036424    (200548439)  IN2      </t>
  </si>
  <si>
    <t xml:space="preserve">  PCN2910-BK1D694-BAG    20280KG   22030621    (98624567)  IN1      </t>
  </si>
  <si>
    <t xml:space="preserve">  V0150B-701-BAG    10140KG   22017123    (98624569)  IN1      </t>
  </si>
  <si>
    <t xml:space="preserve">  PCN2910-BK1D694-BAG    20280KG   22030621    (98628116)  IN1      </t>
  </si>
  <si>
    <t xml:space="preserve">  N300X-701-BAG    20000KG   22018853    (95448250)  IN1      </t>
  </si>
  <si>
    <t xml:space="preserve">  N300X-701-BAG    20494KG   22018853    (97792831)  IN1      </t>
  </si>
  <si>
    <t xml:space="preserve">0008607576  PX9406P-7T1D232-BAG    10247KG   22028387    (200577808)  IN2      </t>
  </si>
  <si>
    <t xml:space="preserve">  N300X-701-BAG    20494KG   22018853    (97793887)  IN1      </t>
  </si>
  <si>
    <t xml:space="preserve">  N1250-BK1066-BAG    5000KG   22040824    (200545535)  IN1      </t>
  </si>
  <si>
    <t xml:space="preserve">  HS2000X-111-BAG    20512KG   22023605    (98883821)  IN1      </t>
  </si>
  <si>
    <t xml:space="preserve">  N300X-701-BAG    20494KG   22018853    (97793911)  IN1      </t>
  </si>
  <si>
    <t xml:space="preserve">  HS2000X-701-BAG    5128KG   22023606    (98620950)  IN1      </t>
  </si>
  <si>
    <t xml:space="preserve">  GFN30F-701S-BAG    10247KG   22095738    (98132545)  IN1      </t>
  </si>
  <si>
    <t xml:space="preserve">  N300X-701-BAG    10247KG   22018853    (98634506)  IN1      </t>
  </si>
  <si>
    <t xml:space="preserve">  N1250-BK1066-BAG    5000KG   22040824    (200545305)  IN1      </t>
  </si>
  <si>
    <t xml:space="preserve">  N300X-701-BAG    10247KG   22018853    (98128260)  IN1      </t>
  </si>
  <si>
    <t xml:space="preserve">  GFN1520V-701F-BAG    5123.5KG   22032538    (200573555)  IN2      </t>
  </si>
  <si>
    <t xml:space="preserve">  N225X-701-BAG    5123.5KG   22024508    (200572751)  IN2      </t>
  </si>
  <si>
    <t xml:space="preserve">  N300X-701-BAG    20494KG   22018853    (98126583)  IN1      </t>
  </si>
  <si>
    <t xml:space="preserve">  N300X-701-BAG    10247KG   22018853    (98128259)  IN1      </t>
  </si>
  <si>
    <t xml:space="preserve">  GFN20-801-BAG    20000KG   22095158    (200552256)  IN2      </t>
  </si>
  <si>
    <t xml:space="preserve">  GFN20F-701S-BAG    10247KG   22095736    (98637884)  IN1      </t>
  </si>
  <si>
    <t xml:space="preserve">  N1250-BK1066-BAG    5000KG   22040824    (200545603)  IN1      </t>
  </si>
  <si>
    <t xml:space="preserve">  PX9406-780-BAG    10247KG   22020783    (98637554)  IN1      </t>
  </si>
  <si>
    <t xml:space="preserve">  N1250-BK1066-BAG    5000KG   22040824    (200545255)  IN1      </t>
  </si>
  <si>
    <t xml:space="preserve">  N300X-701-BAG    20494KG   22018853    (98634514)  IN1      </t>
  </si>
  <si>
    <t xml:space="preserve">  N1250-BK1066-BAG    5000KG   22040824    (200545285)  IN1      </t>
  </si>
  <si>
    <t xml:space="preserve">  HS2000X-111-BAG    20512KG   22023605    (98621485)  IN1      </t>
  </si>
  <si>
    <t xml:space="preserve">  N1250-BK1066-BAG    5000KG   22040824    (200545192)  IN1      </t>
  </si>
  <si>
    <t xml:space="preserve">  PX9406-780-BAG    10247KG   22020783    (98636919)  IN1      </t>
  </si>
  <si>
    <t xml:space="preserve">0008615515  C2800-WH9B034-BAG    10194KG   22028890    (200578849)  IY2     Br.   </t>
  </si>
  <si>
    <t xml:space="preserve">  945-NC-BAG    20000KG   22022070    (97353918)  IL1      </t>
  </si>
  <si>
    <t xml:space="preserve">  940-GY6123-BAG    10000KG   22019556    (200559298)  IL2     Br.   </t>
  </si>
  <si>
    <t xml:space="preserve">  940A-116-BAG    20388KG   22022020    (98620967)  IL4     Br.   </t>
  </si>
  <si>
    <t xml:space="preserve">  945-NC-BAG    20000KG   22022070    (97353919)  IL1      </t>
  </si>
  <si>
    <t xml:space="preserve">  CX2244ME-8T8D280-BAG    4000KG   22088072    (96103090)  IY2     Br.   </t>
  </si>
  <si>
    <t xml:space="preserve">  CX7240-8N9D079-BAG    20388KG   22031866    (200579596)  IY2      </t>
  </si>
  <si>
    <t xml:space="preserve">  PX9406P-7001-BAG    20000KG   22041318    (93176772)  IN1      </t>
  </si>
  <si>
    <t xml:space="preserve">  PX9406P-7001-BAG    20000KG   22041318    (97351520)  IN1      </t>
  </si>
  <si>
    <t xml:space="preserve">  PX9406P-7001-BAG    20000KG   22041318    (97352404)  IN1      </t>
  </si>
  <si>
    <t xml:space="preserve">  PX9406P-7001-BAG    20000KG   22041318    (97351521)  IN1      </t>
  </si>
  <si>
    <t xml:space="preserve">  PX9406P-7001-BAG    20000KG   22041318    (97325947)  IN1      </t>
  </si>
  <si>
    <t xml:space="preserve">  PX9406P-7001-BAG    20000KG   22041318    (97325948)  IN1      </t>
  </si>
  <si>
    <t xml:space="preserve">  PX9406P-7001-BAG    20000KG   22041318    (97352590)  IN1      </t>
  </si>
  <si>
    <t xml:space="preserve">  PX9406P-7001-BAG    20000KG   22041318    (97352405)  IN1      </t>
  </si>
  <si>
    <t xml:space="preserve">  PX9406P-7001-BAG    20000KG   22041318    (97325949)  IN1      </t>
  </si>
  <si>
    <t xml:space="preserve">  PX9406P-7001-BAG    20000KG   22041318    (97352406)  IN1      </t>
  </si>
  <si>
    <t xml:space="preserve">  PX9406P-7001-BAG    20000KG   22041318    (97352407)  IN1      </t>
  </si>
  <si>
    <t xml:space="preserve">  PX9406P-7001-BAG    20000KG   22041318    (97352408)  IN1      </t>
  </si>
  <si>
    <t xml:space="preserve">  PX9406P-7001-BAG    20000KG   22041318    (97352409)  IN1      </t>
  </si>
  <si>
    <t xml:space="preserve">  PX9406P-7001-BAG    20000KG   22041318    (97325950)  IN1      </t>
  </si>
  <si>
    <t xml:space="preserve">  PX9406P-7001-BAG    20000KG   22041318    (97352625)  IN1      </t>
  </si>
  <si>
    <t xml:space="preserve">  PX9406P-7001-BAG    20000KG   22041318    (97350973)  IN1      </t>
  </si>
  <si>
    <t xml:space="preserve">  PX9406P-7001-BAG    20190KG   22041318    (97776873)  IN1      </t>
  </si>
  <si>
    <t xml:space="preserve">  PX1600X-701-BAG    20190KG   22017944    (200559041)  IN1      </t>
  </si>
  <si>
    <t xml:space="preserve">  PX9406P-7001-BAG    20190KG   22041318    (97774444)  IN1      </t>
  </si>
  <si>
    <t xml:space="preserve">  PX9406P-7001-BAG    20190KG   22041318    (97776361)  IN1      </t>
  </si>
  <si>
    <t xml:space="preserve">  PX9406P-7001-BAG    20190KG   22041318    (98624565)  IN1      </t>
  </si>
  <si>
    <t xml:space="preserve">  PX9406P-7001-BAG    20190KG   22041318    (98621453)  IN1      </t>
  </si>
  <si>
    <t xml:space="preserve">  PX9406P-7001-BAG    20190KG   22041318    (98624566)  IN1      </t>
  </si>
  <si>
    <t xml:space="preserve">  SE1X-701-BAG    20190KG   22024919    (98624568)  IN1      </t>
  </si>
  <si>
    <t xml:space="preserve">  PX2801Z-BK1066-BAG    2083.8KG   22032844    (200571870)  IN2      </t>
  </si>
  <si>
    <t xml:space="preserve">  WCD915-8A7D027-SBG    6000KG   22080572    (200488681)  IN2      </t>
  </si>
  <si>
    <t xml:space="preserve">  HS2000X-GY8D625-BAG    5209.5KG   22020355    (200573621)  IN2      </t>
  </si>
  <si>
    <t xml:space="preserve">  NH7010-GN6D122-BAG    520.95KG   22036882    (200577954)  IN2     Br.   </t>
  </si>
  <si>
    <t xml:space="preserve">  731-780-BAG    520.95KG   22021817    (200571905)        </t>
  </si>
  <si>
    <t xml:space="preserve">  WCD801A-BK1066-SBG    1041.9KG   22041364    (200579760)  IN2      </t>
  </si>
  <si>
    <t xml:space="preserve">  7310-701-BAG    2000KG   22095148    (200542757)  IN2      </t>
  </si>
  <si>
    <t xml:space="preserve">  N300-701-BAG    522.85KG   22041234    (200577806)  IN2      </t>
  </si>
  <si>
    <t xml:space="preserve">  GFN20-801-BAG    4000KG   22095158    (200552257)  IN2      </t>
  </si>
  <si>
    <t xml:space="preserve">  WCA955-111-SBG    3000KG   22080186    (87853874)  IN2      </t>
  </si>
  <si>
    <t xml:space="preserve">  WCD933-5A2D002-SBG    4000KG   22079928    (200447176)  IN2      </t>
  </si>
  <si>
    <t xml:space="preserve">  N1050-5G7A4033-    150KG   299904976    (200579839)        </t>
  </si>
  <si>
    <t xml:space="preserve">  Z20001-BK1B694-BAG    100KG   22028656    (200573552)  IT2      </t>
  </si>
  <si>
    <t xml:space="preserve">  1000-BL1B081T-BAG    500KG   22037954    (200549162)  IU2      </t>
  </si>
  <si>
    <t xml:space="preserve">  2310-7301-BAG    5000KG   22017567    (200485078)  IU2      </t>
  </si>
  <si>
    <t xml:space="preserve">  1000-GY2C261-BAG    1000KG   22019057    (200559078)  IU2      </t>
  </si>
  <si>
    <t xml:space="preserve">  N300X-BR7E123-BAG    500KG   22036871    (200561480)  IN2      </t>
  </si>
  <si>
    <t xml:space="preserve">  1000-BL3122-BAG    3227.4KG   22033123    (200579703)  IU2      </t>
  </si>
  <si>
    <t xml:space="preserve">  4001-7402-BAG    26.895KG   22017590    (200521191)  IU2      </t>
  </si>
  <si>
    <t xml:space="preserve">  500R-739-BAG    1000KG   22021700    (98869237)  IL2     Br.   </t>
  </si>
  <si>
    <t xml:space="preserve">  243R-111-BAG    2000KG   22019283    (200545577)  IL2      </t>
  </si>
  <si>
    <t xml:space="preserve">  143R-71257-BAG    2000KG   22037594    (200495918)  IL2     Br.   </t>
  </si>
  <si>
    <t xml:space="preserve">  FXC630SK-GY5G042M-BAG    26.24KG   22032487    (200572989)  IY2     Br.   </t>
  </si>
  <si>
    <t xml:space="preserve">  FXC630SK-GY5G042M-BAG    26.24KG   22032487    (200573028)  IY2     Br.   </t>
  </si>
  <si>
    <t xml:space="preserve">  FXC630SK-GY5G042M-BAG    26.24KG   22032487    (200573025)  IY2     Br.   </t>
  </si>
  <si>
    <t xml:space="preserve">  FXC630SK-GY5G042M-BAG    78.72KG   22032487    (200572956)  IY2     Br.   </t>
  </si>
  <si>
    <t xml:space="preserve">  420-WH6E281-BAG    5000KG   22031065    (200496046)  IV2     Br.   </t>
  </si>
  <si>
    <t xml:space="preserve">  457-GN4072-BAG    1000KG   22031214    (200553584)  IV2     Br.   </t>
  </si>
  <si>
    <t xml:space="preserve">  553-GY6G326-BAG    500KG   22034195    (200574866)  IV2     Br.   </t>
  </si>
  <si>
    <t xml:space="preserve">  DR48-7001-BAG    1000KG   22027892    (200549070)  IV2     Br.   </t>
  </si>
  <si>
    <t xml:space="preserve">  553U-2R4A1010-    225KG   299901392    (200533483)       Br.   </t>
  </si>
  <si>
    <t xml:space="preserve">  CR7500-BK1041-BAG    2000KG   22019769    (200508789)  IC2     Br.   </t>
  </si>
  <si>
    <t xml:space="preserve">  FXC630SK-GY5G042M-BAG    26.24KG   22032487    (200579060)  IY2     Br.   </t>
  </si>
  <si>
    <t xml:space="preserve">  X4820-YW3D010-BAG    2000KG   22025024    (200554558)  IV2     Br.   </t>
  </si>
  <si>
    <t xml:space="preserve">  X4820-YW3D010-BAG    2139.8KG   22025024    (200574859)  IV2     Br.   </t>
  </si>
  <si>
    <t xml:space="preserve">0008625282  CX7240-GY2D041-BAG    100KG   22040064    (200579842)  IY2      </t>
  </si>
  <si>
    <t xml:space="preserve">0008607586  C2800-7R4D003-BAG    523.05KG   22028466    (200577842)  IY2      </t>
  </si>
  <si>
    <t xml:space="preserve">  LS2-7056-BAG    2000KG   22041034    (200560551)  IL2     Br.   </t>
  </si>
  <si>
    <t xml:space="preserve">  C6600-7M3D029-BAG    523.05KG   22031791    (200570787)        </t>
  </si>
  <si>
    <t xml:space="preserve">  C6600-GY5A405-BAG    523.05KG   22038955    (200570773)  IY2     Br.   </t>
  </si>
  <si>
    <t xml:space="preserve">  505RU-WH8E372-BAG    1000KG   22029849    (200541914)  IL2      </t>
  </si>
  <si>
    <t xml:space="preserve">  505RU-WH9F090-BAG    2000KG   22033788    (200517901)  IL2     Br.   </t>
  </si>
  <si>
    <t xml:space="preserve">  505RU-7T8D558-BAG    100KG   22031252    (200537987)  IL2      </t>
  </si>
  <si>
    <t xml:space="preserve">  LF1520A-BK1005-BAG    2092.2KG   22023993    (200572729)  IT2     Br.   </t>
  </si>
  <si>
    <t xml:space="preserve">  500-739-BAG    25KG   22021690    (200568560)  IL2     Br.   </t>
  </si>
  <si>
    <t xml:space="preserve">  500R-RD5D188-BAG    1000KG   22029841    (200561041)  IL2     Br.   </t>
  </si>
  <si>
    <t xml:space="preserve">  505RU-7T8D558-BAG    1000KG   22031252    (200548614)  IL2      </t>
  </si>
  <si>
    <t xml:space="preserve">  C2950-7P1D021-BAG    5230.5KG   22028468    (200579664)  IY2     Br.   </t>
  </si>
  <si>
    <t xml:space="preserve">  LS2-7056-BAG    2000KG   22041034    (200577881)  IL2     Br.   </t>
  </si>
  <si>
    <t xml:space="preserve">  123R-701-BAG    1994.814KG   22017535    (200554876)  IL2      </t>
  </si>
  <si>
    <t xml:space="preserve">  505RU-7T8D570-BAG    523.05KG   22037997    (200579771)  IL2      </t>
  </si>
  <si>
    <t xml:space="preserve">  C6600-111-BAG    20000KG   22018361    (97350978)  IY1      </t>
  </si>
  <si>
    <t xml:space="preserve">0008627474  420-BK1066-BAG    10100KG   22021633    (200580521)  IV2      </t>
  </si>
  <si>
    <t xml:space="preserve">  420-BK1066-BAG    10000KG   22021633    (200496030)  IV2      </t>
  </si>
  <si>
    <t xml:space="preserve">  C1200HF-GY6G152-BAG    5000KG   22034465    (200549469)  IY2      </t>
  </si>
  <si>
    <t xml:space="preserve">  CY8630-701-BAG    20000KG   22089617    (200553402)  IY2      </t>
  </si>
  <si>
    <t xml:space="preserve">  243R-WH4B198-BAG    20000KG   22038486    (200534991)  IL2      </t>
  </si>
  <si>
    <t xml:space="preserve">  143R-WH8G674-BAG    20399.999KG   22088923    (200531850)  IL2      </t>
  </si>
  <si>
    <t xml:space="preserve">  905-BK1G030-BAG    10000KG   22029773    (200554909)  IL2     Br.   </t>
  </si>
  <si>
    <t xml:space="preserve">  C7210A-BK1066-BAG    5067.5KG   22031940    (200579762)  IY2      </t>
  </si>
  <si>
    <t xml:space="preserve">  141R-111-BAG    10000KG   22018087    (200494075)  IL2      </t>
  </si>
  <si>
    <t xml:space="preserve">  121R-111-BAG    15000KG   22019125    (200560234)  IL2      </t>
  </si>
  <si>
    <t xml:space="preserve">  LS2-6162-BAG    5355.753KG   22018730    (200577878)  IL2     Br.   </t>
  </si>
  <si>
    <t xml:space="preserve">  241S-WH4113-BAG    20000KG   22031083    (94604318)  IL1      </t>
  </si>
  <si>
    <t xml:space="preserve">  241S-WH4113-BAG    20000KG   22031083    (94604319)  IL1      </t>
  </si>
  <si>
    <t xml:space="preserve">  241S-WH4113-BAG    20000KG   22031083    (94604320)  IL1      </t>
  </si>
  <si>
    <t xml:space="preserve">0008625604  C6600-2B2D008-BAG    5050KG   22039652    (200579871)  IY2      </t>
  </si>
  <si>
    <t xml:space="preserve">  C6600-2B2D008-BAG    5050KG   22039652    (200579915)  IY2      </t>
  </si>
  <si>
    <t xml:space="preserve">  500R-73231-BAG    5000KG   22031231    (200553729)  IL2     Br.   </t>
  </si>
  <si>
    <t xml:space="preserve">  C6200-OR5B049-BAG    5050KG   22038832    (200576655)  IY2     Br.   </t>
  </si>
  <si>
    <t xml:space="preserve">  C6600-7B1D005-BAG    5000KG   22039683    (200550555)  IY2      </t>
  </si>
  <si>
    <t xml:space="preserve">  C6600-WH9A311-BAG    4000KG   22018379    (200578816)  IY2      </t>
  </si>
  <si>
    <t xml:space="preserve">0008627601  5450-13200-BAG    10100KG   22034186    (200580636)  IP2      </t>
  </si>
  <si>
    <t xml:space="preserve">0008625725  945-7M1D115-BAG    5050KG   22038377    (200579878)  IL2     Br.   </t>
  </si>
  <si>
    <t xml:space="preserve">0008569228  7530-14600-OCT    30600KG   22098314    (200573605)  IP2      </t>
  </si>
  <si>
    <t xml:space="preserve">  MC8002-701-BAG    5050KG   22023863    (200570809)  IY2      </t>
  </si>
  <si>
    <t xml:space="preserve">  G3220A-10000-BAG    19000KG   22017397    (200563931)  IP2      </t>
  </si>
  <si>
    <t xml:space="preserve">  7530-14600-OCT    30599.999KG   22098314    (200580632)  IP2      </t>
  </si>
  <si>
    <t xml:space="preserve">  G3220A-10000-BAG    3000KG   22017397    (200563865)  IP2      </t>
  </si>
  <si>
    <t xml:space="preserve">  G3220A-10000-BAG    19000KG   22017397    (200563932)  IP2      </t>
  </si>
  <si>
    <t xml:space="preserve">  G3220A-10000-BAG    20000KG   22017397    (200563905)  IP2      </t>
  </si>
  <si>
    <t xml:space="preserve">  7530-14600-OCT    40799.998KG   22098314    (200580683)  IP2      </t>
  </si>
  <si>
    <t xml:space="preserve">  123R-701-BAG    8243.741KG   22017535    (200579146)  IL2      </t>
  </si>
  <si>
    <t xml:space="preserve">  G3220A-10000-BAG    19000KG   22017397    (200563840)  IP2      </t>
  </si>
  <si>
    <t xml:space="preserve">  G3220A-10000-BAG    20000KG   22017397    (200563927)  IP2      </t>
  </si>
  <si>
    <t xml:space="preserve">  121R-701-BAG    10000KG   22021257    (200496011)  IL2      </t>
  </si>
  <si>
    <t xml:space="preserve">  553-7001-BAG    10000KG   22034189    (200549389)  IV2     Br.   </t>
  </si>
  <si>
    <t xml:space="preserve">  553-OR5G003-BAG    10000KG   22031160    (200549443)  IV2     Br.   </t>
  </si>
  <si>
    <t xml:space="preserve">  V3900WX-7M8D027-BAG    5000KG   22032797    (200547366)  IV2     Br.   </t>
  </si>
  <si>
    <t xml:space="preserve">  357-BK1066-BAG    20376KG   22017581    (98620957)  IV1     Br.   </t>
  </si>
  <si>
    <t xml:space="preserve">  DR48-BK1762-BAG    20250KG   22035492    (200570598)  IV2     Br.   </t>
  </si>
  <si>
    <t xml:space="preserve">  V3900WX-BK1066-BAG    5129KG   22024815    (98642226)  IV1     Br.   </t>
  </si>
  <si>
    <t xml:space="preserve">  V3900WX-BK1066-BAG    5129KG   22024815    (98642227)  IV1     Br.   </t>
  </si>
  <si>
    <t xml:space="preserve">  V3900WX-BK1066-BAG    5129KG   22024815    (98642228)  IV1     Br.   </t>
  </si>
  <si>
    <t xml:space="preserve">  C6600-WH9A311-BAG    2038.2KG   22018379    (200557304)  IY2      </t>
  </si>
  <si>
    <t xml:space="preserve">0008617501  6620U-1001-BAG    1003.7KG   22021807    (200578999)  IV2      </t>
  </si>
  <si>
    <t xml:space="preserve">  MC8002-WH9C274-BAG    2055.8KG   22040648    (200570717)  IY2      </t>
  </si>
  <si>
    <t xml:space="preserve">  C6600-7T6D253-BAG    1000KG   22084473    (200534819)  IY2      </t>
  </si>
  <si>
    <t xml:space="preserve">  CX7211-7T1D166-BAG    5000KG   22035192    (200515849)  IY2      </t>
  </si>
  <si>
    <t xml:space="preserve">  5220U-BL1A569-BAG    1000KG   22019416    (200559101)        </t>
  </si>
  <si>
    <t xml:space="preserve">  505RU-8T8D118-BAG    2060.8KG   22029848    (200571725)  IL2      </t>
  </si>
  <si>
    <t xml:space="preserve">  123R-701-BAG    8000KG   22017535    (200510624)  IL2      </t>
  </si>
  <si>
    <t xml:space="preserve">  CX2244ME-7T5D428-BAG    3000KG   22088391    (96103083)  IY2      </t>
  </si>
  <si>
    <t xml:space="preserve">  DR51-7001-BAG    2000KG   22028156    (200535980)  IV2      </t>
  </si>
  <si>
    <t xml:space="preserve">  C1200HF-GY1D457U-BAG    10250KG   22029050    (200496028)  IY2      </t>
  </si>
  <si>
    <t xml:space="preserve">  WFL34-YWNAT-BAG    1000KG   22037724    (200566202)  IT2      </t>
  </si>
  <si>
    <t xml:space="preserve">0008533302  PCN2615-BK1066-BAG    5000KG   22040866    (200567466)  MTO      </t>
  </si>
  <si>
    <t xml:space="preserve">0007527967  PVX0901-BK1066-BAG    5000KG   22036954    (200489904)  MTO      </t>
  </si>
  <si>
    <t xml:space="preserve">  GFN20-701-BAG    5070KG   22095416    (96000253)  MTI      </t>
  </si>
  <si>
    <t xml:space="preserve">  GFN20-701-BAG    5070KG   22095416    (97755548)  MTI      </t>
  </si>
  <si>
    <t xml:space="preserve">  SE1GFN2-701-BAG    5070KG   22024913    (97777506)  MTI      </t>
  </si>
  <si>
    <t xml:space="preserve">0007141404  SE1GFN1-701-BAG    8619KG   22024908    (200431427)  MTO      </t>
  </si>
  <si>
    <t xml:space="preserve">  SE1GFN2-701-BAG    5070KG   22024913    (96044402)  MTI      </t>
  </si>
  <si>
    <t xml:space="preserve">0008618359  PX2906-701-BAG    5070KG   22032847    (200579182)  MTO      </t>
  </si>
  <si>
    <t xml:space="preserve">  GFN20-701-BAG    10140KG   22095416    (97755549)  MTI      </t>
  </si>
  <si>
    <t xml:space="preserve">  GFN20-701-BAG    10140KG   22095416    (97756323)  MTI      </t>
  </si>
  <si>
    <t xml:space="preserve">0008599414  PX2906-701-BAG    5070KG   22032847    (200576568)  MTO      </t>
  </si>
  <si>
    <t xml:space="preserve">0008623041  SE1GFN1-701-BAG    10140KG   22024908    (200579561)  MTO      </t>
  </si>
  <si>
    <t xml:space="preserve">  SE1GFN2-701-BAG    20000KG   22024913    (96169138)  MTI      </t>
  </si>
  <si>
    <t xml:space="preserve">  PX1600X-701-BAG    10140KG   22017944    (86323985)  MTI      </t>
  </si>
  <si>
    <t xml:space="preserve">  GFN20-701-BAG    10140KG   22095416    (97792775)  MTI      </t>
  </si>
  <si>
    <t xml:space="preserve">  GFN20-701-BAG    10140KG   22095416    (97793105)  MTI      </t>
  </si>
  <si>
    <t xml:space="preserve">  SE1GFN1-701-BAG    10000KG   22024908    (200431356)  MTO      </t>
  </si>
  <si>
    <t xml:space="preserve">0008599113  PX9406-780-BAG    5000KG   22020783    (200576474)  MTI      </t>
  </si>
  <si>
    <t xml:space="preserve">0008025268  PX9406-780-BAG    20000KG   22020783    (200526395)  MTI      </t>
  </si>
  <si>
    <t xml:space="preserve">0008557464  N1250-111-BAG    20000KG   22032620    (200571997)  MTO      </t>
  </si>
  <si>
    <t xml:space="preserve">0008599370  N225X-111-BAG    10000KG   22028782    (200576559)  MTO      </t>
  </si>
  <si>
    <t xml:space="preserve">0008599131  HS2000X-111-BAG    10000KG   22023605    (200576555)  MTI      </t>
  </si>
  <si>
    <t xml:space="preserve">0008599140  HS2000X-111-BAG    10000KG   22023605    (200576556)  MTI      </t>
  </si>
  <si>
    <t xml:space="preserve">0008599104  SE1GFN2-701-BAG    5000KG   22024913    (200576554)  MTI      </t>
  </si>
  <si>
    <t xml:space="preserve">0008617067  GFN20F-701S-BAG    11271.7KG   22095736    (200578918)  MTI      </t>
  </si>
  <si>
    <t xml:space="preserve">0008578435  SE1GFN2-780-BAG    6353.14KG   22024914    (200574696)  MTO      </t>
  </si>
  <si>
    <t xml:space="preserve">0008491428  GFN30F-801S-BAG    10247KG   22096205    (200562768)  MTO      </t>
  </si>
  <si>
    <t xml:space="preserve">0008607662  HS2000X-WH8C022-BAG    20000KG   22036470    (200577814)  MTI      </t>
  </si>
  <si>
    <t xml:space="preserve">0008306298  PX9406P-BK2D115-BAG    5123.5KG   22037390    (200543652)  MTO      </t>
  </si>
  <si>
    <t xml:space="preserve">  GFN20F-701S-BAG    10000KG   22095736    (97080838)  MTI      </t>
  </si>
  <si>
    <t xml:space="preserve">0007775909  GFN1F-701S-BAG    10000KG   22066660    (200513144)  MTO      </t>
  </si>
  <si>
    <t xml:space="preserve">0008563075  N300X-780-BAG    5123.5KG   22036869    (200572818)  MTO      </t>
  </si>
  <si>
    <t xml:space="preserve">0008547766  NH7114-BK1005-BAG    5000KG   22036884    (200570281)  MTO      </t>
  </si>
  <si>
    <t xml:space="preserve">  HS2000X-701-BAG    5128KG   22023606    (98127741)  MTI      </t>
  </si>
  <si>
    <t xml:space="preserve">  GFN20F-N780S-BAG    10000KG   22095737    (97084275)  MTI      </t>
  </si>
  <si>
    <t xml:space="preserve">0008347043  N190X-7N4D004-BAG    10000KG   22030522    (200549321)  MTO      </t>
  </si>
  <si>
    <t xml:space="preserve">0008533440  N300X-780-BAG    5000KG   22036869    (200567457)  MTO      </t>
  </si>
  <si>
    <t xml:space="preserve">0008556070  731S-111-BAG    10247KG   22038865    (200571671)  MTO      </t>
  </si>
  <si>
    <t xml:space="preserve">0008314162  N1250-BK1066-BAG    5000KG   22040824    (200545494)  MTI      </t>
  </si>
  <si>
    <t xml:space="preserve">0008544550  C2800-GY1C205-BAG    10000KG   22018340    (200569540)  MTO     Br.   </t>
  </si>
  <si>
    <t xml:space="preserve">0008562573  N225X-701-BAG    5123.5KG   22024508    (200572762)  MTO      </t>
  </si>
  <si>
    <t xml:space="preserve">0008490505  PX9406-780-BAG    15370.5KG   22020783    (200562573)  MTI      </t>
  </si>
  <si>
    <t xml:space="preserve">0008532229  HS2000X-111-BAG    20512KG   22023605    (200567200)  MTI      </t>
  </si>
  <si>
    <t xml:space="preserve">0008552147  GFN30F-873S-BAG    10247KG   22096206    (200570814)  MTO      </t>
  </si>
  <si>
    <t xml:space="preserve">  500R-GY5G048-BAG    5000KG   22018200    (313466444)  MTO     Br.   </t>
  </si>
  <si>
    <t xml:space="preserve">0008403200  925-7T6D157-BAG    5000KG   22038257    (200558307)  MTO     Br.   </t>
  </si>
  <si>
    <t xml:space="preserve">0008351687  943-GY8D440-BAG    15000KG   22039171    (200550431)  MTO     Br.   </t>
  </si>
  <si>
    <t xml:space="preserve">0008351685  943-GY8D440-BAG    20000KG   22039171    (200550430)  MTO     Br.   </t>
  </si>
  <si>
    <t xml:space="preserve">0008607254  C6600-8M9D029-BAG    3058.2KG   22022574    (200577775)  MTO     Br.   </t>
  </si>
  <si>
    <t xml:space="preserve">0007852513  ML7694-GY8E536-BAG    20388KG   22037110    (200519213)  MTO     Br.   </t>
  </si>
  <si>
    <t xml:space="preserve">0008533301  ML7694-WH8G785-BAG    20000KG   22037112    (200567428)  MTO     Br.   </t>
  </si>
  <si>
    <t xml:space="preserve">0007032280  LS2-6162-BAG    8155.2KG   22018730    (200410338)  MTO     Br.   </t>
  </si>
  <si>
    <t xml:space="preserve">0008552019  LS2-6162-BAG    10194KG   22018730    (200570791)  MTO     Br.   </t>
  </si>
  <si>
    <t xml:space="preserve">0008130605  LS2-6162-BAG    5097KG   22018730    (200529130)  MTO     Br.   </t>
  </si>
  <si>
    <t xml:space="preserve">0008372016  945A-7T1D059T-BAG    5097KG   22034279    (200553681)  MTO      </t>
  </si>
  <si>
    <t xml:space="preserve">0008365178  C6600-2T6D065-BAG    5000KG   22084468    (200552251)  MTO     Br.   </t>
  </si>
  <si>
    <t xml:space="preserve">0008443524  3413R-739-BAG    10000KG   22017072    (200560330)  MTO     Br.   </t>
  </si>
  <si>
    <t xml:space="preserve">0008376441  121R-GY8F074-SSS    10000KG   22105472    (200555006)  MTO      </t>
  </si>
  <si>
    <t xml:space="preserve">  121R-GY8F074-SSS    10000KG   22105472    (92461786)  MTO      </t>
  </si>
  <si>
    <t xml:space="preserve">  121R-GY8F074-SSS    10000KG   22105472    (92463176)  MTO      </t>
  </si>
  <si>
    <t xml:space="preserve">0007614539  C6200-WH9D397-BAG    10000KG   22039644    (200497257)  MTO      </t>
  </si>
  <si>
    <t xml:space="preserve">0008306443  3412R-131-BAG    10194KG   22021728    (200543694)  MTO     Br.   </t>
  </si>
  <si>
    <t xml:space="preserve">0008384894  3412ECR-WH8E395-BAG    5000KG   22037868    (200557252)  MTO     Br.   </t>
  </si>
  <si>
    <t xml:space="preserve">0008374774  C1200HF-WH8334-BAG    5097KG   22022244    (200554585)  MTO     Br.   </t>
  </si>
  <si>
    <t xml:space="preserve">0008576998  C2800-WH9B034-BAG    10194KG   22028890    (200574704)  MTO     Br.   </t>
  </si>
  <si>
    <t xml:space="preserve">  141R-GY6A427-BAG    20388KG   22030748    (94717411)  MTI      </t>
  </si>
  <si>
    <t xml:space="preserve">  121R-GY8F074-SSS    10000KG   22105472    (92430289)  MTO      </t>
  </si>
  <si>
    <t xml:space="preserve">0008376470  121R-GY8F074-SSS    10000KG   22105472    (200554972)  MTO      </t>
  </si>
  <si>
    <t xml:space="preserve">0008449877  LS2-6162-BAG    9480.422KG   22018730    (200560458)  MTO     Br.   </t>
  </si>
  <si>
    <t xml:space="preserve">0008375232  920-WH4C129-BAG    6000KG   22031379    (200554685)  MTO     Br.   </t>
  </si>
  <si>
    <t xml:space="preserve">0008349419  CX7240-8N9D079-BAG    20000KG   22031866    (200550085)  MTO      </t>
  </si>
  <si>
    <t xml:space="preserve">0007404807  C2800-111-BAG    10000KG   22022249    (200480046)  MTO      </t>
  </si>
  <si>
    <t xml:space="preserve">0008623049  FXD121R-WH9G550X-BAG    3058.2KG   22036134    (200579667)  MTO      </t>
  </si>
  <si>
    <t xml:space="preserve">0008551288  C6600-7R3D023-BAG    6000KG   22045266    (200570672)  MTO      </t>
  </si>
  <si>
    <t xml:space="preserve">  141R-GY6A427-BAG    10194KG   22030748    (98549298)  MTI      </t>
  </si>
  <si>
    <t xml:space="preserve">  121R-GY8F074-SSS    10000KG   22105472    (92430290)  MTO      </t>
  </si>
  <si>
    <t xml:space="preserve">0008345965  3413R-GY1D257-BAG    5000KG   22033634    (200549038)  MTO     Br.   </t>
  </si>
  <si>
    <t xml:space="preserve">  C2950-111-BAG    20000KG   22022267    (97353504)  MTI      </t>
  </si>
  <si>
    <t xml:space="preserve">  940A-116-BAG    20388KG   22022020    (97774437)  MTIz     Br.   </t>
  </si>
  <si>
    <t xml:space="preserve">0008615515  C2800-WH9B034-BAG    10194KG   22028890    (200578849)  MTO     Br.   </t>
  </si>
  <si>
    <t xml:space="preserve">  121R-GY8F074-SSS    10000KG   22105472    (92463393)  MTO      </t>
  </si>
  <si>
    <t xml:space="preserve">  C6200-111-BAG    10194KG   22019707    (98116825)  MTI      </t>
  </si>
  <si>
    <t xml:space="preserve">  940A-116-BAG    20388KG   22022020    (98620967)  MTIz     Br.   </t>
  </si>
  <si>
    <t xml:space="preserve">  121R-GY8F074-SSS    10000KG   22105472    (92463394)  MTO      </t>
  </si>
  <si>
    <t xml:space="preserve">  940-GY6123-BAG    10194KG   22019556    (200576584)  MTO     Br.   </t>
  </si>
  <si>
    <t xml:space="preserve">  CX7240-8N9D079-BAG    20000KG   22031866    (200550086)  MTO      </t>
  </si>
  <si>
    <t xml:space="preserve">  C2950-111-BAG    20000KG   22022267    (97353690)  MTI      </t>
  </si>
  <si>
    <t xml:space="preserve">  CX7240-8N9D079-BAG    20388KG   22031866    (200579596)  MTO      </t>
  </si>
  <si>
    <t xml:space="preserve">0008599135  PX9406P-7001-BAG    20000KG   22041318    (200576479)  MTI      </t>
  </si>
  <si>
    <t xml:space="preserve">0008599141  PX9406P-7001-BAG    20000KG   22041318    (200576480)  MTI      </t>
  </si>
  <si>
    <t xml:space="preserve">0008599145  PX9406P-7001-BAG    20000KG   22041318    (200576481)  MTI      </t>
  </si>
  <si>
    <t xml:space="preserve">0008599123  PX9406P-7001-BAG    20000KG   22041318    (200576477)  MTI      </t>
  </si>
  <si>
    <t xml:space="preserve">0008607667  PX9406P-7001-BAG    20000KG   22041318    (200577700)  MTI      </t>
  </si>
  <si>
    <t xml:space="preserve">0008607656  PX9406P-7001-BAG    20000KG   22041318    (200577697)  MTI      </t>
  </si>
  <si>
    <t xml:space="preserve">0008575525  PX1005X-701-BAG    10000KG   22024438    (200574638)  MTO      </t>
  </si>
  <si>
    <t xml:space="preserve">0008599112  PX1600X-701-BAG    20000KG   22017944    (200576553)  MTI      </t>
  </si>
  <si>
    <t xml:space="preserve">0008471969  PX1600X-701-BAG    20190KG   22017944    (200561429)  MTI      </t>
  </si>
  <si>
    <t xml:space="preserve">0008415940  PX1600X-701-BAG    10095KG   22017944    (200559036)  MTI      </t>
  </si>
  <si>
    <t xml:space="preserve">0008415954  PX1600X-701-BAG    10095KG   22017944    (200559039)  MTI      </t>
  </si>
  <si>
    <t xml:space="preserve">  SE100X-701-BAG    20000KG   22024902    (70104680)  MTI      </t>
  </si>
  <si>
    <t xml:space="preserve">  SE100X-701-BAG    20000KG   22024902    (83537443)  MTI      </t>
  </si>
  <si>
    <t xml:space="preserve">  SE100X-701-BAG    20000KG   22024902    (85134293)  MTI      </t>
  </si>
  <si>
    <t xml:space="preserve">  SE100X-701-BAG    20000KG   22024902    (83537442)  MTI      </t>
  </si>
  <si>
    <t xml:space="preserve">  SE100X-701-BAG    20000KG   22024902    (83537444)  MTI      </t>
  </si>
  <si>
    <t xml:space="preserve">0008617438  N190X-701-BAG    10000KG   22018844    (200579055)  MTO      </t>
  </si>
  <si>
    <t xml:space="preserve">  SE1X-701-BAG    8076KG   22024919    (96149720)  MTI      </t>
  </si>
  <si>
    <t xml:space="preserve">  PX9406P-7001-BAG    20190KG   22041318    (98626339)  MTI      </t>
  </si>
  <si>
    <t xml:space="preserve">  PX9406P-7001-BAG    20000KG   22041318    (93212678)  MTI      </t>
  </si>
  <si>
    <t xml:space="preserve">  PX9406P-7001-BAG    20000KG   22041318    (93228788)  MTI      </t>
  </si>
  <si>
    <t xml:space="preserve">  PX9406P-7001-BAG    20000KG   22041318    (93230023)  MTI      </t>
  </si>
  <si>
    <t xml:space="preserve">  PX9406P-7001-BAG    20000KG   22041318    (93176770)  MTI      </t>
  </si>
  <si>
    <t xml:space="preserve">  PX9406P-7001-BAG    20000KG   22041318    (93212592)  MTI      </t>
  </si>
  <si>
    <t xml:space="preserve">  PX9406P-7001-BAG    20000KG   22041318    (93176772)  MTI      </t>
  </si>
  <si>
    <t xml:space="preserve">  PX1600X-701-BAG    10095KG   22017944    (86299668)  MTI      </t>
  </si>
  <si>
    <t xml:space="preserve">  PX9406P-7001-BAG    20000KG   22041318    (97351520)  MTI      </t>
  </si>
  <si>
    <t xml:space="preserve">  PX9406P-7001-BAG    20000KG   22041318    (97352404)  MTI      </t>
  </si>
  <si>
    <t xml:space="preserve">  PX9406P-7001-BAG    20000KG   22041318    (97351521)  MTI      </t>
  </si>
  <si>
    <t xml:space="preserve">  PX9406P-7001-BAG    20000KG   22041318    (97325947)  MTI      </t>
  </si>
  <si>
    <t xml:space="preserve">  PX9406P-7001-BAG    20000KG   22041318    (97325948)  MTI      </t>
  </si>
  <si>
    <t xml:space="preserve">  PX9406P-7001-BAG    20000KG   22041318    (97352590)  MTI      </t>
  </si>
  <si>
    <t xml:space="preserve">  PX1600X-701-BAG    20000KG   22017944    (86323195)  MTI      </t>
  </si>
  <si>
    <t xml:space="preserve">  PX9406P-7001-BAG    20000KG   22041318    (97352405)  MTI      </t>
  </si>
  <si>
    <t xml:space="preserve">  PX9406P-7001-BAG    20000KG   22041318    (97325949)  MTI      </t>
  </si>
  <si>
    <t xml:space="preserve">  PX9406P-7001-BAG    20000KG   22041318    (97352406)  MTI      </t>
  </si>
  <si>
    <t xml:space="preserve">  PX9406P-7001-BAG    20000KG   22041318    (97352407)  MTI      </t>
  </si>
  <si>
    <t xml:space="preserve">  PX9406P-7001-BAG    20000KG   22041318    (97352408)  MTI      </t>
  </si>
  <si>
    <t xml:space="preserve">  SE1X-701-BAG    18171KG   22024919    (97788246)  MTI      </t>
  </si>
  <si>
    <t xml:space="preserve">  PX9406P-7001-BAG    20000KG   22041318    (97352409)  MTI      </t>
  </si>
  <si>
    <t xml:space="preserve">  PX9406P-7001-BAG    20000KG   22041318    (97325950)  MTI      </t>
  </si>
  <si>
    <t xml:space="preserve">  PX9406P-7001-BAG    20000KG   22041318    (97352625)  MTI      </t>
  </si>
  <si>
    <t xml:space="preserve">  PX9406P-7001-BAG    20000KG   22041318    (97350973)  MTI      </t>
  </si>
  <si>
    <t xml:space="preserve">  PX9406P-7001-BAG    20190KG   22041318    (97776873)  MTI      </t>
  </si>
  <si>
    <t xml:space="preserve">  PX9406P-7001-BAG    20190KG   22041318    (97774444)  MTI      </t>
  </si>
  <si>
    <t xml:space="preserve">  SE1X-701-BAG    20190KG   22024919    (97785525)  MTI      </t>
  </si>
  <si>
    <t xml:space="preserve">  PX9406P-7001-BAG    20190KG   22041318    (97776361)  MTI      </t>
  </si>
  <si>
    <t xml:space="preserve">  PX9406P-7001-BAG    20190KG   22041318    (98624565)  MTI      </t>
  </si>
  <si>
    <t xml:space="preserve">  PX9406P-7001-BAG    20190KG   22041318    (98621453)  MTI      </t>
  </si>
  <si>
    <t xml:space="preserve">  PX9406P-7001-BAG    20190KG   22041318    (98624566)  MTI      </t>
  </si>
  <si>
    <t xml:space="preserve">  SE1X-701-BAG    20190KG   22024919    (97785524)  MTI      </t>
  </si>
  <si>
    <t xml:space="preserve">  PX1600X-701-BAG    20190KG   22017944    (200559102)  MTI      </t>
  </si>
  <si>
    <t xml:space="preserve">  PX1600X-701-BAG    20000KG   22017944    (200530716)  MTI      </t>
  </si>
  <si>
    <t xml:space="preserve">  SE1X-701-BAG    20190KG   22024919    (97789190)  MTI      </t>
  </si>
  <si>
    <t xml:space="preserve">  PX1600X-701-BAG    20000KG   22017944    (200567230)  MTI      </t>
  </si>
  <si>
    <t xml:space="preserve">  SE1X-701-BAG    20000KG   22024919    (96149719)  MTI      </t>
  </si>
  <si>
    <t xml:space="preserve">  SE1X-701-BAG    20190KG   22024919    (98624568)  MTI      </t>
  </si>
  <si>
    <t xml:space="preserve">0008375204  N1250-4N4D011-BAG    5000KG   22037195    (200554684)  MTO      </t>
  </si>
  <si>
    <t xml:space="preserve">0008375194  N1250-4N4D011-BAG    5000KG   22037195    (200554616)  MTO      </t>
  </si>
  <si>
    <t xml:space="preserve">0008383346  FN215X-701-BAG    2000KG   22023022    (200556887)  MTO      </t>
  </si>
  <si>
    <t xml:space="preserve">0008306258  FN215X-780-BAG    1067.1KG   22020062    (200543574)  MTO      </t>
  </si>
  <si>
    <t xml:space="preserve">0008538822  NH7010-GN6D122-BAG    600KG   22036882    (200568791)  MTO     Br.   </t>
  </si>
  <si>
    <t xml:space="preserve">0008323011  PX2907-75008-BAG    2000KG   22030635    (200547846)  MTO     Br.   </t>
  </si>
  <si>
    <t xml:space="preserve">0008601634  WCD861A-WH8B240-SBG    565.65KG   22033000    (200576759)  MTO      </t>
  </si>
  <si>
    <t xml:space="preserve">0008622944  WCD801AU-WH9E496-SBG    323.64KG   22079800    (200579560)  MTO      </t>
  </si>
  <si>
    <t xml:space="preserve">0008578977  WCD841U-7A8D032-SBG    1003.7KG   22080585    (200574744)  MTO      </t>
  </si>
  <si>
    <t xml:space="preserve">0008570903  WCD915-8A7D027-SBG    530.05KG   22080572    (200573746)  MTO      </t>
  </si>
  <si>
    <t xml:space="preserve">0008525115  WCD841U-7A8D032-SBG    6022.2KG   22080585    (200566069)  MTO      </t>
  </si>
  <si>
    <t xml:space="preserve">0008563173  WCP841-7N1D111-SBG    1041.9KG   22045686    (200572847)  MTO      </t>
  </si>
  <si>
    <t xml:space="preserve">0008570933  WCD915-7A1D285-SBG    530.05KG   22080571    (200573652)  MTO      </t>
  </si>
  <si>
    <t xml:space="preserve">0008570850  WCD855-7A1D234-SBG    1041.9KG   22080588    (200573724)  MTO      </t>
  </si>
  <si>
    <t xml:space="preserve">0008607664  WCD801A-BK1066-SBG    2083.8KG   22041364    (200577698)  MTO      </t>
  </si>
  <si>
    <t xml:space="preserve">0008546721  WCP921-BK1066-SBG    300KG   22033011    (200570015)  MTO      </t>
  </si>
  <si>
    <t xml:space="preserve">0008584072  WCP781-BK1066-SBG    312.57KG   22030783    (200575209)  MTO      </t>
  </si>
  <si>
    <t xml:space="preserve">0008538494  FN215X-780-BAG    2000KG   22020062    (200568754)  MTO      </t>
  </si>
  <si>
    <t xml:space="preserve">0008403253  PX9406P-GY5E492-BAG    1000KG   22032732    (200558294)  MTO      </t>
  </si>
  <si>
    <t xml:space="preserve">0008625744  WCD841U-7A8D032-SBG    10538.85KG   22080585    (200580005)  MTO      </t>
  </si>
  <si>
    <t xml:space="preserve">0008551978  SE1GFN3-701-BAG    2083.8KG   22020908    (200570788)  MTO      </t>
  </si>
  <si>
    <t xml:space="preserve">0008551205  NH6020-7N4D004-    1000KG   299905089    (200570576)  MTO      </t>
  </si>
  <si>
    <t xml:space="preserve">0008471881  SE1V-BK1066-BAG    1000KG   22037144    (200561393)  MTO      </t>
  </si>
  <si>
    <t xml:space="preserve">0008577750  PX2907-75008-BAG    2083.8KG   22030635    (200574743)  MTO     Br.   </t>
  </si>
  <si>
    <t xml:space="preserve">0008569031  PX2801Z-BK1066-BAG    520.95KG   22032844    (200573530)  MTO      </t>
  </si>
  <si>
    <t xml:space="preserve">0008556602  PX9406-GY3E171-BAG    2083.8KG   22037376    (200571790)  MTO     Br.   </t>
  </si>
  <si>
    <t xml:space="preserve">0008357255  FN215X-780-BAG    2000KG   22020062    (200551485)  MTO      </t>
  </si>
  <si>
    <t xml:space="preserve">0008474607  N300X-GN3E084-BAG    1000KG   22032647    (200561554)  MTO     Br.   </t>
  </si>
  <si>
    <t xml:space="preserve">0008488928  N300X-VT6E022-BAG    1000KG   22041244    (200562452)  MTO     Br.   </t>
  </si>
  <si>
    <t xml:space="preserve">0008546201  N1050-BK1066-BAG    1500KG   22040814    (200569860)  MTO      </t>
  </si>
  <si>
    <t xml:space="preserve">0008600037  WCD855-BK1066-SBG    1004.7KG   22032998    (200576653)  MTO      </t>
  </si>
  <si>
    <t xml:space="preserve">0008474494  N300X-GY2E479-BAG    1000KG   22041242    (200561541)  MTO      </t>
  </si>
  <si>
    <t xml:space="preserve">  PX9406P-BL5G048-BAG    1302.375KG   22029453    (98113594)  MTO     Br.   </t>
  </si>
  <si>
    <t xml:space="preserve">0008569328  N190X-GY9174-BAG    2083.8KG   22036850    (200573610)  MTO      </t>
  </si>
  <si>
    <t xml:space="preserve">0008569696  WCD841U-7A8D032-SBG    10037KG   22080585    (200573639)  MTO      </t>
  </si>
  <si>
    <t xml:space="preserve">0008346355  731S-701S-BAG    1000KG   22031186    (200549207)  MTO      </t>
  </si>
  <si>
    <t xml:space="preserve">0008582783  WCP921-BK1066-SBG    1072.6KG   22033011    (200574939)  MTO      </t>
  </si>
  <si>
    <t xml:space="preserve">0008581529  N225Z-BK1066-BAG    3125.7KG   22032641    (200574825)  MTO      </t>
  </si>
  <si>
    <t xml:space="preserve">0008625733  WCD915-WH7E076-SBG    530.05KG   22033004    (200579879)  MTO      </t>
  </si>
  <si>
    <t xml:space="preserve">0007886881  731S-701S-BAG    2000KG   22031186    (200521267)  MTO      </t>
  </si>
  <si>
    <t xml:space="preserve">0008617206  GFN30F-780S-    10000KG   299906052    (200579043)  MTO      </t>
  </si>
  <si>
    <t xml:space="preserve">0008312337  PX2801Z-BK1066-BAG    2000KG   22032844    (200545271)  MTO      </t>
  </si>
  <si>
    <t xml:space="preserve">0008607620  WCD801A-BK2C007-SBG    2083.8KG   22080581    (200577809)  MTO      </t>
  </si>
  <si>
    <t xml:space="preserve">0008562998  GFN30-780-BAG    2083.8KG   22096047    (200572798)  MTO      </t>
  </si>
  <si>
    <t xml:space="preserve">0008607343  PX1005X-701-BAG    1041.9KG   22024438    (200577823)  MTO      </t>
  </si>
  <si>
    <t xml:space="preserve">0008491601  N190X-701-BAG    1000KG   22018844    (200562784)  MTO      </t>
  </si>
  <si>
    <t xml:space="preserve">0008375376  WCD855-7A1D234-SBG    6000KG   22080588    (200554693)  MTO      </t>
  </si>
  <si>
    <t xml:space="preserve">0008375212  N1250-4N4D011-BAG    5000KG   22037195    (200554628)  MTO      </t>
  </si>
  <si>
    <t xml:space="preserve">0008624770  N190X-701-BAG    520.95KG   22018844    (200579718)  MTO      </t>
  </si>
  <si>
    <t xml:space="preserve">0008627537  731S-701S-BAG    520.95KG   22031186    (200580633)  MTO      </t>
  </si>
  <si>
    <t xml:space="preserve">0008599179  EX130-770-BAG    5209.5KG   22022815    (200576460)  MTO      </t>
  </si>
  <si>
    <t xml:space="preserve">0008556752  FN215X-701-BAG    2134.2KG   22023022    (200571758)  MTO      </t>
  </si>
  <si>
    <t xml:space="preserve">0008532060  SE1GFN1-780-BAG    2000KG   22028063    (200567225)  MTO      </t>
  </si>
  <si>
    <t xml:space="preserve">0008375220  N1250-4N4D011-BAG    5000KG   22037195    (200554705)  MTO      </t>
  </si>
  <si>
    <t xml:space="preserve">0007479401  WCD915-7A1D285-SBG    5000KG   22080571    (200487847)  MTO      </t>
  </si>
  <si>
    <t xml:space="preserve">0008351673  FN215X-111-BAG    6475KG   22028763    (200550354)  MTO      </t>
  </si>
  <si>
    <t xml:space="preserve">  N1050-BL2G084-BAG    5209.5KG   22040815    (93391781)  MTO      </t>
  </si>
  <si>
    <t xml:space="preserve">  WCD801A-BK1066-SBG    1041.9KG   22041364    (200579760)  MTO      </t>
  </si>
  <si>
    <t xml:space="preserve">  N300-701-BAG    522.85KG   22041234    (200577806)  MTO      </t>
  </si>
  <si>
    <t xml:space="preserve">  N300-701-BAG    500KG   22041234    (200568753)  MTO      </t>
  </si>
  <si>
    <t xml:space="preserve">  GFN20-801-BAG    4000KG   22095158    (200552257)  MTO      </t>
  </si>
  <si>
    <t xml:space="preserve">  NH6020-100-BAG    20000KG   22060061    (200550112)  MTO      </t>
  </si>
  <si>
    <t xml:space="preserve">  NH6020-100-BAG    20000KG   22060061    (200550053)  MTO      </t>
  </si>
  <si>
    <t xml:space="preserve">  NH6020-100-BAG    10000KG   22060061    (200550113)  MTO      </t>
  </si>
  <si>
    <t xml:space="preserve">  NH6020-100-BAG    20000KG   22060061    (200550100)  MTO      </t>
  </si>
  <si>
    <t xml:space="preserve">0008314158  N1250-BK1066-BAG    5000KG   22040824    (200545493)  MTI      </t>
  </si>
  <si>
    <t xml:space="preserve">0008374728  NH7010-GY6G005-BAG    2055.975KG   22024528    (200554533)  MTO      </t>
  </si>
  <si>
    <t xml:space="preserve">0008384423  HS2000X-8952-BAG    1041.9KG   22023608    (200557202)  MTO      </t>
  </si>
  <si>
    <t xml:space="preserve">0007610660  HS2000X-GY8D625-BAG    5209.5KG   22020355    (200497023)  MTO      </t>
  </si>
  <si>
    <t xml:space="preserve">0008544497  N190X-111-BAG    1041KG   22037213    (200569550)  MTO      </t>
  </si>
  <si>
    <t xml:space="preserve">0008581146  SE1GFN2-111-BAG    5205KG   22106211    (200574737)  MTO      </t>
  </si>
  <si>
    <t xml:space="preserve">0008562549  GFN1-YW8A007-BAG    1041KG   22036604    (200572660)  MTO      </t>
  </si>
  <si>
    <t xml:space="preserve">0008599125  IGN5531-71003-SSS    10410KG   22073242    (200576516)  MTO      </t>
  </si>
  <si>
    <t xml:space="preserve">0008599137  IGN5531-71003-SSS    10410KG   22073242    (200576518)  MTO      </t>
  </si>
  <si>
    <t xml:space="preserve">0008607672  IGN5531-71003-SSS    10410KG   22073242    (200577815)  MTO      </t>
  </si>
  <si>
    <t xml:space="preserve">0008607661  IGN5531-71003-SSS    10410KG   22073242    (200577813)  MTO      </t>
  </si>
  <si>
    <t xml:space="preserve">  IGN5531-71003-SSS    10410KG   22073242    (97081359)  MTO      </t>
  </si>
  <si>
    <t xml:space="preserve">  IGN5531-71003-SSS    10410KG   22073242    (97082056)  MTO      </t>
  </si>
  <si>
    <t xml:space="preserve">  IGN5531-71003-SSS    10410KG   22073242    (89117216)  MTO      </t>
  </si>
  <si>
    <t xml:space="preserve">  IGN5531-71003-SSS    10410KG   22073242    (97082058)  MTO      </t>
  </si>
  <si>
    <t xml:space="preserve">0008627529  GFN30F-873S-BAG    1002.4KG   22096206    (200580654)  MTO      </t>
  </si>
  <si>
    <t xml:space="preserve">  IGN5531-71003-SSS    10410KG   22073242    (97081539)  MTO      </t>
  </si>
  <si>
    <t xml:space="preserve">  IGN5531-71003-SSS    10410KG   22073242    (97080826)  MTO      </t>
  </si>
  <si>
    <t xml:space="preserve">  IGN5531-71003-SSS    10410KG   22073242    (97081043)  MTO      </t>
  </si>
  <si>
    <t xml:space="preserve">0008607513  GFN1F-701S-BAG    2082KG   22066660    (200577801)  MTO      </t>
  </si>
  <si>
    <t xml:space="preserve">  IGN5531-71003-SSS    10410KG   22073242    (97082134)  MTO      </t>
  </si>
  <si>
    <t xml:space="preserve">  IGN5531-71003-SSS    10410KG   22073242    (97081044)  MTO      </t>
  </si>
  <si>
    <t xml:space="preserve">0007611290  EX130-770-BAG    5000KG   22022815    (200497063)  MTO      </t>
  </si>
  <si>
    <t xml:space="preserve">  IGN5531-71003-SSS    10410KG   22073242    (97081361)  MTO      </t>
  </si>
  <si>
    <t xml:space="preserve">  IGN5531-71003-SSS    10410KG   22073242    (97080825)  MTO      </t>
  </si>
  <si>
    <t xml:space="preserve">  IGN5531-71003-SSS    10410KG   22073242    (97081045)  MTO      </t>
  </si>
  <si>
    <t xml:space="preserve">  IGN5531-71003-SSS    10410KG   22073242    (97082135)  MTO      </t>
  </si>
  <si>
    <t xml:space="preserve">  IGN5531-71003-SSS    10410KG   22073242    (97081046)  MTO      </t>
  </si>
  <si>
    <t xml:space="preserve">  EX130-770-BAG    5000KG   22022815    (200497085)  MTO      </t>
  </si>
  <si>
    <t xml:space="preserve">  NH7010-GY6G005-BAG    500KG   22024528    (200568767)  MTO      </t>
  </si>
  <si>
    <t xml:space="preserve">  IGN5531-71003-SSS    10410KG   22073242    (97080831)  MTO      </t>
  </si>
  <si>
    <t xml:space="preserve">  IGN5531-71003-SSS    10410KG   22073242    (97080829)  MTO      </t>
  </si>
  <si>
    <t xml:space="preserve">  IGN5531-71003-SSS    10410KG   22073242    (97080827)  MTO      </t>
  </si>
  <si>
    <t xml:space="preserve">  IGN5531-71003-SSS    10410KG   22073242    (97082076)  MTO      </t>
  </si>
  <si>
    <t xml:space="preserve">  IGN5531-71003-SSS    10410KG   22073242    (97080828)  MTO      </t>
  </si>
  <si>
    <t xml:space="preserve">  IGN5531-71003-SSS    10410KG   22073242    (97080830)  MTO      </t>
  </si>
  <si>
    <t xml:space="preserve">0008346526  GFN20F-7M1D101F-BAG    500KG   22096112    (200549224)  MTO     Br.   </t>
  </si>
  <si>
    <t xml:space="preserve">0008223581  731S-701S-BAG    537.9KG   22031186    (200532787)  MTO      </t>
  </si>
  <si>
    <t xml:space="preserve">0008557298  SE1X-GY2E009-BAG    100KG   22037162    (200572010)  MTO      </t>
  </si>
  <si>
    <t xml:space="preserve">0008576804  FNH2160-780-BAG    100KG   22017766    (200574620)  MTO      </t>
  </si>
  <si>
    <t xml:space="preserve">0008533010  7310-111-BAG    134.475KG   22096118    (200567363)  MTO      </t>
  </si>
  <si>
    <t xml:space="preserve">0008500152  SE100P-WH7C062-BAG    326.85KG   22029462    (200563986)  MTO     Br.   </t>
  </si>
  <si>
    <t xml:space="preserve">0008581430  N300X-111-BAG    100KG   22036868    (200574846)  MTO      </t>
  </si>
  <si>
    <t xml:space="preserve">0008318610  1000R-RD6B018-BAG    107.58KG   22033154    (200546846)  MTO      </t>
  </si>
  <si>
    <t xml:space="preserve">0008316565  1000-BR7095-BAG    215.16KG   22030661    (200546370)  MTO     Br.   </t>
  </si>
  <si>
    <t xml:space="preserve">0008227798  1000-BL7079-BAG    1075.8KG   22033128    (200533505)  MTO     Br.   </t>
  </si>
  <si>
    <t xml:space="preserve">0008217927  1000R-GN6D040-BAG    161.37KG   22037979    (200531593)  MTO      </t>
  </si>
  <si>
    <t xml:space="preserve">0008217895  1000R-GY2B087-BAG    215.16KG   22019073    (200531538)  MTO      </t>
  </si>
  <si>
    <t xml:space="preserve">0008318605  1000R-GY2B087-BAG    150KG   22019073    (200546893)  MTO      </t>
  </si>
  <si>
    <t xml:space="preserve">0008232110  1000-BL3122-BAG    2151.6KG   22033123    (200534688)  MTO      </t>
  </si>
  <si>
    <t xml:space="preserve">0008416726  2110R-7301-BAG    300KG   22018121    (200559148)  MTO      </t>
  </si>
  <si>
    <t xml:space="preserve">0008608355  2210R-7301-BAG    26.895KG   22021503    (200577870)  MTO      </t>
  </si>
  <si>
    <t xml:space="preserve">  GFN30F-873S-BAG    53.79KG   22096206    (98950819)  MTO      </t>
  </si>
  <si>
    <t xml:space="preserve">0008492353  C2950-7T1D250-BAG    537.9KG   22031532    (200562829)  MTO     Br.   </t>
  </si>
  <si>
    <t xml:space="preserve">0008379363  C2950-7T1D250-BAG    2151.6KG   22031532    (200555895)  MTO     Br.   </t>
  </si>
  <si>
    <t xml:space="preserve">0008402946  C1200HF-BK3D018-BAG    2000KG   22031614    (200558303)  MTO     Br.   </t>
  </si>
  <si>
    <t xml:space="preserve">0008615553  SE1GFN2-780-BAG    550.25KG   22024914    (200578905)  MTO      </t>
  </si>
  <si>
    <t xml:space="preserve">0008383492  PX2801Z-OR8B008-BAG    100KG   22037004    (200556954)  MTO     Br.   </t>
  </si>
  <si>
    <t xml:space="preserve">0008237307  N300-701-BAG    500KG   22041234    (200536077)  MTO      </t>
  </si>
  <si>
    <t xml:space="preserve">0008537282  1000R-GN5081-BAG    300KG   22021145    (200568449)  MTO     Br.   </t>
  </si>
  <si>
    <t xml:space="preserve">0008354576  1000R-21019-BAG    500KG   22033151    (200551343)  MTO      </t>
  </si>
  <si>
    <t xml:space="preserve">0008582673  1010-7A1D128-BAG    1075.8KG   22019082    (200575043)  MTO      </t>
  </si>
  <si>
    <t xml:space="preserve">0008440652  SE1GFN2-70699-BAG    500KG   22040973    (200560223)  MTO      </t>
  </si>
  <si>
    <t xml:space="preserve">0008609511  1000-7A1D252-BAG    322.74KG   22021108    (200578029)  MTO      </t>
  </si>
  <si>
    <t xml:space="preserve">0008608934  1000-GY2C261-BAG    2151.6KG   22019057    (200577875)  MTO      </t>
  </si>
  <si>
    <t xml:space="preserve">0008343286  1000R-7101-BAG    100KG   22021142    (200548568)  MTO      </t>
  </si>
  <si>
    <t xml:space="preserve">0008598737  1000-BL3122-BAG    645.48KG   22033123    (200576448)  MTO      </t>
  </si>
  <si>
    <t xml:space="preserve">0008598719  1000-BL7079-BAG    645.48KG   22033128    (200576431)  MTO     Br.   </t>
  </si>
  <si>
    <t xml:space="preserve">0008573809  1000R-RD6B018-BAG    100KG   22033154    (200574110)  MTO      </t>
  </si>
  <si>
    <t xml:space="preserve">0008573806  1000R-OR7B010-BAG    100KG   22086756    (200574089)  MTO      </t>
  </si>
  <si>
    <t xml:space="preserve">0008400849  EL003-NC-BAG    1000KG   22022978    (200558078)  MTO      </t>
  </si>
  <si>
    <t xml:space="preserve">0008223851  TPN9221-GY1493T-BAG    10000KG   22037568    (200532833)  MTO      </t>
  </si>
  <si>
    <t xml:space="preserve">0008546386  1010-GY6G143-BAG    200KG   22029638    (200569962)  MTO      </t>
  </si>
  <si>
    <t xml:space="preserve">0008615556  PVX0901-GY3E986-BAG    100KG   22032822    (200578868)  MTO      </t>
  </si>
  <si>
    <t xml:space="preserve">0008563429  C6303-BK1066-BAG    26.895KG   22039650    (200572928)  MTO      </t>
  </si>
  <si>
    <t xml:space="preserve">0008228043  HS2000X-6G4A1253-    1000KG   299901425    (200533481)  MTO      </t>
  </si>
  <si>
    <t xml:space="preserve">0008440547  N300-701-BAG    500KG   22041234    (200560140)  MTO      </t>
  </si>
  <si>
    <t xml:space="preserve">  1000R-7101-BAG    100KG   22021142    (200569592)  MTO      </t>
  </si>
  <si>
    <t xml:space="preserve">  TPN9221-GY1493T-BAG    10000KG   22037568    (200552317)  MTO      </t>
  </si>
  <si>
    <t xml:space="preserve">  1000R-BR7156-BAG    300KG   22037978    (200551266)  MTO      </t>
  </si>
  <si>
    <t xml:space="preserve">  1000-BL3122-BAG    3227.4KG   22033123    (200579703)  MTO      </t>
  </si>
  <si>
    <t xml:space="preserve">  1000-7101-BAG    100KG   22021106    (200549958)  MTO      </t>
  </si>
  <si>
    <t xml:space="preserve">0008581098  505RU-7A1D069-BAG    50KG   22033780    (200574808)  MTO      </t>
  </si>
  <si>
    <t xml:space="preserve">0008365113  CM6140-7R1D137-BAG    2000KG   22029311    (200552284)  MTO      </t>
  </si>
  <si>
    <t xml:space="preserve">0008316806  945-7P1D051-BAG    1057.4KG   22038378    (200546458)  MTO      </t>
  </si>
  <si>
    <t xml:space="preserve">0008563336  325C-7A5A2961-    100KG   299903299    (200572836)  MTO      </t>
  </si>
  <si>
    <t xml:space="preserve">0008571849  ENH2900-1001-BAG    528.7KG   22017368    (200573755)  MTO      </t>
  </si>
  <si>
    <t xml:space="preserve">0008617066  C086079M-100-BAG    5000KG   22073868    (200578976)  MTI      </t>
  </si>
  <si>
    <t xml:space="preserve">0008305782  ENH2900-8A9D020-BAG    18663.11KG   22022996    (200543607)  MTO      </t>
  </si>
  <si>
    <t xml:space="preserve">0008551129  EXL1414T-7A1D030T-BAG    1586.1KG   22019986    (200570594)  MTO      </t>
  </si>
  <si>
    <t xml:space="preserve">  1731-BK1066-BAG    1057.4KG   22021432    (98869185)  MTO      </t>
  </si>
  <si>
    <t xml:space="preserve">0008570234  CM6140-7R1D137-BAG    2114.8KG   22029311    (200573663)  MTO      </t>
  </si>
  <si>
    <t xml:space="preserve">0008581600  BFL4000U-WH3150-BAG    2114.8KG   22017663    (200574885)  MTO      </t>
  </si>
  <si>
    <t xml:space="preserve">0008562648  BFL4000U-WH3150-BAG    2114.8KG   22017663    (200572732)  MTO      </t>
  </si>
  <si>
    <t xml:space="preserve">0008415059  945-7M1D115-BAG    2000KG   22038377    (200558923)  MTO     Br.   </t>
  </si>
  <si>
    <t xml:space="preserve">0008536110  943A-GY5D606-BAG    3170.1KG   22029980    (200568253)  MTO     Br.   </t>
  </si>
  <si>
    <t xml:space="preserve">0008557091  FXD141R-WH4502X-BAG    200KG   22040053    (200571855)  MTO      </t>
  </si>
  <si>
    <t xml:space="preserve">0008617065  C8260MB-100-BAG    2113.4KG   22063233    (200578916)  MTI      </t>
  </si>
  <si>
    <t xml:space="preserve">0008270541  141R-111-BAG    2060.565KG   22018087    (200539005)  MTO      </t>
  </si>
  <si>
    <t xml:space="preserve">0008299986  940A-BL1A529T-BAG    317.01KG   22034507    (200542649)  MTO     Br.   </t>
  </si>
  <si>
    <t xml:space="preserve">0008528185  EXL9414T-7T1D346S-BAG    529.9KG   22035996    (200566644)  MTO     Br.   </t>
  </si>
  <si>
    <t xml:space="preserve">0008122169  LS2-7056-BAG    2113.4KG   22041034    (200529021)  MTO     Br.   </t>
  </si>
  <si>
    <t xml:space="preserve">0007995182  943A-7G7A2842-    600KG   299904225    (200525340)  MTO     Br.   </t>
  </si>
  <si>
    <t xml:space="preserve">0008556824  121R-WH3A022X-BAG    3170.1KG   22021271    (200571865)  MTO     Br.   </t>
  </si>
  <si>
    <t xml:space="preserve">0008434532  123R-WH5C051X-BAG    2000KG   22033096    (200560005)  MTO      </t>
  </si>
  <si>
    <t xml:space="preserve">0008491062  143R-3G7A4190T-    2000KG   299905765    (200562641)  MTO      </t>
  </si>
  <si>
    <t xml:space="preserve">0008491204  143R-3G7A4190T-    2000KG   299905765    (200562725)  MTO      </t>
  </si>
  <si>
    <t xml:space="preserve">0008569017  EXL1413T-7B1D026T-BAG    1061.2KG   22036067    (200573477)  MTO      </t>
  </si>
  <si>
    <t xml:space="preserve">0008237942  920A-GY2E081T-BAG    500KG   22039032    (200536266)  MTO     Br.   </t>
  </si>
  <si>
    <t xml:space="preserve">0008334089  EXL1433T-GY4G001T-BAG    5000KG   22032380    (200548309)  MTO      </t>
  </si>
  <si>
    <t xml:space="preserve">0007902582  101R-111-BAG    2000KG   22027971    (200521952)  MTO      </t>
  </si>
  <si>
    <t xml:space="preserve">0008376397  FXE121R-BK1A184T-BAG    100KG   22023219    (200554934)  MTO     Br.   </t>
  </si>
  <si>
    <t xml:space="preserve">0008250251  241R-GY5D607T-BAG    2000KG   22028401    (200537924)  MTO     Br.   </t>
  </si>
  <si>
    <t xml:space="preserve">0008556749  ML7681-7R3D005X-BAG    531KG   22032770    (200571842)  MTO      </t>
  </si>
  <si>
    <t xml:space="preserve">0008615233  EXL1414-8T9A4820-    500KG   299905816    (200578801)  MTO      </t>
  </si>
  <si>
    <t xml:space="preserve">0008419415  144H-111FC-BAG    1000KG   22033341    (200559300)  MTO      </t>
  </si>
  <si>
    <t xml:space="preserve">0008531910  SLX2432T-NA9D082T-BAG    50KG   22018962    (200567130)  MTO      </t>
  </si>
  <si>
    <t xml:space="preserve">0008551165  123R-BL9F006X-BAG    2113.4KG   22021290    (200570636)  MTO      </t>
  </si>
  <si>
    <t xml:space="preserve">0008537671  FXD171R-WH6B024X-BAG    1000KG   22040729    (200568508)  MTO      </t>
  </si>
  <si>
    <t xml:space="preserve">0008345720  FXG121R-BL4F027G-BAG    100KG   22036274    (200549047)  MTO     Br.   </t>
  </si>
  <si>
    <t xml:space="preserve">0007779724  243R-111-BAG    2000KG   22019283    (200513278)  MTO      </t>
  </si>
  <si>
    <t xml:space="preserve">0008297828  EXL9414T-NA8E034T-BAG    100KG   22039947    (200542010)  MTO      </t>
  </si>
  <si>
    <t xml:space="preserve">  FXD121R-NA8G018X-BAG    3000KG   22044315    (200549470)  MTO      </t>
  </si>
  <si>
    <t xml:space="preserve">0008533915  XTWM206-GY2E365-BAG    2099.2KG   22037355    (200567540)  MTO     Br.   </t>
  </si>
  <si>
    <t xml:space="preserve">0008600629  C6600-7M7D027-BAG    1049.6KG   22022553    (200576601)  MTO     Br.   </t>
  </si>
  <si>
    <t xml:space="preserve">0008489303  V3900WX-WH6G137-BAG    528.7KG   22032805    (200562414)  MTO     Br.   </t>
  </si>
  <si>
    <t xml:space="preserve">0008415247  V3900WX-WH8E373-BAG    1000KG   22041108    (200558963)  MTO     Br.   </t>
  </si>
  <si>
    <t xml:space="preserve">0008381336  357U-WH5E122-BAG    2114.8KG   22038579    (200556222)  MTO     Br.   </t>
  </si>
  <si>
    <t xml:space="preserve">0008415324  357U-GY7B303-BAG    2114.8KG   22033941    (200558988)  MTO     Br.   </t>
  </si>
  <si>
    <t xml:space="preserve">0008415330  357U-4262-BAG    2114.8KG   22021775    (200559010)  MTO     Br.   </t>
  </si>
  <si>
    <t xml:space="preserve">0008525429  357U-GY1G418-BAG    634.44KG   22044077    (200566126)  MTO     Br.   </t>
  </si>
  <si>
    <t xml:space="preserve">0008538403  420C-GY7B904-    500KG   299901892    (200568752)  MTO     Br.   </t>
  </si>
  <si>
    <t xml:space="preserve">0008475411  DR48-GN5G003-BAG    1000KG   22035494    (200561560)  MTO     Br.   </t>
  </si>
  <si>
    <t xml:space="preserve">0008475393  DR48-BL4G186-BAG    1000KG   22045424    (200561580)  MTO     Br.   </t>
  </si>
  <si>
    <t xml:space="preserve">0008570107  553-OR5G078-BAG    26.435KG   22038042    (200573581)  MTO     Br.   </t>
  </si>
  <si>
    <t xml:space="preserve">0008383243  553-OR5G078-BAG    2000KG   22038042    (200556942)  MTO     Br.   </t>
  </si>
  <si>
    <t xml:space="preserve">0008546158  553U-GY3G297-BAG    3000KG   22021962    (200569814)  MTO     Br.   </t>
  </si>
  <si>
    <t xml:space="preserve">0008553958  553-BK1066-BAG    26.435KG   22017303    (200570962)  MTO     Br.   </t>
  </si>
  <si>
    <t xml:space="preserve">0008025326  553-7001-BAG    1000KG   22034189    (200526375)  MTO     Br.   </t>
  </si>
  <si>
    <t xml:space="preserve">0008366127  310SE0-7001-BAG    2000KG   22031109    (200552531)  MTO     Br.   </t>
  </si>
  <si>
    <t xml:space="preserve">0008488130  HRA222-WH4C030U-BAG    5000KG   22040377    (200562435)  MTO     Br.   </t>
  </si>
  <si>
    <t xml:space="preserve">0008443762  357-WH2D026-BAG    2000KG   22033927    (200560346)  MTO     Br.   </t>
  </si>
  <si>
    <t xml:space="preserve">0008248420  357-WH5C033-BAG    300KG   22029684    (200537659)  MTO     Br.   </t>
  </si>
  <si>
    <t xml:space="preserve">0008609169  310SE0-4262-BAG    1000KG   22037831    (200577952)  MTO     Br.   </t>
  </si>
  <si>
    <t xml:space="preserve">0008270999  357-7M7D049-BAG    1000KG   22044074    (200539013)  MTO     Br.   </t>
  </si>
  <si>
    <t xml:space="preserve">0008439772  357-GY81044-BAG    1000KG   22019333    (200560142)  MTO     Br.   </t>
  </si>
  <si>
    <t xml:space="preserve">0008537431  310SE0-WH4581-BAG    1000KG   22037842    (200568472)  MTO     Br.   </t>
  </si>
  <si>
    <t xml:space="preserve">0008582657  DR48-4456-BAG    1057.4KG   22031897    (200575025)  MTO     Br.   </t>
  </si>
  <si>
    <t xml:space="preserve">0008557292  357-GY81044-BAG    100KG   22019333    (200571975)  MTO     Br.   </t>
  </si>
  <si>
    <t xml:space="preserve">0008581418  553-BK2D116-BAG    1057.4KG   22038036    (200574814)  MTO     Br.   </t>
  </si>
  <si>
    <t xml:space="preserve">0008374787  553-OR5G078-BAG    2000KG   22038042    (200554586)  MTO     Br.   </t>
  </si>
  <si>
    <t xml:space="preserve">0008581402  553-GY6G326-BAG    500KG   22034195    (200574741)  MTO     Br.   </t>
  </si>
  <si>
    <t xml:space="preserve">0008569703  357U-GY5E455-BAG    100KG   22031041    (200573439)  MTO     Br.   </t>
  </si>
  <si>
    <t xml:space="preserve">0008312589  4521-BK1066-BAG    2000KG   22028836    (200545349)  MTO     Br.   </t>
  </si>
  <si>
    <t xml:space="preserve">0008291427  457-GN4072-BAG    1000KG   22031214    (200540765)  MTO     Br.   </t>
  </si>
  <si>
    <t xml:space="preserve">0008546166  357U-7G7A2125-    2000KG   299904013    (200569869)  MTO     Br.   </t>
  </si>
  <si>
    <t xml:space="preserve">0008563201  V3900WX-GY8E431-BAG    2114.8KG   22020960    (200572870)  MTO     Br.   </t>
  </si>
  <si>
    <t xml:space="preserve">0008569714  DF004AXC-BK8115-BAG    5248KG   22035813    (200573575)  MTO      </t>
  </si>
  <si>
    <t xml:space="preserve">0008626016  357M-BK1066-BAG    2128KG   22029685    (200580063)  MTO     Br.   </t>
  </si>
  <si>
    <t xml:space="preserve">0008624508  364-BK2E084-BAG    2537.76KG   22043792    (200579747)  MTO     Br.   </t>
  </si>
  <si>
    <t xml:space="preserve">0008601752  V3900WX-BL4E035-BAG    1057.4KG   22041094    (200576829)  MTO     Br.   </t>
  </si>
  <si>
    <t xml:space="preserve">0008623297  5220U-BK1066-BAG    1057.4KG   22019415    (200579672)  MTO      </t>
  </si>
  <si>
    <t xml:space="preserve">0008615319  553-7G1A3450-    1057.4KG   299903906    (200578831)  MTO     Br.   </t>
  </si>
  <si>
    <t xml:space="preserve">0008608562  357U-BK1066-BAG    1057.4KG   22021779    (200577905)  MTO     Br.   </t>
  </si>
  <si>
    <t xml:space="preserve">0008625788  3706-GY1G327-    1072.6KG   299900627    (200579990)  MTO     Br.   </t>
  </si>
  <si>
    <t xml:space="preserve">0008618644  V3900WX-GY2G143-BAG    528.7KG   22041099    (200579094)  MTO     Br.   </t>
  </si>
  <si>
    <t xml:space="preserve">0008617325  3706-BL2D120-    100KG   290018654    (200578932)  MTO     Br.   </t>
  </si>
  <si>
    <t xml:space="preserve">0008615461  457-7001-BAG    500KG   22034053    (200578833)  MTO     Br.   </t>
  </si>
  <si>
    <t xml:space="preserve">0008248035  364-1001-BAG    500KG   22038585    (200537651)  MTO     Br.   </t>
  </si>
  <si>
    <t xml:space="preserve">0008582829  855-YW7A041-BAG    2000KG   22029769    (200575009)  MTO     Br.   </t>
  </si>
  <si>
    <t xml:space="preserve">0008556719  DR48-GY2593-BAG    528.7KG   22035496    (200571833)  MTO     Br.   </t>
  </si>
  <si>
    <t xml:space="preserve">0008321164  357M-BK1066-BAG    500KG   22029685    (200547584)  MTO     Br.   </t>
  </si>
  <si>
    <t xml:space="preserve">0008350010  3706-GY8G367-BAG    1000KG   22033643    (200550287)  MTO     Br.   </t>
  </si>
  <si>
    <t xml:space="preserve">  420-1001-BAG    10610KG   22021631    (315944994)  MTO      </t>
  </si>
  <si>
    <t xml:space="preserve">  553-OR5G078-BAG    2114.8KG   22038042    (200574889)  MTO     Br.   </t>
  </si>
  <si>
    <t xml:space="preserve">  420-1001-BAG    1000KG   22021631    (200547338)  MTO      </t>
  </si>
  <si>
    <t xml:space="preserve">  855-1001-BAG    2000KG   22019477    (200567208)  MTO     Br.   </t>
  </si>
  <si>
    <t xml:space="preserve">  457-GN4072-BAG    1000KG   22031214    (200561550)  MTO     Br.   </t>
  </si>
  <si>
    <t xml:space="preserve">  3414R-739-BAG    2000KG   22021743    (200558756)  MTO     Br.   </t>
  </si>
  <si>
    <t xml:space="preserve">  X4820-YW3D010-BAG    2139.8KG   22025024    (200574859)  MTO     Br.   </t>
  </si>
  <si>
    <t xml:space="preserve">0008598041  945-7T2A3357-    300KG   299903779    (200576315)  MTO     Br.   </t>
  </si>
  <si>
    <t xml:space="preserve">0008439432  CM6240-701-BAG    392.288KG   22022433    (200560037)  MTO      </t>
  </si>
  <si>
    <t xml:space="preserve">0008601024  925-GY1G168-BAG    150KG   22034407    (200576766)  MTO     Br.   </t>
  </si>
  <si>
    <t xml:space="preserve">0008533539  3412R-GY2E372-BAG    313.83KG   22033621    (200567470)  MTO     Br.   </t>
  </si>
  <si>
    <t xml:space="preserve">0008415412  HRA222F-BL5E120-BAG    2092.2KG   22040384    (200558948)  MTO     Br.   </t>
  </si>
  <si>
    <t xml:space="preserve">0008370720  CX7240-8T4D044-BAG    2092.2KG   22035234    (200553335)  MTO     Br.   </t>
  </si>
  <si>
    <t xml:space="preserve">0008538832  505RU-7T8D570-BAG    523.05KG   22037997    (200568776)  MTO      </t>
  </si>
  <si>
    <t xml:space="preserve">0008400901  505RU-7T8D558-BAG    200KG   22031252    (200558162)  MTO      </t>
  </si>
  <si>
    <t xml:space="preserve">0008562611  CX2244ME-BK1005-BAG    100KG   22030066    (200572782)  MTO      </t>
  </si>
  <si>
    <t xml:space="preserve">0008622941  CY8630-100-BAG    125KG   22089282    (200579595)  MTO      </t>
  </si>
  <si>
    <t xml:space="preserve">0008440240  EXL1414-WH9E195-BAG    1046.1KG   22036166    (200560184)  MTO      </t>
  </si>
  <si>
    <t xml:space="preserve">0008354626  920-WH9C021-BAG    523.05KG   22031380    (200551345)  MTO     Br.   </t>
  </si>
  <si>
    <t xml:space="preserve">0008442851  CX7211-WH9A224-BAG    523.05KG   22028491    (200560302)  MTO      </t>
  </si>
  <si>
    <t xml:space="preserve">0008570618  CX7240-8N9D079-BAG    100KG   22031866    (200573708)  MTO      </t>
  </si>
  <si>
    <t xml:space="preserve">0008236765  CX2244ME-8T9D023-BAG    523.05KG   22022709    (200535950)  MTO      </t>
  </si>
  <si>
    <t xml:space="preserve">0008413768  HRA222-WH7D349-BAG    1046.1KG   22030425    (200558894)  MTO     Br.   </t>
  </si>
  <si>
    <t xml:space="preserve">0008544602  EXL1414T-WH9E175-BAG    679.965KG   22036218    (200569602)  MTO      </t>
  </si>
  <si>
    <t xml:space="preserve">0008583174  HRA222-WH7D349-BAG    26.153KG   22030425    (200574999)  MTO     Br.   </t>
  </si>
  <si>
    <t xml:space="preserve">0008421469  945-BL3D150-BAG    200KG   22038408    (200559379)  MTO      </t>
  </si>
  <si>
    <t xml:space="preserve">0008532675  C6600-BL1513-    500KG   299901369    (200567179)  MTO      </t>
  </si>
  <si>
    <t xml:space="preserve">0008402944  D20001-BK8833-BAG    500KG   22035357    (200558288)  MTO     Br.   </t>
  </si>
  <si>
    <t xml:space="preserve">0008383585  D20001-BK1A647-BAG    500KG   22032142    (200556934)  MTO      </t>
  </si>
  <si>
    <t xml:space="preserve">0008351680  EXL1414-8G6A2496-    350KG   299902816    (200550355)  MTO      </t>
  </si>
  <si>
    <t xml:space="preserve">0008300114  500-739-BAG    25KG   22021690    (200542686)  MTO     Br.   </t>
  </si>
  <si>
    <t xml:space="preserve">0008527137  CM6140-7T7A3687-    100KG   299904423    (200566340)  MTO      </t>
  </si>
  <si>
    <t xml:space="preserve">0008415287  500R-WH9G709-BAG    2000KG   22044789    (200559009)  MTO     Br.   </t>
  </si>
  <si>
    <t xml:space="preserve">0008627457  HRA222-10000-BAG    2092.2KG   22036442    (200580650)  MTO     Br.   </t>
  </si>
  <si>
    <t xml:space="preserve">0008553977  CR8510-NA1000-BAG    1054.4KG   22019785    (200570964)  MTO     Br.   </t>
  </si>
  <si>
    <t xml:space="preserve">0008533204  CX2244ME-111-BAG    523.05KG   22022500    (200567450)  MTO      </t>
  </si>
  <si>
    <t xml:space="preserve">0008533705  945-7T8D640-BAG    300KG   22044405    (200567531)  MTO      </t>
  </si>
  <si>
    <t xml:space="preserve">0008524631  500-YW5C027-BAG    500KG   22038707    (200566027)  MTO     Br.   </t>
  </si>
  <si>
    <t xml:space="preserve">0008354618  EXL1414-6G7A2328-    300KG   299902738    (200551295)  MTO     Br.   </t>
  </si>
  <si>
    <t xml:space="preserve">0008345913  500R-RD5D188-BAG    1000KG   22029841    (200549073)  MTO     Br.   </t>
  </si>
  <si>
    <t xml:space="preserve">0008623395  940A-WH7G173-BAG    26.152KG   22065679    (200579706)  MTO     Br.   </t>
  </si>
  <si>
    <t xml:space="preserve">0008562664  EXL1414-6G7A2328-    366.135KG   299902738    (200572757)  MTO     Br.   </t>
  </si>
  <si>
    <t xml:space="preserve">0008532374  BPL1000-BK1C340-BAG    150KG   22034792    (200567218)  MTO      </t>
  </si>
  <si>
    <t xml:space="preserve">0008533347  920-7T3D080-BAG    500KG   22034003    (200567469)  MTO     Br.   </t>
  </si>
  <si>
    <t xml:space="preserve">0008471129  C6200-7T1D394-BAG    1046.1KG   22043956    (200561289)  MTO      </t>
  </si>
  <si>
    <t xml:space="preserve">0008544995  HRA222F-7D7D005-BAG    2000KG   22040379    (200569591)  MTO     Br.   </t>
  </si>
  <si>
    <t xml:space="preserve">0008422947  C2950HF-GY1D453-BAG    2092.2KG   22045238    (200559526)  MTO     Br.   </t>
  </si>
  <si>
    <t xml:space="preserve">0008623125  CX2244ME-8H9D503-BAG    313.83KG   22043872    (200579668)  MTO     Br.   </t>
  </si>
  <si>
    <t xml:space="preserve">0008498498  HRA170-BK2G008-BAG    3000KG   22036438    (200563882)  MTO     Br.   </t>
  </si>
  <si>
    <t xml:space="preserve">0008557209  905-WH9F083-BAG    313.83KG   22034316    (200571985)  MTO      </t>
  </si>
  <si>
    <t xml:space="preserve">0008551856  CX7240-8T9D310-BAG    1046.1KG   22030085    (200570711)  MTO      </t>
  </si>
  <si>
    <t xml:space="preserve">0008344486  940-701-BAG    1987.59KG   22019549    (200548674)  MTO     Br.   </t>
  </si>
  <si>
    <t xml:space="preserve">0008299839  920-WH9G206-BAG    100KG   22034343    (200542541)  MTO     Br.   </t>
  </si>
  <si>
    <t xml:space="preserve">0008557079  CX2244ME-111-BAG    100KG   22022500    (200571946)  MTO      </t>
  </si>
  <si>
    <t xml:space="preserve">0008551835  C6600-71865-BAG    100KG   22031787    (200570752)  MTO     Br.   </t>
  </si>
  <si>
    <t xml:space="preserve">0008607740  945-7T8D574-BAG    1046.1KG   22034225    (200577845)  MTO     Br.   </t>
  </si>
  <si>
    <t xml:space="preserve">0008354360  EXL1414-9G7A2995-    100KG   299903374    (200551218)  MTO      </t>
  </si>
  <si>
    <t xml:space="preserve">0007974153  505RU-WH8E372-BAG    1000KG   22029849    (200524286)  MTO      </t>
  </si>
  <si>
    <t xml:space="preserve">0008403092  505RU-BL2A254-BAG    500KG   22037998    (200558305)  MTO      </t>
  </si>
  <si>
    <t xml:space="preserve">0008403107  505RU-WH9F090-BAG    500KG   22033788    (200558306)  MTO     Br.   </t>
  </si>
  <si>
    <t xml:space="preserve">0008609017  EXL1414-9G7A2995-    52.305KG   299903374    (200577918)  MTO      </t>
  </si>
  <si>
    <t xml:space="preserve">0008557336  CM6140-7R3D032-BAG    523.05KG   22035067    (200572013)  MTO      </t>
  </si>
  <si>
    <t xml:space="preserve">0008555946  C6200-BK2B004-BAG    209.22KG   22031753    (200571723)  MTO      </t>
  </si>
  <si>
    <t xml:space="preserve">0008313486  C2950-GY1D193-BAG    1000KG   22086929    (200545418)  MTO     Br.   </t>
  </si>
  <si>
    <t xml:space="preserve">0008475644  C2800-96214-BAG    1000KG   22034988    (200561702)  MTO      </t>
  </si>
  <si>
    <t xml:space="preserve">0008563615  3412ECR-7P1D008-BAG    313.83KG   22037856    (200572938)  MTO     Br.   </t>
  </si>
  <si>
    <t xml:space="preserve">0008379722  EFL36-BK1A603-BAG    3000KG   22035948    (200556023)  MTO      </t>
  </si>
  <si>
    <t xml:space="preserve">0008624492  D2000-WT94271-BAG    1120.5KG   22039309    (200579716)  MTO      </t>
  </si>
  <si>
    <t xml:space="preserve">0008570287  C6600-GY6761-BAG    601.507KG   22031701    (200573684)  MTO      </t>
  </si>
  <si>
    <t xml:space="preserve">0008569307  945-7T2D197-BAG    100KG   22034219    (200573436)  MTO     Br.   </t>
  </si>
  <si>
    <t xml:space="preserve">0008598018  945-7T2A3357-    313.83KG   299903779    (200576388)  MTO     Br.   </t>
  </si>
  <si>
    <t xml:space="preserve">0008370958  HRA222F-BK2E067-BAG    5230.5KG   22036450    (200553483)  MTO     Br.   </t>
  </si>
  <si>
    <t xml:space="preserve">0008625442  XTWE270M-BR5G043-BAG    2000KG   22041428    (200579817)  MTO     Br.   </t>
  </si>
  <si>
    <t xml:space="preserve">0008623177  C6600-7R6D035-BAG    523.05KG   22034771    (200579669)  MTO      </t>
  </si>
  <si>
    <t xml:space="preserve">0008601969  BPL1000-BK1A382-BAG    2092.2KG   22034791    (200576840)  MTO     Br.   </t>
  </si>
  <si>
    <t xml:space="preserve">0008599172  BPL1000-BK1C340-BAG    313.83KG   22034792    (200576557)  MTO      </t>
  </si>
  <si>
    <t xml:space="preserve">0008383595  DF004-GY2D398-BAG    500KG   22031877    (200556958)  MTO     Br.   </t>
  </si>
  <si>
    <t xml:space="preserve">0008607707  920-701616-BAG    156.915KG   22034000    (200577816)  MTO     Br.   </t>
  </si>
  <si>
    <t xml:space="preserve">0008571962  HRA170-WH4324-BAG    2092.2KG   22032594    (200573826)  MTO     Br.   </t>
  </si>
  <si>
    <t xml:space="preserve">0008562526  500-YW5C027-BAG    523.05KG   22038707    (200572749)  MTO     Br.   </t>
  </si>
  <si>
    <t xml:space="preserve">0008553262  500R-83224-BAG    313.83KG   22028839    (200570905)  MTO     Br.   </t>
  </si>
  <si>
    <t xml:space="preserve">0008444393  500R-60355-BAG    300KG   22034089    (200560281)  MTO     Br.   </t>
  </si>
  <si>
    <t xml:space="preserve">0008601426  945-4T6D101-    627.66KG   299902264    (200576681)  MTO      </t>
  </si>
  <si>
    <t xml:space="preserve">0008625367  C6600-GY8D177-BAG    523.05KG   22030159    (200579863)  MTO      </t>
  </si>
  <si>
    <t xml:space="preserve">0008624950  945-7M1D115-BAG    2092.2KG   22038377    (200579787)  MTO     Br.   </t>
  </si>
  <si>
    <t xml:space="preserve">0008532944  HRA222-BK1A021-BAG    2000KG   22032595    (200567362)  MTO     Br.   </t>
  </si>
  <si>
    <t xml:space="preserve">0008625282  CX7240-GY2D041-BAG    100KG   22040064    (200579842)  MTO      </t>
  </si>
  <si>
    <t xml:space="preserve">0008607586  C2800-7R4D003-BAG    523.05KG   22028466    (200577842)  MTO      </t>
  </si>
  <si>
    <t xml:space="preserve">0008571096  505RU-YW6E070-BAG    2092.2KG   22031255    (200573678)  MTO     Br.   </t>
  </si>
  <si>
    <t xml:space="preserve">  505RU-YW6E070-BAG    2000KG   22031255    (200568557)  MTO     Br.   </t>
  </si>
  <si>
    <t xml:space="preserve">  C2950-7P1D021-BAG    5230.5KG   22028468    (200579664)  MTO     Br.   </t>
  </si>
  <si>
    <t xml:space="preserve">  LS2-7056-BAG    2000KG   22041034    (200577881)  MTO     Br.   </t>
  </si>
  <si>
    <t xml:space="preserve">  C6600-7M7D027-BAG    1046.1KG   22022553    (200570784)  MTO     Br.   </t>
  </si>
  <si>
    <t xml:space="preserve">  505RU-WH9F090-BAG    2000KG   22033788    (200542879)  MTO     Br.   </t>
  </si>
  <si>
    <t xml:space="preserve">  505RU-WH8E372-BAG    1000KG   22029849    (200562298)  MTO      </t>
  </si>
  <si>
    <t xml:space="preserve">  505RU-7T8D570-BAG    523.05KG   22037997    (200579771)  MTO      </t>
  </si>
  <si>
    <t xml:space="preserve">0008372055  500R-73231-BAG    5000KG   22031231    (200553784)  MTO     Br.   </t>
  </si>
  <si>
    <t xml:space="preserve">0008532249  C6200-111-BAG    20400KG   22019707    (200567209)  MTI      </t>
  </si>
  <si>
    <t xml:space="preserve">0008545249  C2800-111-BAG    10200KG   22022249    (200569706)  MTO      </t>
  </si>
  <si>
    <t xml:space="preserve">0008599128  357-1001-BAG    10100KG   22019323    (200576478)  MTI     Br.   </t>
  </si>
  <si>
    <t xml:space="preserve">0008617068  553-1001-BAG    23230KG   22019426    (200578928)  MTI     Br.   </t>
  </si>
  <si>
    <t xml:space="preserve">0008599117  357-1001-BAG    11110KG   22019323    (200576475)  MTI     Br.   </t>
  </si>
  <si>
    <t xml:space="preserve">0007601197  420-1001-BAG    10100KG   22021631    (200495920)  MTO      </t>
  </si>
  <si>
    <t xml:space="preserve">0008022056  121R-111-BAG    10200KG   22019125    (200526414)  MTO      </t>
  </si>
  <si>
    <t xml:space="preserve">0008571860  121R-112-BAG    15299.999KG   22017531    (200573845)  MTO      </t>
  </si>
  <si>
    <t xml:space="preserve">0008571830  141R-112-BAG    15000KG   22021351    (200573773)  MTO      </t>
  </si>
  <si>
    <t xml:space="preserve">0008498382  123R-111-BAG    19440.801KG   22021280    (200563792)  MTO      </t>
  </si>
  <si>
    <t xml:space="preserve">0007131177  141R-111-BAG    10000KG   22018087    (200428510)  MTO      </t>
  </si>
  <si>
    <t xml:space="preserve">0008625449  XTWE270M-GY7G202-BAG    3042KG   22037347    (200579847)  MTO     Br.   </t>
  </si>
  <si>
    <t xml:space="preserve">0008525474  940A-110-BAG    5000KG   22039132    (200566129)  MTO     Br.   </t>
  </si>
  <si>
    <t xml:space="preserve">  357-1001-BAG    20200KG   22019323    (98128775)  MTI     Br.   </t>
  </si>
  <si>
    <t xml:space="preserve">0008599138  141R-GY6A427-BAG    20000KG   22030748    (200576513)  MTI      </t>
  </si>
  <si>
    <t xml:space="preserve">0008607671  5220U-YW6A028-BAG    20254KG   22019425    (200577755)  MTI     Br.   </t>
  </si>
  <si>
    <t xml:space="preserve">0007622331  1105-78211-BAG    10100KG   22030691    (200498161)  MTO      </t>
  </si>
  <si>
    <t xml:space="preserve">0007659183  508-BK1066-BAG    10100KG   22021921    (200502179)  MTO      </t>
  </si>
  <si>
    <t xml:space="preserve">0008607670  C1200HF-RD3G073-BAG    20248KG   22029056    (200577863)  MTI     Br.   </t>
  </si>
  <si>
    <t xml:space="preserve">0008370737  CY8630-701-BAG    20000KG   22089617    (200553354)  MTO      </t>
  </si>
  <si>
    <t xml:space="preserve">  141R-GY6A427-BAG    20000KG   22030748    (94717410)  MTI      </t>
  </si>
  <si>
    <t xml:space="preserve">0008280725  XTWM206-WH6G187-BAG    10000KG   22086028    (200539771)  MTO     Br.   </t>
  </si>
  <si>
    <t xml:space="preserve">0008228800  HRA222F-GY8E417-BAG    5000KG   22032603    (200533558)  MTO     Br.   </t>
  </si>
  <si>
    <t xml:space="preserve">0008544975  5220U-1001-BAG    10000KG   22017603    (200569614)  MTO      </t>
  </si>
  <si>
    <t xml:space="preserve">0008474845  DR51-1001-BAG    15000KG   22017180    (200561481)  MTO      </t>
  </si>
  <si>
    <t xml:space="preserve">0008563106  DR51-1001-BAG    12120KG   22017180    (200572843)  MTO      </t>
  </si>
  <si>
    <t xml:space="preserve">0007575031  508-BK1066-BAG    20000KG   22021921    (200494185)  MTO      </t>
  </si>
  <si>
    <t xml:space="preserve">  141R-GY6A427-BAG    20000KG   22030748    (94717412)  MTI      </t>
  </si>
  <si>
    <t xml:space="preserve">0008219001  143R-WH8G674-BAG    20399.999KG   22088923    (200531849)  MTO      </t>
  </si>
  <si>
    <t xml:space="preserve">0008242723  DR51-1001-BAG    5000KG   22017180    (200537161)  MTO      </t>
  </si>
  <si>
    <t xml:space="preserve">  5220U-YW6A028-BAG    20000KG   22019425    (97375655)  MTI     Br.   </t>
  </si>
  <si>
    <t xml:space="preserve">0008417269  5220U-1001-BAG    5000KG   22017603    (200559120)  MTO      </t>
  </si>
  <si>
    <t xml:space="preserve">0008131151  420-1001-BAG    3000KG   22021631    (200529133)  MTO      </t>
  </si>
  <si>
    <t xml:space="preserve">0008581890  HRA222F-GY8E417-BAG    6000KG   22032603    (200574857)  MTO     Br.   </t>
  </si>
  <si>
    <t xml:space="preserve">0008492344  5220U-1001-BAG    10000KG   22017603    (200562804)  MTO      </t>
  </si>
  <si>
    <t xml:space="preserve">0007601260  420-BK1066-BAG    10000KG   22021633    (200495978)  MTO      </t>
  </si>
  <si>
    <t xml:space="preserve">  141R-GY6A427-BAG    20000KG   22030748    (94717413)  MTI      </t>
  </si>
  <si>
    <t xml:space="preserve">0008233685  243R-WH4B198-BAG    20000KG   22038486    (200534990)  MTO      </t>
  </si>
  <si>
    <t xml:space="preserve">0008370739  CY8630-701-BAG    20000KG   22089617    (200553374)  MTO      </t>
  </si>
  <si>
    <t xml:space="preserve">  C1200HF-RD3G073-BAG    20248KG   22029056    (98568279)  MTI     Br.   </t>
  </si>
  <si>
    <t xml:space="preserve">  5220U-YW6A028-BAG    20000KG   22019425    (97376577)  MTI     Br.   </t>
  </si>
  <si>
    <t xml:space="preserve">  C1200HF-RD3G073-BAG    20248KG   22029056    (98568280)  MTI     Br.   </t>
  </si>
  <si>
    <t xml:space="preserve">0008322817  141R-GY5G126-BAG    10000KG   22028666    (200547777)  MTO      </t>
  </si>
  <si>
    <t xml:space="preserve">0008627474  420-BK1066-BAG    10100KG   22021633    (200580521)  MTO      </t>
  </si>
  <si>
    <t xml:space="preserve">  C1200HF-RD3G073-BAG    20000KG   22029056    (97351049)  MTI     Br.   </t>
  </si>
  <si>
    <t xml:space="preserve">0008357057  241S-WH9G203-BAG    20000KG   22031084    (200551388)  MTO     Br.   </t>
  </si>
  <si>
    <t xml:space="preserve">0008370741  CY8630-701-BAG    20000KG   22089617    (200553321)  MTO      </t>
  </si>
  <si>
    <t xml:space="preserve">  C1200HF-RD3G073-BAG    20248KG   22029056    (98568281)  MTI     Br.   </t>
  </si>
  <si>
    <t xml:space="preserve">  C1200HF-RD3G073-BAG    20248KG   22029056    (98568282)  MTI     Br.   </t>
  </si>
  <si>
    <t xml:space="preserve">  420-BK1066-BAG    10000KG   22021633    (200496009)  MTO      </t>
  </si>
  <si>
    <t xml:space="preserve">  143R-WH8G674-BAG    20399.999KG   22088923    (200531850)  MTO      </t>
  </si>
  <si>
    <t xml:space="preserve">  420-1001-BAG    10000KG   22021631    (200496006)  MTO      </t>
  </si>
  <si>
    <t xml:space="preserve">  CY8630-701-BAG    20000KG   22089617    (200553404)  MTO      </t>
  </si>
  <si>
    <t xml:space="preserve">  420-BK1066-BAG    10000KG   22021633    (200496045)  MTO      </t>
  </si>
  <si>
    <t xml:space="preserve">  508-BK1066-BAG    20000KG   22021921    (200544218)  MTO      </t>
  </si>
  <si>
    <t xml:space="preserve">  420-1001-BAG    3000KG   22021631    (200542108)  MTO      </t>
  </si>
  <si>
    <t xml:space="preserve">0008607668  357-BK1066-BAG    20278KG   22017581    (200577826)  MTI     Br.   </t>
  </si>
  <si>
    <t xml:space="preserve">0008491906  357U-BK1066-BAG    9847.5KG   22021779    (200562756)  MTO     Br.   </t>
  </si>
  <si>
    <t xml:space="preserve">0008599126  DR48-BK1066-BAG    20200KG   22017721    (200576438)  MTI     Br.   </t>
  </si>
  <si>
    <t xml:space="preserve">0008375944  553-BK1066-BAG    5050KG   22017303    (200554826)  MTO     Br.   </t>
  </si>
  <si>
    <t xml:space="preserve">0008599129  3412ECR-739-BAG    10100KG   22017144    (200576511)  MTI      </t>
  </si>
  <si>
    <t xml:space="preserve">0008525423  CX7240-BK1D797-BAG    5000KG   22032078    (200566163)  MTO      </t>
  </si>
  <si>
    <t xml:space="preserve">0008236492  HRA222-BK1A021-BAG    4000KG   22032595    (200535905)  MTO     Br.   </t>
  </si>
  <si>
    <t xml:space="preserve">0008599130  C2950-701-BAG    20200KG   22022271    (200576439)  MTI      </t>
  </si>
  <si>
    <t xml:space="preserve">0008607665  C2950-701-BAG    20200KG   22022271    (200577827)  MTI      </t>
  </si>
  <si>
    <t xml:space="preserve">  3412ECR-739-BAG    20200KG   22017144    (97756321)  MTI      </t>
  </si>
  <si>
    <t xml:space="preserve">0008322471  C6200-GY2E474-BAG    20241.999KG   22030099    (200547782)  MTO     Br.   </t>
  </si>
  <si>
    <t xml:space="preserve">  3412ECR-739-BAG    20000KG   22017144    (97082342)  MTI      </t>
  </si>
  <si>
    <t xml:space="preserve">0008617069  C2950-701-BAG    10100KG   22022271    (200578958)  MTI      </t>
  </si>
  <si>
    <t xml:space="preserve">  C2950-701-BAG    20200KG   22022271    (95996169)  MTI      </t>
  </si>
  <si>
    <t xml:space="preserve">0008349446  C2950-7T1D300-BAG    20000KG   22039488    (200550024)  MTO      </t>
  </si>
  <si>
    <t xml:space="preserve">0008357398  945-GY2E572-BAG    5000KG   22034256    (200551527)  MTO      </t>
  </si>
  <si>
    <t xml:space="preserve">0008403130  925-7T2D216-BAG    5000KG   22031289    (200558238)  MTO     Br.   </t>
  </si>
  <si>
    <t xml:space="preserve">0007622307  CY8630-701-BAG    5000KG   22089617    (200498204)  MTO      </t>
  </si>
  <si>
    <t xml:space="preserve">0008615334  3706-BK1066-BAG    20252KG   22018177    (200578846)  MTO     Br.   </t>
  </si>
  <si>
    <t xml:space="preserve">  945-GY2E572-BAG    5000KG   22034256    (200551452)  MTO      </t>
  </si>
  <si>
    <t xml:space="preserve">0008357429  EF004XXP-7A2A3913-BAG    12000KG   22106119    (200551494)  MTO      </t>
  </si>
  <si>
    <t xml:space="preserve">0008469020  CX7211-BK1005-BAG    20000KG   22022719    (200561311)  MTO      </t>
  </si>
  <si>
    <t xml:space="preserve">0008399466  EF004XXP-7A2A3913-BAG    14704.45KG   22106119    (200558023)  MTO      </t>
  </si>
  <si>
    <t xml:space="preserve">0008580898  EF004XXP-7A2A3913-BAG    9126.9KG   22106119    (200574754)  MTO      </t>
  </si>
  <si>
    <t xml:space="preserve">0008609627  EF004XXP-7A2A3913-BAG    5729.665KG   22106119    (200578015)  MTO      </t>
  </si>
  <si>
    <t xml:space="preserve">0008538167  EF004XXP-7A2A3913-BAG    12169.201KG   22106119    (200568658)  MTO      </t>
  </si>
  <si>
    <t xml:space="preserve">0008623064  EF004XXP-7A2A3913-BAG    6946.585KG   22106119    (200579649)  MTO      </t>
  </si>
  <si>
    <t xml:space="preserve">  945-701-BAG    10000KG   22019581    (94510312)  MTI      </t>
  </si>
  <si>
    <t xml:space="preserve">0008598442  EXL1414T-7A1D040-BAG    4040KG   22039729    (200576397)  MTO      </t>
  </si>
  <si>
    <t xml:space="preserve">  3412ECR-739-BAG    20000KG   22017144    (97351796)  MTI      </t>
  </si>
  <si>
    <t xml:space="preserve">0008469000  CX7211-BK1005-BAG    20000KG   22022719    (200561039)  MTO      </t>
  </si>
  <si>
    <t xml:space="preserve">  945-701-BAG    10000KG   22019581    (94510313)  MTI      </t>
  </si>
  <si>
    <t xml:space="preserve">  3412ECR-739-BAG    20000KG   22017144    (97351799)  MTI      </t>
  </si>
  <si>
    <t xml:space="preserve">  C2950-701-BAG    25000KG   22022271    (97368151)  MTI      </t>
  </si>
  <si>
    <t xml:space="preserve">  3412ECR-739-BAG    20000KG   22017144    (97351798)  MTI      </t>
  </si>
  <si>
    <t xml:space="preserve">  C2950-701-BAG    20000KG   22022271    (97368150)  MTI      </t>
  </si>
  <si>
    <t xml:space="preserve">  CX7211-BK1005-BAG    5085KG   22022719    (200576604)  MTO      </t>
  </si>
  <si>
    <t xml:space="preserve">0008607669  141R-GY6A427-BAG    10100KG   22030748    (200577810)  MTI      </t>
  </si>
  <si>
    <t xml:space="preserve">0008532090  FXD171R-WH6E057X-BAG    5100KG   22032291    (200567226)  MTO      </t>
  </si>
  <si>
    <t xml:space="preserve">0008358953  143R-111-BAG    18937.5KG   22021389    (200551657)  MTO      </t>
  </si>
  <si>
    <t xml:space="preserve">0007576811  141R-111-BAG    9090KG   22018087    (200494321)  MTO      </t>
  </si>
  <si>
    <t xml:space="preserve">0007574222  144R-111FC-BAG    10000KG   22021418    (200494106)  MTO      </t>
  </si>
  <si>
    <t xml:space="preserve">0008267931  241R-111-BAG    10000KG   22019277    (200538642)  MTO      </t>
  </si>
  <si>
    <t xml:space="preserve">0007574255  241R-111-BAG    10000KG   22019277    (200494095)  MTO      </t>
  </si>
  <si>
    <t xml:space="preserve">0008490899  241R-111-BAG    10000KG   22019277    (200562639)  MTO      </t>
  </si>
  <si>
    <t xml:space="preserve">0008583164  143R-111-BAG    10100KG   22021389    (200574998)  MTO      </t>
  </si>
  <si>
    <t xml:space="preserve">0007574105  141R-111-BAG    10000KG   22018087    (200494074)  MTO      </t>
  </si>
  <si>
    <t xml:space="preserve">0008554229  144R-111FC-BAG    10200KG   22021418    (200570972)  MTO      </t>
  </si>
  <si>
    <t xml:space="preserve">0007632001  HF1130-111-BAG    20000KG   22023563    (200499057)  MTO      </t>
  </si>
  <si>
    <t xml:space="preserve">0008419721  HF1130-111-BAG    20000KG   22023563    (200559316)  MTO      </t>
  </si>
  <si>
    <t xml:space="preserve">0008533151  241R-111-BAG    10000KG   22019277    (200567421)  MTO      </t>
  </si>
  <si>
    <t xml:space="preserve">0008551143  123R-WH5E042X-BAG    5099KG   22029559    (200570665)  MTO     Br.   </t>
  </si>
  <si>
    <t xml:space="preserve">0008228006  143R-GY8G467X-BAG    10000KG   22043850    (200533479)  MTO      </t>
  </si>
  <si>
    <t xml:space="preserve">0008357048  241S-WH9G203-BAG    20000KG   22031084    (200551387)  MTO     Br.   </t>
  </si>
  <si>
    <t xml:space="preserve">0008601603  101R-111-BAG    10200KG   22027971    (200576824)  MTO      </t>
  </si>
  <si>
    <t xml:space="preserve">0007574225  144R-111FC-BAG    10000KG   22021418    (200494107)  MTO      </t>
  </si>
  <si>
    <t xml:space="preserve">0007574191  143R-111-BAG    10000KG   22021389    (200494125)  MTO      </t>
  </si>
  <si>
    <t xml:space="preserve">0008118880  121R-WH3A022X-BAG    10000KG   22021271    (200529033)  MTO     Br.   </t>
  </si>
  <si>
    <t xml:space="preserve">  141R-GY6A427-BAG    20000KG   22030748    (97375708)  MTI      </t>
  </si>
  <si>
    <t xml:space="preserve">0008552021  LS2-6162-BAG    10100KG   22018730    (200570777)  MTO     Br.   </t>
  </si>
  <si>
    <t xml:space="preserve">0008578396  241R-111-BAG    20200KG   22019277    (200574655)  MTO      </t>
  </si>
  <si>
    <t xml:space="preserve">  141R-GY6A427-BAG    20000KG   22030748    (97375710)  MTI      </t>
  </si>
  <si>
    <t xml:space="preserve">  141R-GY6A427-BAG    10000KG   22030748    (97375709)  MTI      </t>
  </si>
  <si>
    <t xml:space="preserve">0007574055  121R-111-BAG    10000KG   22019125    (200494073)  MTO      </t>
  </si>
  <si>
    <t xml:space="preserve">0008552027  LS2-6162-BAG    10100KG   22018730    (200570810)  MTO     Br.   </t>
  </si>
  <si>
    <t xml:space="preserve">  141R-GY6A427-BAG    20000KG   22030748    (97375704)  MTI      </t>
  </si>
  <si>
    <t xml:space="preserve">0008441922  143R-111-BAG    5000KG   22021389    (200560212)  MTO      </t>
  </si>
  <si>
    <t xml:space="preserve">  141R-GY6A427-BAG    20000KG   22030748    (97375702)  MTI      </t>
  </si>
  <si>
    <t xml:space="preserve">  141R-GY6A427-BAG    20000KG   22030748    (97375703)  MTI      </t>
  </si>
  <si>
    <t xml:space="preserve">  LS2-6162-BAG    5355.753KG   22018730    (200577878)  MTO     Br.   </t>
  </si>
  <si>
    <t xml:space="preserve">  LS2-4158-BAG    5000KG   22020459    (200498073)  MTO      </t>
  </si>
  <si>
    <t xml:space="preserve">  LS2-RD4B057T-BAG    20000KG   22036922    (200498097)  MTO      </t>
  </si>
  <si>
    <t xml:space="preserve">  141R-111-BAG    10000KG   22018087    (200494021)  MTO      </t>
  </si>
  <si>
    <t xml:space="preserve">  121R-111-BAG    10000KG   22019125    (200507105)  MTO      </t>
  </si>
  <si>
    <t xml:space="preserve">  141R-GY6A427-BAG    20000KG   22030748    (97375705)  MTI      </t>
  </si>
  <si>
    <t xml:space="preserve">  241R-111-BAG    10000KG   22019277    (200506650)  MTO      </t>
  </si>
  <si>
    <t xml:space="preserve">  LS2-4158-BAG    5000KG   22020459    (200498096)  MTO      </t>
  </si>
  <si>
    <t xml:space="preserve">  141R-GY6A427-BAG    10100KG   22030748    (97375707)  MTI      </t>
  </si>
  <si>
    <t xml:space="preserve">  141R-111-BAG    10000KG   22018087    (200494122)  MTO      </t>
  </si>
  <si>
    <t xml:space="preserve">  121R-111-BAG    10000KG   22019125    (200507106)  MTO      </t>
  </si>
  <si>
    <t xml:space="preserve">  LS2-RD4B057T-BAG    20000KG   22036922    (200498098)  MTO      </t>
  </si>
  <si>
    <t xml:space="preserve">0007817569  505RU-7T1D073-BAG    5077KG   22031251    (200516891)  MTO      </t>
  </si>
  <si>
    <t xml:space="preserve">0008403216  505RU-GY2E539-BAG    5077KG   22031253    (200558308)  MTO      </t>
  </si>
  <si>
    <t xml:space="preserve">0008372100  500R-73234-BAG    10124KG   22038722    (200553731)  MTO     Br.   </t>
  </si>
  <si>
    <t xml:space="preserve">0008536108  943A-GY3D549-BAG    5050KG   22028454    (200568284)  MTO     Br.   </t>
  </si>
  <si>
    <t xml:space="preserve">0007566757  123R-GY2G415-BAG    10000KG   22043778    (200493234)  MTO      </t>
  </si>
  <si>
    <t xml:space="preserve">0008599103  945-701-BAG    10170KG   22019581    (200576476)  MTI      </t>
  </si>
  <si>
    <t xml:space="preserve">0008347449  C1200HF-GY6G152-BAG    5063.5KG   22034465    (200549468)  MTO      </t>
  </si>
  <si>
    <t xml:space="preserve">0008563358  C6600-GY9D094-BAG    20200KG   22030161    (200572924)  MTO      </t>
  </si>
  <si>
    <t xml:space="preserve">0008491151  C2950-4T6D005-BAG    3030KG   22035018    (200562713)  MTO     Br.   </t>
  </si>
  <si>
    <t xml:space="preserve">0008536054  505RU-4R5D026-BAG    3000KG   22033779    (200568263)  MTO     Br.   </t>
  </si>
  <si>
    <t xml:space="preserve">0008625484  C6600-2B2D008-BAG    5050KG   22039652    (200579867)  MTO      </t>
  </si>
  <si>
    <t xml:space="preserve">0008553963  CX7240-7M1D051-BAG    10162KG   22022725    (200570852)  MTO      </t>
  </si>
  <si>
    <t xml:space="preserve">0008375309  500R-GY6E402-BAG    10000KG   22033751    (200554677)  MTO     Br.   </t>
  </si>
  <si>
    <t xml:space="preserve">0008551198  C6600-BK1B128-BAG    10100KG   22031671    (200570613)  MTO      </t>
  </si>
  <si>
    <t xml:space="preserve">0008233931  500R-RD4A056-BAG    5000KG   22038741    (200535104)  MTO     Br.   </t>
  </si>
  <si>
    <t xml:space="preserve">0008421355  500R-73215-BAG    20000KG   22029835    (200559360)  MTO     Br.   </t>
  </si>
  <si>
    <t xml:space="preserve">0008533679  C6200-GY2E474-BAG    5000KG   22030099    (200567528)  MTO     Br.   </t>
  </si>
  <si>
    <t xml:space="preserve">0008617859  503R-739-BAG    10233KG   22021914    (200579087)  MTO     Br.   </t>
  </si>
  <si>
    <t xml:space="preserve">0008617856  503R-739-BAG    20466.001KG   22021914    (200579086)  MTO     Br.   </t>
  </si>
  <si>
    <t xml:space="preserve">0008608670  3412R-8375-BAG    10162KG   22033617    (200577924)  MTO     Br.   </t>
  </si>
  <si>
    <t xml:space="preserve">0008600127  505RU-739-BAG    3046.2KG   22037995    (200576539)  MTO      </t>
  </si>
  <si>
    <t xml:space="preserve">0008489447  505RU-GY2E539-BAG    10000KG   22031253    (200562457)  MTO      </t>
  </si>
  <si>
    <t xml:space="preserve">0008320516  C2950-YW8295S-BAG    5050KG   22022286    (200547486)  MTO      </t>
  </si>
  <si>
    <t xml:space="preserve">  C2950-701-BAG    20000KG   22022271    (97368147)  MTI      </t>
  </si>
  <si>
    <t xml:space="preserve">0008403228  505RU-GY2E539-BAG    5000KG   22031253    (200558309)  MTO      </t>
  </si>
  <si>
    <t xml:space="preserve">0008526771  CX7240-701-BAG    5000KG   22017351    (200566403)  MTO      </t>
  </si>
  <si>
    <t xml:space="preserve">0008423314  500R-73234-BAG    10000KG   22038722    (200559562)  MTO     Br.   </t>
  </si>
  <si>
    <t xml:space="preserve">0008375339  500R-GY6E402-BAG    10000KG   22033751    (200554724)  MTO     Br.   </t>
  </si>
  <si>
    <t xml:space="preserve">0008571081  505RU-GY2E539-BAG    5077KG   22031253    (200573713)  MTO      </t>
  </si>
  <si>
    <t xml:space="preserve">  C6600-701-BAG    10000KG   22039680    (97353691)  MTI      </t>
  </si>
  <si>
    <t xml:space="preserve">  3412ECR-739-BAG    20000KG   22017144    (95454757)  MTI      </t>
  </si>
  <si>
    <t xml:space="preserve">  C2950-701-BAG    20000KG   22022271    (95996170)  MTI      </t>
  </si>
  <si>
    <t xml:space="preserve">0008625604  C6600-2B2D008-BAG    5050KG   22039652    (200579871)  MTO      </t>
  </si>
  <si>
    <t xml:space="preserve">  C2950-701-BAG    25000KG   22022271    (97368148)  MTI      </t>
  </si>
  <si>
    <t xml:space="preserve">  3412ECR-739-BAG    20000KG   22017144    (97351797)  MTI      </t>
  </si>
  <si>
    <t xml:space="preserve">0008349943  C6200-701-BAG    20000KG   22018354    (200550121)  MTI      </t>
  </si>
  <si>
    <t xml:space="preserve">0008537947  505RU-GY2E539-BAG    3000KG   22031253    (200568575)  MTO      </t>
  </si>
  <si>
    <t xml:space="preserve">  C6600-701-BAG    10000KG   22039680    (97353692)  MTI      </t>
  </si>
  <si>
    <t xml:space="preserve">  C2950-701-BAG    20000KG   22022271    (97368149)  MTI      </t>
  </si>
  <si>
    <t xml:space="preserve">  C6600-701-BAG    10000KG   22039680    (97350981)  MTI      </t>
  </si>
  <si>
    <t xml:space="preserve">  505RU-7T1D073-BAG    5000KG   22031251    (200562479)  MTO      </t>
  </si>
  <si>
    <t xml:space="preserve">  925-GY1G168-BAG    8100KG   22034407    (200528408)  MTO     Br.   </t>
  </si>
  <si>
    <t xml:space="preserve">  C6600-WH9A311-BAG    4000KG   22018379    (200578816)  MTO      </t>
  </si>
  <si>
    <t xml:space="preserve">0008601242  9125-10121-BAG    15183KG   22107000    (200576749)  MTO      </t>
  </si>
  <si>
    <t xml:space="preserve">0008528252  945-7M1D115-BAG    3000KG   22038377    (200566647)  MTO     Br.   </t>
  </si>
  <si>
    <t xml:space="preserve">0008599146  141R-701-BAG    20300KG   22021359    (200576520)  MTI      </t>
  </si>
  <si>
    <t xml:space="preserve">0008627448  141R-701-BAG    20000KG   22021359    (200580647)  MTI      </t>
  </si>
  <si>
    <t xml:space="preserve">  141R-701-BAG    20000KG   22021359    (75337392)  MTI      </t>
  </si>
  <si>
    <t xml:space="preserve">  141R-701-BAG    20000KG   22021359    (83586924)  MTI      </t>
  </si>
  <si>
    <t xml:space="preserve">  141R-701-BAG    20000KG   22021359    (80845712)  MTI      </t>
  </si>
  <si>
    <t xml:space="preserve">0008025692  MC8002-701-BAG    5000KG   22023863    (200526550)  MTO      </t>
  </si>
  <si>
    <t xml:space="preserve">0008551228  945-7M1D115-BAG    5000KG   22038377    (200570670)  MTO     Br.   </t>
  </si>
  <si>
    <t xml:space="preserve">0008563580  945-7M1D115-BAG    3000KG   22038377    (200572860)  MTO     Br.   </t>
  </si>
  <si>
    <t xml:space="preserve">  221R-701-BAG    5050KG   22019254    (98869681)  MTO      </t>
  </si>
  <si>
    <t xml:space="preserve">  141R-701-BAG    20000KG   22021359    (80845714)  MTI      </t>
  </si>
  <si>
    <t xml:space="preserve">  141R-701-BAG    20000KG   22021359    (80845715)  MTI      </t>
  </si>
  <si>
    <t xml:space="preserve">  141R-701-BAG    20000KG   22021359    (75337388)  MTI      </t>
  </si>
  <si>
    <t xml:space="preserve">0008402570  HRA170-BK2G008-BAG    5000KG   22036438    (200558271)  MTO     Br.   </t>
  </si>
  <si>
    <t xml:space="preserve">0007646984  C1200HF-GY4H029-    5000KG   299900552    (200500367)  MTO      </t>
  </si>
  <si>
    <t xml:space="preserve">  C1200HF-RD3G073-BAG    20000KG   22029056    (94716249)  MTI     Br.   </t>
  </si>
  <si>
    <t xml:space="preserve">  C1200HF-RD3G073-BAG    20000KG   22029056    (94716250)  MTI     Br.   </t>
  </si>
  <si>
    <t xml:space="preserve">0008492925  MC8002-701-BAG    5000KG   22023863    (200562885)  MTO      </t>
  </si>
  <si>
    <t xml:space="preserve">0008627555  7530-14600-BAG    10200KG   22033905    (200580655)  MTO      </t>
  </si>
  <si>
    <t xml:space="preserve">0008622989  C2950-7P1D021-BAG    5050KG   22028468    (200579577)  MTO     Br.   </t>
  </si>
  <si>
    <t xml:space="preserve">  141R-701-BAG    20000KG   22021359    (70066339)  MTI      </t>
  </si>
  <si>
    <t xml:space="preserve">  141R-701-BAG    20000KG   22021359    (77255852)  MTI      </t>
  </si>
  <si>
    <t xml:space="preserve">  141R-701-BAG    20000KG   22021359    (77255854)  MTI      </t>
  </si>
  <si>
    <t xml:space="preserve">  141R-701-BAG    20000KG   22021359    (77255853)  MTI      </t>
  </si>
  <si>
    <t xml:space="preserve">  141R-701-BAG    20000KG   22021359    (72974333)  MTI      </t>
  </si>
  <si>
    <t xml:space="preserve">0008627601  5450-13200-BAG    10100KG   22034186    (200580636)  MTO      </t>
  </si>
  <si>
    <t xml:space="preserve">0008625725  945-7M1D115-BAG    5050KG   22038377    (200579878)  MTO     Br.   </t>
  </si>
  <si>
    <t xml:space="preserve">0008349954  C6200-701-BAG    20000KG   22018354    (200550263)  MTI      </t>
  </si>
  <si>
    <t xml:space="preserve">  141R-701-BAG    20000KG   22021359    (75336086)  MTI      </t>
  </si>
  <si>
    <t xml:space="preserve">  141R-701-BAG    20000KG   22021359    (75336093)  MTI      </t>
  </si>
  <si>
    <t xml:space="preserve">  141R-701-BAG    20000KG   22021359    (94716241)  MTI      </t>
  </si>
  <si>
    <t xml:space="preserve">0008349950  C6200-701-BAG    20000KG   22018354    (200550262)  MTI      </t>
  </si>
  <si>
    <t xml:space="preserve">  141R-701-BAG    20000KG   22021359    (94716242)  MTI      </t>
  </si>
  <si>
    <t xml:space="preserve">  141R-701-BAG    20000KG   22021359    (86376346)  MTI      </t>
  </si>
  <si>
    <t xml:space="preserve">0008569228  7530-14600-OCT    30600KG   22098314    (200573605)  MTO      </t>
  </si>
  <si>
    <t xml:space="preserve">  141R-701-BAG    20000KG   22021359    (94716243)  MTI      </t>
  </si>
  <si>
    <t xml:space="preserve">  141R-701-BAG    20000KG   22021359    (94716244)  MTI      </t>
  </si>
  <si>
    <t xml:space="preserve">  141R-701-BAG    20000KG   22021359    (94715499)  MTI      </t>
  </si>
  <si>
    <t xml:space="preserve">  141R-701-BAG    20000KG   22021359    (83539337)  MTI      </t>
  </si>
  <si>
    <t xml:space="preserve">  141R-701-BAG    20000KG   22021359    (94715498)  MTI      </t>
  </si>
  <si>
    <t xml:space="preserve">  141R-701-BAG    20000KG   22021359    (83539338)  MTI      </t>
  </si>
  <si>
    <t xml:space="preserve">  141R-701-BAG    20000KG   22021359    (75336080)  MTI      </t>
  </si>
  <si>
    <t xml:space="preserve">  141R-701-BAG    20000KG   22021359    (94715500)  MTI      </t>
  </si>
  <si>
    <t xml:space="preserve">  141R-701-BAG    20000KG   22021359    (94715501)  MTI      </t>
  </si>
  <si>
    <t xml:space="preserve">  G3220A-10000-BAG    3000KG   22017397    (200563865)  MTO      </t>
  </si>
  <si>
    <t xml:space="preserve">  G3220A-10000-BAG    19000KG   22017397    (200563932)  MTO      </t>
  </si>
  <si>
    <t xml:space="preserve">  G3220A-10000-BAG    20000KG   22017397    (200563905)  MTO      </t>
  </si>
  <si>
    <t xml:space="preserve">  C1200HF-GY4H029-    5000KG   299900552    (200500423)  MTO      </t>
  </si>
  <si>
    <t xml:space="preserve">  7530-14600-OCT    40799.998KG   22098314    (200580683)  MTO      </t>
  </si>
  <si>
    <t xml:space="preserve">  C1200HF-GY6G152-BAG    5067KG   22034465    (200575060)  MTO      </t>
  </si>
  <si>
    <t xml:space="preserve">  141R-701-BAG    20000KG   22021359    (94700215)  MTI      </t>
  </si>
  <si>
    <t xml:space="preserve">  141R-701-BAG    20000KG   22021359    (94700214)  MTI      </t>
  </si>
  <si>
    <t xml:space="preserve">  141R-701-BAG    20000KG   22021359    (94700216)  MTI      </t>
  </si>
  <si>
    <t xml:space="preserve">  141R-701-BAG    20000KG   22021359    (94700217)  MTI      </t>
  </si>
  <si>
    <t xml:space="preserve">  141R-701-BAG    20000KG   22021359    (94700218)  MTI      </t>
  </si>
  <si>
    <t xml:space="preserve">  141R-701-BAG    20000KG   22021359    (94700219)  MTI      </t>
  </si>
  <si>
    <t xml:space="preserve">  141R-701-BAG    20000KG   22021359    (94700223)  MTI      </t>
  </si>
  <si>
    <t xml:space="preserve">  141R-701-BAG    20000KG   22021359    (94700222)  MTI      </t>
  </si>
  <si>
    <t xml:space="preserve">  141R-701-BAG    20000KG   22021359    (94700220)  MTI      </t>
  </si>
  <si>
    <t xml:space="preserve">  141R-701-BAG    20000KG   22021359    (94700221)  MTI      </t>
  </si>
  <si>
    <t xml:space="preserve">  141R-701-BAG    20000KG   22021359    (94700224)  MTI      </t>
  </si>
  <si>
    <t xml:space="preserve">  141R-701-BAG    20000KG   22021359    (94700225)  MTI      </t>
  </si>
  <si>
    <t xml:space="preserve">  G3220A-10000-BAG    19000KG   22017397    (200563840)  MTO      </t>
  </si>
  <si>
    <t xml:space="preserve">  G3220A-10000-BAG    20000KG   22017397    (200563927)  MTO      </t>
  </si>
  <si>
    <t xml:space="preserve">0008536289  357-WH9D216-BAG    20376KG   22028404    (200568323)  MTO     Br.   </t>
  </si>
  <si>
    <t xml:space="preserve">0008306059  325-1001-BAG    10221KG   22026893    (200543539)  MTO      </t>
  </si>
  <si>
    <t xml:space="preserve">0007659141  357U-GY8F076-BAG    17471.135KG   22033942    (200502152)  MTO     Br.   </t>
  </si>
  <si>
    <t xml:space="preserve">0008533372  357-GY7D518-BAG    9398.43KG   22038557    (200567374)  MTO     Br.   </t>
  </si>
  <si>
    <t xml:space="preserve">0008492287  357U-GY7G281-BAG    5000KG   22017146    (200562827)  MTO     Br.   </t>
  </si>
  <si>
    <t xml:space="preserve">0008383653  3706-GY8G367-BAG    18000KG   22033643    (200556919)  MTO     Br.   </t>
  </si>
  <si>
    <t xml:space="preserve">0008300103  V3900WX-WH8E373-BAG    10000KG   22041108    (200542652)  MTO     Br.   </t>
  </si>
  <si>
    <t xml:space="preserve">0008544126  357-GY8D697-BAG    20376KG   22033924    (200569548)  MTO     Br.   </t>
  </si>
  <si>
    <t xml:space="preserve">0008533803  357U-BK1066-BAG    5000KG   22021779    (200567551)  MTO     Br.   </t>
  </si>
  <si>
    <t xml:space="preserve">0008556132  357U-BK1066-BAG    10247KG   22021779    (200571696)  MTO     Br.   </t>
  </si>
  <si>
    <t xml:space="preserve">0008533650  553-BK1066-BAG    10000KG   22017303    (200567479)  MTO     Br.   </t>
  </si>
  <si>
    <t xml:space="preserve">  V3900WX-BK1066-BAG    5129KG   22024815    (95997378)  MTI     Br.   </t>
  </si>
  <si>
    <t xml:space="preserve">0008533516  1731-BK1066-BAG    5061.5KG   22021432    (200567431)  MTO      </t>
  </si>
  <si>
    <t xml:space="preserve">0008532245  357-1001-BAG    20388KG   22019323    (200567197)  MTI     Br.   </t>
  </si>
  <si>
    <t xml:space="preserve">0008551377  553-BK1066-BAG    5123.5KG   22017303    (200570693)  MTO     Br.   </t>
  </si>
  <si>
    <t xml:space="preserve">0008544953  553U-GY3G129-BAG    4000KG   22031164    (200569637)  MTO     Br.   </t>
  </si>
  <si>
    <t xml:space="preserve">0008474777  364-WH7D376-BAG    5000KG   22038589    (200561605)  MTO     Br.   </t>
  </si>
  <si>
    <t xml:space="preserve">0008299593  325FC-1001-BAG    20506.336KG   22037852    (200542607)  MTO      </t>
  </si>
  <si>
    <t xml:space="preserve">0008563586  325-1001-BAG    5110.5KG   22026893    (200572877)  MTO      </t>
  </si>
  <si>
    <t xml:space="preserve">0008562927  V3900WX-YW6E071-BAG    5129KG   22037260    (200572797)  MTO     Br.   </t>
  </si>
  <si>
    <t xml:space="preserve">0008415147  V4860HR-1001-BAG    5000KG   22037263    (200558840)  MTO     Br.   </t>
  </si>
  <si>
    <t xml:space="preserve">0008351531  855-1001-BAG    3000KG   22019477    (200550428)  MTO     Br.   </t>
  </si>
  <si>
    <t xml:space="preserve">0008523931  357U-GY8F076-BAG    20000KG   22033942    (200565895)  MTO     Br.   </t>
  </si>
  <si>
    <t xml:space="preserve">0008371280  4521-8244-BAG    6000KG   22018193    (200553544)  MTO     Br.   </t>
  </si>
  <si>
    <t xml:space="preserve">0008533487  V3900WX-GY8H043-BAG    13500KG   22084142    (200567459)  MTO     Br.   </t>
  </si>
  <si>
    <t xml:space="preserve">0008299583  V4860HR-BK1066-BAG    5050KG   22024826    (200542606)  MTO     Br.   </t>
  </si>
  <si>
    <t xml:space="preserve">0008471079  V3900WX-GY8H043-BAG    10000KG   22084142    (200561342)  MTO     Br.   </t>
  </si>
  <si>
    <t xml:space="preserve">  DR48-BK1066-BAG    5062.5KG   22017721    (87586011)  MTI     Br.   </t>
  </si>
  <si>
    <t xml:space="preserve">0008415139  V4860HR-BK1066-BAG    5000KG   22024826    (200558839)  MTO     Br.   </t>
  </si>
  <si>
    <t xml:space="preserve">0008625431  310SE0-GY8G068-BAG    3058.2KG   22044762    (200579828)  MTO     Br.   </t>
  </si>
  <si>
    <t xml:space="preserve">0008624816  553-BK1066-BAG    5123.5KG   22017303    (200579783)  MTO     Br.   </t>
  </si>
  <si>
    <t xml:space="preserve">0007301723  357-BK1066-BAG    20376KG   22017581    (200468016)  MTI     Br.   </t>
  </si>
  <si>
    <t xml:space="preserve">  DR48-BK1066-BAG    10125KG   22017721    (97776458)  MTI     Br.   </t>
  </si>
  <si>
    <t xml:space="preserve">0008533546  364-WH8G708-BAG    5350KG   22028630    (200567432)  MTO     Br.   </t>
  </si>
  <si>
    <t xml:space="preserve">0008556239  310SE0-7001-BAG    4077.6KG   22031109    (200571680)  MTO     Br.   </t>
  </si>
  <si>
    <t xml:space="preserve">  357-BK1066-BAG    20000KG   22017581    (97353507)  MTI     Br.   </t>
  </si>
  <si>
    <t xml:space="preserve">  DR48-BK1066-BAG    20250KG   22017721    (97695116)  MTI     Br.   </t>
  </si>
  <si>
    <t xml:space="preserve">  357-BK1066-BAG    20376KG   22017581    (98075114)  MTI     Br.   </t>
  </si>
  <si>
    <t xml:space="preserve">  553-1001-BAG    5123.5KG   22019426    (97774440)  MTI     Br.   </t>
  </si>
  <si>
    <t xml:space="preserve">  V3900WX-BK1066-BAG    10258KG   22024815    (98133785)  MTI     Br.   </t>
  </si>
  <si>
    <t xml:space="preserve">  357-BK1066-BAG    20376KG   22017581    (98620957)  MTI     Br.   </t>
  </si>
  <si>
    <t xml:space="preserve">  357U-GY8F076-BAG    20000KG   22033942    (200562844)  MTO     Br.   </t>
  </si>
  <si>
    <t xml:space="preserve">  V3900WX-WH8E373-BAG    10000KG   22041108    (200556149)  MTO     Br.   </t>
  </si>
  <si>
    <t xml:space="preserve">  V3900WX-GY8E431-BAG    5129KG   22020960    (200572837)  MTO     Br.   </t>
  </si>
  <si>
    <t xml:space="preserve">  553-1001-BAG    5123.5KG   22019426    (97774441)  MTI     Br.   </t>
  </si>
  <si>
    <t xml:space="preserve">  V3900WX-BK1066-BAG    5129KG   22024815    (98642226)  MTI     Br.   </t>
  </si>
  <si>
    <t xml:space="preserve">  553-1001-BAG    7172.9KG   22019426    (97744169)  MTI     Br.   </t>
  </si>
  <si>
    <t xml:space="preserve">  V3900WX-BK1066-BAG    5129KG   22024815    (98642227)  MTI     Br.   </t>
  </si>
  <si>
    <t xml:space="preserve">  V3900WX-BK1066-BAG    5129KG   22024815    (98642228)  MTI     Br.   </t>
  </si>
  <si>
    <t xml:space="preserve">0008312339  ENH2900-8A9D020-BAG    20446KG   22022996    (200545325)  MTO      </t>
  </si>
  <si>
    <t xml:space="preserve">0008525330  ENH2900-8A9D020-BAG    18401.4KG   22022996    (200566092)  MTO      </t>
  </si>
  <si>
    <t xml:space="preserve">0007601086  141R-WH8G792-BAG    5000KG   22033228    (200495959)  MTO      </t>
  </si>
  <si>
    <t xml:space="preserve">0008553692  CX2244ME-111-BAG    519.55KG   22022500    (200570907)  MTO      </t>
  </si>
  <si>
    <t xml:space="preserve">0008440839  ENH2900-7A8D036-BAG    9000KG   22035576    (200560204)  MTO      </t>
  </si>
  <si>
    <t xml:space="preserve">  141R-GY6A427-BAG    10147KG   22030748    (98549297)  MTI      </t>
  </si>
  <si>
    <t xml:space="preserve">0008602058  ENH2900-8A9D020-BAG    18401.401KG   22022996    (200576963)  MTO      </t>
  </si>
  <si>
    <t xml:space="preserve">0008615316  C6600-8R8D063-BAG    1019.1KG   22038883    (200578864)  MTO      </t>
  </si>
  <si>
    <t xml:space="preserve">0007601104  141R-WH8G792-BAG    5000KG   22033228    (200495972)  MTO      </t>
  </si>
  <si>
    <t xml:space="preserve">  ENH2900-8A9D020-BAG    20446.001KG   22022996    (314938872)  MTO      </t>
  </si>
  <si>
    <t xml:space="preserve">0008622852  945-GY6C148-BAG    2072.4KG   22038414    (200579617)  MTO      </t>
  </si>
  <si>
    <t xml:space="preserve">0008622837  C6600E-GY6C240-BAG    2020KG   22035402    (200579645)  MTO      </t>
  </si>
  <si>
    <t xml:space="preserve">0008398243  ENH2900-8A9D020-BAG    1000KG   22022996    (200557945)  MTO      </t>
  </si>
  <si>
    <t xml:space="preserve">0008305669  C6600-WH9A311-BAG    2000KG   22018379    (200543516)  MTO      </t>
  </si>
  <si>
    <t xml:space="preserve">0007601116  141R-WH8G792-BAG    5000KG   22033228    (200495961)  MTO      </t>
  </si>
  <si>
    <t xml:space="preserve">0007601177  143R-WH9G485-BAG    5000KG   22044333    (200496025)  MTO      </t>
  </si>
  <si>
    <t xml:space="preserve">  C6600-WH9A311-BAG    2038.2KG   22018379    (200557304)  MTO      </t>
  </si>
  <si>
    <t xml:space="preserve">0008419126  505RU-7T8D558-BAG    2060.8KG   22031252    (200559230)  MTO      </t>
  </si>
  <si>
    <t xml:space="preserve">0008292713  MC8002-701-BAG    5139.5KG   22023863    (200540790)  MTO      </t>
  </si>
  <si>
    <t xml:space="preserve">0008550667  143R-701-BAG    2045KG   22021393    (200570393)  MTO      </t>
  </si>
  <si>
    <t xml:space="preserve">0008617072  C1200HF-701-BAG    2050KG   22022222    (200579008)  MTI      </t>
  </si>
  <si>
    <t xml:space="preserve">0008551992  C7410-BK1C340-BAG    4068.8KG   22028704    (200570716)  MTO      </t>
  </si>
  <si>
    <t xml:space="preserve">0008365181  C6600-7T6D253-BAG    1000KG   22084473    (200552305)  MTO      </t>
  </si>
  <si>
    <t xml:space="preserve">0008538811  5220U-1001-BAG    10380KG   22017603    (200568789)  MTO      </t>
  </si>
  <si>
    <t xml:space="preserve">0008570176  5220U-WH9G575-BAG    1038KG   22038028    (200573682)  MTO      </t>
  </si>
  <si>
    <t xml:space="preserve">0008601888  5220U-7A1D007-BAG    519KG   22033797    (200576926)  MTO      </t>
  </si>
  <si>
    <t xml:space="preserve">0008533554  C6200-OR3C107-BAG    2000KG   22031763    (200567357)  MTO      </t>
  </si>
  <si>
    <t xml:space="preserve">0008280370  3412ECR-GY2E372-BAG    2000KG   22033602    (200539746)  MTO      </t>
  </si>
  <si>
    <t xml:space="preserve">0008624674  5220U-7A1D383-    7266KG   299900099    (200579766)  MTO      </t>
  </si>
  <si>
    <t xml:space="preserve">0008616655  DR51-BK1066-BAG    2067.2KG   22019890    (200578912)  MTO      </t>
  </si>
  <si>
    <t xml:space="preserve">0008551712  CX7240-BK1D805-BAG    2074.6KG   22035624    (200570737)  MTO      </t>
  </si>
  <si>
    <t xml:space="preserve">0008365137  C6600-7R3D023-BAG    3050KG   22045266    (200552238)  MTO      </t>
  </si>
  <si>
    <t xml:space="preserve">0008563454  C7210A-BK1066-BAG    2020KG   22031940    (200572873)  MTO      </t>
  </si>
  <si>
    <t xml:space="preserve">0008563145  BPL1000-BK1C294-BAG    2700.88KG   22038527    (200572868)  MTO      </t>
  </si>
  <si>
    <t xml:space="preserve">0008581551  EXL1414-WH9G658-BAG    2000KG   22040495    (200574781)  MTO      </t>
  </si>
  <si>
    <t xml:space="preserve">0008569226  C7230P-BK1D616-BAG    2045.6KG   22039052    (200573604)  MTO      </t>
  </si>
  <si>
    <t xml:space="preserve">0008615876  505RU-8A8D114-BAG    1468.32KG   22044799    (200578859)  MTO      </t>
  </si>
  <si>
    <t xml:space="preserve">0008478324  CL100-78211-BAG    2000KG   22028144    (200561866)  MTO      </t>
  </si>
  <si>
    <t xml:space="preserve">0008556652  505RU-7A1D069-BAG    2189.6KG   22033780    (200571776)  MTO      </t>
  </si>
  <si>
    <t xml:space="preserve">0008524764  6620U-BK1066-BAG    1000KG   22033864    (200566030)  MTO      </t>
  </si>
  <si>
    <t xml:space="preserve">0008550669  143R-701-BAG    2045KG   22021393    (200570394)  MTO      </t>
  </si>
  <si>
    <t xml:space="preserve">0008598463  1731-1001-BAG    1058KG   22019215    (200576466)  MTO      </t>
  </si>
  <si>
    <t xml:space="preserve">0008443143  CL100-7001-BAG    10000KG   22039079    (200560326)  MTO      </t>
  </si>
  <si>
    <t xml:space="preserve">0008617501  6620U-1001-BAG    1003.7KG   22021807    (200578999)  MTO      </t>
  </si>
  <si>
    <t xml:space="preserve">0008602040  EXL1414-WH9G658-BAG    2000KG   22040495    (200576901)  MTO      </t>
  </si>
  <si>
    <t xml:space="preserve">0008538006  505RU-7T1D073-BAG    1000KG   22031251    (200568663)  MTO      </t>
  </si>
  <si>
    <t xml:space="preserve">  CL100-7001-BAG    5000KG   22039079    (200499146)  MTO      </t>
  </si>
  <si>
    <t xml:space="preserve">  WFL34-YWNAT-BAG    1000KG   22037724    (200566202)  MTO      </t>
  </si>
  <si>
    <t xml:space="preserve">0008525573  40YM240-10000-OCT    38570KG   22019364    (200566136)  MTO      </t>
  </si>
  <si>
    <t xml:space="preserve">0008525629  40YM240-10000-OCT    38570KG   22019364    (200566184)  MTO      </t>
  </si>
  <si>
    <t xml:space="preserve">0008617512  40YM240-10000-OCT    19163.2KG   22019364    (200578940)  MTO      </t>
  </si>
  <si>
    <t xml:space="preserve">0008617062  60YM241-10000-OCT    40600KG   22088738    (200578917)  MTI      </t>
  </si>
  <si>
    <t xml:space="preserve">0008627454  60YM241-10000-OCT    45674.999KG   22088738    (200580673)  MTI      </t>
  </si>
  <si>
    <t xml:space="preserve">0008627452  30YM241-10000-OCT    44659.999KG   22088928    (200580649)  MTI      </t>
  </si>
  <si>
    <t xml:space="preserve">  30YM241-10000-OCT    44659.999KG   22088928    (97889264)  MTI      </t>
  </si>
  <si>
    <t xml:space="preserve">  30YM241-10000-OCT    44659.999KG   22088928    (97889265)  MTI      </t>
  </si>
  <si>
    <t xml:space="preserve">  30YM241-10000-OCT    44659.999KG   22088928    (97889266)  MTI      </t>
  </si>
  <si>
    <t xml:space="preserve">  30YM241-10000-OCT    44659.999KG   22088928    (97889267)  MTI      </t>
  </si>
  <si>
    <t xml:space="preserve">0008599105  30YK270E-10000-OCT    30449.999KG   22064716    (200576562)  MTI      </t>
  </si>
  <si>
    <t xml:space="preserve">0008599114  30YK270E-10000-OCT    60899.998KG   22064716    (200576564)  MTI      </t>
  </si>
  <si>
    <t xml:space="preserve">0008599102  20YK270E-10000-OCT    30449.999KG   22064297    (200576512)  MTI      </t>
  </si>
  <si>
    <t xml:space="preserve">  GFN20-701-BAG    10140KG   22095416    (97792775)  MTI      </t>
    <phoneticPr fontId="6" type="noConversion"/>
  </si>
  <si>
    <t xml:space="preserve">  PCN2910-BK1D694-BAG    20000KG   22030621    (97083828)  MTI      </t>
    <phoneticPr fontId="6" type="noConversion"/>
  </si>
  <si>
    <t xml:space="preserve">  GFN20-701-BAG    10140KG   22095416    (97793105)  MTI      </t>
    <phoneticPr fontId="6" type="noConversion"/>
  </si>
  <si>
    <t xml:space="preserve">  PCN2910-BK1D694-BAG    20280KG   22030621    (97776874)  MTI      </t>
    <phoneticPr fontId="6" type="noConversion"/>
  </si>
  <si>
    <t xml:space="preserve">  SE1GFN1-701-BAG    20000KG   22024908    (200431428)  MTO      </t>
    <phoneticPr fontId="6" type="noConversion"/>
  </si>
  <si>
    <t xml:space="preserve">  PCN2910-BK1D694-BAG    20280KG   22030621    (98075108)  MTI      </t>
    <phoneticPr fontId="6" type="noConversion"/>
  </si>
  <si>
    <t xml:space="preserve">  HM4025H-7A1D372-BAG    10140KG   22098482    (200571751)        </t>
    <phoneticPr fontId="6" type="noConversion"/>
  </si>
  <si>
    <t xml:space="preserve">  HM3020H-75001-BAG    15000KG   22036424    (200548439)  MTO      </t>
    <phoneticPr fontId="6" type="noConversion"/>
  </si>
  <si>
    <t xml:space="preserve">  PCN2910-BK1D694-BAG    20280KG   22030621    (98624567)  MTI      </t>
    <phoneticPr fontId="6" type="noConversion"/>
  </si>
  <si>
    <t xml:space="preserve">  V0150B-701-BAG    10140KG   22017123    (98624569)  MTI      </t>
    <phoneticPr fontId="6" type="noConversion"/>
  </si>
  <si>
    <t xml:space="preserve">  PCN2910-BK1D694-BAG    20280KG   22030621    (98628116)  MTI      </t>
    <phoneticPr fontId="6" type="noConversion"/>
  </si>
  <si>
    <t xml:space="preserve">  SE1GFN1-701-BAG    10000KG   22024908    (200431356)  MTO      </t>
    <phoneticPr fontId="6" type="noConversion"/>
  </si>
  <si>
    <t xml:space="preserve">  N300X-701-BAG    20000KG   22018853    (95448250)  MTI      </t>
    <phoneticPr fontId="6" type="noConversion"/>
  </si>
  <si>
    <t xml:space="preserve">0007866744  GFN1F-701S-BAG    10000KG   22066660    (200520284)  MTO      </t>
    <phoneticPr fontId="6" type="noConversion"/>
  </si>
  <si>
    <t xml:space="preserve">  HS2000X-WH8C022-BAG    20512KG   22036470    (97794074)  MTI      </t>
    <phoneticPr fontId="6" type="noConversion"/>
  </si>
  <si>
    <t xml:space="preserve">  SE1X-701-BAG    20494KG   22024919    (97788172)  MTI      </t>
    <phoneticPr fontId="6" type="noConversion"/>
  </si>
  <si>
    <t xml:space="preserve">  N300X-701-BAG    20494KG   22018853    (97792831)  MTI      </t>
    <phoneticPr fontId="6" type="noConversion"/>
  </si>
  <si>
    <t xml:space="preserve">  GFN20F-N780S-BAG    10000KG   22095737    (96000254)  MTI      </t>
    <phoneticPr fontId="6" type="noConversion"/>
  </si>
  <si>
    <t xml:space="preserve">0008607576  PX9406P-7T1D232-BAG    10247KG   22028387    (200577808)  MTO      </t>
    <phoneticPr fontId="6" type="noConversion"/>
  </si>
  <si>
    <t xml:space="preserve">  N300X-701-BAG    20494KG   22018853    (97793887)  MTI      </t>
    <phoneticPr fontId="6" type="noConversion"/>
  </si>
  <si>
    <t xml:space="preserve">  GFN20F-N780S-BAG    10247KG   22095737    (97792123)  MTI      </t>
    <phoneticPr fontId="6" type="noConversion"/>
  </si>
  <si>
    <t xml:space="preserve">  GFN20F-701S-BAG    10247KG   22095736    (97969592)  MTI      </t>
    <phoneticPr fontId="6" type="noConversion"/>
  </si>
  <si>
    <t xml:space="preserve">  N1250-BK1066-BAG    5000KG   22040824    (200545535)  MTI      </t>
    <phoneticPr fontId="6" type="noConversion"/>
  </si>
  <si>
    <t xml:space="preserve">  HS2000X-111-BAG    20512KG   22023605    (98883821)  MTI      </t>
    <phoneticPr fontId="6" type="noConversion"/>
  </si>
  <si>
    <t xml:space="preserve">  N300X-701-BAG    20494KG   22018853    (97793911)  MTI      </t>
    <phoneticPr fontId="6" type="noConversion"/>
  </si>
  <si>
    <t xml:space="preserve">  HS2000X-701-BAG    5128KG   22023606    (98620950)  MTI      </t>
    <phoneticPr fontId="6" type="noConversion"/>
  </si>
  <si>
    <t xml:space="preserve">  GFN30F-701S-BAG    10247KG   22095738    (98132545)  MTI      </t>
    <phoneticPr fontId="6" type="noConversion"/>
  </si>
  <si>
    <t xml:space="preserve">  HS2000X-WH8C022-BAG    20512KG   22036470    (97792771)  MTI      </t>
    <phoneticPr fontId="6" type="noConversion"/>
  </si>
  <si>
    <t xml:space="preserve">  GFN20F-701S-BAG    10247KG   22095736    (98075109)  MTI      </t>
    <phoneticPr fontId="6" type="noConversion"/>
  </si>
  <si>
    <t xml:space="preserve">  N300X-701-BAG    10247KG   22018853    (98634506)  MTI      </t>
    <phoneticPr fontId="6" type="noConversion"/>
  </si>
  <si>
    <t xml:space="preserve">  SE1X-701-BAG    10247KG   22024919    (97788984)  MTI      </t>
    <phoneticPr fontId="6" type="noConversion"/>
  </si>
  <si>
    <t xml:space="preserve">  HS2000X-111-BAG    10256KG   22023605    (98128708)  MTI      </t>
    <phoneticPr fontId="6" type="noConversion"/>
  </si>
  <si>
    <t xml:space="preserve">  HS2000X-WH8C022-BAG    20000KG   22036470    (95999286)  MTI      </t>
    <phoneticPr fontId="6" type="noConversion"/>
  </si>
  <si>
    <t xml:space="preserve">  HS2000X-WH8C022-BAG    20000KG   22036470    (95999287)  MTI      </t>
    <phoneticPr fontId="6" type="noConversion"/>
  </si>
  <si>
    <t xml:space="preserve">  N1250-BK1066-BAG    5000KG   22040824    (200545305)  MTI      </t>
    <phoneticPr fontId="6" type="noConversion"/>
  </si>
  <si>
    <t xml:space="preserve">  N300X-701-BAG    10247KG   22018853    (98128260)  MTI      </t>
    <phoneticPr fontId="6" type="noConversion"/>
  </si>
  <si>
    <t xml:space="preserve">  HS2000X-701-BAG    10000KG   22023606    (95999288)  MTI      </t>
    <phoneticPr fontId="6" type="noConversion"/>
  </si>
  <si>
    <t xml:space="preserve">  GFN1520V-701F-BAG    5123.5KG   22032538    (200573555)  MTO      </t>
    <phoneticPr fontId="6" type="noConversion"/>
  </si>
  <si>
    <t xml:space="preserve">  HS2000X-111-BAG    10256KG   22023605    (98128709)  MTI      </t>
    <phoneticPr fontId="6" type="noConversion"/>
  </si>
  <si>
    <t xml:space="preserve">  N225X-701-BAG    5123.5KG   22024508    (200572751)  MTO      </t>
    <phoneticPr fontId="6" type="noConversion"/>
  </si>
  <si>
    <t xml:space="preserve">  HS2000X-701-BAG    10000KG   22023606    (92845169)  MTI      </t>
    <phoneticPr fontId="6" type="noConversion"/>
  </si>
  <si>
    <t xml:space="preserve">  N300X-701-BAG    20494KG   22018853    (98126583)  MTI      </t>
    <phoneticPr fontId="6" type="noConversion"/>
  </si>
  <si>
    <t xml:space="preserve">  N300X-701-BAG    10247KG   22018853    (98128259)  MTI      </t>
    <phoneticPr fontId="6" type="noConversion"/>
  </si>
  <si>
    <t xml:space="preserve">  GFN20-801-BAG    20000KG   22095158    (200552256)  MTO      </t>
    <phoneticPr fontId="6" type="noConversion"/>
  </si>
  <si>
    <t xml:space="preserve">  GFN20F-701S-BAG    10247KG   22095736    (98637884)  MTI      </t>
    <phoneticPr fontId="6" type="noConversion"/>
  </si>
  <si>
    <t xml:space="preserve">  N1250-BK1066-BAG    5000KG   22040824    (200545603)  MTI      </t>
    <phoneticPr fontId="6" type="noConversion"/>
  </si>
  <si>
    <t xml:space="preserve">  PX9406-780-BAG    10247KG   22020783    (98637554)  MTI      </t>
    <phoneticPr fontId="6" type="noConversion"/>
  </si>
  <si>
    <t xml:space="preserve">  N1250-BK1066-BAG    5000KG   22040824    (200545255)  MTI      </t>
    <phoneticPr fontId="6" type="noConversion"/>
  </si>
  <si>
    <t xml:space="preserve">  N300X-701-BAG    20494KG   22018853    (98634514)  MTI      </t>
    <phoneticPr fontId="6" type="noConversion"/>
  </si>
  <si>
    <t xml:space="preserve">  FNH2160-780-BAG    10256KG   22017766    (200576873)  MTO      </t>
    <phoneticPr fontId="6" type="noConversion"/>
  </si>
  <si>
    <t xml:space="preserve">  GFN1F-701S-BAG    10000KG   22066660    (200559134)  MTO      </t>
    <phoneticPr fontId="6" type="noConversion"/>
  </si>
  <si>
    <t xml:space="preserve">  HS2000X-WH8C022-BAG    20512KG   22036470    (98129933)  MTI      </t>
    <phoneticPr fontId="6" type="noConversion"/>
  </si>
  <si>
    <t xml:space="preserve">  N1250-BK1066-BAG    5000KG   22040824    (200545285)  MTI      </t>
    <phoneticPr fontId="6" type="noConversion"/>
  </si>
  <si>
    <t xml:space="preserve">  HS2000X-111-BAG    20512KG   22023605    (98621485)  MTI      </t>
    <phoneticPr fontId="6" type="noConversion"/>
  </si>
  <si>
    <t xml:space="preserve">  HS2000X-WH8C022-BAG    20512KG   22036470    (98129934)  MTI      </t>
    <phoneticPr fontId="6" type="noConversion"/>
  </si>
  <si>
    <t xml:space="preserve">  N1250-BK1066-BAG    5000KG   22040824    (200545192)  MTI      </t>
    <phoneticPr fontId="6" type="noConversion"/>
  </si>
  <si>
    <t xml:space="preserve">  PX9406-780-BAG    10247KG   22020783    (98636919)  MTI      </t>
    <phoneticPr fontId="6" type="noConversion"/>
  </si>
  <si>
    <t xml:space="preserve">  940A-116-BAG    20388KG   22022020    (97774437)  MTIz     Br.   </t>
    <phoneticPr fontId="6" type="noConversion"/>
  </si>
  <si>
    <t xml:space="preserve">0008615515  C2800-WH9B034-BAG    10194KG   22028890    (200578849)  MTO     Br.   </t>
    <phoneticPr fontId="6" type="noConversion"/>
  </si>
  <si>
    <t xml:space="preserve">  121R-GY8F074-SSS    10000KG   22105472    (92463393)  MTO      </t>
    <phoneticPr fontId="6" type="noConversion"/>
  </si>
  <si>
    <t xml:space="preserve">  945-NC-BAG    20000KG   22022070    (97353918)  MTI      </t>
    <phoneticPr fontId="6" type="noConversion"/>
  </si>
  <si>
    <t xml:space="preserve">  940-GY6123-BAG    10000KG   22019556    (200559298)  MTO     Br.   </t>
    <phoneticPr fontId="6" type="noConversion"/>
  </si>
  <si>
    <t xml:space="preserve">  C6200-111-BAG    10194KG   22019707    (98116825)  MTI      </t>
    <phoneticPr fontId="6" type="noConversion"/>
  </si>
  <si>
    <t xml:space="preserve">  940A-116-BAG    20388KG   22022020    (98620967)  MTIz     Br.   </t>
    <phoneticPr fontId="6" type="noConversion"/>
  </si>
  <si>
    <t xml:space="preserve">  121R-GY8F074-SSS    10000KG   22105472    (92463394)  MTO      </t>
    <phoneticPr fontId="6" type="noConversion"/>
  </si>
  <si>
    <t xml:space="preserve">  945-NC-BAG    20000KG   22022070    (97353919)  MTI      </t>
    <phoneticPr fontId="6" type="noConversion"/>
  </si>
  <si>
    <t xml:space="preserve">  CX2244ME-8T8D280-BAG    4000KG   22088072    (96103090)  MTO     Br.   </t>
    <phoneticPr fontId="6" type="noConversion"/>
  </si>
  <si>
    <t xml:space="preserve">  940-GY6123-BAG    10194KG   22019556    (200576584)  MTO     Br.   </t>
    <phoneticPr fontId="6" type="noConversion"/>
  </si>
  <si>
    <t xml:space="preserve">  CX7240-8N9D079-BAG    20000KG   22031866    (200550086)  MTO      </t>
    <phoneticPr fontId="6" type="noConversion"/>
  </si>
  <si>
    <t xml:space="preserve">  C2950-111-BAG    20000KG   22022267    (97353690)  MTI      </t>
    <phoneticPr fontId="6" type="noConversion"/>
  </si>
  <si>
    <t xml:space="preserve">  CX7240-8N9D079-BAG    20388KG   22031866    (200579596)  MTO      </t>
    <phoneticPr fontId="6" type="noConversion"/>
  </si>
  <si>
    <t xml:space="preserve">  PX9406P-7001-BAG    20000KG   22041318    (97351520)  MTI      </t>
    <phoneticPr fontId="6" type="noConversion"/>
  </si>
  <si>
    <t xml:space="preserve">  PX9406P-7001-BAG    20000KG   22041318    (97352404)  MTI      </t>
    <phoneticPr fontId="6" type="noConversion"/>
  </si>
  <si>
    <t xml:space="preserve">  PX9406P-7001-BAG    20000KG   22041318    (97351521)  MTI      </t>
    <phoneticPr fontId="6" type="noConversion"/>
  </si>
  <si>
    <t xml:space="preserve">  PX9406P-7001-BAG    20000KG   22041318    (97325947)  MTI      </t>
    <phoneticPr fontId="6" type="noConversion"/>
  </si>
  <si>
    <t xml:space="preserve">  PX9406P-7001-BAG    20000KG   22041318    (97325948)  MTI      </t>
    <phoneticPr fontId="6" type="noConversion"/>
  </si>
  <si>
    <t xml:space="preserve">  PX9406P-7001-BAG    20000KG   22041318    (97352590)  MTI      </t>
    <phoneticPr fontId="6" type="noConversion"/>
  </si>
  <si>
    <t xml:space="preserve">  PX1600X-701-BAG    20000KG   22017944    (86323195)  MTI      </t>
    <phoneticPr fontId="6" type="noConversion"/>
  </si>
  <si>
    <t xml:space="preserve">  PX9406P-7001-BAG    20000KG   22041318    (97352405)  MTI      </t>
    <phoneticPr fontId="6" type="noConversion"/>
  </si>
  <si>
    <t xml:space="preserve">  PX9406P-7001-BAG    20000KG   22041318    (97325949)  MTI      </t>
    <phoneticPr fontId="6" type="noConversion"/>
  </si>
  <si>
    <t xml:space="preserve">  PX9406P-7001-BAG    20000KG   22041318    (97352406)  MTI      </t>
    <phoneticPr fontId="6" type="noConversion"/>
  </si>
  <si>
    <t xml:space="preserve">  PX9406P-7001-BAG    20000KG   22041318    (97352407)  MTI      </t>
    <phoneticPr fontId="6" type="noConversion"/>
  </si>
  <si>
    <t xml:space="preserve">  PX9406P-7001-BAG    20000KG   22041318    (97352408)  MTI      </t>
    <phoneticPr fontId="6" type="noConversion"/>
  </si>
  <si>
    <t xml:space="preserve">  SE1X-701-BAG    18171KG   22024919    (97788246)  MTI      </t>
    <phoneticPr fontId="6" type="noConversion"/>
  </si>
  <si>
    <t xml:space="preserve">  PX9406P-7001-BAG    20000KG   22041318    (97352409)  MTI      </t>
    <phoneticPr fontId="6" type="noConversion"/>
  </si>
  <si>
    <t xml:space="preserve">  PX9406P-7001-BAG    20000KG   22041318    (97325950)  MTI      </t>
    <phoneticPr fontId="6" type="noConversion"/>
  </si>
  <si>
    <t xml:space="preserve">  PX9406P-7001-BAG    20000KG   22041318    (97352625)  MTI      </t>
    <phoneticPr fontId="6" type="noConversion"/>
  </si>
  <si>
    <t xml:space="preserve">  PX9406P-7001-BAG    20000KG   22041318    (97350973)  MTI      </t>
    <phoneticPr fontId="6" type="noConversion"/>
  </si>
  <si>
    <t xml:space="preserve">  PX9406P-7001-BAG    20190KG   22041318    (97776873)  MTI      </t>
    <phoneticPr fontId="6" type="noConversion"/>
  </si>
  <si>
    <t xml:space="preserve">  PX1600X-701-BAG    20190KG   22017944    (200559041)  MTI      </t>
    <phoneticPr fontId="6" type="noConversion"/>
  </si>
  <si>
    <t xml:space="preserve">  PX9406P-7001-BAG    20190KG   22041318    (97774444)  MTI      </t>
    <phoneticPr fontId="6" type="noConversion"/>
  </si>
  <si>
    <t xml:space="preserve">  SE1X-701-BAG    20190KG   22024919    (97785525)  MTI      </t>
    <phoneticPr fontId="6" type="noConversion"/>
  </si>
  <si>
    <t xml:space="preserve">  PX9406P-7001-BAG    20190KG   22041318    (97776361)  MTI      </t>
    <phoneticPr fontId="6" type="noConversion"/>
  </si>
  <si>
    <t xml:space="preserve">  PX9406P-7001-BAG    20190KG   22041318    (98624565)  MTI      </t>
    <phoneticPr fontId="6" type="noConversion"/>
  </si>
  <si>
    <t xml:space="preserve">  PX9406P-7001-BAG    20190KG   22041318    (98621453)  MTI      </t>
    <phoneticPr fontId="6" type="noConversion"/>
  </si>
  <si>
    <t xml:space="preserve">  PX9406P-7001-BAG    20190KG   22041318    (98624566)  MTI      </t>
    <phoneticPr fontId="6" type="noConversion"/>
  </si>
  <si>
    <t xml:space="preserve">  SE1X-701-BAG    20190KG   22024919    (97785524)  MTI      </t>
    <phoneticPr fontId="6" type="noConversion"/>
  </si>
  <si>
    <t xml:space="preserve">  PX1600X-701-BAG    20190KG   22017944    (200559102)  MTI      </t>
    <phoneticPr fontId="6" type="noConversion"/>
  </si>
  <si>
    <t xml:space="preserve">  PX1600X-701-BAG    20000KG   22017944    (200530716)  MTI      </t>
    <phoneticPr fontId="6" type="noConversion"/>
  </si>
  <si>
    <t xml:space="preserve">  SE1X-701-BAG    20190KG   22024919    (97789190)  MTI      </t>
    <phoneticPr fontId="6" type="noConversion"/>
  </si>
  <si>
    <t xml:space="preserve">  PX1600X-701-BAG    20000KG   22017944    (200567230)  MTI      </t>
    <phoneticPr fontId="6" type="noConversion"/>
  </si>
  <si>
    <t xml:space="preserve">  SE1X-701-BAG    20000KG   22024919    (96149719)  MTI      </t>
    <phoneticPr fontId="6" type="noConversion"/>
  </si>
  <si>
    <t xml:space="preserve">  SE1X-701-BAG    20190KG   22024919    (98624568)  MTI      </t>
    <phoneticPr fontId="6" type="noConversion"/>
  </si>
  <si>
    <t xml:space="preserve">0008599179  EX130-770-BAG    5209.5KG   22022815    (200576460)  MTO      </t>
    <phoneticPr fontId="6" type="noConversion"/>
  </si>
  <si>
    <t xml:space="preserve">0008556752  FN215X-701-BAG    2134.2KG   22023022    (200571758)  MTO      </t>
    <phoneticPr fontId="6" type="noConversion"/>
  </si>
  <si>
    <t xml:space="preserve">0008532060  SE1GFN1-780-BAG    2000KG   22028063    (200567225)  MTO      </t>
    <phoneticPr fontId="6" type="noConversion"/>
  </si>
  <si>
    <t xml:space="preserve">0008375220  N1250-4N4D011-BAG    5000KG   22037195    (200554705)  MTO      </t>
    <phoneticPr fontId="6" type="noConversion"/>
  </si>
  <si>
    <t xml:space="preserve">0007479401  WCD915-7A1D285-SBG    5000KG   22080571    (200487847)  MTO      </t>
    <phoneticPr fontId="6" type="noConversion"/>
  </si>
  <si>
    <t xml:space="preserve">0008351673  FN215X-111-BAG    6475KG   22028763    (200550354)  MTO      </t>
    <phoneticPr fontId="6" type="noConversion"/>
  </si>
  <si>
    <t xml:space="preserve">  PX2801Z-BK1066-BAG    2083.8KG   22032844    (200571870)  MTO      </t>
    <phoneticPr fontId="6" type="noConversion"/>
  </si>
  <si>
    <t xml:space="preserve">  WCD915-8A7D027-SBG    6000KG   22080572    (200488681)  MTO      </t>
    <phoneticPr fontId="6" type="noConversion"/>
  </si>
  <si>
    <t xml:space="preserve">  HS2000X-GY8D625-BAG    5209.5KG   22020355    (200573621)  MTO      </t>
    <phoneticPr fontId="6" type="noConversion"/>
  </si>
  <si>
    <t xml:space="preserve">  N1050-BL2G084-BAG    5209.5KG   22040815    (93391781)  MTO      </t>
    <phoneticPr fontId="6" type="noConversion"/>
  </si>
  <si>
    <t xml:space="preserve">  NH7010-GN6D122-BAG    520.95KG   22036882    (200577954)  MTO     Br.   </t>
    <phoneticPr fontId="6" type="noConversion"/>
  </si>
  <si>
    <t xml:space="preserve">  731-780-BAG    520.95KG   22021817    (200571905)        </t>
    <phoneticPr fontId="6" type="noConversion"/>
  </si>
  <si>
    <t xml:space="preserve">  WCD801A-BK1066-SBG    1041.9KG   22041364    (200579760)  MTO      </t>
    <phoneticPr fontId="6" type="noConversion"/>
  </si>
  <si>
    <t xml:space="preserve">  7310-701-BAG    2000KG   22095148    (200542757)  MTO      </t>
    <phoneticPr fontId="6" type="noConversion"/>
  </si>
  <si>
    <t xml:space="preserve">  N300-701-BAG    522.85KG   22041234    (200577806)  MTO      </t>
    <phoneticPr fontId="6" type="noConversion"/>
  </si>
  <si>
    <t xml:space="preserve">  N300-701-BAG    500KG   22041234    (200568753)  MTO      </t>
    <phoneticPr fontId="6" type="noConversion"/>
  </si>
  <si>
    <t xml:space="preserve">  GFN20-801-BAG    4000KG   22095158    (200552257)  MTO      </t>
    <phoneticPr fontId="6" type="noConversion"/>
  </si>
  <si>
    <t xml:space="preserve">  NH6020-100-BAG    20000KG   22060061    (200550112)  MTO      </t>
    <phoneticPr fontId="6" type="noConversion"/>
  </si>
  <si>
    <t xml:space="preserve">  NH6020-100-BAG    20000KG   22060061    (200550053)  MTO      </t>
    <phoneticPr fontId="6" type="noConversion"/>
  </si>
  <si>
    <t xml:space="preserve">  NH6020-100-BAG    10000KG   22060061    (200550113)  MTO      </t>
    <phoneticPr fontId="6" type="noConversion"/>
  </si>
  <si>
    <t xml:space="preserve">  NH6020-100-BAG    20000KG   22060061    (200550100)  MTO      </t>
    <phoneticPr fontId="6" type="noConversion"/>
  </si>
  <si>
    <t xml:space="preserve">  IGN5531-71003-SSS    10410KG   22073242    (97081361)  MTO      </t>
    <phoneticPr fontId="6" type="noConversion"/>
  </si>
  <si>
    <t xml:space="preserve">  IGN5531-71003-SSS    10410KG   22073242    (97080825)  MTO      </t>
    <phoneticPr fontId="6" type="noConversion"/>
  </si>
  <si>
    <t xml:space="preserve">  IGN5531-71003-SSS    10410KG   22073242    (97081045)  MTO      </t>
    <phoneticPr fontId="6" type="noConversion"/>
  </si>
  <si>
    <t xml:space="preserve">  IGN5531-71003-SSS    10410KG   22073242    (97082135)  MTO      </t>
    <phoneticPr fontId="6" type="noConversion"/>
  </si>
  <si>
    <t xml:space="preserve">  IGN5531-71003-SSS    10410KG   22073242    (97081046)  MTO      </t>
    <phoneticPr fontId="6" type="noConversion"/>
  </si>
  <si>
    <t xml:space="preserve">  WCA955-111-SBG    3000KG   22080186    (87853874)  MTO      </t>
    <phoneticPr fontId="6" type="noConversion"/>
  </si>
  <si>
    <t xml:space="preserve">  WCD933-5A2D002-SBG    4000KG   22079928    (200447176)  MTO      </t>
    <phoneticPr fontId="6" type="noConversion"/>
  </si>
  <si>
    <t xml:space="preserve">  EX130-770-BAG    5000KG   22022815    (200497085)  MTO      </t>
    <phoneticPr fontId="6" type="noConversion"/>
  </si>
  <si>
    <t xml:space="preserve">  NH7010-GY6G005-BAG    500KG   22024528    (200568767)  MTO      </t>
    <phoneticPr fontId="6" type="noConversion"/>
  </si>
  <si>
    <t xml:space="preserve">  IGN5531-71003-SSS    10410KG   22073242    (97080831)  MTO      </t>
    <phoneticPr fontId="6" type="noConversion"/>
  </si>
  <si>
    <t xml:space="preserve">  IGN5531-71003-SSS    10410KG   22073242    (97080829)  MTO      </t>
    <phoneticPr fontId="6" type="noConversion"/>
  </si>
  <si>
    <t xml:space="preserve">  IGN5531-71003-SSS    10410KG   22073242    (97080827)  MTO      </t>
    <phoneticPr fontId="6" type="noConversion"/>
  </si>
  <si>
    <t xml:space="preserve">  IGN5531-71003-SSS    10410KG   22073242    (97082076)  MTO      </t>
    <phoneticPr fontId="6" type="noConversion"/>
  </si>
  <si>
    <t xml:space="preserve">  IGN5531-71003-SSS    10410KG   22073242    (97080828)  MTO      </t>
    <phoneticPr fontId="6" type="noConversion"/>
  </si>
  <si>
    <t xml:space="preserve">  IGN5531-71003-SSS    10410KG   22073242    (97080830)  MTO      </t>
    <phoneticPr fontId="6" type="noConversion"/>
  </si>
  <si>
    <t xml:space="preserve">0008563429  C6303-BK1066-BAG    26.895KG   22039650    (200572928)  MTO      </t>
    <phoneticPr fontId="6" type="noConversion"/>
  </si>
  <si>
    <t xml:space="preserve">0008228043  HS2000X-6G4A1253-    1000KG   299901425    (200533481)  MTO      </t>
    <phoneticPr fontId="6" type="noConversion"/>
  </si>
  <si>
    <t xml:space="preserve">0008440547  N300-701-BAG    500KG   22041234    (200560140)  MTO      </t>
    <phoneticPr fontId="6" type="noConversion"/>
  </si>
  <si>
    <t xml:space="preserve">  N1050-5G7A4033-    150KG   299904976    (200579839)        </t>
    <phoneticPr fontId="6" type="noConversion"/>
  </si>
  <si>
    <t xml:space="preserve">  Z20001-BK1B694-BAG    100KG   22028656    (200573552)  MTO      </t>
    <phoneticPr fontId="6" type="noConversion"/>
  </si>
  <si>
    <t xml:space="preserve">  1000-BL1B081T-BAG    500KG   22037954    (200549162)  MTO      </t>
    <phoneticPr fontId="6" type="noConversion"/>
  </si>
  <si>
    <t xml:space="preserve">  2310-7301-BAG    5000KG   22017567    (200485078)  MTO      </t>
    <phoneticPr fontId="6" type="noConversion"/>
  </si>
  <si>
    <t xml:space="preserve">  1000-GY2C261-BAG    1000KG   22019057    (200559078)  MTO      </t>
    <phoneticPr fontId="6" type="noConversion"/>
  </si>
  <si>
    <t xml:space="preserve">  1000-BL3122-BAG    1000KG   22033123    (200533469)  MTO      </t>
    <phoneticPr fontId="6" type="noConversion"/>
  </si>
  <si>
    <t xml:space="preserve">  N300X-BR7E123-BAG    500KG   22036871    (200561480)  MTO      </t>
    <phoneticPr fontId="6" type="noConversion"/>
  </si>
  <si>
    <t xml:space="preserve">  1000R-7101-BAG    100KG   22021142    (200569592)  MTO      </t>
    <phoneticPr fontId="6" type="noConversion"/>
  </si>
  <si>
    <t xml:space="preserve">  TPN9221-GY1493T-BAG    10000KG   22037568    (200552317)  MTO      </t>
    <phoneticPr fontId="6" type="noConversion"/>
  </si>
  <si>
    <t xml:space="preserve">  1000R-BR7156-BAG    300KG   22037978    (200551266)  MTO      </t>
    <phoneticPr fontId="6" type="noConversion"/>
  </si>
  <si>
    <t xml:space="preserve">  1000-BL3122-BAG    3227.4KG   22033123    (200579703)  MTO      </t>
    <phoneticPr fontId="6" type="noConversion"/>
  </si>
  <si>
    <t xml:space="preserve">  1000-7101-BAG    100KG   22021106    (200549958)  MTO      </t>
    <phoneticPr fontId="6" type="noConversion"/>
  </si>
  <si>
    <t xml:space="preserve">  4001-7402-BAG    26.895KG   22017590    (200521191)  MTO      </t>
    <phoneticPr fontId="6" type="noConversion"/>
  </si>
  <si>
    <t xml:space="preserve">0008562648  BFL4000U-WH3150-BAG    2114.8KG   22017663    (200572732)  MTO      </t>
    <phoneticPr fontId="6" type="noConversion"/>
  </si>
  <si>
    <t xml:space="preserve">  500R-739-BAG    1000KG   22021700    (98869237)  MTO     Br.   </t>
    <phoneticPr fontId="6" type="noConversion"/>
  </si>
  <si>
    <t xml:space="preserve">0008297828  EXL9414T-NA8E034T-BAG    100KG   22039947    (200542010)  MTO      </t>
    <phoneticPr fontId="6" type="noConversion"/>
  </si>
  <si>
    <t xml:space="preserve">  243R-111-BAG    2000KG   22019283    (200545577)  MTO      </t>
    <phoneticPr fontId="6" type="noConversion"/>
  </si>
  <si>
    <t xml:space="preserve">  143R-71257-BAG    2000KG   22037594    (200495918)  MTO     Br.   </t>
    <phoneticPr fontId="6" type="noConversion"/>
  </si>
  <si>
    <t xml:space="preserve">  FXD121R-NA8G018X-BAG    3000KG   22044315    (200549470)  MTO      </t>
    <phoneticPr fontId="6" type="noConversion"/>
  </si>
  <si>
    <t xml:space="preserve">0008556719  DR48-GY2593-BAG    528.7KG   22035496    (200571833)  MTO     Br.   </t>
    <phoneticPr fontId="6" type="noConversion"/>
  </si>
  <si>
    <t xml:space="preserve">0008321164  357M-BK1066-BAG    500KG   22029685    (200547584)  MTO     Br.   </t>
    <phoneticPr fontId="6" type="noConversion"/>
  </si>
  <si>
    <t xml:space="preserve">0008350010  3706-GY8G367-BAG    1000KG   22033643    (200550287)  MTO     Br.   </t>
    <phoneticPr fontId="6" type="noConversion"/>
  </si>
  <si>
    <t xml:space="preserve">  420-1001-BAG    10610KG   22021631    (315944994)  MTO      </t>
    <phoneticPr fontId="6" type="noConversion"/>
  </si>
  <si>
    <t xml:space="preserve">  FXC630SK-GY5G042M-BAG    26.24KG   22032487    (200572989)  MTO     Br.   </t>
    <phoneticPr fontId="6" type="noConversion"/>
  </si>
  <si>
    <t xml:space="preserve">  FXC630SK-GY5G042M-BAG    26.24KG   22032487    (200573028)  MTO     Br.   </t>
    <phoneticPr fontId="6" type="noConversion"/>
  </si>
  <si>
    <t xml:space="preserve">  FXC630SK-GY5G042M-BAG    26.24KG   22032487    (200573025)  MTO     Br.   </t>
    <phoneticPr fontId="6" type="noConversion"/>
  </si>
  <si>
    <t xml:space="preserve">  FXC630SK-GY5G042M-BAG    78.72KG   22032487    (200572956)  MTO     Br.   </t>
    <phoneticPr fontId="6" type="noConversion"/>
  </si>
  <si>
    <t xml:space="preserve">  420-WH6E281-BAG    5000KG   22031065    (200496046)  MTO     Br.   </t>
    <phoneticPr fontId="6" type="noConversion"/>
  </si>
  <si>
    <t xml:space="preserve">  457-GN4072-BAG    1000KG   22031214    (200553584)  MTO     Br.   </t>
    <phoneticPr fontId="6" type="noConversion"/>
  </si>
  <si>
    <t xml:space="preserve">  553-GY6G326-BAG    500KG   22034195    (200574866)  MTO     Br.   </t>
    <phoneticPr fontId="6" type="noConversion"/>
  </si>
  <si>
    <t xml:space="preserve">  DR48-7001-BAG    1000KG   22027892    (200549070)  MTO     Br.   </t>
    <phoneticPr fontId="6" type="noConversion"/>
  </si>
  <si>
    <t xml:space="preserve">  553U-2R4A1010-    225KG   299901392    (200533483)       Br.   </t>
    <phoneticPr fontId="6" type="noConversion"/>
  </si>
  <si>
    <t xml:space="preserve">  CR7500-BK1041-BAG    2000KG   22019769    (200508789)  MTO     Br.   </t>
    <phoneticPr fontId="6" type="noConversion"/>
  </si>
  <si>
    <t xml:space="preserve">  FXC630SK-GY5G042M-BAG    26.24KG   22032487    (200579060)  MTO     Br.   </t>
    <phoneticPr fontId="6" type="noConversion"/>
  </si>
  <si>
    <t xml:space="preserve">  X4820-YW3D010-BAG    2000KG   22025024    (200554558)  MTO     Br.   </t>
    <phoneticPr fontId="6" type="noConversion"/>
  </si>
  <si>
    <t xml:space="preserve">  553-OR5G078-BAG    2114.8KG   22038042    (200574889)  MTO     Br.   </t>
    <phoneticPr fontId="6" type="noConversion"/>
  </si>
  <si>
    <t xml:space="preserve">  420-1001-BAG    1000KG   22021631    (200547338)  MTO      </t>
    <phoneticPr fontId="6" type="noConversion"/>
  </si>
  <si>
    <t xml:space="preserve">  855-1001-BAG    2000KG   22019477    (200567208)  MTO     Br.   </t>
    <phoneticPr fontId="6" type="noConversion"/>
  </si>
  <si>
    <t xml:space="preserve">  457-GN4072-BAG    1000KG   22031214    (200561550)  MTO     Br.   </t>
    <phoneticPr fontId="6" type="noConversion"/>
  </si>
  <si>
    <t xml:space="preserve">  3414R-739-BAG    2000KG   22021743    (200558756)  MTO     Br.   </t>
    <phoneticPr fontId="6" type="noConversion"/>
  </si>
  <si>
    <t xml:space="preserve">  X4820-YW3D010-BAG    2139.8KG   22025024    (200574859)  MTO     Br.   </t>
    <phoneticPr fontId="6" type="noConversion"/>
  </si>
  <si>
    <t xml:space="preserve">0008607586  C2800-7R4D003-BAG    523.05KG   22028466    (200577842)  MTO      </t>
    <phoneticPr fontId="6" type="noConversion"/>
  </si>
  <si>
    <t xml:space="preserve">0008571096  505RU-YW6E070-BAG    2092.2KG   22031255    (200573678)  MTO     Br.   </t>
    <phoneticPr fontId="6" type="noConversion"/>
  </si>
  <si>
    <t xml:space="preserve">  LS2-7056-BAG    2000KG   22041034    (200560551)  MTO     Br.   </t>
    <phoneticPr fontId="6" type="noConversion"/>
  </si>
  <si>
    <t xml:space="preserve">  C6600-7M3D029-BAG    523.05KG   22031791    (200570787)        </t>
    <phoneticPr fontId="6" type="noConversion"/>
  </si>
  <si>
    <t xml:space="preserve">  C6600-GY5A405-BAG    523.05KG   22038955    (200570773)  MTO     Br.   </t>
    <phoneticPr fontId="6" type="noConversion"/>
  </si>
  <si>
    <t xml:space="preserve">  505RU-WH8E372-BAG    1000KG   22029849    (200541914)  MTO      </t>
    <phoneticPr fontId="6" type="noConversion"/>
  </si>
  <si>
    <t xml:space="preserve">  505RU-WH9F090-BAG    2000KG   22033788    (200517901)  MTO     Br.   </t>
    <phoneticPr fontId="6" type="noConversion"/>
  </si>
  <si>
    <t xml:space="preserve">  505RU-7T8D558-BAG    100KG   22031252    (200537987)  MTO      </t>
    <phoneticPr fontId="6" type="noConversion"/>
  </si>
  <si>
    <t xml:space="preserve">  LF1520A-BK1005-BAG    2092.2KG   22023993    (200572729)  MTO     Br.   </t>
    <phoneticPr fontId="6" type="noConversion"/>
  </si>
  <si>
    <t xml:space="preserve">  500-739-BAG    25KG   22021690    (200568560)  MTO     Br.   </t>
    <phoneticPr fontId="6" type="noConversion"/>
  </si>
  <si>
    <t xml:space="preserve">  500R-RD5D188-BAG    1000KG   22029841    (200561041)  MTO     Br.   </t>
    <phoneticPr fontId="6" type="noConversion"/>
  </si>
  <si>
    <t xml:space="preserve">  505RU-7T8D558-BAG    1000KG   22031252    (200548614)  MTO      </t>
    <phoneticPr fontId="6" type="noConversion"/>
  </si>
  <si>
    <t xml:space="preserve">  505RU-YW6E070-BAG    2000KG   22031255    (200568557)  MTO     Br.   </t>
    <phoneticPr fontId="6" type="noConversion"/>
  </si>
  <si>
    <t xml:space="preserve">  C2950-7P1D021-BAG    5230.5KG   22028468    (200579664)  MTO     Br.   </t>
    <phoneticPr fontId="6" type="noConversion"/>
  </si>
  <si>
    <t xml:space="preserve">  LS2-7056-BAG    2000KG   22041034    (200577881)  MTO     Br.   </t>
    <phoneticPr fontId="6" type="noConversion"/>
  </si>
  <si>
    <t xml:space="preserve">  C6600-7M7D027-BAG    1046.1KG   22022553    (200570784)  MTO     Br.   </t>
    <phoneticPr fontId="6" type="noConversion"/>
  </si>
  <si>
    <t xml:space="preserve">  505RU-WH9F090-BAG    2000KG   22033788    (200542879)  MTO     Br.   </t>
    <phoneticPr fontId="6" type="noConversion"/>
  </si>
  <si>
    <t xml:space="preserve">  505RU-WH8E372-BAG    1000KG   22029849    (200562298)  MTO      </t>
    <phoneticPr fontId="6" type="noConversion"/>
  </si>
  <si>
    <t xml:space="preserve">  123R-701-BAG    1994.814KG   22017535    (200554876)  MTO      </t>
    <phoneticPr fontId="6" type="noConversion"/>
  </si>
  <si>
    <t xml:space="preserve">  505RU-7T8D570-BAG    523.05KG   22037997    (200579771)  MTO      </t>
    <phoneticPr fontId="6" type="noConversion"/>
  </si>
  <si>
    <t xml:space="preserve">0008525474  940A-110-BAG    5000KG   22039132    (200566129)  MTO     Br.   </t>
    <phoneticPr fontId="6" type="noConversion"/>
  </si>
  <si>
    <t xml:space="preserve">  357-1001-BAG    20200KG   22019323    (98128775)  MTI     Br.   </t>
    <phoneticPr fontId="6" type="noConversion"/>
  </si>
  <si>
    <t xml:space="preserve">  C6600-111-BAG    20000KG   22018361    (97350978)  MTI      </t>
    <phoneticPr fontId="6" type="noConversion"/>
  </si>
  <si>
    <t xml:space="preserve">0008322817  141R-GY5G126-BAG    10000KG   22028666    (200547777)  MTO      </t>
    <phoneticPr fontId="6" type="noConversion"/>
  </si>
  <si>
    <t xml:space="preserve">0008627474  420-BK1066-BAG    10100KG   22021633    (200580521)  MTO      </t>
    <phoneticPr fontId="6" type="noConversion"/>
  </si>
  <si>
    <t xml:space="preserve">  C1200HF-RD3G073-BAG    20000KG   22029056    (97351049)  MTI     Br.   </t>
    <phoneticPr fontId="6" type="noConversion"/>
  </si>
  <si>
    <t xml:space="preserve">0008357057  241S-WH9G203-BAG    20000KG   22031084    (200551388)  MTO     Br.   </t>
    <phoneticPr fontId="6" type="noConversion"/>
  </si>
  <si>
    <t xml:space="preserve">0008370741  CY8630-701-BAG    20000KG   22089617    (200553321)  MTO      </t>
    <phoneticPr fontId="6" type="noConversion"/>
  </si>
  <si>
    <t xml:space="preserve">0007622342  1105-78211-BAG    10000KG   22030691    (200498223)  MTO      </t>
    <phoneticPr fontId="6" type="noConversion"/>
  </si>
  <si>
    <t xml:space="preserve">  C1200HF-RD3G073-BAG    20248KG   22029056    (98568281)  MTI     Br.   </t>
    <phoneticPr fontId="6" type="noConversion"/>
  </si>
  <si>
    <t xml:space="preserve">  C1200HF-RD3G073-BAG    20248KG   22029056    (98568282)  MTI     Br.   </t>
    <phoneticPr fontId="6" type="noConversion"/>
  </si>
  <si>
    <t xml:space="preserve">  420-BK1066-BAG    10000KG   22021633    (200496030)  MTO      </t>
    <phoneticPr fontId="6" type="noConversion"/>
  </si>
  <si>
    <t xml:space="preserve">  C1200HF-GY6G152-BAG    5000KG   22034465    (200549469)  MTO      </t>
    <phoneticPr fontId="6" type="noConversion"/>
  </si>
  <si>
    <t xml:space="preserve">  CY8630-701-BAG    20000KG   22089617    (200553402)  MTO      </t>
    <phoneticPr fontId="6" type="noConversion"/>
  </si>
  <si>
    <t xml:space="preserve">  CY8630-701-BAG    20000KG   22089617    (200553403)  MTO      </t>
    <phoneticPr fontId="6" type="noConversion"/>
  </si>
  <si>
    <t xml:space="preserve">  243R-WH4B198-BAG    20000KG   22038486    (200534991)  MTO      </t>
    <phoneticPr fontId="6" type="noConversion"/>
  </si>
  <si>
    <t xml:space="preserve">  508-BK1066-BAG    20000KG   22021921    (200494168)  MTO      </t>
    <phoneticPr fontId="6" type="noConversion"/>
  </si>
  <si>
    <t xml:space="preserve">  420-1001-BAG    3000KG   22021631    (200563947)  MTO      </t>
    <phoneticPr fontId="6" type="noConversion"/>
  </si>
  <si>
    <t xml:space="preserve">  420-1001-BAG    3000KG   22021631    (200542038)  MTO      </t>
    <phoneticPr fontId="6" type="noConversion"/>
  </si>
  <si>
    <t xml:space="preserve">  420-BK1066-BAG    10000KG   22021633    (200496009)  MTO      </t>
    <phoneticPr fontId="6" type="noConversion"/>
  </si>
  <si>
    <t xml:space="preserve">  143R-WH8G674-BAG    20399.999KG   22088923    (200531850)  MTO      </t>
    <phoneticPr fontId="6" type="noConversion"/>
  </si>
  <si>
    <t xml:space="preserve">  420-1001-BAG    10000KG   22021631    (200496006)  MTO      </t>
    <phoneticPr fontId="6" type="noConversion"/>
  </si>
  <si>
    <t xml:space="preserve">  CY8630-701-BAG    20000KG   22089617    (200553404)  MTO      </t>
    <phoneticPr fontId="6" type="noConversion"/>
  </si>
  <si>
    <t xml:space="preserve">  420-BK1066-BAG    10000KG   22021633    (200496045)  MTO      </t>
    <phoneticPr fontId="6" type="noConversion"/>
  </si>
  <si>
    <t xml:space="preserve">  508-BK1066-BAG    20000KG   22021921    (200544218)  MTO      </t>
    <phoneticPr fontId="6" type="noConversion"/>
  </si>
  <si>
    <t xml:space="preserve">  420-1001-BAG    3000KG   22021631    (200542108)  MTO      </t>
    <phoneticPr fontId="6" type="noConversion"/>
  </si>
  <si>
    <t xml:space="preserve">  905-BK1G030-BAG    10000KG   22029773    (200554909)  MTO     Br.   </t>
    <phoneticPr fontId="6" type="noConversion"/>
  </si>
  <si>
    <t xml:space="preserve">  945-GY2E572-BAG    5000KG   22034256    (200551452)  MTO      </t>
    <phoneticPr fontId="6" type="noConversion"/>
  </si>
  <si>
    <t xml:space="preserve">  3412ECR-739-BAG    20000KG   22017144    (97351796)  MTI      </t>
    <phoneticPr fontId="6" type="noConversion"/>
  </si>
  <si>
    <t xml:space="preserve">0008469000  CX7211-BK1005-BAG    20000KG   22022719    (200561039)  MTO      </t>
    <phoneticPr fontId="6" type="noConversion"/>
  </si>
  <si>
    <t xml:space="preserve">  945-701-BAG    10000KG   22019581    (94510313)  MTI      </t>
    <phoneticPr fontId="6" type="noConversion"/>
  </si>
  <si>
    <t xml:space="preserve">  3412ECR-739-BAG    20000KG   22017144    (97351799)  MTI      </t>
    <phoneticPr fontId="6" type="noConversion"/>
  </si>
  <si>
    <t xml:space="preserve">  C2950-701-BAG    25000KG   22022271    (97368151)  MTI      </t>
    <phoneticPr fontId="6" type="noConversion"/>
  </si>
  <si>
    <t xml:space="preserve">  3412ECR-739-BAG    20000KG   22017144    (97351798)  MTI      </t>
    <phoneticPr fontId="6" type="noConversion"/>
  </si>
  <si>
    <t xml:space="preserve">  C2950-701-BAG    20000KG   22022271    (97368150)  MTI      </t>
    <phoneticPr fontId="6" type="noConversion"/>
  </si>
  <si>
    <t xml:space="preserve">  C7210A-BK1066-BAG    5067.5KG   22031940    (200579762)  MTO      </t>
    <phoneticPr fontId="6" type="noConversion"/>
  </si>
  <si>
    <t xml:space="preserve">  CX7211-BK1005-BAG    5085KG   22022719    (200576604)  MTO      </t>
    <phoneticPr fontId="6" type="noConversion"/>
  </si>
  <si>
    <t xml:space="preserve">0008578396  241R-111-BAG    20200KG   22019277    (200574655)  MTO      </t>
    <phoneticPr fontId="6" type="noConversion"/>
  </si>
  <si>
    <t xml:space="preserve">  141R-GY6A427-BAG    20000KG   22030748    (97375710)  MTI      </t>
    <phoneticPr fontId="6" type="noConversion"/>
  </si>
  <si>
    <t xml:space="preserve">  141R-GY6A427-BAG    10000KG   22030748    (97375709)  MTI      </t>
    <phoneticPr fontId="6" type="noConversion"/>
  </si>
  <si>
    <t xml:space="preserve">0007574055  121R-111-BAG    10000KG   22019125    (200494073)  MTO      </t>
    <phoneticPr fontId="6" type="noConversion"/>
  </si>
  <si>
    <t xml:space="preserve">0008552027  LS2-6162-BAG    10100KG   22018730    (200570810)  MTO     Br.   </t>
    <phoneticPr fontId="6" type="noConversion"/>
  </si>
  <si>
    <t xml:space="preserve">  141R-GY6A427-BAG    20000KG   22030748    (97375704)  MTI      </t>
    <phoneticPr fontId="6" type="noConversion"/>
  </si>
  <si>
    <t xml:space="preserve">0008441922  143R-111-BAG    5000KG   22021389    (200560212)  MTO      </t>
    <phoneticPr fontId="6" type="noConversion"/>
  </si>
  <si>
    <t xml:space="preserve">  141R-111-BAG    10000KG   22018087    (200494075)  MTO      </t>
    <phoneticPr fontId="6" type="noConversion"/>
  </si>
  <si>
    <t xml:space="preserve">  121R-111-BAG    15000KG   22019125    (200560234)  MTO      </t>
    <phoneticPr fontId="6" type="noConversion"/>
  </si>
  <si>
    <t xml:space="preserve">  141R-GY6A427-BAG    20000KG   22030748    (97375702)  MTI      </t>
    <phoneticPr fontId="6" type="noConversion"/>
  </si>
  <si>
    <t xml:space="preserve">  141R-GY6A427-BAG    20000KG   22030748    (97375703)  MTI      </t>
    <phoneticPr fontId="6" type="noConversion"/>
  </si>
  <si>
    <t xml:space="preserve">  LS2-6162-BAG    5355.753KG   22018730    (200577878)  MTO     Br.   </t>
    <phoneticPr fontId="6" type="noConversion"/>
  </si>
  <si>
    <t xml:space="preserve">  LS2-4158-BAG    5000KG   22020459    (200498073)  MTO      </t>
    <phoneticPr fontId="6" type="noConversion"/>
  </si>
  <si>
    <t xml:space="preserve">  LS2-RD4B057T-BAG    20000KG   22036922    (200498097)  MTO      </t>
    <phoneticPr fontId="6" type="noConversion"/>
  </si>
  <si>
    <t xml:space="preserve">  141R-111-BAG    10000KG   22018087    (200494021)  MTO      </t>
    <phoneticPr fontId="6" type="noConversion"/>
  </si>
  <si>
    <t xml:space="preserve">  121R-111-BAG    10000KG   22019125    (200507105)  MTO      </t>
    <phoneticPr fontId="6" type="noConversion"/>
  </si>
  <si>
    <t xml:space="preserve">  141R-GY6A427-BAG    20000KG   22030748    (97375705)  MTI      </t>
    <phoneticPr fontId="6" type="noConversion"/>
  </si>
  <si>
    <t xml:space="preserve">  241R-111-BAG    10000KG   22019277    (200506650)  MTO      </t>
    <phoneticPr fontId="6" type="noConversion"/>
  </si>
  <si>
    <t xml:space="preserve">  LS2-4158-BAG    5000KG   22020459    (200498096)  MTO      </t>
    <phoneticPr fontId="6" type="noConversion"/>
  </si>
  <si>
    <t xml:space="preserve">  241S-WH4113-BAG    20000KG   22031083    (94604318)  MTI      </t>
    <phoneticPr fontId="6" type="noConversion"/>
  </si>
  <si>
    <t xml:space="preserve">  241S-WH4113-BAG    20000KG   22031083    (94604319)  MTI      </t>
    <phoneticPr fontId="6" type="noConversion"/>
  </si>
  <si>
    <t xml:space="preserve">  241S-WH4113-BAG    20000KG   22031083    (94604320)  MTI      </t>
    <phoneticPr fontId="6" type="noConversion"/>
  </si>
  <si>
    <t xml:space="preserve">  141R-GY6A427-BAG    10100KG   22030748    (97375707)  MTI      </t>
    <phoneticPr fontId="6" type="noConversion"/>
  </si>
  <si>
    <t xml:space="preserve">  141R-111-BAG    10000KG   22018087    (200494122)  MTO      </t>
    <phoneticPr fontId="6" type="noConversion"/>
  </si>
  <si>
    <t xml:space="preserve">  121R-111-BAG    10000KG   22019125    (200507106)  MTO      </t>
    <phoneticPr fontId="6" type="noConversion"/>
  </si>
  <si>
    <t xml:space="preserve">  LS2-RD4B057T-BAG    20000KG   22036922    (200498098)  MTO      </t>
    <phoneticPr fontId="6" type="noConversion"/>
  </si>
  <si>
    <t xml:space="preserve">  C2950-701-BAG    20000KG   22022271    (95996170)  MTI      </t>
    <phoneticPr fontId="6" type="noConversion"/>
  </si>
  <si>
    <t xml:space="preserve">0008625604  C6600-2B2D008-BAG    5050KG   22039652    (200579871)  MTO      </t>
    <phoneticPr fontId="6" type="noConversion"/>
  </si>
  <si>
    <t xml:space="preserve">  C2950-701-BAG    25000KG   22022271    (97368148)  MTI      </t>
    <phoneticPr fontId="6" type="noConversion"/>
  </si>
  <si>
    <t xml:space="preserve">  3412ECR-739-BAG    20000KG   22017144    (97351797)  MTI      </t>
    <phoneticPr fontId="6" type="noConversion"/>
  </si>
  <si>
    <t xml:space="preserve">0008349943  C6200-701-BAG    20000KG   22018354    (200550121)  MTI      </t>
    <phoneticPr fontId="6" type="noConversion"/>
  </si>
  <si>
    <t xml:space="preserve">0008537947  505RU-GY2E539-BAG    3000KG   22031253    (200568575)  MTO      </t>
    <phoneticPr fontId="6" type="noConversion"/>
  </si>
  <si>
    <t xml:space="preserve">  C6600-701-BAG    10000KG   22039680    (97353692)  MTI      </t>
    <phoneticPr fontId="6" type="noConversion"/>
  </si>
  <si>
    <t xml:space="preserve">  C6600-2B2D008-BAG    5050KG   22039652    (200579915)  MTO      </t>
    <phoneticPr fontId="6" type="noConversion"/>
  </si>
  <si>
    <t xml:space="preserve">  C2950-701-BAG    20000KG   22022271    (97368149)  MTI      </t>
    <phoneticPr fontId="6" type="noConversion"/>
  </si>
  <si>
    <t xml:space="preserve">  C6600-701-BAG    10000KG   22039680    (97350981)  MTI      </t>
    <phoneticPr fontId="6" type="noConversion"/>
  </si>
  <si>
    <t xml:space="preserve">  500R-73231-BAG    5000KG   22031231    (200553729)  MTO     Br.   </t>
    <phoneticPr fontId="6" type="noConversion"/>
  </si>
  <si>
    <t xml:space="preserve">  505RU-7T1D073-BAG    5000KG   22031251    (200562479)  MTO      </t>
    <phoneticPr fontId="6" type="noConversion"/>
  </si>
  <si>
    <t xml:space="preserve">  C6200-OR5B049-BAG    5050KG   22038832    (200576655)  MTO     Br.   </t>
    <phoneticPr fontId="6" type="noConversion"/>
  </si>
  <si>
    <t xml:space="preserve">  C6600-7B1D005-BAG    5000KG   22039683    (200550555)  MTO      </t>
    <phoneticPr fontId="6" type="noConversion"/>
  </si>
  <si>
    <t xml:space="preserve">  925-GY1G168-BAG    8100KG   22034407    (200528408)  MTO     Br.   </t>
    <phoneticPr fontId="6" type="noConversion"/>
  </si>
  <si>
    <t xml:space="preserve">  C6600-WH9A311-BAG    4000KG   22018379    (200578816)  MTO      </t>
    <phoneticPr fontId="6" type="noConversion"/>
  </si>
  <si>
    <t xml:space="preserve">0008625725  945-7M1D115-BAG    5050KG   22038377    (200579878)  MTO     Br.   </t>
    <phoneticPr fontId="6" type="noConversion"/>
  </si>
  <si>
    <t xml:space="preserve">0008349954  C6200-701-BAG    20000KG   22018354    (200550263)  MTI      </t>
    <phoneticPr fontId="6" type="noConversion"/>
  </si>
  <si>
    <t xml:space="preserve">  141R-701-BAG    20000KG   22021359    (75336086)  MTI      </t>
    <phoneticPr fontId="6" type="noConversion"/>
  </si>
  <si>
    <t xml:space="preserve">  141R-701-BAG    20000KG   22021359    (75336093)  MTI      </t>
    <phoneticPr fontId="6" type="noConversion"/>
  </si>
  <si>
    <t xml:space="preserve">  141R-701-BAG    20000KG   22021359    (94716241)  MTI      </t>
    <phoneticPr fontId="6" type="noConversion"/>
  </si>
  <si>
    <t xml:space="preserve">0008349950  C6200-701-BAG    20000KG   22018354    (200550262)  MTI      </t>
    <phoneticPr fontId="6" type="noConversion"/>
  </si>
  <si>
    <t xml:space="preserve">  141R-701-BAG    20000KG   22021359    (94716242)  MTI      </t>
    <phoneticPr fontId="6" type="noConversion"/>
  </si>
  <si>
    <t xml:space="preserve">  141R-701-BAG    20000KG   22021359    (86376346)  MTI      </t>
    <phoneticPr fontId="6" type="noConversion"/>
  </si>
  <si>
    <t xml:space="preserve">0008569228  7530-14600-OCT    30600KG   22098314    (200573605)  MTO      </t>
    <phoneticPr fontId="6" type="noConversion"/>
  </si>
  <si>
    <t xml:space="preserve">  141R-701-BAG    20000KG   22021359    (94716243)  MTI      </t>
    <phoneticPr fontId="6" type="noConversion"/>
  </si>
  <si>
    <t xml:space="preserve">  141R-701-BAG    20000KG   22021359    (94716244)  MTI      </t>
    <phoneticPr fontId="6" type="noConversion"/>
  </si>
  <si>
    <t xml:space="preserve">  MC8002-701-BAG    5050KG   22023863    (200570809)  MTO      </t>
    <phoneticPr fontId="6" type="noConversion"/>
  </si>
  <si>
    <t xml:space="preserve">  141R-701-BAG    20000KG   22021359    (94715499)  MTI      </t>
    <phoneticPr fontId="6" type="noConversion"/>
  </si>
  <si>
    <t xml:space="preserve">  141R-701-BAG    20000KG   22021359    (83539337)  MTI      </t>
    <phoneticPr fontId="6" type="noConversion"/>
  </si>
  <si>
    <t xml:space="preserve">  141R-701-BAG    20000KG   22021359    (94715498)  MTI      </t>
    <phoneticPr fontId="6" type="noConversion"/>
  </si>
  <si>
    <t xml:space="preserve">  141R-701-BAG    20000KG   22021359    (83539338)  MTI      </t>
    <phoneticPr fontId="6" type="noConversion"/>
  </si>
  <si>
    <t xml:space="preserve">  141R-701-BAG    20000KG   22021359    (75336080)  MTI      </t>
    <phoneticPr fontId="6" type="noConversion"/>
  </si>
  <si>
    <t xml:space="preserve">  141R-701-BAG    20000KG   22021359    (94715500)  MTI      </t>
    <phoneticPr fontId="6" type="noConversion"/>
  </si>
  <si>
    <t xml:space="preserve">  141R-701-BAG    20000KG   22021359    (94715501)  MTI      </t>
    <phoneticPr fontId="6" type="noConversion"/>
  </si>
  <si>
    <t xml:space="preserve">  G3220A-10000-BAG    19000KG   22017397    (200563931)  MTO      </t>
    <phoneticPr fontId="6" type="noConversion"/>
  </si>
  <si>
    <t xml:space="preserve">  7530-14600-OCT    30599.999KG   22098314    (200580632)  MTO      </t>
    <phoneticPr fontId="6" type="noConversion"/>
  </si>
  <si>
    <t xml:space="preserve">  G3220A-10000-BAG    3000KG   22017397    (200563865)  MTO      </t>
    <phoneticPr fontId="6" type="noConversion"/>
  </si>
  <si>
    <t xml:space="preserve">  G3220A-10000-BAG    19000KG   22017397    (200563932)  MTO      </t>
    <phoneticPr fontId="6" type="noConversion"/>
  </si>
  <si>
    <t xml:space="preserve">  G3220A-10000-BAG    20000KG   22017397    (200563905)  MTO      </t>
    <phoneticPr fontId="6" type="noConversion"/>
  </si>
  <si>
    <t xml:space="preserve">  C1200HF-GY4H029-    5000KG   299900552    (200500423)  MTO      </t>
    <phoneticPr fontId="6" type="noConversion"/>
  </si>
  <si>
    <t xml:space="preserve">  7530-14600-OCT    40799.998KG   22098314    (200580683)  MTO      </t>
    <phoneticPr fontId="6" type="noConversion"/>
  </si>
  <si>
    <t xml:space="preserve">  C1200HF-GY6G152-BAG    5067KG   22034465    (200575060)  MTO      </t>
    <phoneticPr fontId="6" type="noConversion"/>
  </si>
  <si>
    <t xml:space="preserve">  141R-701-BAG    20000KG   22021359    (94700215)  MTI      </t>
    <phoneticPr fontId="6" type="noConversion"/>
  </si>
  <si>
    <t xml:space="preserve">  141R-701-BAG    20000KG   22021359    (94700214)  MTI      </t>
    <phoneticPr fontId="6" type="noConversion"/>
  </si>
  <si>
    <t xml:space="preserve">  141R-701-BAG    20000KG   22021359    (94700216)  MTI      </t>
    <phoneticPr fontId="6" type="noConversion"/>
  </si>
  <si>
    <t xml:space="preserve">  141R-701-BAG    20000KG   22021359    (94700217)  MTI      </t>
    <phoneticPr fontId="6" type="noConversion"/>
  </si>
  <si>
    <t xml:space="preserve">  141R-701-BAG    20000KG   22021359    (94700218)  MTI      </t>
    <phoneticPr fontId="6" type="noConversion"/>
  </si>
  <si>
    <t xml:space="preserve">  141R-701-BAG    20000KG   22021359    (94700219)  MTI      </t>
    <phoneticPr fontId="6" type="noConversion"/>
  </si>
  <si>
    <t xml:space="preserve">  141R-701-BAG    20000KG   22021359    (94700223)  MTI      </t>
    <phoneticPr fontId="6" type="noConversion"/>
  </si>
  <si>
    <t xml:space="preserve">  141R-701-BAG    20000KG   22021359    (94700222)  MTI      </t>
    <phoneticPr fontId="6" type="noConversion"/>
  </si>
  <si>
    <t xml:space="preserve">  141R-701-BAG    20000KG   22021359    (94700220)  MTI      </t>
    <phoneticPr fontId="6" type="noConversion"/>
  </si>
  <si>
    <t xml:space="preserve">  141R-701-BAG    20000KG   22021359    (94700221)  MTI      </t>
    <phoneticPr fontId="6" type="noConversion"/>
  </si>
  <si>
    <t xml:space="preserve">  141R-701-BAG    20000KG   22021359    (94700224)  MTI      </t>
    <phoneticPr fontId="6" type="noConversion"/>
  </si>
  <si>
    <t xml:space="preserve">  141R-701-BAG    20000KG   22021359    (94700225)  MTI      </t>
    <phoneticPr fontId="6" type="noConversion"/>
  </si>
  <si>
    <t xml:space="preserve">  123R-701-BAG    8243.741KG   22017535    (200579146)  MTO      </t>
    <phoneticPr fontId="6" type="noConversion"/>
  </si>
  <si>
    <t xml:space="preserve">  G3220A-10000-BAG    19000KG   22017397    (200563840)  MTO      </t>
    <phoneticPr fontId="6" type="noConversion"/>
  </si>
  <si>
    <t xml:space="preserve">  G3220A-10000-BAG    20000KG   22017397    (200563927)  MTO      </t>
    <phoneticPr fontId="6" type="noConversion"/>
  </si>
  <si>
    <t xml:space="preserve">  121R-701-BAG    10000KG   22021257    (200496011)  MTO      </t>
    <phoneticPr fontId="6" type="noConversion"/>
  </si>
  <si>
    <t xml:space="preserve">  DR48-BK1066-BAG    10125KG   22017721    (97776458)  MTI     Br.   </t>
    <phoneticPr fontId="6" type="noConversion"/>
  </si>
  <si>
    <t xml:space="preserve">0008533546  364-WH8G708-BAG    5350KG   22028630    (200567432)  MTO     Br.   </t>
    <phoneticPr fontId="6" type="noConversion"/>
  </si>
  <si>
    <t xml:space="preserve">0008556239  310SE0-7001-BAG    4077.6KG   22031109    (200571680)  MTO     Br.   </t>
    <phoneticPr fontId="6" type="noConversion"/>
  </si>
  <si>
    <t xml:space="preserve">  357-BK1066-BAG    20000KG   22017581    (97353507)  MTI     Br.   </t>
    <phoneticPr fontId="6" type="noConversion"/>
  </si>
  <si>
    <t xml:space="preserve">  DR48-BK1066-BAG    20250KG   22017721    (97695116)  MTI     Br.   </t>
    <phoneticPr fontId="6" type="noConversion"/>
  </si>
  <si>
    <t xml:space="preserve">  357-BK1066-BAG    20376KG   22017581    (98075114)  MTI     Br.   </t>
    <phoneticPr fontId="6" type="noConversion"/>
  </si>
  <si>
    <t xml:space="preserve">  553-7001-BAG    10000KG   22034189    (200549389)  MTO     Br.   </t>
    <phoneticPr fontId="6" type="noConversion"/>
  </si>
  <si>
    <t xml:space="preserve">  553-OR5G003-BAG    10000KG   22031160    (200549443)  MTO     Br.   </t>
    <phoneticPr fontId="6" type="noConversion"/>
  </si>
  <si>
    <t xml:space="preserve">  553-1001-BAG    5123.5KG   22019426    (97774440)  MTI     Br.   </t>
    <phoneticPr fontId="6" type="noConversion"/>
  </si>
  <si>
    <t xml:space="preserve">  V3900WX-BK1066-BAG    10258KG   22024815    (98133785)  MTI     Br.   </t>
    <phoneticPr fontId="6" type="noConversion"/>
  </si>
  <si>
    <t xml:space="preserve">  V3900WX-7M8D027-BAG    5000KG   22032797    (200547366)  MTO     Br.   </t>
    <phoneticPr fontId="6" type="noConversion"/>
  </si>
  <si>
    <t xml:space="preserve">  357-BK1066-BAG    20376KG   22017581    (98620957)  MTI     Br.   </t>
    <phoneticPr fontId="6" type="noConversion"/>
  </si>
  <si>
    <t xml:space="preserve">  357U-GY8F076-BAG    20000KG   22033942    (200562844)  MTO     Br.   </t>
    <phoneticPr fontId="6" type="noConversion"/>
  </si>
  <si>
    <t xml:space="preserve">  V3900WX-WH8E373-BAG    10000KG   22041108    (200556149)  MTO     Br.   </t>
    <phoneticPr fontId="6" type="noConversion"/>
  </si>
  <si>
    <t xml:space="preserve">  V3900WX-GY8E431-BAG    5129KG   22020960    (200572837)  MTO     Br.   </t>
    <phoneticPr fontId="6" type="noConversion"/>
  </si>
  <si>
    <t xml:space="preserve">  553-1001-BAG    5123.5KG   22019426    (97774441)  MTI     Br.   </t>
    <phoneticPr fontId="6" type="noConversion"/>
  </si>
  <si>
    <t xml:space="preserve">  DR48-BK1762-BAG    20250KG   22035492    (200570598)  MTO     Br.   </t>
    <phoneticPr fontId="6" type="noConversion"/>
  </si>
  <si>
    <t xml:space="preserve">  V3900WX-BK1066-BAG    5129KG   22024815    (98642226)  MTI     Br.   </t>
    <phoneticPr fontId="6" type="noConversion"/>
  </si>
  <si>
    <t xml:space="preserve">  553-1001-BAG    7172.9KG   22019426    (97744169)  MTI     Br.   </t>
    <phoneticPr fontId="6" type="noConversion"/>
  </si>
  <si>
    <t xml:space="preserve">  V3900WX-BK1066-BAG    5129KG   22024815    (98642227)  MTI     Br.   </t>
    <phoneticPr fontId="6" type="noConversion"/>
  </si>
  <si>
    <t xml:space="preserve">  V3900WX-BK1066-BAG    5129KG   22024815    (98642228)  MTI     Br.   </t>
    <phoneticPr fontId="6" type="noConversion"/>
  </si>
  <si>
    <t xml:space="preserve">0008305669  C6600-WH9A311-BAG    2000KG   22018379    (200543516)  MTO      </t>
    <phoneticPr fontId="6" type="noConversion"/>
  </si>
  <si>
    <t xml:space="preserve">0007601116  141R-WH8G792-BAG    5000KG   22033228    (200495961)  MTO      </t>
    <phoneticPr fontId="6" type="noConversion"/>
  </si>
  <si>
    <t xml:space="preserve">0007601177  143R-WH9G485-BAG    5000KG   22044333    (200496025)  MTO      </t>
    <phoneticPr fontId="6" type="noConversion"/>
  </si>
  <si>
    <t xml:space="preserve">  C6600-WH9A311-BAG    2038.2KG   22018379    (200557304)  MTO      </t>
    <phoneticPr fontId="6" type="noConversion"/>
  </si>
  <si>
    <t xml:space="preserve">0008524764  6620U-BK1066-BAG    1000KG   22033864    (200566030)  MTO      </t>
    <phoneticPr fontId="6" type="noConversion"/>
  </si>
  <si>
    <t xml:space="preserve">0008550669  143R-701-BAG    2045KG   22021393    (200570394)  MTO      </t>
    <phoneticPr fontId="6" type="noConversion"/>
  </si>
  <si>
    <t xml:space="preserve">0008598463  1731-1001-BAG    1058KG   22019215    (200576466)  MTO      </t>
    <phoneticPr fontId="6" type="noConversion"/>
  </si>
  <si>
    <t xml:space="preserve">0008443143  CL100-7001-BAG    10000KG   22039079    (200560326)  MTO      </t>
    <phoneticPr fontId="6" type="noConversion"/>
  </si>
  <si>
    <t xml:space="preserve">0008617501  6620U-1001-BAG    1003.7KG   22021807    (200578999)  MTO      </t>
    <phoneticPr fontId="6" type="noConversion"/>
  </si>
  <si>
    <t xml:space="preserve">0008602040  EXL1414-WH9G658-BAG    2000KG   22040495    (200576901)  MTO      </t>
    <phoneticPr fontId="6" type="noConversion"/>
  </si>
  <si>
    <t xml:space="preserve">0008538006  505RU-7T1D073-BAG    1000KG   22031251    (200568663)  MTO      </t>
    <phoneticPr fontId="6" type="noConversion"/>
  </si>
  <si>
    <t xml:space="preserve">  MC8002-WH9C274-BAG    2055.8KG   22040648    (200570717)  MTO      </t>
    <phoneticPr fontId="6" type="noConversion"/>
  </si>
  <si>
    <t xml:space="preserve">  C6600-7T6D253-BAG    1000KG   22084473    (200534819)  MTO      </t>
    <phoneticPr fontId="6" type="noConversion"/>
  </si>
  <si>
    <t xml:space="preserve">  CX7211-7T1D166-BAG    5000KG   22035192    (200515849)  MTO      </t>
    <phoneticPr fontId="6" type="noConversion"/>
  </si>
  <si>
    <t xml:space="preserve">  5220U-BL1A569-BAG    1000KG   22019416    (200559101)        </t>
    <phoneticPr fontId="6" type="noConversion"/>
  </si>
  <si>
    <t xml:space="preserve">  505RU-8T8D118-BAG    2060.8KG   22029848    (200571725)  MTO      </t>
    <phoneticPr fontId="6" type="noConversion"/>
  </si>
  <si>
    <t xml:space="preserve">  CL100-7001-BAG    5000KG   22039079    (200499146)  MTO      </t>
    <phoneticPr fontId="6" type="noConversion"/>
  </si>
  <si>
    <t xml:space="preserve">  123R-701-BAG    8000KG   22017535    (200510624)  MTO      </t>
    <phoneticPr fontId="6" type="noConversion"/>
  </si>
  <si>
    <t xml:space="preserve">  CX2244ME-7T5D428-BAG    3000KG   22088391    (96103083)  MTO      </t>
    <phoneticPr fontId="6" type="noConversion"/>
  </si>
  <si>
    <t xml:space="preserve">  DR51-7001-BAG    2000KG   22028156    (200535980)  MTO      </t>
    <phoneticPr fontId="6" type="noConversion"/>
  </si>
  <si>
    <t xml:space="preserve">  C1200HF-GY1D457U-BAG    10250KG   22029050    (200496028)  MTO      </t>
    <phoneticPr fontId="6" type="noConversion"/>
  </si>
  <si>
    <t xml:space="preserve">  WFL34-YWNAT-BAG    1000KG   22037724    (200566202)  MTO      </t>
    <phoneticPr fontId="6" type="noConversion"/>
  </si>
  <si>
    <t>L02</t>
  </si>
  <si>
    <t>PCN2615</t>
  </si>
  <si>
    <t>PCN2910</t>
  </si>
  <si>
    <t>PX2906</t>
  </si>
  <si>
    <t>HM4025H</t>
  </si>
  <si>
    <t>HM3020H</t>
  </si>
  <si>
    <t>V0150B</t>
  </si>
  <si>
    <t>BK1D694</t>
  </si>
  <si>
    <t>7A1D372</t>
  </si>
  <si>
    <t>75001</t>
  </si>
  <si>
    <t>801S</t>
  </si>
  <si>
    <t>BK2D115</t>
  </si>
  <si>
    <t>GY5G048</t>
  </si>
  <si>
    <t>7T1D232</t>
  </si>
  <si>
    <t xml:space="preserve">  HS2000X-WH8C022-BAG    10256KG   22036470    (92864583)  MTI      </t>
  </si>
  <si>
    <t xml:space="preserve">  GFN20F-701S-BAG    13321.1KG   22095736    (97084274)  MTI      </t>
  </si>
  <si>
    <t xml:space="preserve">  GFN20F-N780S-BAG    10247KG   22095737    (97695106)  MTI      </t>
  </si>
  <si>
    <t xml:space="preserve">0008314169  N1250-BK1066-BAG    5000KG   22040824    (200545495)  MTI      </t>
  </si>
  <si>
    <t xml:space="preserve">0008615665  731S-111-BAG    10247KG   22038865    (200578889)  MTO      </t>
  </si>
  <si>
    <t xml:space="preserve">  HS2000X-701-BAG    5128KG   22023606    (89722964)  MTI      </t>
  </si>
  <si>
    <t xml:space="preserve">  HS2000X-701-BAG    10000KG   22023606    (90238106)  MTI      </t>
  </si>
  <si>
    <t xml:space="preserve">  PX9406-780-BAG    10247KG   22020783    (97792842)  MTI      </t>
  </si>
  <si>
    <t xml:space="preserve">0008544565  N190X-7N4D004-BAG    10000KG   22030522    (200569521)  MTO      </t>
  </si>
  <si>
    <t xml:space="preserve">0008314178  N1250-BK1066-BAG    5000KG   22040824    (200545584)  MTI      </t>
  </si>
  <si>
    <t xml:space="preserve">  HS2000X-111-BAG    10256KG   22023605    (94769879)  MTI      </t>
  </si>
  <si>
    <t xml:space="preserve">0007866744  GFN1F-701S-BAG    10000KG   22066660    (200520284)  MTO      </t>
  </si>
  <si>
    <t xml:space="preserve">  HS2000X-WH8C022-BAG    20512KG   22036470    (97794074)  MTI      </t>
  </si>
  <si>
    <t xml:space="preserve">  SE1X-701-BAG    20494KG   22024919    (97788172)  MTI      </t>
  </si>
  <si>
    <t xml:space="preserve">  GFN20F-N780S-BAG    10000KG   22095737    (96000254)  MTI      </t>
  </si>
  <si>
    <t xml:space="preserve">0008607576  PX9406P-7T1D232-BAG    10247KG   22028387    (200577808)  MTO      </t>
  </si>
  <si>
    <t xml:space="preserve">  GFN20F-N780S-BAG    10247KG   22095737    (97792123)  MTI      </t>
  </si>
  <si>
    <t xml:space="preserve">  GFN20F-701S-BAG    10247KG   22095736    (97969592)  MTI      </t>
  </si>
  <si>
    <t xml:space="preserve">  HS2000X-111-BAG    20512KG   22023605    (98883821)  MTI      </t>
  </si>
  <si>
    <t xml:space="preserve">  HS2000X-701-BAG    5128KG   22023606    (98620950)  MTI      </t>
  </si>
  <si>
    <t xml:space="preserve">  HS2000X-WH8C022-BAG    20512KG   22036470    (97792771)  MTI      </t>
  </si>
  <si>
    <t xml:space="preserve">  GFN20F-701S-BAG    10247KG   22095736    (98075109)  MTI      </t>
  </si>
  <si>
    <t xml:space="preserve">  SE1X-701-BAG    10247KG   22024919    (97788984)  MTI      </t>
  </si>
  <si>
    <t xml:space="preserve">  HS2000X-111-BAG    10256KG   22023605    (98128708)  MTI      </t>
  </si>
  <si>
    <t xml:space="preserve">  HS2000X-WH8C022-BAG    20000KG   22036470    (95999286)  MTI      </t>
  </si>
  <si>
    <t xml:space="preserve">  HS2000X-WH8C022-BAG    20000KG   22036470    (95999287)  MTI      </t>
  </si>
  <si>
    <t xml:space="preserve">  N1250-BK1066-BAG    5000KG   22040824    (200545305)  MTI      </t>
  </si>
  <si>
    <t xml:space="preserve">  HS2000X-701-BAG    10000KG   22023606    (95999288)  MTI      </t>
  </si>
  <si>
    <t xml:space="preserve">  HS2000X-111-BAG    10256KG   22023605    (98128709)  MTI      </t>
  </si>
  <si>
    <t xml:space="preserve">  N225X-701-BAG    5123.5KG   22024508    (200572751)  MTO      </t>
  </si>
  <si>
    <t xml:space="preserve">  HS2000X-701-BAG    10000KG   22023606    (92845169)  MTI      </t>
  </si>
  <si>
    <t xml:space="preserve">  GFN20-801-BAG    20000KG   22095158    (200552256)  MTO      </t>
  </si>
  <si>
    <t xml:space="preserve">  GFN20F-701S-BAG    10247KG   22095736    (98637884)  MTI      </t>
  </si>
  <si>
    <t xml:space="preserve">  N1250-BK1066-BAG    5000KG   22040824    (200545603)  MTI      </t>
  </si>
  <si>
    <t xml:space="preserve">  PX9406-780-BAG    10247KG   22020783    (98637554)  MTI      </t>
  </si>
  <si>
    <t xml:space="preserve">  N1250-BK1066-BAG    5000KG   22040824    (200545255)  MTI      </t>
  </si>
  <si>
    <t xml:space="preserve">  FNH2160-780-BAG    10256KG   22017766    (200576873)  MTO      </t>
  </si>
  <si>
    <t xml:space="preserve">  GFN1F-701S-BAG    10000KG   22066660    (200559134)  MTO      </t>
  </si>
  <si>
    <t xml:space="preserve">  HS2000X-WH8C022-BAG    20512KG   22036470    (98129933)  MTI      </t>
  </si>
  <si>
    <t xml:space="preserve">  N1250-BK1066-BAG    5000KG   22040824    (200545285)  MTI      </t>
  </si>
  <si>
    <t xml:space="preserve">  HS2000X-111-BAG    20512KG   22023605    (98621485)  MTI      </t>
  </si>
  <si>
    <t xml:space="preserve">  HS2000X-WH8C022-BAG    20512KG   22036470    (98129934)  MTI      </t>
  </si>
  <si>
    <t xml:space="preserve">  N1250-BK1066-BAG    5000KG   22040824    (200545192)  MTI      </t>
  </si>
  <si>
    <t xml:space="preserve">  PX9406-780-BAG    10247KG   22020783    (98636919)  MTI      </t>
  </si>
  <si>
    <t>MRP_Controller</t>
  </si>
  <si>
    <t>Created_On</t>
  </si>
  <si>
    <t>Spare1</t>
  </si>
  <si>
    <t>Spare2</t>
  </si>
  <si>
    <t>Grade-Color</t>
  </si>
  <si>
    <t>PullScrew</t>
  </si>
  <si>
    <t>G-C-Remark</t>
  </si>
  <si>
    <t>G-Remark</t>
  </si>
  <si>
    <t>PO-Remark</t>
  </si>
  <si>
    <t>SumRemark</t>
  </si>
  <si>
    <t xml:space="preserve"> Br. </t>
  </si>
  <si>
    <t>0008533302</t>
  </si>
  <si>
    <t>0007527967</t>
  </si>
  <si>
    <t>0007141404</t>
  </si>
  <si>
    <t>0008618359</t>
  </si>
  <si>
    <t>0008599414</t>
  </si>
  <si>
    <t>0008623041</t>
  </si>
  <si>
    <t>0008599113</t>
  </si>
  <si>
    <t>0008025268</t>
  </si>
  <si>
    <t>0008557464</t>
  </si>
  <si>
    <t>0008599370</t>
  </si>
  <si>
    <t>0008599131</t>
  </si>
  <si>
    <t>0008599140</t>
  </si>
  <si>
    <t>0008599104</t>
  </si>
  <si>
    <t>0008617067</t>
  </si>
  <si>
    <t>0008599121</t>
  </si>
  <si>
    <t>0008599107</t>
  </si>
  <si>
    <t>0008607659</t>
  </si>
  <si>
    <t>0008578435</t>
  </si>
  <si>
    <t>0008491428</t>
  </si>
  <si>
    <t>0008607662</t>
  </si>
  <si>
    <t>0008347043</t>
  </si>
  <si>
    <t>0008306298</t>
  </si>
  <si>
    <t>0008547766</t>
  </si>
  <si>
    <t>0008562573</t>
  </si>
  <si>
    <t>0007775909</t>
  </si>
  <si>
    <t>0008533440</t>
  </si>
  <si>
    <t>0008556070</t>
  </si>
  <si>
    <t>0008314162</t>
  </si>
  <si>
    <t>0008544550</t>
  </si>
  <si>
    <t>0008490505</t>
  </si>
  <si>
    <t>0008532229</t>
  </si>
  <si>
    <t>0008552147</t>
  </si>
  <si>
    <t>0008314169</t>
  </si>
  <si>
    <t>0008615665</t>
  </si>
  <si>
    <t>0008544565</t>
  </si>
  <si>
    <t>0008314178</t>
  </si>
  <si>
    <t>0007866744</t>
  </si>
  <si>
    <t>0008607576</t>
  </si>
  <si>
    <t>0008563075</t>
  </si>
  <si>
    <t>0008403200</t>
  </si>
  <si>
    <t>0008351687</t>
  </si>
  <si>
    <t>0008351685</t>
  </si>
  <si>
    <t>0008607254</t>
  </si>
  <si>
    <t>0007852513</t>
  </si>
  <si>
    <t>0008533301</t>
  </si>
  <si>
    <t>0008599122</t>
  </si>
  <si>
    <t>0007032280</t>
  </si>
  <si>
    <t>0007662044</t>
  </si>
  <si>
    <t>0008552019</t>
  </si>
  <si>
    <t>0008130605</t>
  </si>
  <si>
    <t>0008372016</t>
  </si>
  <si>
    <t>0008365178</t>
  </si>
  <si>
    <t>0008443524</t>
  </si>
  <si>
    <t>0008384894</t>
  </si>
  <si>
    <t>0007614539</t>
  </si>
  <si>
    <t>0008376441</t>
  </si>
  <si>
    <t>0008306443</t>
  </si>
  <si>
    <t>0008374774</t>
  </si>
  <si>
    <t>0008576998</t>
  </si>
  <si>
    <t>0008376470</t>
  </si>
  <si>
    <t>0008449877</t>
  </si>
  <si>
    <t>0008375232</t>
  </si>
  <si>
    <t>0008349419</t>
  </si>
  <si>
    <t>0007404807</t>
  </si>
  <si>
    <t>0008623049</t>
  </si>
  <si>
    <t>0008551288</t>
  </si>
  <si>
    <t>0008536959</t>
  </si>
  <si>
    <t>0008345965</t>
  </si>
  <si>
    <t>0008615515</t>
  </si>
  <si>
    <t>0008599135</t>
  </si>
  <si>
    <t>0008599141</t>
  </si>
  <si>
    <t>0008599145</t>
  </si>
  <si>
    <t>0008599123</t>
  </si>
  <si>
    <t>0008607667</t>
  </si>
  <si>
    <t>0008607656</t>
  </si>
  <si>
    <t>0008575525</t>
  </si>
  <si>
    <t>0008599112</t>
  </si>
  <si>
    <t>0008627460</t>
  </si>
  <si>
    <t>0008627458</t>
  </si>
  <si>
    <t>0008627455</t>
  </si>
  <si>
    <t>0008471969</t>
  </si>
  <si>
    <t>0008415940</t>
  </si>
  <si>
    <t>0008415954</t>
  </si>
  <si>
    <t>0008617438</t>
  </si>
  <si>
    <t>0008375204</t>
  </si>
  <si>
    <t>0008375194</t>
  </si>
  <si>
    <t>0008383346</t>
  </si>
  <si>
    <t>0008306258</t>
  </si>
  <si>
    <t>0008538822</t>
  </si>
  <si>
    <t>0008323011</t>
  </si>
  <si>
    <t>0008622944</t>
  </si>
  <si>
    <t>0008601634</t>
  </si>
  <si>
    <t>0008570903</t>
  </si>
  <si>
    <t>0008578977</t>
  </si>
  <si>
    <t>0008525115</t>
  </si>
  <si>
    <t>0008570850</t>
  </si>
  <si>
    <t>0008570933</t>
  </si>
  <si>
    <t>0008563173</t>
  </si>
  <si>
    <t>0008607664</t>
  </si>
  <si>
    <t>0008546721</t>
  </si>
  <si>
    <t>0008584072</t>
  </si>
  <si>
    <t>0008551978</t>
  </si>
  <si>
    <t>0008563149</t>
  </si>
  <si>
    <t>0008551205</t>
  </si>
  <si>
    <t>0008556602</t>
  </si>
  <si>
    <t>0008538494</t>
  </si>
  <si>
    <t>0008403253</t>
  </si>
  <si>
    <t>0008625744</t>
  </si>
  <si>
    <t>0008471881</t>
  </si>
  <si>
    <t>0008577750</t>
  </si>
  <si>
    <t>0008569031</t>
  </si>
  <si>
    <t>0008357255</t>
  </si>
  <si>
    <t>0008474607</t>
  </si>
  <si>
    <t>0008488928</t>
  </si>
  <si>
    <t>0008546201</t>
  </si>
  <si>
    <t>0008600037</t>
  </si>
  <si>
    <t>0008474494</t>
  </si>
  <si>
    <t>0008569328</t>
  </si>
  <si>
    <t>0008569696</t>
  </si>
  <si>
    <t>0008346355</t>
  </si>
  <si>
    <t>0008582783</t>
  </si>
  <si>
    <t>0008581529</t>
  </si>
  <si>
    <t>0008625733</t>
  </si>
  <si>
    <t>0007886881</t>
  </si>
  <si>
    <t>0008617206</t>
  </si>
  <si>
    <t>0008312337</t>
  </si>
  <si>
    <t>0008607620</t>
  </si>
  <si>
    <t>0008562998</t>
  </si>
  <si>
    <t>0008607343</t>
  </si>
  <si>
    <t>0008491601</t>
  </si>
  <si>
    <t>0008375376</t>
  </si>
  <si>
    <t>0008375212</t>
  </si>
  <si>
    <t>0008624770</t>
  </si>
  <si>
    <t>0008627537</t>
  </si>
  <si>
    <t>0008599179</t>
  </si>
  <si>
    <t>0008556752</t>
  </si>
  <si>
    <t>0008532060</t>
  </si>
  <si>
    <t>0008375220</t>
  </si>
  <si>
    <t>0007479401</t>
  </si>
  <si>
    <t>0008351673</t>
  </si>
  <si>
    <t>0008314158</t>
  </si>
  <si>
    <t>0008374728</t>
  </si>
  <si>
    <t>0008384423</t>
  </si>
  <si>
    <t>0007610660</t>
  </si>
  <si>
    <t>0008544497</t>
  </si>
  <si>
    <t>0008581146</t>
  </si>
  <si>
    <t>0008562549</t>
  </si>
  <si>
    <t>0008599125</t>
  </si>
  <si>
    <t>0008599137</t>
  </si>
  <si>
    <t>0008607672</t>
  </si>
  <si>
    <t>0008607661</t>
  </si>
  <si>
    <t>0008627529</t>
  </si>
  <si>
    <t>0008607513</t>
  </si>
  <si>
    <t>0007611290</t>
  </si>
  <si>
    <t>0008346526</t>
  </si>
  <si>
    <t>0008223581</t>
  </si>
  <si>
    <t>0008557298</t>
  </si>
  <si>
    <t>0008576804</t>
  </si>
  <si>
    <t>0008627447</t>
  </si>
  <si>
    <t>0008625996</t>
  </si>
  <si>
    <t>0008607838</t>
  </si>
  <si>
    <t>0008533010</t>
  </si>
  <si>
    <t>0008500152</t>
  </si>
  <si>
    <t>0008581430</t>
  </si>
  <si>
    <t>0008318610</t>
  </si>
  <si>
    <t>0008316565</t>
  </si>
  <si>
    <t>0008227798</t>
  </si>
  <si>
    <t>0008217927</t>
  </si>
  <si>
    <t>0008217895</t>
  </si>
  <si>
    <t>0008318605</t>
  </si>
  <si>
    <t>0007760145</t>
  </si>
  <si>
    <t>0008546128</t>
  </si>
  <si>
    <t>0008232110</t>
  </si>
  <si>
    <t>0008416726</t>
  </si>
  <si>
    <t>0008379363</t>
  </si>
  <si>
    <t>0008492353</t>
  </si>
  <si>
    <t>0008608355</t>
  </si>
  <si>
    <t>0008402946</t>
  </si>
  <si>
    <t>0008552783</t>
  </si>
  <si>
    <t>0008615553</t>
  </si>
  <si>
    <t>0008556728</t>
  </si>
  <si>
    <t>0008383492</t>
  </si>
  <si>
    <t>0008237307</t>
  </si>
  <si>
    <t>0008537282</t>
  </si>
  <si>
    <t>0008354576</t>
  </si>
  <si>
    <t>0008582673</t>
  </si>
  <si>
    <t>0008440652</t>
  </si>
  <si>
    <t>0008609511</t>
  </si>
  <si>
    <t>0008608934</t>
  </si>
  <si>
    <t>0008343286</t>
  </si>
  <si>
    <t>0008598737</t>
  </si>
  <si>
    <t>0008598719</t>
  </si>
  <si>
    <t>0008573809</t>
  </si>
  <si>
    <t>0008573806</t>
  </si>
  <si>
    <t>0008400849</t>
  </si>
  <si>
    <t>0008223851</t>
  </si>
  <si>
    <t>0008546386</t>
  </si>
  <si>
    <t>0008615556</t>
  </si>
  <si>
    <t>0008563429</t>
  </si>
  <si>
    <t>0008228043</t>
  </si>
  <si>
    <t>0008440547</t>
  </si>
  <si>
    <t>0008581098</t>
  </si>
  <si>
    <t>0008365113</t>
  </si>
  <si>
    <t>0008316806</t>
  </si>
  <si>
    <t>0008563336</t>
  </si>
  <si>
    <t>0008571849</t>
  </si>
  <si>
    <t>0008617066</t>
  </si>
  <si>
    <t>0008305782</t>
  </si>
  <si>
    <t>0008551129</t>
  </si>
  <si>
    <t>0008570234</t>
  </si>
  <si>
    <t>0008581600</t>
  </si>
  <si>
    <t>0008562648</t>
  </si>
  <si>
    <t>0008415059</t>
  </si>
  <si>
    <t>0008536110</t>
  </si>
  <si>
    <t>0008617065</t>
  </si>
  <si>
    <t>0008557091</t>
  </si>
  <si>
    <t>0008384152</t>
  </si>
  <si>
    <t>0008270541</t>
  </si>
  <si>
    <t>0008379301</t>
  </si>
  <si>
    <t>0008293735</t>
  </si>
  <si>
    <t>0008299986</t>
  </si>
  <si>
    <t>0008528185</t>
  </si>
  <si>
    <t>0008577243</t>
  </si>
  <si>
    <t>0008122169</t>
  </si>
  <si>
    <t>0007995182</t>
  </si>
  <si>
    <t>0008556824</t>
  </si>
  <si>
    <t>0008434532</t>
  </si>
  <si>
    <t>0008491062</t>
  </si>
  <si>
    <t>0008569017</t>
  </si>
  <si>
    <t>0008237942</t>
  </si>
  <si>
    <t>0008556749</t>
  </si>
  <si>
    <t>0008334089</t>
  </si>
  <si>
    <t>0007902582</t>
  </si>
  <si>
    <t>0008376397</t>
  </si>
  <si>
    <t>0008250251</t>
  </si>
  <si>
    <t>0008615233</t>
  </si>
  <si>
    <t>0008419415</t>
  </si>
  <si>
    <t>0008531910</t>
  </si>
  <si>
    <t>0008537671</t>
  </si>
  <si>
    <t>0008551165</t>
  </si>
  <si>
    <t>0008345720</t>
  </si>
  <si>
    <t>0007779724</t>
  </si>
  <si>
    <t>0008491204</t>
  </si>
  <si>
    <t>0008297828</t>
  </si>
  <si>
    <t>0008533915</t>
  </si>
  <si>
    <t>0008600629</t>
  </si>
  <si>
    <t>0008489303</t>
  </si>
  <si>
    <t>0008415247</t>
  </si>
  <si>
    <t>0008381336</t>
  </si>
  <si>
    <t>0008415324</t>
  </si>
  <si>
    <t>0008527271</t>
  </si>
  <si>
    <t>0008416618</t>
  </si>
  <si>
    <t>0008293537</t>
  </si>
  <si>
    <t>0008525429</t>
  </si>
  <si>
    <t>0008415330</t>
  </si>
  <si>
    <t>0008248148</t>
  </si>
  <si>
    <t>0008538403</t>
  </si>
  <si>
    <t>0008475411</t>
  </si>
  <si>
    <t>0008475393</t>
  </si>
  <si>
    <t>0008570107</t>
  </si>
  <si>
    <t>0008383243</t>
  </si>
  <si>
    <t>0008546158</t>
  </si>
  <si>
    <t>0008553958</t>
  </si>
  <si>
    <t>0008025326</t>
  </si>
  <si>
    <t>0008366127</t>
  </si>
  <si>
    <t>0008488130</t>
  </si>
  <si>
    <t>0008443762</t>
  </si>
  <si>
    <t>0008248420</t>
  </si>
  <si>
    <t>0008609169</t>
  </si>
  <si>
    <t>0008270999</t>
  </si>
  <si>
    <t>0008439772</t>
  </si>
  <si>
    <t>0008537431</t>
  </si>
  <si>
    <t>0008582657</t>
  </si>
  <si>
    <t>0008557292</t>
  </si>
  <si>
    <t>0008581418</t>
  </si>
  <si>
    <t>0008374787</t>
  </si>
  <si>
    <t>0008581402</t>
  </si>
  <si>
    <t>0008569703</t>
  </si>
  <si>
    <t>0008312589</t>
  </si>
  <si>
    <t>0008291427</t>
  </si>
  <si>
    <t>0008546166</t>
  </si>
  <si>
    <t>0008563201</t>
  </si>
  <si>
    <t>0008569714</t>
  </si>
  <si>
    <t>0008626016</t>
  </si>
  <si>
    <t>0008624508</t>
  </si>
  <si>
    <t>0008601752</t>
  </si>
  <si>
    <t>0008623297</t>
  </si>
  <si>
    <t>0008615319</t>
  </si>
  <si>
    <t>0008608562</t>
  </si>
  <si>
    <t>0008625788</t>
  </si>
  <si>
    <t>0008618644</t>
  </si>
  <si>
    <t>0008617325</t>
  </si>
  <si>
    <t>0008615461</t>
  </si>
  <si>
    <t>0008248035</t>
  </si>
  <si>
    <t>0008625422</t>
  </si>
  <si>
    <t>0008582829</t>
  </si>
  <si>
    <t>0008556719</t>
  </si>
  <si>
    <t>0008321164</t>
  </si>
  <si>
    <t>0008350010</t>
  </si>
  <si>
    <t>0008598041</t>
  </si>
  <si>
    <t>0008439432</t>
  </si>
  <si>
    <t>0008601024</t>
  </si>
  <si>
    <t>0008533539</t>
  </si>
  <si>
    <t>0008415412</t>
  </si>
  <si>
    <t>0008370720</t>
  </si>
  <si>
    <t>0008538832</t>
  </si>
  <si>
    <t>0008400901</t>
  </si>
  <si>
    <t>0008562611</t>
  </si>
  <si>
    <t>0008570618</t>
  </si>
  <si>
    <t>0008622941</t>
  </si>
  <si>
    <t>0008440240</t>
  </si>
  <si>
    <t>0008354626</t>
  </si>
  <si>
    <t>0008442851</t>
  </si>
  <si>
    <t>0008236765</t>
  </si>
  <si>
    <t>0008413768</t>
  </si>
  <si>
    <t>0008402708</t>
  </si>
  <si>
    <t>0008544602</t>
  </si>
  <si>
    <t>0008583174</t>
  </si>
  <si>
    <t>0008402729</t>
  </si>
  <si>
    <t>0008421469</t>
  </si>
  <si>
    <t>0008532675</t>
  </si>
  <si>
    <t>0008402944</t>
  </si>
  <si>
    <t>0008383585</t>
  </si>
  <si>
    <t>0008351680</t>
  </si>
  <si>
    <t>0008300114</t>
  </si>
  <si>
    <t>0008527137</t>
  </si>
  <si>
    <t>0008415287</t>
  </si>
  <si>
    <t>0008627457</t>
  </si>
  <si>
    <t>0008553977</t>
  </si>
  <si>
    <t>0008533204</t>
  </si>
  <si>
    <t>0008533705</t>
  </si>
  <si>
    <t>0008524631</t>
  </si>
  <si>
    <t>0008354618</t>
  </si>
  <si>
    <t>0008345913</t>
  </si>
  <si>
    <t>0008623395</t>
  </si>
  <si>
    <t>0008562664</t>
  </si>
  <si>
    <t>0008532374</t>
  </si>
  <si>
    <t>0008533347</t>
  </si>
  <si>
    <t>0008471129</t>
  </si>
  <si>
    <t>0008544995</t>
  </si>
  <si>
    <t>0008422947</t>
  </si>
  <si>
    <t>0008623125</t>
  </si>
  <si>
    <t>0008498498</t>
  </si>
  <si>
    <t>0008557209</t>
  </si>
  <si>
    <t>0008551856</t>
  </si>
  <si>
    <t>0008344486</t>
  </si>
  <si>
    <t>0008299839</t>
  </si>
  <si>
    <t>0008557079</t>
  </si>
  <si>
    <t>0008551835</t>
  </si>
  <si>
    <t>0008607740</t>
  </si>
  <si>
    <t>0008354360</t>
  </si>
  <si>
    <t>0007974153</t>
  </si>
  <si>
    <t>0008403092</t>
  </si>
  <si>
    <t>0008403107</t>
  </si>
  <si>
    <t>0008609017</t>
  </si>
  <si>
    <t>0008557336</t>
  </si>
  <si>
    <t>0008555946</t>
  </si>
  <si>
    <t>0008313486</t>
  </si>
  <si>
    <t>0008475644</t>
  </si>
  <si>
    <t>0008563615</t>
  </si>
  <si>
    <t>0008379722</t>
  </si>
  <si>
    <t>0008624492</t>
  </si>
  <si>
    <t>0008570287</t>
  </si>
  <si>
    <t>0008569307</t>
  </si>
  <si>
    <t>0008598018</t>
  </si>
  <si>
    <t>0008370958</t>
  </si>
  <si>
    <t>0008625442</t>
  </si>
  <si>
    <t>0008623177</t>
  </si>
  <si>
    <t>0008601969</t>
  </si>
  <si>
    <t>0008599192</t>
  </si>
  <si>
    <t>0008599172</t>
  </si>
  <si>
    <t>0008383595</t>
  </si>
  <si>
    <t>0008607707</t>
  </si>
  <si>
    <t>0008571962</t>
  </si>
  <si>
    <t>0008562526</t>
  </si>
  <si>
    <t>0008553262</t>
  </si>
  <si>
    <t>0008444393</t>
  </si>
  <si>
    <t>0008601426</t>
  </si>
  <si>
    <t>0008625367</t>
  </si>
  <si>
    <t>0008624950</t>
  </si>
  <si>
    <t>0008532944</t>
  </si>
  <si>
    <t>0008625282</t>
  </si>
  <si>
    <t>0008607586</t>
  </si>
  <si>
    <t>0008571096</t>
  </si>
  <si>
    <t>0008372055</t>
  </si>
  <si>
    <t>0008532249</t>
  </si>
  <si>
    <t>0008545249</t>
  </si>
  <si>
    <t>0008599128</t>
  </si>
  <si>
    <t>0008617068</t>
  </si>
  <si>
    <t>0008599117</t>
  </si>
  <si>
    <t>0007601197</t>
  </si>
  <si>
    <t>0007601214</t>
  </si>
  <si>
    <t>0008022056</t>
  </si>
  <si>
    <t>0008571860</t>
  </si>
  <si>
    <t>0008571830</t>
  </si>
  <si>
    <t>0008498382</t>
  </si>
  <si>
    <t>0007131177</t>
  </si>
  <si>
    <t>0008625449</t>
  </si>
  <si>
    <t>0008525474</t>
  </si>
  <si>
    <t>0008599138</t>
  </si>
  <si>
    <t>0008607671</t>
  </si>
  <si>
    <t>0007622331</t>
  </si>
  <si>
    <t>0007659183</t>
  </si>
  <si>
    <t>0008367388</t>
  </si>
  <si>
    <t>0008607670</t>
  </si>
  <si>
    <t>0008370737</t>
  </si>
  <si>
    <t>0008280725</t>
  </si>
  <si>
    <t>0008228800</t>
  </si>
  <si>
    <t>0008544975</t>
  </si>
  <si>
    <t>0008474845</t>
  </si>
  <si>
    <t>0008563106</t>
  </si>
  <si>
    <t>0007575031</t>
  </si>
  <si>
    <t>0008219001</t>
  </si>
  <si>
    <t>0008242723</t>
  </si>
  <si>
    <t>0008417269</t>
  </si>
  <si>
    <t>0008131151</t>
  </si>
  <si>
    <t>0008581890</t>
  </si>
  <si>
    <t>0008492344</t>
  </si>
  <si>
    <t>0007601260</t>
  </si>
  <si>
    <t>0008233685</t>
  </si>
  <si>
    <t>0008370739</t>
  </si>
  <si>
    <t>0008322817</t>
  </si>
  <si>
    <t>0008627474</t>
  </si>
  <si>
    <t>0008357057</t>
  </si>
  <si>
    <t>0008370741</t>
  </si>
  <si>
    <t>0008607668</t>
  </si>
  <si>
    <t>0008491906</t>
  </si>
  <si>
    <t>0008599126</t>
  </si>
  <si>
    <t>0007260228</t>
  </si>
  <si>
    <t>0008375944</t>
  </si>
  <si>
    <t>0008617070</t>
  </si>
  <si>
    <t>0008599129</t>
  </si>
  <si>
    <t>0008525423</t>
  </si>
  <si>
    <t>0008236492</t>
  </si>
  <si>
    <t>0008599130</t>
  </si>
  <si>
    <t>0008607665</t>
  </si>
  <si>
    <t>0008322471</t>
  </si>
  <si>
    <t>0008617069</t>
  </si>
  <si>
    <t>0008349446</t>
  </si>
  <si>
    <t>0008357398</t>
  </si>
  <si>
    <t>0008403130</t>
  </si>
  <si>
    <t>0008615334</t>
  </si>
  <si>
    <t>0007622307</t>
  </si>
  <si>
    <t>0008357429</t>
  </si>
  <si>
    <t>0008469020</t>
  </si>
  <si>
    <t>0008399466</t>
  </si>
  <si>
    <t>0008580898</t>
  </si>
  <si>
    <t>0008609627</t>
  </si>
  <si>
    <t>0008538167</t>
  </si>
  <si>
    <t>0008623064</t>
  </si>
  <si>
    <t>0008598442</t>
  </si>
  <si>
    <t>0008469000</t>
  </si>
  <si>
    <t>0008607669</t>
  </si>
  <si>
    <t>0008532090</t>
  </si>
  <si>
    <t>0007574189</t>
  </si>
  <si>
    <t>0008358953</t>
  </si>
  <si>
    <t>0007576811</t>
  </si>
  <si>
    <t>0008296367</t>
  </si>
  <si>
    <t>0007131147</t>
  </si>
  <si>
    <t>0007574222</t>
  </si>
  <si>
    <t>0008267931</t>
  </si>
  <si>
    <t>0007574255</t>
  </si>
  <si>
    <t>0008490899</t>
  </si>
  <si>
    <t>0008583164</t>
  </si>
  <si>
    <t>0008554229</t>
  </si>
  <si>
    <t>0007632001</t>
  </si>
  <si>
    <t>0008533151</t>
  </si>
  <si>
    <t>0008551143</t>
  </si>
  <si>
    <t>0008228006</t>
  </si>
  <si>
    <t>0008357048</t>
  </si>
  <si>
    <t>0008601603</t>
  </si>
  <si>
    <t>0008419721</t>
  </si>
  <si>
    <t>0008118880</t>
  </si>
  <si>
    <t>0008552021</t>
  </si>
  <si>
    <t>0008578396</t>
  </si>
  <si>
    <t>0007574105</t>
  </si>
  <si>
    <t>0007574191</t>
  </si>
  <si>
    <t>0007574225</t>
  </si>
  <si>
    <t>0007574055</t>
  </si>
  <si>
    <t>0008552027</t>
  </si>
  <si>
    <t>0008441922</t>
  </si>
  <si>
    <t>0007817569</t>
  </si>
  <si>
    <t>0008403216</t>
  </si>
  <si>
    <t>0008372100</t>
  </si>
  <si>
    <t>0008536108</t>
  </si>
  <si>
    <t>0008599103</t>
  </si>
  <si>
    <t>0007566757</t>
  </si>
  <si>
    <t>0008347449</t>
  </si>
  <si>
    <t>0008563358</t>
  </si>
  <si>
    <t>0008491151</t>
  </si>
  <si>
    <t>0008536054</t>
  </si>
  <si>
    <t>0008349943</t>
  </si>
  <si>
    <t>0008625484</t>
  </si>
  <si>
    <t>0008553963</t>
  </si>
  <si>
    <t>0008375309</t>
  </si>
  <si>
    <t>0008551198</t>
  </si>
  <si>
    <t>0008233931</t>
  </si>
  <si>
    <t>0008421355</t>
  </si>
  <si>
    <t>0008533679</t>
  </si>
  <si>
    <t>0008617859</t>
  </si>
  <si>
    <t>0008617856</t>
  </si>
  <si>
    <t>0008608670</t>
  </si>
  <si>
    <t>0008600127</t>
  </si>
  <si>
    <t>0008489447</t>
  </si>
  <si>
    <t>0008320516</t>
  </si>
  <si>
    <t>0008403228</t>
  </si>
  <si>
    <t>0008526771</t>
  </si>
  <si>
    <t>0008423314</t>
  </si>
  <si>
    <t>0008375339</t>
  </si>
  <si>
    <t>0008571081</t>
  </si>
  <si>
    <t>0008625604</t>
  </si>
  <si>
    <t>0008537947</t>
  </si>
  <si>
    <t>0008601242</t>
  </si>
  <si>
    <t>0008528252</t>
  </si>
  <si>
    <t>0008599146</t>
  </si>
  <si>
    <t>0008599132</t>
  </si>
  <si>
    <t>0008599115</t>
  </si>
  <si>
    <t>0008599143</t>
  </si>
  <si>
    <t>0008627448</t>
  </si>
  <si>
    <t>0008025692</t>
  </si>
  <si>
    <t>0008551228</t>
  </si>
  <si>
    <t>0008563580</t>
  </si>
  <si>
    <t>0008402570</t>
  </si>
  <si>
    <t>0007646984</t>
  </si>
  <si>
    <t>0008492925</t>
  </si>
  <si>
    <t>0008627555</t>
  </si>
  <si>
    <t>0008622989</t>
  </si>
  <si>
    <t>0008627601</t>
  </si>
  <si>
    <t>0008625725</t>
  </si>
  <si>
    <t>0008349954</t>
  </si>
  <si>
    <t>0008349950</t>
  </si>
  <si>
    <t>0008569228</t>
  </si>
  <si>
    <t>0008306059</t>
  </si>
  <si>
    <t>0008536289</t>
  </si>
  <si>
    <t>0007659141</t>
  </si>
  <si>
    <t>0008533372</t>
  </si>
  <si>
    <t>0008492287</t>
  </si>
  <si>
    <t>0008300103</t>
  </si>
  <si>
    <t>0008544126</t>
  </si>
  <si>
    <t>0008562927</t>
  </si>
  <si>
    <t>0008533803</t>
  </si>
  <si>
    <t>0008556132</t>
  </si>
  <si>
    <t>0008571902</t>
  </si>
  <si>
    <t>0008533650</t>
  </si>
  <si>
    <t>0008533516</t>
  </si>
  <si>
    <t>0008532245</t>
  </si>
  <si>
    <t>0008551377</t>
  </si>
  <si>
    <t>0008544953</t>
  </si>
  <si>
    <t>0008474777</t>
  </si>
  <si>
    <t>0008299593</t>
  </si>
  <si>
    <t>0008563586</t>
  </si>
  <si>
    <t>0008415147</t>
  </si>
  <si>
    <t>0008351531</t>
  </si>
  <si>
    <t>0008523931</t>
  </si>
  <si>
    <t>0008371280</t>
  </si>
  <si>
    <t>0008533487</t>
  </si>
  <si>
    <t>0008299583</t>
  </si>
  <si>
    <t>0008471079</t>
  </si>
  <si>
    <t>0008415139</t>
  </si>
  <si>
    <t>0008625431</t>
  </si>
  <si>
    <t>0008624816</t>
  </si>
  <si>
    <t>0007301723</t>
  </si>
  <si>
    <t>0008533546</t>
  </si>
  <si>
    <t>0008556239</t>
  </si>
  <si>
    <t>0008383653</t>
  </si>
  <si>
    <t>0008312339</t>
  </si>
  <si>
    <t>0008525330</t>
  </si>
  <si>
    <t>0007601086</t>
  </si>
  <si>
    <t>0008553692</t>
  </si>
  <si>
    <t>0008440839</t>
  </si>
  <si>
    <t>0008602058</t>
  </si>
  <si>
    <t>0008615316</t>
  </si>
  <si>
    <t>0007601104</t>
  </si>
  <si>
    <t>0008622852</t>
  </si>
  <si>
    <t>0008622837</t>
  </si>
  <si>
    <t>0008398243</t>
  </si>
  <si>
    <t>0008305669</t>
  </si>
  <si>
    <t>0007601116</t>
  </si>
  <si>
    <t>0007601177</t>
  </si>
  <si>
    <t>0008419126</t>
  </si>
  <si>
    <t>0008292713</t>
  </si>
  <si>
    <t>0008551992</t>
  </si>
  <si>
    <t>0008617072</t>
  </si>
  <si>
    <t>0008550667</t>
  </si>
  <si>
    <t>0008365181</t>
  </si>
  <si>
    <t>0008538811</t>
  </si>
  <si>
    <t>0008417099</t>
  </si>
  <si>
    <t>0008570176</t>
  </si>
  <si>
    <t>0008601888</t>
  </si>
  <si>
    <t>0008533554</t>
  </si>
  <si>
    <t>0008280370</t>
  </si>
  <si>
    <t>0008551712</t>
  </si>
  <si>
    <t>0008563454</t>
  </si>
  <si>
    <t>0008624674</t>
  </si>
  <si>
    <t>0008616655</t>
  </si>
  <si>
    <t>0008365137</t>
  </si>
  <si>
    <t>0008563145</t>
  </si>
  <si>
    <t>0008581551</t>
  </si>
  <si>
    <t>0008569226</t>
  </si>
  <si>
    <t>0008615876</t>
  </si>
  <si>
    <t>0008478324</t>
  </si>
  <si>
    <t>0008556652</t>
  </si>
  <si>
    <t>0008524764</t>
  </si>
  <si>
    <t>0008550669</t>
  </si>
  <si>
    <t>0008598463</t>
  </si>
  <si>
    <t>0008443143</t>
  </si>
  <si>
    <t>0008617501</t>
  </si>
  <si>
    <t>0008602040</t>
  </si>
  <si>
    <t>0008538006</t>
  </si>
  <si>
    <t>0008525573</t>
  </si>
  <si>
    <t>0008525629</t>
  </si>
  <si>
    <t>0008617062</t>
  </si>
  <si>
    <t>0008627454</t>
  </si>
  <si>
    <t>0008627452</t>
  </si>
  <si>
    <t>0008599105</t>
  </si>
  <si>
    <t>0008599114</t>
  </si>
  <si>
    <t>0008599102</t>
  </si>
  <si>
    <t>0008617512</t>
  </si>
  <si>
    <t>MTI</t>
  </si>
  <si>
    <t>MTO</t>
  </si>
  <si>
    <t>MTIz</t>
  </si>
  <si>
    <t xml:space="preserve">  SE1GFN2-701-BAG    20280KG   22024913    (98965448)  MTI      </t>
  </si>
  <si>
    <t xml:space="preserve">0007141407  SE1GFN1-701-BAG    20000KG   22024908    (200431428)  MTO      </t>
  </si>
  <si>
    <t xml:space="preserve">  PCN2910-BK1D694-BAG    20280KG   22030621    (98624567)        </t>
  </si>
  <si>
    <t xml:space="preserve">  V0150B-701-BAG    10140KG   22017123    (98624569)        </t>
  </si>
  <si>
    <t xml:space="preserve">  PCN2910-BK1D694-BAG    20280KG   22030621    (98628116)        </t>
  </si>
  <si>
    <t xml:space="preserve">  N300X-701-BAG    20494KG   22018853    (97792831)  MTIz      </t>
  </si>
  <si>
    <t xml:space="preserve">0008627934  731S-701S-BAG    20494KG   22031186    (200580786)  MTO      </t>
  </si>
  <si>
    <t xml:space="preserve">  N300X-701-BAG    20494KG   22018853    (97793887)  MTIz      </t>
  </si>
  <si>
    <t xml:space="preserve">0008314190  N1250-BK1066-BAG    5000KG   22040824    (200545535)  MTI      </t>
  </si>
  <si>
    <t xml:space="preserve">  N300X-701-BAG    20494KG   22018853    (97793911)  MTIz      </t>
  </si>
  <si>
    <t xml:space="preserve">  GFN30F-701S-BAG    10247KG   22095738    (98132545)  MTIz      </t>
  </si>
  <si>
    <t xml:space="preserve">  N300X-701-BAG    10247KG   22018853    (98634506)  MTIz      </t>
  </si>
  <si>
    <t xml:space="preserve">  N300X-701-BAG    10247KG   22018853    (98128260)  MTIz      </t>
  </si>
  <si>
    <t xml:space="preserve">  N300X-701-BAG    20494KG   22018853    (98126583)  MTIz      </t>
  </si>
  <si>
    <t xml:space="preserve">  FN150X-GY6253-BAG    5123.5KG   22020058    (200580948)       Br.   </t>
  </si>
  <si>
    <t xml:space="preserve">  N300X-701-BAG    10247KG   22018853    (98128259)  MTIz      </t>
  </si>
  <si>
    <t xml:space="preserve">  N300X-701-BAG    20494KG   22018853    (98634514)  MTIz      </t>
  </si>
  <si>
    <t xml:space="preserve">  HS2000X-111-BAG    20512KG   22023605    (98637555)  MTI      </t>
  </si>
  <si>
    <t xml:space="preserve">0008419307  940-GY6123-BAG    10000KG   22019556    (200559298)  MTO     Br.   </t>
  </si>
  <si>
    <t xml:space="preserve">  SE1X-701-BAG    19180.5KG   22024919    (98966497)  MTI      </t>
  </si>
  <si>
    <t xml:space="preserve">0008415967  PX1600X-701-BAG    20190KG   22017944    (200559041)  MTI      </t>
  </si>
  <si>
    <t xml:space="preserve">0008625726  N1050-5G7A4033-    150KG   299904976    (200579839)  MTO      </t>
  </si>
  <si>
    <t xml:space="preserve">0008627757  N1050-5G7A4033-    150KG   299904976    (200580620)  MTO      </t>
  </si>
  <si>
    <t xml:space="preserve">0008569052  Z20001-BK1B694-BAG    100KG   22028656    (200573552)  MTO      </t>
  </si>
  <si>
    <t xml:space="preserve">0008346067  1000-BL1B081T-BAG    500KG   22037954    (200549162)  MTO      </t>
  </si>
  <si>
    <t xml:space="preserve">0007448530  2310-7301-BAG    5000KG   22017567    (200485078)  MTO      </t>
  </si>
  <si>
    <t xml:space="preserve">0008417200  1000-GY2C261-BAG    1000KG   22019057    (200559078)  MTO      </t>
  </si>
  <si>
    <t xml:space="preserve">0008227804  1000-BL3122-BAG    1000KG   22033123    (200533469)  MTO      </t>
  </si>
  <si>
    <t xml:space="preserve">0008474687  N300X-BR7E123-BAG    500KG   22036871    (200561480)  MTO      </t>
  </si>
  <si>
    <t xml:space="preserve">  GFN1F-GY8B055F-BAG    537.9KG   22086384    (200580658)       Br.   </t>
  </si>
  <si>
    <t xml:space="preserve">  500R-739-BAG    1000KG   22021700    (98869237)       Br.   </t>
  </si>
  <si>
    <t xml:space="preserve">0008314187  243R-111-BAG    2000KG   22019283    (200545577)  MTO      </t>
  </si>
  <si>
    <t xml:space="preserve">0007601148  143R-71257-BAG    2000KG   22037594    (200495918)  MTO     Br.   </t>
  </si>
  <si>
    <t xml:space="preserve">  243R-111-BAG    2000KG   22019283    (200569645)  MTO      </t>
  </si>
  <si>
    <t xml:space="preserve">0008565047  FXC630SK-GY5G042M-BAG    26.24KG   22032487    (200572989)  MTO     Br.   </t>
  </si>
  <si>
    <t xml:space="preserve">0008564716  FXC630SK-GY5G042M-BAG    26.24KG   22032487    (200573028)  MTO     Br.   </t>
  </si>
  <si>
    <t xml:space="preserve">0008563859  FXC630SK-GY5G042M-BAG    26.24KG   22032487    (200573025)  MTO     Br.   </t>
  </si>
  <si>
    <t xml:space="preserve">0008563812  FXC630SK-GY5G042M-BAG    78.72KG   22032487    (200572956)  MTO     Br.   </t>
  </si>
  <si>
    <t xml:space="preserve">0007601313  420-WH6E281-BAG    5000KG   22031065    (200496046)  MTO     Br.   </t>
  </si>
  <si>
    <t xml:space="preserve">0008371470  457-GN4072-BAG    1000KG   22031214    (200553584)  MTO     Br.   </t>
  </si>
  <si>
    <t xml:space="preserve">0008581450  553-GY6G326-BAG    500KG   22034195    (200574866)  MTO     Br.   </t>
  </si>
  <si>
    <t xml:space="preserve">0008345813  DR48-7001-BAG    1000KG   22027892    (200549070)  MTO     Br.   </t>
  </si>
  <si>
    <t xml:space="preserve">0008227792  553U-2R4A1010-    225KG   299901392    (200533483)  MTO     Br.   </t>
  </si>
  <si>
    <t xml:space="preserve">0007730316  CR7500-BK1041-BAG    2000KG   22019769    (200508789)  MTO     Br.   </t>
  </si>
  <si>
    <t xml:space="preserve">0008617597  FXC630SK-GY5G042M-BAG    26.24KG   22032487    (200579060)  MTO     Br.   </t>
  </si>
  <si>
    <t xml:space="preserve">0008374911  X4820-YW3D010-BAG    2000KG   22025024    (200554558)  MTO     Br.   </t>
  </si>
  <si>
    <t xml:space="preserve">  FXC810SK-BL4G091M-BAG    2099.2KG   22036119    (200580850)        </t>
  </si>
  <si>
    <t xml:space="preserve">  420-1001-BAG    1061KG   22021631    (200580898)  MTO      </t>
  </si>
  <si>
    <t xml:space="preserve">  357-7M7D049-BAG    1057.4KG   22044074    (200580616)  MTO     Br.   </t>
  </si>
  <si>
    <t xml:space="preserve">0008628385  CR7520-BK1500-BAG    5233.5KG   22039992    (200580909)  MTO     Br.   </t>
  </si>
  <si>
    <t xml:space="preserve">0008450109  LS2-7056-BAG    2000KG   22041034    (200560551)  MTO     Br.   </t>
  </si>
  <si>
    <t xml:space="preserve">0008551947  C6600-7M3D029-BAG    523.05KG   22031791    (200570787)  MTO      </t>
  </si>
  <si>
    <t xml:space="preserve">0008551923  C6600-GY5A405-BAG    523.05KG   22038955    (200570773)  MTO     Br.   </t>
  </si>
  <si>
    <t xml:space="preserve">0008297396  505RU-WH8E372-BAG    1000KG   22029849    (200541914)  MTO      </t>
  </si>
  <si>
    <t xml:space="preserve">0007823525  505RU-WH9F090-BAG    2000KG   22033788    (200517901)  MTO     Br.   </t>
  </si>
  <si>
    <t xml:space="preserve">0008250785  505RU-7T8D558-BAG    100KG   22031252    (200537987)  MTO      </t>
  </si>
  <si>
    <t xml:space="preserve">0008562506  LF1520A-BK1005-BAG    2092.2KG   22023993    (200572729)  MTO     Br.   </t>
  </si>
  <si>
    <t xml:space="preserve">0008538145  500-739-BAG    25KG   22021690    (200568560)  MTO     Br.   </t>
  </si>
  <si>
    <t xml:space="preserve">0008469710  500R-RD5D188-BAG    1000KG   22029841    (200561041)  MTO     Br.   </t>
  </si>
  <si>
    <t xml:space="preserve">0008343836  505RU-7T8D558-BAG    1000KG   22031252    (200548614)  MTO      </t>
  </si>
  <si>
    <t xml:space="preserve">  500R-73231-BAG    1000KG   22031231    (200568261)  MTO     Br.   </t>
  </si>
  <si>
    <t xml:space="preserve">  C6600-111-BAG    20000KG   22018361    (97350978)  MTIz      </t>
  </si>
  <si>
    <t xml:space="preserve">0007601272  420-BK1066-BAG    10000KG   22021633    (200496030)  MTO      </t>
  </si>
  <si>
    <t xml:space="preserve">0008347451  C1200HF-GY6G152-BAG    5000KG   22034465    (200549469)  MTO      </t>
  </si>
  <si>
    <t xml:space="preserve">0008370744  CY8630-701-BAG    20000KG   22089617    (200553402)  MTO      </t>
  </si>
  <si>
    <t xml:space="preserve">0008370747  CY8630-701-BAG    20000KG   22089617    (200553403)  MTO      </t>
  </si>
  <si>
    <t xml:space="preserve">0008233687  243R-WH4B198-BAG    20000KG   22038486    (200534991)  MTO      </t>
  </si>
  <si>
    <t xml:space="preserve">0007575049  508-BK1066-BAG    20000KG   22021921    (200494168)  MTO      </t>
  </si>
  <si>
    <t xml:space="preserve">0008500272  420-1001-BAG    3000KG   22021631    (200563947)  MTO      </t>
  </si>
  <si>
    <t xml:space="preserve">0008297943  420-1001-BAG    3000KG   22021631    (200542038)  MTO      </t>
  </si>
  <si>
    <t xml:space="preserve">  1105-78211-BAG    10000KG   22030691    (200498223)  MTO      </t>
  </si>
  <si>
    <t xml:space="preserve">  5220U-YW6A028-BAG    20000KG   22019425    (200549384)  MTI     Br.   </t>
  </si>
  <si>
    <t xml:space="preserve">0008624237  C7210A-BK1066-BAG    5067.5KG   22031940    (200579762)  MTO      </t>
  </si>
  <si>
    <t xml:space="preserve">0007574107  141R-111-BAG    10000KG   22018087    (200494075)  MTO      </t>
  </si>
  <si>
    <t xml:space="preserve">0008441839  121R-111-BAG    15000KG   22019125    (200560234)  MTO      </t>
  </si>
  <si>
    <t xml:space="preserve">  121R-111-BAG    10000KG   22019125    (200497082)  MTO      </t>
  </si>
  <si>
    <t xml:space="preserve">  241S-WH4113-BAG    20000KG   22031083    (94604321)        </t>
  </si>
  <si>
    <t xml:space="preserve">0008625572  C6600-2B2D008-BAG    5050KG   22039652    (200579915)  MTO      </t>
  </si>
  <si>
    <t xml:space="preserve">0008627764  C6600-7T2D117-BAG    5000KG   22031798    (200580708)  MTO      </t>
  </si>
  <si>
    <t xml:space="preserve">0008372066  500R-73231-BAG    5000KG   22031231    (200553729)  MTO     Br.   </t>
  </si>
  <si>
    <t xml:space="preserve">0008552002  MC8002-701-BAG    5050KG   22023863    (200570809)  MTO      </t>
  </si>
  <si>
    <t xml:space="preserve">0008627642  108CS20-10000-BAG    10200KG   22098777    (200580659)  MTO      </t>
  </si>
  <si>
    <t xml:space="preserve">0008499725  G3220A-10000-BAG    19000KG   22017397    (200563931)  MTO      </t>
  </si>
  <si>
    <t xml:space="preserve">0008627525  7530-14600-OCT    30599.999KG   22098314    (200580632)  MTO      </t>
  </si>
  <si>
    <t xml:space="preserve">  C1200HF-76701-BAG    10134KG   22028141    (200580688)        </t>
  </si>
  <si>
    <t xml:space="preserve">  123R-701-BAG    10298KG   22017535    (200579146)  MTO      </t>
  </si>
  <si>
    <t xml:space="preserve">  121R-701-BAG    10000KG   22021257    (200496011)        </t>
  </si>
  <si>
    <t xml:space="preserve">0008347170  553-7001-BAG    10000KG   22034189    (200549389)  MTO     Br.   </t>
  </si>
  <si>
    <t xml:space="preserve">0008347213  553-OR5G003-BAG    10000KG   22031160    (200549443)  MTO     Br.   </t>
  </si>
  <si>
    <t xml:space="preserve">0008320352  V3900WX-7M8D027-BAG    5000KG   22032797    (200547366)  MTO     Br.   </t>
  </si>
  <si>
    <t xml:space="preserve">  553-1001-BAG    5123.5KG   22019426    (98964134)  MTI     Br.   </t>
  </si>
  <si>
    <t xml:space="preserve">0008552007  MC8002-WH9C274-BAG    2055.8KG   22040648    (200570717)  MTO      </t>
  </si>
  <si>
    <t xml:space="preserve">0008232950  C6600-7T6D253-BAG    1000KG   22084473    (200534819)  MTO      </t>
  </si>
  <si>
    <t xml:space="preserve">0007795599  CX7211-7T1D166-BAG    5000KG   22035192    (200515849)  MTO      </t>
  </si>
  <si>
    <t xml:space="preserve">0008416404  5220U-BL1A569-BAG    1000KG   22019416    (200559101)  MTO      </t>
  </si>
  <si>
    <t xml:space="preserve">0008556155  505RU-8T8D118-BAG    2060.8KG   22029848    (200571725)  MTO      </t>
  </si>
  <si>
    <t xml:space="preserve">0007763376  123R-701-BAG    8000KG   22017535    (200510624)  MTO      </t>
  </si>
  <si>
    <t xml:space="preserve">  C1200HF-GY1D457U-BAG    10250KG   22029050    (200496028)        </t>
  </si>
  <si>
    <t xml:space="preserve">  121R-701-BAG    10244KG   22021257    (200495979)        </t>
  </si>
  <si>
    <t>Line</t>
    <phoneticPr fontId="6" type="noConversion"/>
  </si>
  <si>
    <t>No.</t>
    <phoneticPr fontId="6" type="noConversion"/>
  </si>
  <si>
    <t xml:space="preserve">0008375220  N1250-4N4D011-BAG    5000KG   22037195    (200554705)  MTO      </t>
    <phoneticPr fontId="6" type="noConversion"/>
  </si>
  <si>
    <t xml:space="preserve">0007479401  WCD915-7A1D285-SBG    5000KG   22080571    (200487847)  MTO      </t>
    <phoneticPr fontId="6" type="noConversion"/>
  </si>
  <si>
    <t xml:space="preserve">0008351673  FN215X-111-BAG    6475KG   22028763    (200550354)  MTO      </t>
    <phoneticPr fontId="6" type="noConversion"/>
  </si>
  <si>
    <t xml:space="preserve">0008556944  PX2801Z-BK1066-BAG    2083.8KG   22032844    (200571870)  MTO      </t>
    <phoneticPr fontId="6" type="noConversion"/>
  </si>
  <si>
    <t xml:space="preserve">0007504054  WCD915-8A7D027-SBG    6000KG   22080572    (200488681)  MTO      </t>
    <phoneticPr fontId="6" type="noConversion"/>
  </si>
  <si>
    <t xml:space="preserve">0008570530  HS2000X-GY8D625-BAG    5209.5KG   22020355    (200573621)  MTO      </t>
    <phoneticPr fontId="6" type="noConversion"/>
  </si>
  <si>
    <t xml:space="preserve">  N1050-BL2G084-BAG    5209.5KG   22040815    (93391781)  MTO      </t>
    <phoneticPr fontId="6" type="noConversion"/>
  </si>
  <si>
    <t xml:space="preserve">0008609193  NH7010-GN6D122-BAG    520.95KG   22036882    (200577954)  MTO     Br.   </t>
    <phoneticPr fontId="6" type="noConversion"/>
  </si>
  <si>
    <t xml:space="preserve">0008556953  731-780-BAG    520.95KG   22021817    (200571905)  MTO      </t>
    <phoneticPr fontId="6" type="noConversion"/>
  </si>
  <si>
    <t xml:space="preserve">  WCD801A-BK1066-SBG    1041.9KG   22041364    (200579760)  MTO      </t>
    <phoneticPr fontId="6" type="noConversion"/>
  </si>
  <si>
    <t xml:space="preserve">  7310-701-BAG    2000KG   22095148    (200542757)        </t>
    <phoneticPr fontId="6" type="noConversion"/>
  </si>
  <si>
    <t xml:space="preserve">  GFN1F-BL2B038F-BAG    500KG   22087137    (200580612)  MTO     Br.   </t>
    <phoneticPr fontId="6" type="noConversion"/>
  </si>
  <si>
    <t xml:space="preserve">  N300-701-BAG    522.85KG   22041234    (200577806)  MTO      </t>
    <phoneticPr fontId="6" type="noConversion"/>
  </si>
  <si>
    <t xml:space="preserve">  N300-701-BAG    500KG   22041234    (200568753)  MTO      </t>
    <phoneticPr fontId="6" type="noConversion"/>
  </si>
  <si>
    <t xml:space="preserve">  GFN20-801-BAG    4000KG   22095158    (200552257)  MTO      </t>
    <phoneticPr fontId="6" type="noConversion"/>
  </si>
  <si>
    <t xml:space="preserve">  NH6020-100-BAG    20000KG   22060061    (200550112)  MTO      </t>
    <phoneticPr fontId="6" type="noConversion"/>
  </si>
  <si>
    <t xml:space="preserve">  NH6020-100-BAG    20000KG   22060061    (200550053)  MTO      </t>
    <phoneticPr fontId="6" type="noConversion"/>
  </si>
  <si>
    <t xml:space="preserve">  NH6020-100-BAG    10000KG   22060061    (200550113)  MTO      </t>
    <phoneticPr fontId="6" type="noConversion"/>
  </si>
  <si>
    <t xml:space="preserve">  NH6020-100-BAG    20000KG   22060061    (200550100)  MTO      </t>
    <phoneticPr fontId="6" type="noConversion"/>
  </si>
  <si>
    <t>0002448532</t>
  </si>
  <si>
    <t>0002448573</t>
  </si>
  <si>
    <t>0002417783</t>
  </si>
  <si>
    <t>0002402547</t>
  </si>
  <si>
    <t>0002450493</t>
  </si>
  <si>
    <t>0059821205</t>
  </si>
  <si>
    <t>0002343637</t>
  </si>
  <si>
    <t>2001622869</t>
  </si>
  <si>
    <t>0059500269</t>
  </si>
  <si>
    <t>0002375693</t>
  </si>
  <si>
    <t>2001836123</t>
  </si>
  <si>
    <t>0002391789</t>
  </si>
  <si>
    <t>2001832920</t>
  </si>
  <si>
    <t>4503085555</t>
  </si>
  <si>
    <t>2000488011</t>
  </si>
  <si>
    <t>0059100359</t>
  </si>
  <si>
    <t>0002420876</t>
  </si>
  <si>
    <t>0002393053</t>
  </si>
  <si>
    <t>0002464831</t>
  </si>
  <si>
    <t>2001836076</t>
  </si>
  <si>
    <t>0002174735</t>
  </si>
  <si>
    <t>0002376290</t>
  </si>
  <si>
    <t>0002286305</t>
  </si>
  <si>
    <t>0002286626</t>
  </si>
  <si>
    <t>0002438597</t>
  </si>
  <si>
    <t>0002457094</t>
  </si>
  <si>
    <t>4503089589</t>
  </si>
  <si>
    <t>0002466326</t>
  </si>
  <si>
    <t>0002453263</t>
  </si>
  <si>
    <t>4503074802</t>
  </si>
  <si>
    <t>0002433973</t>
  </si>
  <si>
    <t>4503067811</t>
  </si>
  <si>
    <t>0/05:01:52</t>
  </si>
  <si>
    <t>2001209022</t>
  </si>
  <si>
    <t>0002457076</t>
  </si>
  <si>
    <t>0002466246</t>
  </si>
  <si>
    <t>0002455001</t>
  </si>
  <si>
    <t>0002450467</t>
  </si>
  <si>
    <t>000200570578</t>
  </si>
  <si>
    <t>299905739</t>
  </si>
  <si>
    <t>GFN20F-873S</t>
  </si>
  <si>
    <t>0002459673</t>
  </si>
  <si>
    <t>0002466570</t>
  </si>
  <si>
    <t>0002474955</t>
  </si>
  <si>
    <t>0002470641</t>
  </si>
  <si>
    <t>0/00:13:53</t>
  </si>
  <si>
    <t>4503089226</t>
  </si>
  <si>
    <t>0002394467</t>
  </si>
  <si>
    <t>0002391765</t>
  </si>
  <si>
    <t>0002391753</t>
  </si>
  <si>
    <t>0002417370</t>
  </si>
  <si>
    <t>0002419116</t>
  </si>
  <si>
    <t>0002463167</t>
  </si>
  <si>
    <t>0002465052</t>
  </si>
  <si>
    <t>000200580674</t>
  </si>
  <si>
    <t>1/08:50:37</t>
  </si>
  <si>
    <t>0002404251</t>
  </si>
  <si>
    <t>0002453339</t>
  </si>
  <si>
    <t>0049</t>
  </si>
  <si>
    <t>0/00:11:19</t>
  </si>
  <si>
    <t>0002446612</t>
  </si>
  <si>
    <t>0002453316</t>
  </si>
  <si>
    <t>0002448416</t>
  </si>
  <si>
    <t>0002442681</t>
  </si>
  <si>
    <t>0002442720</t>
  </si>
  <si>
    <t>0/03:15:12</t>
  </si>
  <si>
    <t>0002466563</t>
  </si>
  <si>
    <t>0002468931</t>
  </si>
  <si>
    <t>0002455255</t>
  </si>
  <si>
    <t>0002442750</t>
  </si>
  <si>
    <t>0002431737</t>
  </si>
  <si>
    <t>0002462829</t>
  </si>
  <si>
    <t>0002455355</t>
  </si>
  <si>
    <t>0002464725</t>
  </si>
  <si>
    <t>0002396240</t>
  </si>
  <si>
    <t>000200554876</t>
  </si>
  <si>
    <t>0/12:23:25</t>
  </si>
  <si>
    <t>000200495977</t>
  </si>
  <si>
    <t>0002441187</t>
  </si>
  <si>
    <t>0002424231</t>
  </si>
  <si>
    <t>000200548488</t>
  </si>
  <si>
    <t>0/03:57:02</t>
  </si>
  <si>
    <t>0002422237</t>
  </si>
  <si>
    <t>000200548710</t>
  </si>
  <si>
    <t>22018474</t>
  </si>
  <si>
    <t>ENH4550-BK1066-BAG-00-00-00</t>
  </si>
  <si>
    <t>0/07:10:15</t>
  </si>
  <si>
    <t>ENH4550</t>
  </si>
  <si>
    <t>000200564021</t>
  </si>
  <si>
    <t>22035584</t>
  </si>
  <si>
    <t>ENH4560-BK1066-BAG-00-00-00</t>
  </si>
  <si>
    <t>0002450952</t>
  </si>
  <si>
    <t>ENH4560</t>
  </si>
  <si>
    <t>0002455133</t>
  </si>
  <si>
    <t>0/11:51:52</t>
  </si>
  <si>
    <t>0002443222</t>
  </si>
  <si>
    <t>000200567614</t>
  </si>
  <si>
    <t>0/12:36:29</t>
  </si>
  <si>
    <t>0002454932</t>
  </si>
  <si>
    <t>0002414507</t>
  </si>
  <si>
    <t>0002463435</t>
  </si>
  <si>
    <t>000200555872</t>
  </si>
  <si>
    <t>1/00:19:25</t>
  </si>
  <si>
    <t>0002426061</t>
  </si>
  <si>
    <t>000200555873</t>
  </si>
  <si>
    <t>0002389224</t>
  </si>
  <si>
    <t>0002427743</t>
  </si>
  <si>
    <t>0/10:39:23</t>
  </si>
  <si>
    <t>0002435101</t>
  </si>
  <si>
    <t>0002424242</t>
  </si>
  <si>
    <t>0002435136</t>
  </si>
  <si>
    <t>0002466846</t>
  </si>
  <si>
    <t>000200574646</t>
  </si>
  <si>
    <t>1/00:38:23</t>
  </si>
  <si>
    <t>000200554942</t>
  </si>
  <si>
    <t>1/00:43:30</t>
  </si>
  <si>
    <t>0002429948</t>
  </si>
  <si>
    <t>000200546221</t>
  </si>
  <si>
    <t>0/18:32:37</t>
  </si>
  <si>
    <t>0002418883</t>
  </si>
  <si>
    <t>000200462904</t>
  </si>
  <si>
    <t>0/18:28:08</t>
  </si>
  <si>
    <t>0002441293</t>
  </si>
  <si>
    <t>0/12:22:20</t>
  </si>
  <si>
    <t>000200537119</t>
  </si>
  <si>
    <t>0/09:43:56</t>
  </si>
  <si>
    <t>0002402815</t>
  </si>
  <si>
    <t>000200573606</t>
  </si>
  <si>
    <t>0002433939</t>
  </si>
  <si>
    <t>0002454156</t>
  </si>
  <si>
    <t>0002333540</t>
  </si>
  <si>
    <t>000200548433</t>
  </si>
  <si>
    <t>0/22:25:38</t>
  </si>
  <si>
    <t>0002350516</t>
  </si>
  <si>
    <t>0002333886</t>
  </si>
  <si>
    <t>0002334020</t>
  </si>
  <si>
    <t>0002334022</t>
  </si>
  <si>
    <t>0/09:04:44</t>
  </si>
  <si>
    <t>000200568232</t>
  </si>
  <si>
    <t>22038359</t>
  </si>
  <si>
    <t>943A-GY3D550-BAG-00-00-00</t>
  </si>
  <si>
    <t>0/03:50:02</t>
  </si>
  <si>
    <t>0002455560</t>
  </si>
  <si>
    <t>GY3D550</t>
  </si>
  <si>
    <t>000200571862</t>
  </si>
  <si>
    <t>22028109</t>
  </si>
  <si>
    <t>553U-BK1066-BAG-00-00-00</t>
  </si>
  <si>
    <t>000200571821</t>
  </si>
  <si>
    <t>000200532822</t>
  </si>
  <si>
    <t>0/06:18:10</t>
  </si>
  <si>
    <t>0002394506</t>
  </si>
  <si>
    <t>000200576456</t>
  </si>
  <si>
    <t>22021676</t>
  </si>
  <si>
    <t>457-1001-BAG-00-00-00</t>
  </si>
  <si>
    <t>0/05:45:00</t>
  </si>
  <si>
    <t>4502999715</t>
  </si>
  <si>
    <t>000200496010</t>
  </si>
  <si>
    <t>0/06:17:01</t>
  </si>
  <si>
    <t>0002335578</t>
  </si>
  <si>
    <t>0002438644</t>
  </si>
  <si>
    <t>0002474217</t>
  </si>
  <si>
    <t>0002463310</t>
  </si>
  <si>
    <t>0002476167</t>
  </si>
  <si>
    <t>000200570663</t>
  </si>
  <si>
    <t>22030951</t>
  </si>
  <si>
    <t>123R-WH9450-BAG-00-00-00</t>
  </si>
  <si>
    <t>0/04:49:57</t>
  </si>
  <si>
    <t>0002459615</t>
  </si>
  <si>
    <t>WH9450</t>
  </si>
  <si>
    <t>000200574684</t>
  </si>
  <si>
    <t>000200495971</t>
  </si>
  <si>
    <t>0/11:47:55</t>
  </si>
  <si>
    <t>0002335511</t>
  </si>
  <si>
    <t>000200560285</t>
  </si>
  <si>
    <t>0/04:44:59</t>
  </si>
  <si>
    <t>0002445164</t>
  </si>
  <si>
    <t>000200553727</t>
  </si>
  <si>
    <t>22030899</t>
  </si>
  <si>
    <t>121R-GY6G329-BAG-00-00-00</t>
  </si>
  <si>
    <t>GY6G329</t>
  </si>
  <si>
    <t>000200574685</t>
  </si>
  <si>
    <t>0/23:41:07</t>
  </si>
  <si>
    <t>000200499262</t>
  </si>
  <si>
    <t>0/04:46:21</t>
  </si>
  <si>
    <t>000200568275</t>
  </si>
  <si>
    <t>22019812</t>
  </si>
  <si>
    <t>CX7240-7A1D002-BAG-00-00-00</t>
  </si>
  <si>
    <t>0/02:23:05</t>
  </si>
  <si>
    <t>0002456528</t>
  </si>
  <si>
    <t>7A1D002</t>
  </si>
  <si>
    <t>000200565967</t>
  </si>
  <si>
    <t>22106541</t>
  </si>
  <si>
    <t>5220UC-6A3A2760-BAG-00-00-00</t>
  </si>
  <si>
    <t>0002453170</t>
  </si>
  <si>
    <t>5220UC</t>
  </si>
  <si>
    <t>6A3A2760</t>
  </si>
  <si>
    <t>000200567203</t>
  </si>
  <si>
    <t>0002454706</t>
  </si>
  <si>
    <t>000200543470</t>
  </si>
  <si>
    <t>0/04:54:54</t>
  </si>
  <si>
    <t>0002414402</t>
  </si>
  <si>
    <t>000200554897</t>
  </si>
  <si>
    <t>0/06:58:30</t>
  </si>
  <si>
    <t>0002434938</t>
  </si>
  <si>
    <t>000200531739</t>
  </si>
  <si>
    <t>0/07:06:23</t>
  </si>
  <si>
    <t>000200561405</t>
  </si>
  <si>
    <t>0002448832</t>
  </si>
  <si>
    <t>0002464605</t>
  </si>
  <si>
    <t>0/09:21:13</t>
  </si>
  <si>
    <t>0002448540</t>
  </si>
  <si>
    <t>0/23:51:43</t>
  </si>
  <si>
    <t>000200579987</t>
  </si>
  <si>
    <t>0/04:46:04</t>
  </si>
  <si>
    <t>0002411294</t>
  </si>
  <si>
    <t>4503060958</t>
  </si>
  <si>
    <t>0002379699</t>
  </si>
  <si>
    <t>0002396928</t>
  </si>
  <si>
    <t>0002316766</t>
  </si>
  <si>
    <t>0008551212</t>
  </si>
  <si>
    <t>0008627468</t>
  </si>
  <si>
    <t>0007601251</t>
  </si>
  <si>
    <t>0007622342</t>
  </si>
  <si>
    <t>0008342430</t>
  </si>
  <si>
    <t>0008344460</t>
  </si>
  <si>
    <t>0008501569</t>
  </si>
  <si>
    <t>0008533905</t>
  </si>
  <si>
    <t>0008379201</t>
  </si>
  <si>
    <t>0008379203</t>
  </si>
  <si>
    <t>0008574976</t>
  </si>
  <si>
    <t>0008376309</t>
  </si>
  <si>
    <t>0008316164</t>
  </si>
  <si>
    <t>0007280275</t>
  </si>
  <si>
    <t>0008242446</t>
  </si>
  <si>
    <t>0008569232</t>
  </si>
  <si>
    <t>0008342037</t>
  </si>
  <si>
    <t>0008536113</t>
  </si>
  <si>
    <t>0008556811</t>
  </si>
  <si>
    <t>0008556806</t>
  </si>
  <si>
    <t>0008223595</t>
  </si>
  <si>
    <t>0008599118</t>
  </si>
  <si>
    <t>0007601301</t>
  </si>
  <si>
    <t>0008551134</t>
  </si>
  <si>
    <t>0008575867</t>
  </si>
  <si>
    <t>0007601076</t>
  </si>
  <si>
    <t>0008442812</t>
  </si>
  <si>
    <t>0008372021</t>
  </si>
  <si>
    <t>0008575874</t>
  </si>
  <si>
    <t>0007634135</t>
  </si>
  <si>
    <t>0008537039</t>
  </si>
  <si>
    <t>0008524173</t>
  </si>
  <si>
    <t>0008531973</t>
  </si>
  <si>
    <t>0008305592</t>
  </si>
  <si>
    <t>0008376352</t>
  </si>
  <si>
    <t>0008218814</t>
  </si>
  <si>
    <t>0008471695</t>
  </si>
  <si>
    <t>0007601306</t>
  </si>
  <si>
    <t xml:space="preserve">  PCN2910-BK1066-BAG    11863.8KG   22032814    (87160091)  MTI      </t>
  </si>
  <si>
    <t xml:space="preserve">  SE1GFN2-701-BAG    20280KG   22024913    (97776719)  MTI      </t>
  </si>
  <si>
    <t xml:space="preserve">  PCN2910-BK1D694-BAG    20000KG   22030621    (97083828)  MTI      </t>
  </si>
  <si>
    <t xml:space="preserve">  PCN2910-BK1D694-BAG    20280KG   22030621    (97776874)  MTI      </t>
  </si>
  <si>
    <t xml:space="preserve">  SE1GFN1-701-BAG    20000KG   22024908    (200431428)  MTO      </t>
  </si>
  <si>
    <t xml:space="preserve">  PCN2910-BK1D694-BAG    20280KG   22030621    (98075108)  MTI      </t>
  </si>
  <si>
    <t xml:space="preserve">  HM3020H-75001-BAG    15000KG   22036424    (200548439)  MTO      </t>
  </si>
  <si>
    <t xml:space="preserve">  PCN2910-BK1D694-BAG    20280KG   22030621    (98624567)  MTI      </t>
  </si>
  <si>
    <t xml:space="preserve">  V0150B-701-BAG    10140KG   22017123    (98624569)  MTI      </t>
  </si>
  <si>
    <t xml:space="preserve">  PCN2910-BK1D694-BAG    20280KG   22030621    (98628116)  MTI      </t>
  </si>
  <si>
    <t xml:space="preserve">0008599121  GFN30F-701S-BAG    12296.4KG   22095738    (200576458)  MTI      </t>
  </si>
  <si>
    <t xml:space="preserve">0008599107  GFN30F-701S-BAG    10000KG   22095738    (200576457)  MTI      </t>
  </si>
  <si>
    <t xml:space="preserve">0008607659  GFN30F-701S-BAG    10000KG   22095738    (200577699)  MTI      </t>
  </si>
  <si>
    <t xml:space="preserve">  GFN30F-701S-BAG    10000KG   22095738    (97271372)  MTI      </t>
  </si>
  <si>
    <t xml:space="preserve">  N300X-701-BAG    20000KG   22018853    (95448250)  MTI      </t>
  </si>
  <si>
    <t xml:space="preserve">  N300X-701-BAG    20494KG   22018853    (97792831)  MTI      </t>
  </si>
  <si>
    <t xml:space="preserve">  N300X-701-BAG    20494KG   22018853    (97793887)  MTI      </t>
  </si>
  <si>
    <t xml:space="preserve">  N1250-BK1066-BAG    5000KG   22040824    (200545535)  MTI      </t>
  </si>
  <si>
    <t xml:space="preserve">  N300X-701-BAG    20494KG   22018853    (97793911)  MTI      </t>
  </si>
  <si>
    <t xml:space="preserve">  GFN30F-701S-BAG    10247KG   22095738    (98132545)  MTI      </t>
  </si>
  <si>
    <t xml:space="preserve">  N300X-701-BAG    10247KG   22018853    (98634506)  MTI      </t>
  </si>
  <si>
    <t xml:space="preserve">  N300X-701-BAG    10247KG   22018853    (98128260)  MTI      </t>
  </si>
  <si>
    <t xml:space="preserve">  GFN1520V-701F-BAG    5123.5KG   22032538    (200573555)  MTO      </t>
  </si>
  <si>
    <t xml:space="preserve">  N300X-701-BAG    20494KG   22018853    (98126583)  MTI      </t>
  </si>
  <si>
    <t xml:space="preserve">  N300X-701-BAG    10247KG   22018853    (98128259)  MTI      </t>
  </si>
  <si>
    <t xml:space="preserve">  N300X-701-BAG    20494KG   22018853    (98634514)  MTI      </t>
  </si>
  <si>
    <t xml:space="preserve">0008599122  500R-131-BAG    10000KG   22018199    (200576455)  MTO     Br.   </t>
  </si>
  <si>
    <t xml:space="preserve">0007662044  241R-111-BAG    20000KG   22019277    (200503184)  MTO      </t>
  </si>
  <si>
    <t xml:space="preserve">  CX2244ME-8T8D280-BAG    3058.2KG   22088072    (96103479)  MTO     Br.   </t>
  </si>
  <si>
    <t xml:space="preserve">  945-NC-BAG    5097KG   22022070    (97350979)  MTI      </t>
  </si>
  <si>
    <t xml:space="preserve">0008536959  C6600-111-BAG    20388KG   22018361    (200568365)  MTI      </t>
  </si>
  <si>
    <t xml:space="preserve">  500R-131-BAG    10000KG   22018199    (96011956)  MTO     Br.   </t>
  </si>
  <si>
    <t xml:space="preserve">  943A-116-BAG    5107.5KG   22017080    (98133786)  MTO     Br.   </t>
  </si>
  <si>
    <t xml:space="preserve">  945-NC-BAG    20000KG   22022070    (97350980)  MTI      </t>
  </si>
  <si>
    <t xml:space="preserve">  945-NC-BAG    20000KG   22022070    (97353918)  MTI      </t>
  </si>
  <si>
    <t xml:space="preserve">  940-GY6123-BAG    10000KG   22019556    (200559298)  MTO     Br.   </t>
  </si>
  <si>
    <t xml:space="preserve">  945-NC-BAG    20000KG   22022070    (97353919)  MTI      </t>
  </si>
  <si>
    <t xml:space="preserve">  CX2244ME-8T8D280-BAG    4000KG   22088072    (96103090)  MTO     Br.   </t>
  </si>
  <si>
    <t xml:space="preserve">0008627458  PX9406P-7001-BAG    20000KG   22041318    (200580651)  MTI      </t>
  </si>
  <si>
    <t xml:space="preserve">0008627460  PX9406P-7001-BAG    20000KG   22041318    (200580652)  MTI      </t>
  </si>
  <si>
    <t xml:space="preserve">0008627455  PX9406P-7001-BAG    20000KG   22041318    (200580648)  MTI      </t>
  </si>
  <si>
    <t xml:space="preserve">  PX1600X-701-BAG    20190KG   22017944    (200559041)  MTI      </t>
  </si>
  <si>
    <t xml:space="preserve">0008552783  FN150X-GY6C356-BAG    520.95KG   22029416    (200570886)  MTO      </t>
  </si>
  <si>
    <t xml:space="preserve">0008556728  731S-WH9E116F-BAG    520.95KG   22038876    (200571811)  MTO      </t>
  </si>
  <si>
    <t xml:space="preserve">  PX2801Z-BK1066-BAG    2083.8KG   22032844    (200571870)  MTO      </t>
  </si>
  <si>
    <t xml:space="preserve">  WCD915-8A7D027-SBG    6000KG   22080572    (200488681)  MTO      </t>
  </si>
  <si>
    <t xml:space="preserve">  HS2000X-GY8D625-BAG    5209.5KG   22020355    (200573621)  MTO      </t>
  </si>
  <si>
    <t xml:space="preserve">  NH7010-GN6D122-BAG    520.95KG   22036882    (200577954)  MTO     Br.   </t>
  </si>
  <si>
    <t xml:space="preserve">  7310-701-BAG    2000KG   22095148    (200542757)  MTO      </t>
  </si>
  <si>
    <t xml:space="preserve">0008563149  NH7114-BK1005-BAG    2108.025KG   22036884    (200572845)  MTO      </t>
  </si>
  <si>
    <t xml:space="preserve">  WCA955-111-SBG    3000KG   22080186    (87853874)  MTO      </t>
  </si>
  <si>
    <t xml:space="preserve">  WCD933-5A2D002-SBG    4000KG   22079928    (200447176)  MTO      </t>
  </si>
  <si>
    <t xml:space="preserve">0008551212  GFN20F-873S-    100KG   299905739    (200570578)  MTO      </t>
  </si>
  <si>
    <t xml:space="preserve">0008625996  PX9406P-111-BAG    26.895KG   22032727    (200580153)  MTO      </t>
  </si>
  <si>
    <t xml:space="preserve">0008607838  GFN20-111-    26.895KG   299901206    (200577882)  MTO      </t>
  </si>
  <si>
    <t xml:space="preserve">0008627447  2200-1000-BAG    25KG   22017280    (200580630)  MTO      </t>
  </si>
  <si>
    <t xml:space="preserve">0008546128  1000-7A1D252-BAG    1000KG   22021108    (200569760)  MTO      </t>
  </si>
  <si>
    <t xml:space="preserve">0007760145  1000-7101-BAG    100KG   22021106    (200510318)  MTO      </t>
  </si>
  <si>
    <t xml:space="preserve">  Z20001-BK1B694-BAG    100KG   22028656    (200573552)  MTO      </t>
  </si>
  <si>
    <t xml:space="preserve">  1000-BL1B081T-BAG    500KG   22037954    (200549162)  MTO      </t>
  </si>
  <si>
    <t xml:space="preserve">  2310-7301-BAG    5000KG   22017567    (200485078)  MTO      </t>
  </si>
  <si>
    <t xml:space="preserve">  1000-GY2C261-BAG    1000KG   22019057    (200559078)  MTO      </t>
  </si>
  <si>
    <t xml:space="preserve">  1000-BL3122-BAG    1000KG   22033123    (200533469)  MTO      </t>
  </si>
  <si>
    <t xml:space="preserve">  N300X-BR7E123-BAG    500KG   22036871    (200561480)  MTO      </t>
  </si>
  <si>
    <t xml:space="preserve">  4001-7402-BAG    26.895KG   22017590    (200521191)  MTO      </t>
  </si>
  <si>
    <t xml:space="preserve">0008627468  ENH2900-8A9D020-BAG    4335.34KG   22022996    (200580674)  MTO      </t>
  </si>
  <si>
    <t xml:space="preserve">0008384152  131-111N-BAG    1000KG   22019159    (200557034)  MTO      </t>
  </si>
  <si>
    <t xml:space="preserve">0008379301  SLX2432T-NA9D082T-BAG    2000KG   22018962    (200555890)  MTO      </t>
  </si>
  <si>
    <t xml:space="preserve">0008293735  920A-GY6D710T-BAG    500KG   22034364    (200541037)  MTO     Br.   </t>
  </si>
  <si>
    <t xml:space="preserve">0008577243  LS2-RD4B057T-BAG    26.417KG   22036922    (200574724)  MTO      </t>
  </si>
  <si>
    <t xml:space="preserve">  500R-739-BAG    1000KG   22021700    (98869237)  MTO     Br.   </t>
  </si>
  <si>
    <t xml:space="preserve">  243R-111-BAG    2000KG   22019283    (200545577)  MTO      </t>
  </si>
  <si>
    <t xml:space="preserve">  143R-71257-BAG    2000KG   22037594    (200495918)  MTO     Br.   </t>
  </si>
  <si>
    <t xml:space="preserve">0008527271  357-GY2G313-BAG    300KG   22038552    (200566425)  MTO     Br.   </t>
  </si>
  <si>
    <t xml:space="preserve">0008293537  DR48-GY6D523-BAG    475KG   22031904    (200541013)  MTO     Br.   </t>
  </si>
  <si>
    <t xml:space="preserve">0008416618  4521-1001-BAG    2000KG   22038686    (200559074)  MTO     Br.   </t>
  </si>
  <si>
    <t xml:space="preserve">0008248148  DR48-8051-BAG    2000KG   22019885    (200537653)  MTO     Br.   </t>
  </si>
  <si>
    <t xml:space="preserve">0008625422  310SE0-1001-BAG    1000KG   22018149    (200579816)  MTI     Br.   </t>
  </si>
  <si>
    <t xml:space="preserve">  FXC630SK-GY5G042M-BAG    26.24KG   22032487    (200572989)  MTO     Br.   </t>
  </si>
  <si>
    <t xml:space="preserve">  FXC630SK-GY5G042M-BAG    26.24KG   22032487    (200573028)  MTO     Br.   </t>
  </si>
  <si>
    <t xml:space="preserve">  FXC630SK-GY5G042M-BAG    26.24KG   22032487    (200573025)  MTO     Br.   </t>
  </si>
  <si>
    <t xml:space="preserve">  FXC630SK-GY5G042M-BAG    78.72KG   22032487    (200572956)  MTO     Br.   </t>
  </si>
  <si>
    <t xml:space="preserve">  420-WH6E281-BAG    5000KG   22031065    (200496046)  MTO     Br.   </t>
  </si>
  <si>
    <t xml:space="preserve">  457-GN4072-BAG    1000KG   22031214    (200553584)  MTO     Br.   </t>
  </si>
  <si>
    <t xml:space="preserve">  553-GY6G326-BAG    500KG   22034195    (200574866)  MTO     Br.   </t>
  </si>
  <si>
    <t xml:space="preserve">  DR48-7001-BAG    1000KG   22027892    (200549070)  MTO     Br.   </t>
  </si>
  <si>
    <t xml:space="preserve">  CR7500-BK1041-BAG    2000KG   22019769    (200508789)  MTO     Br.   </t>
  </si>
  <si>
    <t xml:space="preserve">  FXC630SK-GY5G042M-BAG    26.24KG   22032487    (200579060)  MTO     Br.   </t>
  </si>
  <si>
    <t xml:space="preserve">  X4820-YW3D010-BAG    2000KG   22025024    (200554558)  MTO     Br.   </t>
  </si>
  <si>
    <t xml:space="preserve">0008402708  C2950-4T6D073-BAG    1000KG   22035019    (200558217)  MTO     Br.   </t>
  </si>
  <si>
    <t xml:space="preserve">0008402729  C2950-4T6D005-BAG    2000KG   22035018    (200558287)  MTO     Br.   </t>
  </si>
  <si>
    <t xml:space="preserve">  HRA170-GY6E500U-BAG    2000KG   22036440    (93270841)  MTO     Br.   </t>
  </si>
  <si>
    <t xml:space="preserve">0008599192  CX7240-BK1D420-BAG    100KG   22019816    (200576526)  MTI      </t>
  </si>
  <si>
    <t xml:space="preserve">  LS2-7056-BAG    2000KG   22041034    (200560551)  MTO     Br.   </t>
  </si>
  <si>
    <t xml:space="preserve">  C6600-GY5A405-BAG    523.05KG   22038955    (200570773)  MTO     Br.   </t>
  </si>
  <si>
    <t xml:space="preserve">  505RU-WH8E372-BAG    1000KG   22029849    (200541914)  MTO      </t>
  </si>
  <si>
    <t xml:space="preserve">  505RU-WH9F090-BAG    2000KG   22033788    (200517901)  MTO     Br.   </t>
  </si>
  <si>
    <t xml:space="preserve">  505RU-7T8D558-BAG    100KG   22031252    (200537987)  MTO      </t>
  </si>
  <si>
    <t xml:space="preserve">  LF1520A-BK1005-BAG    2092.2KG   22023993    (200572729)  MTO     Br.   </t>
  </si>
  <si>
    <t xml:space="preserve">  500-739-BAG    25KG   22021690    (200568560)  MTO     Br.   </t>
  </si>
  <si>
    <t xml:space="preserve">  500R-RD5D188-BAG    1000KG   22029841    (200561041)  MTO     Br.   </t>
  </si>
  <si>
    <t xml:space="preserve">  505RU-7T8D558-BAG    1000KG   22031252    (200548614)  MTO      </t>
  </si>
  <si>
    <t xml:space="preserve">  123R-701-BAG    1994.814KG   22017535    (200554876)  MTO      </t>
  </si>
  <si>
    <t xml:space="preserve">  C6600-111-BAG    20000KG   22018361    (97350978)  MTI      </t>
  </si>
  <si>
    <t xml:space="preserve">0007601251  420-BK1066-BAG    10000KG   22021633    (200495977)  MTO      </t>
  </si>
  <si>
    <t xml:space="preserve">0007601214  420-1001-BAG    10000KG   22021631    (200495921)  MTO      </t>
  </si>
  <si>
    <t xml:space="preserve">0008367388  CY8630-701-BAG    20000KG   22089617    (200552711)  MTO      </t>
  </si>
  <si>
    <t xml:space="preserve">0007622342  1105-78211-BAG    10000KG   22030691    (200498223)  MTO      </t>
  </si>
  <si>
    <t xml:space="preserve">  420-BK1066-BAG    10000KG   22021633    (200496030)  MTO      </t>
  </si>
  <si>
    <t xml:space="preserve">  C1200HF-GY6G152-BAG    5000KG   22034465    (200549469)  MTO      </t>
  </si>
  <si>
    <t xml:space="preserve">  CY8630-701-BAG    20000KG   22089617    (200553402)  MTO      </t>
  </si>
  <si>
    <t xml:space="preserve">  CY8630-701-BAG    20000KG   22089617    (200553403)  MTO      </t>
  </si>
  <si>
    <t xml:space="preserve">  243R-WH4B198-BAG    20000KG   22038486    (200534991)  MTO      </t>
  </si>
  <si>
    <t xml:space="preserve">  508-BK1066-BAG    20000KG   22021921    (200494168)  MTO      </t>
  </si>
  <si>
    <t xml:space="preserve">  420-1001-BAG    3000KG   22021631    (200563947)  MTO      </t>
  </si>
  <si>
    <t xml:space="preserve">  420-1001-BAG    3000KG   22021631    (200542038)  MTO      </t>
  </si>
  <si>
    <t xml:space="preserve">0008342430  310SE0-7001-BAG    3030KG   22031109    (200548488)  MTO     Br.   </t>
  </si>
  <si>
    <t xml:space="preserve">0008344460  ENH4550-BK1066-BAG    5500KG   22018474    (200548710)  MTO      </t>
  </si>
  <si>
    <t xml:space="preserve">0008501569  ENH4560-BK1066-BAG    3000KG   22035584    (200564021)  MTO      </t>
  </si>
  <si>
    <t xml:space="preserve">0007260228  553-7001-BAG    9100KG   22034189    (200457955)  MTO     Br.   </t>
  </si>
  <si>
    <t xml:space="preserve">0008617070  3412ECR-739-BAG    20000KG   22017144    (200578975)  MTI      </t>
  </si>
  <si>
    <t xml:space="preserve">  905-BK1G030-BAG    10000KG   22029773    (200554909)  MTO     Br.   </t>
  </si>
  <si>
    <t xml:space="preserve">0008533905  505RU-739-BAG    10200KG   22037995    (200567614)  MTO      </t>
  </si>
  <si>
    <t xml:space="preserve">  C7210A-BK1066-BAG    5067.5KG   22031940    (200579762)  MTO      </t>
  </si>
  <si>
    <t xml:space="preserve">0008379201  221R-701-BAG    20748KG   22019254    (200555872)  MTO      </t>
  </si>
  <si>
    <t xml:space="preserve">0008379203  221R-701-BAG    20748KG   22019254    (200555873)  MTO      </t>
  </si>
  <si>
    <t xml:space="preserve">0007574189  143R-111-BAG    10000KG   22021389    (200494124)  MTO      </t>
  </si>
  <si>
    <t xml:space="preserve">0008296367  HF1130-111-BAG    10000KG   22023563    (200541727)  MTO      </t>
  </si>
  <si>
    <t xml:space="preserve">0007131147  141R-111-BAG    10000KG   22018087    (200428401)  MTO      </t>
  </si>
  <si>
    <t xml:space="preserve">  141R-111-BAG    10000KG   22018087    (200494075)  MTO      </t>
  </si>
  <si>
    <t xml:space="preserve">  121R-111-BAG    15000KG   22019125    (200560234)  MTO      </t>
  </si>
  <si>
    <t xml:space="preserve">  241S-WH4113-BAG    20000KG   22031083    (94604318)  MTI      </t>
  </si>
  <si>
    <t xml:space="preserve">  241S-WH4113-BAG    20000KG   22031083    (94604319)  MTI      </t>
  </si>
  <si>
    <t xml:space="preserve">  241S-WH4113-BAG    20000KG   22031083    (94604320)  MTI      </t>
  </si>
  <si>
    <t xml:space="preserve">0008574976  C1200HF-RD3G073-BAG    20254KG   22029056    (200574646)  MTI     Br.   </t>
  </si>
  <si>
    <t xml:space="preserve">0008376309  CX7240-701-BAG    20324KG   22017351    (200554942)  MTO      </t>
  </si>
  <si>
    <t xml:space="preserve">0008316164  CX7240-BK1D420-BAG    15243KG   22019816    (200546221)  MTI      </t>
  </si>
  <si>
    <t xml:space="preserve">0007280275  MC8002-701-BAG    15181.5KG   22023863    (200462904)  MTO      </t>
  </si>
  <si>
    <t xml:space="preserve">0008242446  945-GY2E572-BAG    8000KG   22034256    (200537119)  MTO      </t>
  </si>
  <si>
    <t xml:space="preserve">  C6600-2B2D008-BAG    5050KG   22039652    (200579915)  MTO      </t>
  </si>
  <si>
    <t xml:space="preserve">  500R-73231-BAG    5000KG   22031231    (200553729)  MTO     Br.   </t>
  </si>
  <si>
    <t xml:space="preserve">  C6200-OR5B049-BAG    5050KG   22038832    (200576655)  MTO     Br.   </t>
  </si>
  <si>
    <t xml:space="preserve">  C6600-7B1D005-BAG    5000KG   22039683    (200550555)  MTO      </t>
  </si>
  <si>
    <t xml:space="preserve">0008569232  7530-14600-OCT    40800KG   22098314    (200573606)  MTO      </t>
  </si>
  <si>
    <t xml:space="preserve">0008599132  141R-701-BAG    20000KG   22021359    (200576517)  MTI      </t>
  </si>
  <si>
    <t xml:space="preserve">0008599115  141R-701-BAG    20000KG   22021359    (200576514)  MTI      </t>
  </si>
  <si>
    <t xml:space="preserve">0008599143  141R-701-BAG    20000KG   22021359    (200576519)  MTI      </t>
  </si>
  <si>
    <t xml:space="preserve">0008342037  C6200-701-BAG    20364KG   22018354    (200548433)  MTI      </t>
  </si>
  <si>
    <t xml:space="preserve">  MC8002-701-BAG    5050KG   22023863    (200570809)  MTO      </t>
  </si>
  <si>
    <t xml:space="preserve">  G3220A-10000-BAG    19000KG   22017397    (200563931)  MTO      </t>
  </si>
  <si>
    <t xml:space="preserve">  7530-14600-OCT    30599.999KG   22098314    (200580632)  MTO      </t>
  </si>
  <si>
    <t xml:space="preserve">  123R-701-BAG    8243.741KG   22017535    (200579146)  MTO      </t>
  </si>
  <si>
    <t xml:space="preserve">  121R-701-BAG    10000KG   22021257    (200496011)  MTO      </t>
  </si>
  <si>
    <t xml:space="preserve">0008536113  943A-GY3D550-BAG    3090KG   22038359    (200568232)  MTO     Br.   </t>
  </si>
  <si>
    <t xml:space="preserve">0008556811  553U-BK1066-BAG    5050KG   22028109    (200571862)  MTO     Br.   </t>
  </si>
  <si>
    <t xml:space="preserve">0008556806  553U-BK1066-BAG    5050KG   22028109    (200571821)  MTO     Br.   </t>
  </si>
  <si>
    <t xml:space="preserve">0008223595  4521-8244-BAG    5080KG   22018193    (200532822)  MTO     Br.   </t>
  </si>
  <si>
    <t xml:space="preserve">0008599118  457-1001-BAG    4634.55KG   22021676    (200576456)  MTO     Br.   </t>
  </si>
  <si>
    <t xml:space="preserve">0007601301  420-WH6E281-BAG    5064.5KG   22031065    (200496010)  MTO     Br.   </t>
  </si>
  <si>
    <t xml:space="preserve">0008571902  310SE0-BK1066-BAG    10194KG   22019301    (200573756)  MTO     Br.   </t>
  </si>
  <si>
    <t xml:space="preserve">  553-7001-BAG    10000KG   22034189    (200549389)  MTO     Br.   </t>
  </si>
  <si>
    <t xml:space="preserve">  553-OR5G003-BAG    10000KG   22031160    (200549443)  MTO     Br.   </t>
  </si>
  <si>
    <t xml:space="preserve">  V3900WX-7M8D027-BAG    5000KG   22032797    (200547366)  MTO     Br.   </t>
  </si>
  <si>
    <t xml:space="preserve">  DR48-BK1762-BAG    20250KG   22035492    (200570598)  MTO     Br.   </t>
  </si>
  <si>
    <t xml:space="preserve">0008551134  123R-WH9450-BAG    2078KG   22030951    (200570663)  MTO      </t>
  </si>
  <si>
    <t xml:space="preserve">0008575867  141R-GY6A427-BAG    10147KG   22030748    (200574684)  MTI      </t>
  </si>
  <si>
    <t xml:space="preserve">0007601076  141R-WH8G792-BAG    5073.5KG   22033228    (200495971)  MTO      </t>
  </si>
  <si>
    <t xml:space="preserve">0008442812  EXL1414-WH9G658-BAG    2042.4KG   22040495    (200560285)  MTO      </t>
  </si>
  <si>
    <t xml:space="preserve">0008372021  121R-GY6G329-BAG    2044KG   22030899    (200553727)  MTO      </t>
  </si>
  <si>
    <t xml:space="preserve">0008575874  141R-GY6A427-BAG    10303KG   22030748    (200574685)  MTI      </t>
  </si>
  <si>
    <t xml:space="preserve">0007634135  5220U-BK1066-BAG    2076KG   22019415    (200499262)  MTO      </t>
  </si>
  <si>
    <t xml:space="preserve">0008537039  CX7240-7A1D002-BAG    1037.3KG   22019812    (200568275)  MTO      </t>
  </si>
  <si>
    <t xml:space="preserve">0008524173  5220UC-6A3A2760-BAG    1038KG   22106541    (200565967)  MTO      </t>
  </si>
  <si>
    <t xml:space="preserve">0008531973  505RU-7A1D069-BAG    2060.8KG   22033780    (200567203)  MTO      </t>
  </si>
  <si>
    <t xml:space="preserve">0008305592  505RU-7A1D069-BAG    2138.08KG   22033780    (200543470)  MTO      </t>
  </si>
  <si>
    <t xml:space="preserve">0008376352  CX7240-7A1D002-BAG    3034.103KG   22019812    (200554897)  MTO      </t>
  </si>
  <si>
    <t xml:space="preserve">0008218814  505RU-GY2E539-BAG    3091.2KG   22031253    (200531739)  MTO      </t>
  </si>
  <si>
    <t xml:space="preserve">0008471695  141R-BL3A238-BAG    1030.3KG   22030739    (200561405)  MTO      </t>
  </si>
  <si>
    <t xml:space="preserve">0008417099  325-1001-BAG    2000KG   22026893    (200559192)  MTO      </t>
  </si>
  <si>
    <t xml:space="preserve">0007601306  121R-701-BAG    10244KG   22021257    (200495979)  MTO      </t>
  </si>
  <si>
    <t xml:space="preserve">  CX2244ME-7T5D428-BAG    4000KG   22088391    (96098125)  MTO      </t>
  </si>
  <si>
    <t xml:space="preserve">  CL100-7001-BAG    2074KG   22039079    (200579987)  MTO      </t>
  </si>
  <si>
    <t xml:space="preserve">  MC8002-WH9C274-BAG    2055.8KG   22040648    (200570717)  MTO      </t>
  </si>
  <si>
    <t xml:space="preserve">  C6600-7T6D253-BAG    1000KG   22084473    (200534819)  MTO      </t>
  </si>
  <si>
    <t xml:space="preserve">  CX7211-7T1D166-BAG    5000KG   22035192    (200515849)  MTO      </t>
  </si>
  <si>
    <t xml:space="preserve">  505RU-8T8D118-BAG    2060.8KG   22029848    (200571725)  MTO      </t>
  </si>
  <si>
    <t xml:space="preserve">  123R-701-BAG    8000KG   22017535    (200510624)  MTO      </t>
  </si>
  <si>
    <t xml:space="preserve">  CX2244ME-7T5D428-BAG    3000KG   22088391    (96103083)  MTO      </t>
  </si>
  <si>
    <t xml:space="preserve">  DR51-7001-BAG    2000KG   22028156    (200535980)  MTO      </t>
  </si>
  <si>
    <t xml:space="preserve">  C1200HF-GY1D457U-BAG    10250KG   22029050    (200496028)  MTO      </t>
  </si>
  <si>
    <t>Start</t>
    <phoneticPr fontId="6" type="noConversion"/>
  </si>
  <si>
    <t>Dur.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</si>
</sst>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h:mm;@"/>
    <numFmt numFmtId="177" formatCode="[$-F400]h:mm:ss\ AM/PM"/>
    <numFmt numFmtId="178" formatCode="#,##0.000"/>
  </numFmts>
  <fonts count="8" x14ac:knownFonts="1">
    <font>
      <sz val="11"/>
      <color theme="1"/>
      <name val="等线"/>
      <family val="2"/>
      <scheme val="minor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u/>
      <sz val="10"/>
      <color theme="10"/>
      <name val="Arial"/>
      <family val="2"/>
    </font>
    <font>
      <b/>
      <sz val="9"/>
      <color indexed="81"/>
      <name val="Tahoma"/>
      <family val="2"/>
    </font>
    <font>
      <sz val="9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theme="2"/>
      </right>
      <top/>
      <bottom/>
      <diagonal/>
    </border>
    <border>
      <left/>
      <right style="dotted">
        <color rgb="FF0070C0"/>
      </right>
      <top/>
      <bottom/>
      <diagonal/>
    </border>
    <border>
      <left style="dotted">
        <color rgb="FF0070C0"/>
      </left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7">
    <xf numFmtId="0" fontId="0" fillId="0" borderId="0" xfId="0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14" fontId="3" fillId="0" borderId="0" xfId="0" applyNumberFormat="1" applyFont="1" applyAlignment="1">
      <alignment vertical="top"/>
    </xf>
    <xf numFmtId="176" fontId="3" fillId="0" borderId="0" xfId="0" applyNumberFormat="1" applyFont="1" applyAlignment="1">
      <alignment vertical="top"/>
    </xf>
    <xf numFmtId="176" fontId="0" fillId="0" borderId="0" xfId="0" applyNumberFormat="1" applyAlignment="1">
      <alignment vertical="top"/>
    </xf>
    <xf numFmtId="0" fontId="3" fillId="0" borderId="0" xfId="0" applyFont="1" applyAlignment="1">
      <alignment vertical="top"/>
    </xf>
    <xf numFmtId="0" fontId="0" fillId="0" borderId="0" xfId="0" applyFill="1"/>
    <xf numFmtId="0" fontId="4" fillId="0" borderId="0" xfId="1" applyAlignment="1">
      <alignment vertical="top"/>
    </xf>
    <xf numFmtId="22" fontId="0" fillId="0" borderId="0" xfId="0" applyNumberFormat="1" applyAlignment="1">
      <alignment vertical="top"/>
    </xf>
    <xf numFmtId="0" fontId="0" fillId="2" borderId="1" xfId="0" applyFill="1" applyBorder="1" applyAlignment="1">
      <alignment vertical="top"/>
    </xf>
    <xf numFmtId="0" fontId="0" fillId="2" borderId="1" xfId="0" applyFill="1" applyBorder="1" applyAlignment="1">
      <alignment vertical="top" wrapText="1"/>
    </xf>
    <xf numFmtId="3" fontId="0" fillId="0" borderId="0" xfId="0" applyNumberFormat="1" applyAlignment="1">
      <alignment horizontal="right" vertical="top"/>
    </xf>
    <xf numFmtId="14" fontId="0" fillId="0" borderId="0" xfId="0" applyNumberFormat="1" applyAlignment="1">
      <alignment horizontal="right" vertical="top"/>
    </xf>
    <xf numFmtId="177" fontId="0" fillId="0" borderId="0" xfId="0" applyNumberFormat="1" applyAlignment="1">
      <alignment horizontal="right" vertical="top"/>
    </xf>
    <xf numFmtId="178" fontId="0" fillId="0" borderId="0" xfId="0" applyNumberFormat="1" applyAlignment="1">
      <alignment horizontal="right" vertical="top"/>
    </xf>
    <xf numFmtId="0" fontId="0" fillId="0" borderId="0" xfId="0" applyAlignment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5" borderId="0" xfId="0" applyFill="1" applyBorder="1"/>
    <xf numFmtId="0" fontId="0" fillId="5" borderId="0" xfId="0" applyFill="1" applyAlignment="1"/>
    <xf numFmtId="0" fontId="0" fillId="5" borderId="0" xfId="0" applyFill="1"/>
    <xf numFmtId="14" fontId="0" fillId="0" borderId="0" xfId="0" applyNumberFormat="1" applyBorder="1"/>
    <xf numFmtId="0" fontId="0" fillId="0" borderId="2" xfId="0" applyFill="1" applyBorder="1"/>
    <xf numFmtId="0" fontId="0" fillId="0" borderId="3" xfId="0" applyFill="1" applyBorder="1"/>
    <xf numFmtId="14" fontId="0" fillId="0" borderId="0" xfId="0" applyNumberFormat="1" applyAlignment="1">
      <alignment vertical="top"/>
    </xf>
    <xf numFmtId="0" fontId="7" fillId="0" borderId="0" xfId="0" applyFont="1" applyBorder="1"/>
    <xf numFmtId="0" fontId="7" fillId="0" borderId="0" xfId="0" applyFont="1" applyAlignment="1"/>
    <xf numFmtId="14" fontId="0" fillId="4" borderId="4" xfId="0" applyNumberFormat="1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14" fontId="0" fillId="3" borderId="0" xfId="0" applyNumberFormat="1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14" fontId="0" fillId="3" borderId="4" xfId="0" applyNumberFormat="1" applyFill="1" applyBorder="1" applyAlignment="1">
      <alignment horizontal="center"/>
    </xf>
  </cellXfs>
  <cellStyles count="2">
    <cellStyle name="常规" xfId="0" builtinId="0"/>
    <cellStyle name="超链接" xfId="1" builtinId="8"/>
  </cellStyles>
  <dxfs count="48">
    <dxf>
      <border>
        <top/>
        <bottom style="dotted">
          <color theme="7"/>
        </bottom>
      </border>
    </dxf>
    <dxf>
      <fill>
        <patternFill patternType="darkDown">
          <bgColor rgb="FFC00000"/>
        </patternFill>
      </fill>
      <border>
        <left/>
        <right/>
      </border>
    </dxf>
    <dxf>
      <fill>
        <patternFill>
          <bgColor rgb="FFFF9900"/>
        </patternFill>
      </fill>
      <border>
        <left/>
        <right/>
      </border>
    </dxf>
    <dxf>
      <fill>
        <patternFill>
          <bgColor theme="0" tint="-0.34998626667073579"/>
        </patternFill>
      </fill>
      <border>
        <left/>
        <right/>
      </border>
    </dxf>
    <dxf>
      <fill>
        <patternFill>
          <bgColor rgb="FFFF0000"/>
        </patternFill>
      </fill>
      <border>
        <left/>
        <right/>
      </border>
    </dxf>
    <dxf>
      <fill>
        <patternFill>
          <bgColor rgb="FF00B0F0"/>
        </patternFill>
      </fill>
      <border>
        <left/>
        <right/>
      </border>
    </dxf>
    <dxf>
      <border>
        <top/>
        <bottom style="dotted">
          <color theme="7"/>
        </bottom>
      </border>
    </dxf>
    <dxf>
      <fill>
        <patternFill patternType="darkDown">
          <bgColor rgb="FFC00000"/>
        </patternFill>
      </fill>
      <border>
        <left/>
        <right/>
      </border>
    </dxf>
    <dxf>
      <fill>
        <patternFill>
          <bgColor rgb="FFFF9900"/>
        </patternFill>
      </fill>
      <border>
        <left/>
        <right/>
      </border>
    </dxf>
    <dxf>
      <fill>
        <patternFill>
          <bgColor theme="0" tint="-0.34998626667073579"/>
        </patternFill>
      </fill>
      <border>
        <left/>
        <right/>
      </border>
    </dxf>
    <dxf>
      <fill>
        <patternFill>
          <bgColor rgb="FFFF0000"/>
        </patternFill>
      </fill>
      <border>
        <left/>
        <right/>
      </border>
    </dxf>
    <dxf>
      <fill>
        <patternFill>
          <bgColor rgb="FF00B0F0"/>
        </patternFill>
      </fill>
      <border>
        <left/>
        <right/>
      </border>
    </dxf>
    <dxf>
      <border>
        <top/>
        <bottom style="dotted">
          <color theme="7"/>
        </bottom>
      </border>
    </dxf>
    <dxf>
      <fill>
        <patternFill patternType="darkDown">
          <bgColor rgb="FFC00000"/>
        </patternFill>
      </fill>
      <border>
        <left/>
        <right/>
      </border>
    </dxf>
    <dxf>
      <fill>
        <patternFill>
          <bgColor rgb="FFFF9900"/>
        </patternFill>
      </fill>
      <border>
        <left/>
        <right/>
      </border>
    </dxf>
    <dxf>
      <fill>
        <patternFill>
          <bgColor theme="0" tint="-0.34998626667073579"/>
        </patternFill>
      </fill>
      <border>
        <left/>
        <right/>
      </border>
    </dxf>
    <dxf>
      <fill>
        <patternFill>
          <bgColor rgb="FFFF0000"/>
        </patternFill>
      </fill>
      <border>
        <left/>
        <right/>
      </border>
    </dxf>
    <dxf>
      <fill>
        <patternFill>
          <bgColor rgb="FF00B0F0"/>
        </patternFill>
      </fill>
      <border>
        <left/>
        <right/>
      </border>
    </dxf>
    <dxf>
      <border>
        <top/>
        <bottom style="dotted">
          <color theme="7"/>
        </bottom>
      </border>
    </dxf>
    <dxf>
      <fill>
        <patternFill patternType="darkDown">
          <bgColor rgb="FFC00000"/>
        </patternFill>
      </fill>
      <border>
        <left/>
        <right/>
      </border>
    </dxf>
    <dxf>
      <fill>
        <patternFill>
          <bgColor rgb="FFFF9900"/>
        </patternFill>
      </fill>
      <border>
        <left/>
        <right/>
      </border>
    </dxf>
    <dxf>
      <fill>
        <patternFill>
          <bgColor theme="0" tint="-0.34998626667073579"/>
        </patternFill>
      </fill>
      <border>
        <left/>
        <right/>
      </border>
    </dxf>
    <dxf>
      <fill>
        <patternFill>
          <bgColor rgb="FFFF0000"/>
        </patternFill>
      </fill>
      <border>
        <left/>
        <right/>
      </border>
    </dxf>
    <dxf>
      <fill>
        <patternFill>
          <bgColor rgb="FF00B0F0"/>
        </patternFill>
      </fill>
      <border>
        <left/>
        <right/>
      </border>
    </dxf>
    <dxf>
      <border>
        <top/>
        <bottom style="dotted">
          <color theme="7"/>
        </bottom>
      </border>
    </dxf>
    <dxf>
      <fill>
        <patternFill patternType="darkDown">
          <bgColor rgb="FFC00000"/>
        </patternFill>
      </fill>
      <border>
        <left/>
        <right/>
      </border>
    </dxf>
    <dxf>
      <fill>
        <patternFill>
          <bgColor rgb="FFFF9900"/>
        </patternFill>
      </fill>
      <border>
        <left/>
        <right/>
      </border>
    </dxf>
    <dxf>
      <fill>
        <patternFill>
          <bgColor theme="0" tint="-0.34998626667073579"/>
        </patternFill>
      </fill>
      <border>
        <left/>
        <right/>
      </border>
    </dxf>
    <dxf>
      <fill>
        <patternFill>
          <bgColor rgb="FFFF0000"/>
        </patternFill>
      </fill>
      <border>
        <left/>
        <right/>
      </border>
    </dxf>
    <dxf>
      <fill>
        <patternFill>
          <bgColor rgb="FF00B0F0"/>
        </patternFill>
      </fill>
      <border>
        <left/>
        <right/>
      </border>
    </dxf>
    <dxf>
      <border>
        <top/>
        <bottom style="dotted">
          <color theme="7"/>
        </bottom>
      </border>
    </dxf>
    <dxf>
      <fill>
        <patternFill patternType="darkDown">
          <bgColor rgb="FFC00000"/>
        </patternFill>
      </fill>
      <border>
        <left/>
        <right/>
      </border>
    </dxf>
    <dxf>
      <fill>
        <patternFill>
          <bgColor rgb="FFFF9900"/>
        </patternFill>
      </fill>
      <border>
        <left/>
        <right/>
      </border>
    </dxf>
    <dxf>
      <fill>
        <patternFill>
          <bgColor theme="0" tint="-0.34998626667073579"/>
        </patternFill>
      </fill>
      <border>
        <left/>
        <right/>
      </border>
    </dxf>
    <dxf>
      <fill>
        <patternFill>
          <bgColor rgb="FFFF0000"/>
        </patternFill>
      </fill>
      <border>
        <left/>
        <right/>
      </border>
    </dxf>
    <dxf>
      <fill>
        <patternFill>
          <bgColor rgb="FF00B0F0"/>
        </patternFill>
      </fill>
      <border>
        <left/>
        <right/>
      </border>
    </dxf>
    <dxf>
      <border>
        <top/>
        <bottom style="dotted">
          <color theme="7"/>
        </bottom>
      </border>
    </dxf>
    <dxf>
      <fill>
        <patternFill patternType="darkDown">
          <bgColor rgb="FFC00000"/>
        </patternFill>
      </fill>
      <border>
        <left/>
        <right/>
      </border>
    </dxf>
    <dxf>
      <fill>
        <patternFill>
          <bgColor rgb="FFFF9900"/>
        </patternFill>
      </fill>
      <border>
        <left/>
        <right/>
      </border>
    </dxf>
    <dxf>
      <fill>
        <patternFill>
          <bgColor theme="0" tint="-0.34998626667073579"/>
        </patternFill>
      </fill>
      <border>
        <left/>
        <right/>
      </border>
    </dxf>
    <dxf>
      <fill>
        <patternFill>
          <bgColor rgb="FFFF0000"/>
        </patternFill>
      </fill>
      <border>
        <left/>
        <right/>
      </border>
    </dxf>
    <dxf>
      <fill>
        <patternFill>
          <bgColor rgb="FF00B0F0"/>
        </patternFill>
      </fill>
      <border>
        <left/>
        <right/>
      </border>
    </dxf>
    <dxf>
      <fill>
        <patternFill patternType="darkDown">
          <bgColor rgb="FFC00000"/>
        </patternFill>
      </fill>
      <border>
        <left/>
        <right/>
      </border>
    </dxf>
    <dxf>
      <fill>
        <patternFill>
          <bgColor rgb="FFFF9900"/>
        </patternFill>
      </fill>
      <border>
        <left/>
        <right/>
      </border>
    </dxf>
    <dxf>
      <fill>
        <patternFill>
          <bgColor theme="0" tint="-0.34998626667073579"/>
        </patternFill>
      </fill>
      <border>
        <left/>
        <right/>
      </border>
    </dxf>
    <dxf>
      <fill>
        <patternFill>
          <bgColor rgb="FFFF0000"/>
        </patternFill>
      </fill>
      <border>
        <left/>
        <right/>
      </border>
    </dxf>
    <dxf>
      <border>
        <top/>
        <bottom style="dotted">
          <color theme="7"/>
        </bottom>
      </border>
    </dxf>
    <dxf>
      <fill>
        <patternFill>
          <bgColor rgb="FF00B0F0"/>
        </patternFill>
      </fill>
      <border>
        <left/>
        <right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file:///\\saprc007\Efax\Admin" TargetMode="Externa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AL1076"/>
  <sheetViews>
    <sheetView tabSelected="1" workbookViewId="0">
      <selection activeCell="D40" sqref="D40"/>
    </sheetView>
  </sheetViews>
  <sheetFormatPr defaultRowHeight="14.25" x14ac:dyDescent="0.2"/>
  <cols>
    <col min="1" max="1" width="17.5" style="2" bestFit="1" customWidth="1"/>
    <col min="2" max="2" width="12.25" style="2" bestFit="1" customWidth="1"/>
    <col min="3" max="3" width="14" style="2" bestFit="1" customWidth="1"/>
    <col min="4" max="4" width="28" style="2" bestFit="1" customWidth="1"/>
    <col min="5" max="5" width="14" style="2" bestFit="1" customWidth="1"/>
    <col min="6" max="6" width="16.625" style="2" bestFit="1" customWidth="1"/>
    <col min="7" max="10" width="11.375" style="2" bestFit="1" customWidth="1"/>
    <col min="11" max="11" width="8.75" style="2" bestFit="1" customWidth="1"/>
    <col min="12" max="12" width="11.375" style="2" bestFit="1" customWidth="1"/>
    <col min="13" max="13" width="19.25" style="2" bestFit="1" customWidth="1"/>
    <col min="14" max="14" width="11.375" style="2" bestFit="1" customWidth="1"/>
    <col min="15" max="15" width="14" style="2" bestFit="1" customWidth="1"/>
    <col min="16" max="16" width="11.375" style="2" bestFit="1" customWidth="1"/>
    <col min="17" max="17" width="12.25" style="2" bestFit="1" customWidth="1"/>
    <col min="18" max="18" width="11.375" style="2" bestFit="1" customWidth="1"/>
    <col min="19" max="19" width="15.75" style="2" bestFit="1" customWidth="1"/>
    <col min="20" max="20" width="5.25" style="2" bestFit="1" customWidth="1"/>
    <col min="21" max="21" width="8.75" style="2" bestFit="1" customWidth="1"/>
    <col min="22" max="22" width="9.625" style="2" bestFit="1" customWidth="1"/>
    <col min="23" max="23" width="7.875" style="2" bestFit="1" customWidth="1"/>
    <col min="24" max="24" width="13.125" style="2" bestFit="1" customWidth="1"/>
    <col min="25" max="25" width="11.375" style="2" bestFit="1" customWidth="1"/>
    <col min="26" max="26" width="6.125" style="2" bestFit="1" customWidth="1"/>
    <col min="27" max="27" width="9.625" style="2" bestFit="1" customWidth="1"/>
    <col min="28" max="28" width="18.375" style="2" bestFit="1" customWidth="1"/>
    <col min="29" max="29" width="9" style="2"/>
    <col min="30" max="30" width="11.125" style="2" bestFit="1" customWidth="1"/>
    <col min="31" max="16384" width="9" style="2"/>
  </cols>
  <sheetData>
    <row r="1" spans="1:38" ht="71.25" x14ac:dyDescent="0.2">
      <c r="A1" s="11" t="s">
        <v>32</v>
      </c>
      <c r="B1" s="11" t="s">
        <v>33</v>
      </c>
      <c r="C1" s="11" t="s">
        <v>34</v>
      </c>
      <c r="D1" s="11" t="s">
        <v>35</v>
      </c>
      <c r="E1" s="11" t="s">
        <v>36</v>
      </c>
      <c r="F1" s="11" t="s">
        <v>37</v>
      </c>
      <c r="G1" s="11" t="s">
        <v>38</v>
      </c>
      <c r="H1" s="11" t="s">
        <v>39</v>
      </c>
      <c r="I1" s="11" t="s">
        <v>40</v>
      </c>
      <c r="J1" s="11" t="s">
        <v>41</v>
      </c>
      <c r="K1" s="11" t="s">
        <v>42</v>
      </c>
      <c r="L1" s="12" t="s">
        <v>43</v>
      </c>
      <c r="M1" s="11" t="s">
        <v>44</v>
      </c>
      <c r="N1" s="11" t="s">
        <v>45</v>
      </c>
      <c r="O1" s="11" t="s">
        <v>46</v>
      </c>
      <c r="P1" s="11" t="s">
        <v>47</v>
      </c>
      <c r="Q1" s="12" t="s">
        <v>48</v>
      </c>
      <c r="R1" s="11" t="s">
        <v>49</v>
      </c>
      <c r="S1" s="11" t="s">
        <v>50</v>
      </c>
      <c r="T1" s="12" t="s">
        <v>51</v>
      </c>
      <c r="U1" s="11" t="s">
        <v>52</v>
      </c>
      <c r="V1" s="11" t="s">
        <v>53</v>
      </c>
      <c r="W1" s="11" t="s">
        <v>54</v>
      </c>
      <c r="X1" s="11" t="s">
        <v>55</v>
      </c>
      <c r="Y1" s="11" t="s">
        <v>56</v>
      </c>
      <c r="Z1" s="11" t="s">
        <v>57</v>
      </c>
      <c r="AA1" s="12" t="s">
        <v>58</v>
      </c>
      <c r="AB1" s="11" t="s">
        <v>59</v>
      </c>
      <c r="AC1" s="2" t="s">
        <v>6143</v>
      </c>
      <c r="AD1" s="2" t="s">
        <v>6144</v>
      </c>
      <c r="AE1" s="2" t="s">
        <v>6145</v>
      </c>
      <c r="AF1" s="2" t="s">
        <v>6146</v>
      </c>
      <c r="AG1" s="2" t="s">
        <v>6147</v>
      </c>
      <c r="AH1" s="2" t="s">
        <v>6148</v>
      </c>
      <c r="AI1" s="2" t="s">
        <v>6149</v>
      </c>
      <c r="AJ1" s="2" t="s">
        <v>6150</v>
      </c>
      <c r="AK1" s="2" t="s">
        <v>6151</v>
      </c>
      <c r="AL1" s="2" t="s">
        <v>6152</v>
      </c>
    </row>
    <row r="2" spans="1:38" hidden="1" x14ac:dyDescent="0.2">
      <c r="A2" s="2" t="s">
        <v>60</v>
      </c>
      <c r="B2" s="2" t="s">
        <v>74</v>
      </c>
      <c r="C2" s="2" t="s">
        <v>75</v>
      </c>
      <c r="D2" s="2" t="s">
        <v>76</v>
      </c>
      <c r="E2" s="13">
        <v>5000</v>
      </c>
      <c r="F2" s="13">
        <v>5000</v>
      </c>
      <c r="G2" s="14">
        <v>43296</v>
      </c>
      <c r="H2" s="15">
        <v>0.41666666666667002</v>
      </c>
      <c r="I2" s="14">
        <v>43296</v>
      </c>
      <c r="J2" s="15">
        <v>0.58701388888888995</v>
      </c>
      <c r="K2" s="13">
        <v>20</v>
      </c>
      <c r="L2" s="2" t="s">
        <v>64</v>
      </c>
      <c r="M2" s="2" t="s">
        <v>77</v>
      </c>
      <c r="N2" s="14">
        <v>43298</v>
      </c>
      <c r="O2" s="14">
        <v>43298</v>
      </c>
      <c r="P2" s="2" t="s">
        <v>78</v>
      </c>
      <c r="Q2" s="2" t="s">
        <v>79</v>
      </c>
      <c r="R2" s="2" t="s">
        <v>80</v>
      </c>
      <c r="S2" s="14">
        <v>43298</v>
      </c>
      <c r="T2" s="2" t="s">
        <v>6154</v>
      </c>
      <c r="U2" s="2" t="s">
        <v>6086</v>
      </c>
      <c r="V2" s="2" t="s">
        <v>81</v>
      </c>
      <c r="W2" s="2" t="s">
        <v>70</v>
      </c>
      <c r="X2" s="13">
        <v>1223</v>
      </c>
      <c r="Y2" s="2" t="s">
        <v>71</v>
      </c>
      <c r="Z2" s="2" t="s">
        <v>72</v>
      </c>
      <c r="AA2" s="13">
        <v>5000</v>
      </c>
      <c r="AB2" s="2" t="s">
        <v>73</v>
      </c>
      <c r="AC2" s="2" t="s">
        <v>6773</v>
      </c>
      <c r="AD2" s="27">
        <v>43271</v>
      </c>
      <c r="AL2" s="2" t="s">
        <v>4882</v>
      </c>
    </row>
    <row r="3" spans="1:38" hidden="1" x14ac:dyDescent="0.2">
      <c r="A3" s="2" t="s">
        <v>60</v>
      </c>
      <c r="B3" s="2" t="s">
        <v>82</v>
      </c>
      <c r="C3" s="2" t="s">
        <v>83</v>
      </c>
      <c r="D3" s="2" t="s">
        <v>84</v>
      </c>
      <c r="E3" s="13">
        <v>5000</v>
      </c>
      <c r="F3" s="13">
        <v>5000</v>
      </c>
      <c r="G3" s="14">
        <v>43296</v>
      </c>
      <c r="H3" s="15">
        <v>0.82965277777778002</v>
      </c>
      <c r="I3" s="14">
        <v>43297</v>
      </c>
      <c r="J3" s="15">
        <v>0</v>
      </c>
      <c r="K3" s="13">
        <v>0</v>
      </c>
      <c r="L3" s="2" t="s">
        <v>64</v>
      </c>
      <c r="M3" s="2" t="s">
        <v>77</v>
      </c>
      <c r="N3" s="14">
        <v>43299</v>
      </c>
      <c r="O3" s="14">
        <v>43298</v>
      </c>
      <c r="P3" s="2" t="s">
        <v>78</v>
      </c>
      <c r="Q3" s="2" t="s">
        <v>85</v>
      </c>
      <c r="R3" s="2" t="s">
        <v>80</v>
      </c>
      <c r="S3" s="14">
        <v>43299</v>
      </c>
      <c r="T3" s="2" t="s">
        <v>6155</v>
      </c>
      <c r="U3" s="2" t="s">
        <v>86</v>
      </c>
      <c r="V3" s="2" t="s">
        <v>81</v>
      </c>
      <c r="W3" s="2" t="s">
        <v>70</v>
      </c>
      <c r="X3" s="13">
        <v>1223</v>
      </c>
      <c r="Y3" s="2" t="s">
        <v>71</v>
      </c>
      <c r="Z3" s="2" t="s">
        <v>72</v>
      </c>
      <c r="AA3" s="13">
        <v>5000</v>
      </c>
      <c r="AB3" s="2" t="s">
        <v>73</v>
      </c>
      <c r="AC3" s="2" t="s">
        <v>6773</v>
      </c>
      <c r="AD3" s="27">
        <v>43171</v>
      </c>
      <c r="AL3" s="2" t="s">
        <v>4883</v>
      </c>
    </row>
    <row r="4" spans="1:38" hidden="1" x14ac:dyDescent="0.2">
      <c r="A4" s="2" t="s">
        <v>60</v>
      </c>
      <c r="B4" s="2" t="s">
        <v>87</v>
      </c>
      <c r="C4" s="2" t="s">
        <v>88</v>
      </c>
      <c r="D4" s="2" t="s">
        <v>89</v>
      </c>
      <c r="E4" s="13">
        <v>5070</v>
      </c>
      <c r="F4" s="13">
        <v>5070</v>
      </c>
      <c r="G4" s="14">
        <v>43298</v>
      </c>
      <c r="H4" s="15">
        <v>0.65930555555556003</v>
      </c>
      <c r="I4" s="14">
        <v>43298</v>
      </c>
      <c r="J4" s="15">
        <v>0.83203703703704002</v>
      </c>
      <c r="K4" s="13">
        <v>0</v>
      </c>
      <c r="L4" s="2" t="s">
        <v>64</v>
      </c>
      <c r="M4" s="2" t="s">
        <v>123</v>
      </c>
      <c r="N4" s="14">
        <v>43301</v>
      </c>
      <c r="O4" s="14">
        <v>43300</v>
      </c>
      <c r="P4" s="2" t="s">
        <v>91</v>
      </c>
      <c r="Q4" s="2" t="s">
        <v>92</v>
      </c>
      <c r="R4" s="2" t="s">
        <v>93</v>
      </c>
      <c r="S4" s="14">
        <v>43305</v>
      </c>
      <c r="U4" s="2" t="s">
        <v>94</v>
      </c>
      <c r="V4" s="2" t="s">
        <v>69</v>
      </c>
      <c r="W4" s="2" t="s">
        <v>70</v>
      </c>
      <c r="X4" s="13">
        <v>0</v>
      </c>
      <c r="Y4" s="2" t="s">
        <v>71</v>
      </c>
      <c r="Z4" s="2" t="s">
        <v>72</v>
      </c>
      <c r="AA4" s="13">
        <v>5000</v>
      </c>
      <c r="AB4" s="2" t="s">
        <v>95</v>
      </c>
      <c r="AC4" s="2" t="s">
        <v>6772</v>
      </c>
      <c r="AD4" s="27"/>
      <c r="AL4" s="2" t="s">
        <v>4884</v>
      </c>
    </row>
    <row r="5" spans="1:38" hidden="1" x14ac:dyDescent="0.2">
      <c r="A5" s="2" t="s">
        <v>60</v>
      </c>
      <c r="B5" s="2" t="s">
        <v>99</v>
      </c>
      <c r="C5" s="2" t="s">
        <v>88</v>
      </c>
      <c r="D5" s="2" t="s">
        <v>89</v>
      </c>
      <c r="E5" s="13">
        <v>5070</v>
      </c>
      <c r="F5" s="13">
        <v>5070</v>
      </c>
      <c r="G5" s="14">
        <v>43302</v>
      </c>
      <c r="H5" s="15">
        <v>0.65452546296295999</v>
      </c>
      <c r="I5" s="14">
        <v>43302</v>
      </c>
      <c r="J5" s="15">
        <v>0.82725694444443998</v>
      </c>
      <c r="K5" s="13">
        <v>0</v>
      </c>
      <c r="L5" s="2" t="s">
        <v>64</v>
      </c>
      <c r="M5" s="2" t="s">
        <v>123</v>
      </c>
      <c r="N5" s="14">
        <v>43304</v>
      </c>
      <c r="O5" s="14">
        <v>43304</v>
      </c>
      <c r="P5" s="2" t="s">
        <v>91</v>
      </c>
      <c r="Q5" s="2" t="s">
        <v>92</v>
      </c>
      <c r="R5" s="2" t="s">
        <v>93</v>
      </c>
      <c r="S5" s="14">
        <v>43305</v>
      </c>
      <c r="U5" s="2" t="s">
        <v>94</v>
      </c>
      <c r="V5" s="2" t="s">
        <v>69</v>
      </c>
      <c r="W5" s="2" t="s">
        <v>70</v>
      </c>
      <c r="X5" s="13">
        <v>0</v>
      </c>
      <c r="Y5" s="2" t="s">
        <v>71</v>
      </c>
      <c r="Z5" s="2" t="s">
        <v>72</v>
      </c>
      <c r="AA5" s="13">
        <v>5000</v>
      </c>
      <c r="AB5" s="2" t="s">
        <v>95</v>
      </c>
      <c r="AC5" s="2" t="s">
        <v>6772</v>
      </c>
      <c r="AD5" s="27"/>
      <c r="AL5" s="2" t="s">
        <v>4885</v>
      </c>
    </row>
    <row r="6" spans="1:38" hidden="1" x14ac:dyDescent="0.2">
      <c r="A6" s="2" t="s">
        <v>60</v>
      </c>
      <c r="B6" s="2" t="s">
        <v>96</v>
      </c>
      <c r="C6" s="2" t="s">
        <v>62</v>
      </c>
      <c r="D6" s="2" t="s">
        <v>63</v>
      </c>
      <c r="E6" s="13">
        <v>5070</v>
      </c>
      <c r="F6" s="13">
        <v>5070</v>
      </c>
      <c r="G6" s="14">
        <v>43303</v>
      </c>
      <c r="H6" s="15">
        <v>2.0821759259260001E-2</v>
      </c>
      <c r="I6" s="14">
        <v>43303</v>
      </c>
      <c r="J6" s="15">
        <v>0.19355324074074001</v>
      </c>
      <c r="K6" s="13">
        <v>0</v>
      </c>
      <c r="L6" s="2" t="s">
        <v>64</v>
      </c>
      <c r="M6" s="2" t="s">
        <v>123</v>
      </c>
      <c r="N6" s="14">
        <v>43310</v>
      </c>
      <c r="O6" s="14">
        <v>43310</v>
      </c>
      <c r="P6" s="2" t="s">
        <v>66</v>
      </c>
      <c r="Q6" s="2" t="s">
        <v>98</v>
      </c>
      <c r="R6" s="2" t="s">
        <v>131</v>
      </c>
      <c r="S6" s="14"/>
      <c r="U6" s="2" t="s">
        <v>68</v>
      </c>
      <c r="V6" s="2" t="s">
        <v>69</v>
      </c>
      <c r="W6" s="2" t="s">
        <v>70</v>
      </c>
      <c r="X6" s="13">
        <v>0</v>
      </c>
      <c r="Y6" s="2" t="s">
        <v>71</v>
      </c>
      <c r="Z6" s="2" t="s">
        <v>72</v>
      </c>
      <c r="AA6" s="13">
        <v>5000</v>
      </c>
      <c r="AB6" s="2" t="s">
        <v>95</v>
      </c>
      <c r="AC6" s="2" t="s">
        <v>6772</v>
      </c>
      <c r="AD6" s="27"/>
      <c r="AL6" s="2" t="s">
        <v>4886</v>
      </c>
    </row>
    <row r="7" spans="1:38" hidden="1" x14ac:dyDescent="0.2">
      <c r="A7" s="2" t="s">
        <v>60</v>
      </c>
      <c r="B7" s="2" t="s">
        <v>101</v>
      </c>
      <c r="C7" s="2" t="s">
        <v>102</v>
      </c>
      <c r="D7" s="2" t="s">
        <v>103</v>
      </c>
      <c r="E7" s="13">
        <v>8619</v>
      </c>
      <c r="F7" s="13">
        <v>8619</v>
      </c>
      <c r="G7" s="14">
        <v>43303</v>
      </c>
      <c r="H7" s="15">
        <v>0.70635416666666995</v>
      </c>
      <c r="I7" s="14">
        <v>43304</v>
      </c>
      <c r="J7" s="15">
        <v>0</v>
      </c>
      <c r="K7" s="13">
        <v>0</v>
      </c>
      <c r="L7" s="2" t="s">
        <v>64</v>
      </c>
      <c r="M7" s="2" t="s">
        <v>104</v>
      </c>
      <c r="N7" s="14">
        <v>43315</v>
      </c>
      <c r="O7" s="14">
        <v>43305</v>
      </c>
      <c r="P7" s="2" t="s">
        <v>66</v>
      </c>
      <c r="Q7" s="2" t="s">
        <v>105</v>
      </c>
      <c r="R7" s="2" t="s">
        <v>80</v>
      </c>
      <c r="S7" s="14">
        <v>43315</v>
      </c>
      <c r="T7" s="2" t="s">
        <v>6156</v>
      </c>
      <c r="U7" s="2" t="s">
        <v>106</v>
      </c>
      <c r="V7" s="2" t="s">
        <v>69</v>
      </c>
      <c r="W7" s="2" t="s">
        <v>70</v>
      </c>
      <c r="X7" s="13">
        <v>1223</v>
      </c>
      <c r="Y7" s="2" t="s">
        <v>71</v>
      </c>
      <c r="Z7" s="2" t="s">
        <v>72</v>
      </c>
      <c r="AA7" s="13">
        <v>8619</v>
      </c>
      <c r="AB7" s="2" t="s">
        <v>107</v>
      </c>
      <c r="AC7" s="2" t="s">
        <v>6773</v>
      </c>
      <c r="AD7" s="27">
        <v>43083</v>
      </c>
      <c r="AL7" s="2" t="s">
        <v>4887</v>
      </c>
    </row>
    <row r="8" spans="1:38" hidden="1" x14ac:dyDescent="0.2">
      <c r="A8" s="2" t="s">
        <v>60</v>
      </c>
      <c r="B8" s="2" t="s">
        <v>108</v>
      </c>
      <c r="C8" s="2" t="s">
        <v>109</v>
      </c>
      <c r="D8" s="2" t="s">
        <v>110</v>
      </c>
      <c r="E8" s="16">
        <v>11863.8</v>
      </c>
      <c r="F8" s="16">
        <v>11863.8</v>
      </c>
      <c r="G8" s="14">
        <v>43304</v>
      </c>
      <c r="H8" s="15">
        <v>0.44997685185184999</v>
      </c>
      <c r="I8" s="14">
        <v>43304</v>
      </c>
      <c r="J8" s="15">
        <v>0.85416666666666996</v>
      </c>
      <c r="K8" s="13">
        <v>0</v>
      </c>
      <c r="L8" s="2" t="s">
        <v>64</v>
      </c>
      <c r="M8" s="2" t="s">
        <v>111</v>
      </c>
      <c r="N8" s="14"/>
      <c r="O8" s="14">
        <v>43307</v>
      </c>
      <c r="P8" s="2" t="s">
        <v>78</v>
      </c>
      <c r="Q8" s="2" t="s">
        <v>112</v>
      </c>
      <c r="R8" s="2" t="s">
        <v>80</v>
      </c>
      <c r="S8" s="14">
        <v>43314</v>
      </c>
      <c r="U8" s="2" t="s">
        <v>6087</v>
      </c>
      <c r="V8" s="2" t="s">
        <v>81</v>
      </c>
      <c r="W8" s="2" t="s">
        <v>70</v>
      </c>
      <c r="X8" s="13">
        <v>0</v>
      </c>
      <c r="Y8" s="2" t="s">
        <v>71</v>
      </c>
      <c r="Z8" s="2" t="s">
        <v>72</v>
      </c>
      <c r="AA8" s="13">
        <v>11700</v>
      </c>
      <c r="AB8" s="2" t="s">
        <v>95</v>
      </c>
      <c r="AC8" s="2" t="s">
        <v>6772</v>
      </c>
      <c r="AD8" s="27"/>
      <c r="AL8" s="2" t="s">
        <v>7152</v>
      </c>
    </row>
    <row r="9" spans="1:38" hidden="1" x14ac:dyDescent="0.2">
      <c r="A9" s="2" t="s">
        <v>60</v>
      </c>
      <c r="B9" s="2" t="s">
        <v>113</v>
      </c>
      <c r="C9" s="2" t="s">
        <v>62</v>
      </c>
      <c r="D9" s="2" t="s">
        <v>63</v>
      </c>
      <c r="E9" s="13">
        <v>5070</v>
      </c>
      <c r="F9" s="13">
        <v>5070</v>
      </c>
      <c r="G9" s="14">
        <v>43304</v>
      </c>
      <c r="H9" s="15">
        <v>0.875</v>
      </c>
      <c r="I9" s="14">
        <v>43305</v>
      </c>
      <c r="J9" s="15">
        <v>4.7731481481480001E-2</v>
      </c>
      <c r="K9" s="13">
        <v>0</v>
      </c>
      <c r="L9" s="2" t="s">
        <v>64</v>
      </c>
      <c r="M9" s="2" t="s">
        <v>123</v>
      </c>
      <c r="N9" s="14">
        <v>43289</v>
      </c>
      <c r="O9" s="14">
        <v>43312</v>
      </c>
      <c r="P9" s="2" t="s">
        <v>66</v>
      </c>
      <c r="Q9" s="2" t="s">
        <v>98</v>
      </c>
      <c r="R9" s="2" t="s">
        <v>131</v>
      </c>
      <c r="S9" s="14"/>
      <c r="U9" s="2" t="s">
        <v>68</v>
      </c>
      <c r="V9" s="2" t="s">
        <v>69</v>
      </c>
      <c r="W9" s="2" t="s">
        <v>70</v>
      </c>
      <c r="X9" s="13">
        <v>0</v>
      </c>
      <c r="Y9" s="2" t="s">
        <v>71</v>
      </c>
      <c r="Z9" s="2" t="s">
        <v>72</v>
      </c>
      <c r="AA9" s="13">
        <v>5000</v>
      </c>
      <c r="AB9" s="2" t="s">
        <v>95</v>
      </c>
      <c r="AC9" s="2" t="s">
        <v>6772</v>
      </c>
      <c r="AD9" s="27"/>
      <c r="AL9" s="2" t="s">
        <v>4888</v>
      </c>
    </row>
    <row r="10" spans="1:38" hidden="1" x14ac:dyDescent="0.2">
      <c r="A10" s="2" t="s">
        <v>60</v>
      </c>
      <c r="B10" s="2" t="s">
        <v>4202</v>
      </c>
      <c r="C10" s="2" t="s">
        <v>121</v>
      </c>
      <c r="D10" s="2" t="s">
        <v>122</v>
      </c>
      <c r="E10" s="13">
        <v>5070</v>
      </c>
      <c r="F10" s="13">
        <v>5070</v>
      </c>
      <c r="G10" s="14">
        <v>43308</v>
      </c>
      <c r="H10" s="15">
        <v>0.39244212962962999</v>
      </c>
      <c r="I10" s="14">
        <v>43308</v>
      </c>
      <c r="J10" s="15">
        <v>0.56517361111110997</v>
      </c>
      <c r="K10" s="13">
        <v>0</v>
      </c>
      <c r="L10" s="2" t="s">
        <v>64</v>
      </c>
      <c r="M10" s="2" t="s">
        <v>123</v>
      </c>
      <c r="N10" s="14">
        <v>43311</v>
      </c>
      <c r="O10" s="14">
        <v>43310</v>
      </c>
      <c r="P10" s="2" t="s">
        <v>66</v>
      </c>
      <c r="Q10" s="2" t="s">
        <v>4203</v>
      </c>
      <c r="R10" s="2" t="s">
        <v>80</v>
      </c>
      <c r="S10" s="14">
        <v>43311</v>
      </c>
      <c r="T10" s="2" t="s">
        <v>6157</v>
      </c>
      <c r="U10" s="2" t="s">
        <v>6088</v>
      </c>
      <c r="V10" s="2" t="s">
        <v>69</v>
      </c>
      <c r="W10" s="2" t="s">
        <v>70</v>
      </c>
      <c r="X10" s="13">
        <v>1223</v>
      </c>
      <c r="Y10" s="2" t="s">
        <v>71</v>
      </c>
      <c r="Z10" s="2" t="s">
        <v>72</v>
      </c>
      <c r="AA10" s="13">
        <v>5000</v>
      </c>
      <c r="AB10" s="2" t="s">
        <v>73</v>
      </c>
      <c r="AC10" s="2" t="s">
        <v>6773</v>
      </c>
      <c r="AD10" s="27">
        <v>43285</v>
      </c>
      <c r="AL10" s="2" t="s">
        <v>4889</v>
      </c>
    </row>
    <row r="11" spans="1:38" hidden="1" x14ac:dyDescent="0.2">
      <c r="A11" s="2" t="s">
        <v>60</v>
      </c>
      <c r="B11" s="2" t="s">
        <v>114</v>
      </c>
      <c r="C11" s="2" t="s">
        <v>62</v>
      </c>
      <c r="D11" s="2" t="s">
        <v>63</v>
      </c>
      <c r="E11" s="13">
        <v>20280</v>
      </c>
      <c r="F11" s="13">
        <v>20280</v>
      </c>
      <c r="G11" s="14">
        <v>43308</v>
      </c>
      <c r="H11" s="15">
        <v>0.58600694444444001</v>
      </c>
      <c r="I11" s="14">
        <v>43309</v>
      </c>
      <c r="J11" s="15">
        <v>0.27693287037037001</v>
      </c>
      <c r="K11" s="13">
        <v>0</v>
      </c>
      <c r="L11" s="2" t="s">
        <v>64</v>
      </c>
      <c r="M11" s="2" t="s">
        <v>97</v>
      </c>
      <c r="N11" s="14">
        <v>43316</v>
      </c>
      <c r="O11" s="14">
        <v>43317</v>
      </c>
      <c r="P11" s="2" t="s">
        <v>66</v>
      </c>
      <c r="Q11" s="2" t="s">
        <v>6895</v>
      </c>
      <c r="R11" s="2" t="s">
        <v>80</v>
      </c>
      <c r="S11" s="14">
        <v>43318</v>
      </c>
      <c r="U11" s="2" t="s">
        <v>68</v>
      </c>
      <c r="V11" s="2" t="s">
        <v>69</v>
      </c>
      <c r="W11" s="2" t="s">
        <v>70</v>
      </c>
      <c r="X11" s="13">
        <v>0</v>
      </c>
      <c r="Y11" s="2" t="s">
        <v>71</v>
      </c>
      <c r="Z11" s="2" t="s">
        <v>72</v>
      </c>
      <c r="AA11" s="13">
        <v>20000</v>
      </c>
      <c r="AB11" s="2" t="s">
        <v>95</v>
      </c>
      <c r="AC11" s="2" t="s">
        <v>6772</v>
      </c>
      <c r="AD11" s="27"/>
      <c r="AL11" s="2" t="s">
        <v>7153</v>
      </c>
    </row>
    <row r="12" spans="1:38" hidden="1" x14ac:dyDescent="0.2">
      <c r="A12" s="2" t="s">
        <v>60</v>
      </c>
      <c r="B12" s="2" t="s">
        <v>117</v>
      </c>
      <c r="C12" s="2" t="s">
        <v>88</v>
      </c>
      <c r="D12" s="2" t="s">
        <v>89</v>
      </c>
      <c r="E12" s="13">
        <v>10140</v>
      </c>
      <c r="F12" s="13">
        <v>10140</v>
      </c>
      <c r="G12" s="14">
        <v>43309</v>
      </c>
      <c r="H12" s="15">
        <v>0.65452546296295999</v>
      </c>
      <c r="I12" s="14">
        <v>43309</v>
      </c>
      <c r="J12" s="15">
        <v>0.99998842592592996</v>
      </c>
      <c r="K12" s="13">
        <v>0</v>
      </c>
      <c r="L12" s="2" t="s">
        <v>64</v>
      </c>
      <c r="M12" s="2" t="s">
        <v>100</v>
      </c>
      <c r="N12" s="14">
        <v>43311</v>
      </c>
      <c r="O12" s="14">
        <v>43311</v>
      </c>
      <c r="P12" s="2" t="s">
        <v>91</v>
      </c>
      <c r="Q12" s="2" t="s">
        <v>118</v>
      </c>
      <c r="R12" s="2" t="s">
        <v>80</v>
      </c>
      <c r="S12" s="14">
        <v>43318</v>
      </c>
      <c r="U12" s="2" t="s">
        <v>94</v>
      </c>
      <c r="V12" s="2" t="s">
        <v>69</v>
      </c>
      <c r="W12" s="2" t="s">
        <v>70</v>
      </c>
      <c r="X12" s="13">
        <v>0</v>
      </c>
      <c r="Y12" s="2" t="s">
        <v>71</v>
      </c>
      <c r="Z12" s="2" t="s">
        <v>72</v>
      </c>
      <c r="AA12" s="13">
        <v>10000</v>
      </c>
      <c r="AB12" s="2" t="s">
        <v>95</v>
      </c>
      <c r="AC12" s="2" t="s">
        <v>6772</v>
      </c>
      <c r="AD12" s="27"/>
      <c r="AL12" s="2" t="s">
        <v>4890</v>
      </c>
    </row>
    <row r="13" spans="1:38" hidden="1" x14ac:dyDescent="0.2">
      <c r="A13" s="2" t="s">
        <v>60</v>
      </c>
      <c r="B13" s="2" t="s">
        <v>119</v>
      </c>
      <c r="C13" s="2" t="s">
        <v>88</v>
      </c>
      <c r="D13" s="2" t="s">
        <v>89</v>
      </c>
      <c r="E13" s="13">
        <v>10140</v>
      </c>
      <c r="F13" s="13">
        <v>10140</v>
      </c>
      <c r="G13" s="14">
        <v>43310</v>
      </c>
      <c r="H13" s="15">
        <v>2.0821759259260001E-2</v>
      </c>
      <c r="I13" s="14">
        <v>43310</v>
      </c>
      <c r="J13" s="15">
        <v>0.36628472222222003</v>
      </c>
      <c r="K13" s="13">
        <v>0</v>
      </c>
      <c r="L13" s="2" t="s">
        <v>64</v>
      </c>
      <c r="M13" s="2" t="s">
        <v>100</v>
      </c>
      <c r="N13" s="14">
        <v>43312</v>
      </c>
      <c r="O13" s="14">
        <v>43312</v>
      </c>
      <c r="P13" s="2" t="s">
        <v>91</v>
      </c>
      <c r="Q13" s="2" t="s">
        <v>118</v>
      </c>
      <c r="R13" s="2" t="s">
        <v>80</v>
      </c>
      <c r="S13" s="14">
        <v>43318</v>
      </c>
      <c r="U13" s="2" t="s">
        <v>94</v>
      </c>
      <c r="V13" s="2" t="s">
        <v>69</v>
      </c>
      <c r="W13" s="2" t="s">
        <v>70</v>
      </c>
      <c r="X13" s="13">
        <v>0</v>
      </c>
      <c r="Y13" s="2" t="s">
        <v>71</v>
      </c>
      <c r="Z13" s="2" t="s">
        <v>72</v>
      </c>
      <c r="AA13" s="13">
        <v>10000</v>
      </c>
      <c r="AB13" s="2" t="s">
        <v>95</v>
      </c>
      <c r="AC13" s="2" t="s">
        <v>6772</v>
      </c>
      <c r="AD13" s="27"/>
      <c r="AL13" s="2" t="s">
        <v>4891</v>
      </c>
    </row>
    <row r="14" spans="1:38" hidden="1" x14ac:dyDescent="0.2">
      <c r="A14" s="2" t="s">
        <v>60</v>
      </c>
      <c r="B14" s="2" t="s">
        <v>120</v>
      </c>
      <c r="C14" s="2" t="s">
        <v>121</v>
      </c>
      <c r="D14" s="2" t="s">
        <v>122</v>
      </c>
      <c r="E14" s="13">
        <v>5070</v>
      </c>
      <c r="F14" s="13">
        <v>5070</v>
      </c>
      <c r="G14" s="14">
        <v>43310</v>
      </c>
      <c r="H14" s="15">
        <v>0.82726851851852001</v>
      </c>
      <c r="I14" s="14">
        <v>43311</v>
      </c>
      <c r="J14" s="15">
        <v>0</v>
      </c>
      <c r="K14" s="13">
        <v>0</v>
      </c>
      <c r="L14" s="2" t="s">
        <v>64</v>
      </c>
      <c r="M14" s="2" t="s">
        <v>123</v>
      </c>
      <c r="N14" s="14">
        <v>43313</v>
      </c>
      <c r="O14" s="14">
        <v>43312</v>
      </c>
      <c r="P14" s="2" t="s">
        <v>66</v>
      </c>
      <c r="Q14" s="2" t="s">
        <v>124</v>
      </c>
      <c r="R14" s="2" t="s">
        <v>80</v>
      </c>
      <c r="S14" s="14">
        <v>43313</v>
      </c>
      <c r="T14" s="2" t="s">
        <v>6158</v>
      </c>
      <c r="U14" s="2" t="s">
        <v>6088</v>
      </c>
      <c r="V14" s="2" t="s">
        <v>69</v>
      </c>
      <c r="W14" s="2" t="s">
        <v>70</v>
      </c>
      <c r="X14" s="13">
        <v>1223</v>
      </c>
      <c r="Y14" s="2" t="s">
        <v>71</v>
      </c>
      <c r="Z14" s="2" t="s">
        <v>72</v>
      </c>
      <c r="AA14" s="13">
        <v>5000</v>
      </c>
      <c r="AB14" s="2" t="s">
        <v>73</v>
      </c>
      <c r="AC14" s="2" t="s">
        <v>6773</v>
      </c>
      <c r="AD14" s="27">
        <v>43283</v>
      </c>
      <c r="AL14" s="2" t="s">
        <v>4892</v>
      </c>
    </row>
    <row r="15" spans="1:38" hidden="1" x14ac:dyDescent="0.2">
      <c r="A15" s="2" t="s">
        <v>60</v>
      </c>
      <c r="B15" s="2" t="s">
        <v>4204</v>
      </c>
      <c r="C15" s="2" t="s">
        <v>102</v>
      </c>
      <c r="D15" s="2" t="s">
        <v>103</v>
      </c>
      <c r="E15" s="13">
        <v>10140</v>
      </c>
      <c r="F15" s="13">
        <v>10140</v>
      </c>
      <c r="G15" s="14">
        <v>43311</v>
      </c>
      <c r="H15" s="15">
        <v>0.55037037037036995</v>
      </c>
      <c r="I15" s="14">
        <v>43311</v>
      </c>
      <c r="J15" s="15">
        <v>0.89583333333333004</v>
      </c>
      <c r="K15" s="13">
        <v>0</v>
      </c>
      <c r="L15" s="2" t="s">
        <v>64</v>
      </c>
      <c r="M15" s="2" t="s">
        <v>100</v>
      </c>
      <c r="N15" s="14">
        <v>43314</v>
      </c>
      <c r="O15" s="14">
        <v>43313</v>
      </c>
      <c r="P15" s="2" t="s">
        <v>66</v>
      </c>
      <c r="Q15" s="2" t="s">
        <v>4205</v>
      </c>
      <c r="R15" s="2" t="s">
        <v>80</v>
      </c>
      <c r="S15" s="14">
        <v>43314</v>
      </c>
      <c r="T15" s="2" t="s">
        <v>6159</v>
      </c>
      <c r="U15" s="2" t="s">
        <v>106</v>
      </c>
      <c r="V15" s="2" t="s">
        <v>69</v>
      </c>
      <c r="W15" s="2" t="s">
        <v>70</v>
      </c>
      <c r="X15" s="13">
        <v>1223</v>
      </c>
      <c r="Y15" s="2" t="s">
        <v>71</v>
      </c>
      <c r="Z15" s="2" t="s">
        <v>72</v>
      </c>
      <c r="AA15" s="13">
        <v>10000</v>
      </c>
      <c r="AB15" s="2" t="s">
        <v>73</v>
      </c>
      <c r="AC15" s="2" t="s">
        <v>6773</v>
      </c>
      <c r="AD15" s="27">
        <v>43286</v>
      </c>
      <c r="AL15" s="2" t="s">
        <v>4893</v>
      </c>
    </row>
    <row r="16" spans="1:38" hidden="1" x14ac:dyDescent="0.2">
      <c r="A16" s="2" t="s">
        <v>60</v>
      </c>
      <c r="B16" s="2" t="s">
        <v>125</v>
      </c>
      <c r="C16" s="2" t="s">
        <v>62</v>
      </c>
      <c r="D16" s="2" t="s">
        <v>63</v>
      </c>
      <c r="E16" s="13">
        <v>20000</v>
      </c>
      <c r="F16" s="13">
        <v>20000</v>
      </c>
      <c r="G16" s="14">
        <v>43311</v>
      </c>
      <c r="H16" s="15">
        <v>0.91666666666666996</v>
      </c>
      <c r="I16" s="14">
        <v>43312</v>
      </c>
      <c r="J16" s="15">
        <v>0.59805555555556</v>
      </c>
      <c r="K16" s="13">
        <v>0</v>
      </c>
      <c r="L16" s="2" t="s">
        <v>64</v>
      </c>
      <c r="M16" s="2" t="s">
        <v>65</v>
      </c>
      <c r="N16" s="14">
        <v>43289</v>
      </c>
      <c r="O16" s="14">
        <v>43319</v>
      </c>
      <c r="P16" s="2" t="s">
        <v>66</v>
      </c>
      <c r="Q16" s="2" t="s">
        <v>6896</v>
      </c>
      <c r="R16" s="2" t="s">
        <v>80</v>
      </c>
      <c r="S16" s="14">
        <v>43326</v>
      </c>
      <c r="U16" s="2" t="s">
        <v>68</v>
      </c>
      <c r="V16" s="2" t="s">
        <v>69</v>
      </c>
      <c r="W16" s="2" t="s">
        <v>70</v>
      </c>
      <c r="X16" s="13">
        <v>0</v>
      </c>
      <c r="Y16" s="2" t="s">
        <v>71</v>
      </c>
      <c r="Z16" s="2" t="s">
        <v>72</v>
      </c>
      <c r="AA16" s="13">
        <v>20000</v>
      </c>
      <c r="AB16" s="2" t="s">
        <v>95</v>
      </c>
      <c r="AC16" s="2" t="s">
        <v>6772</v>
      </c>
      <c r="AD16" s="27"/>
      <c r="AL16" s="2" t="s">
        <v>4894</v>
      </c>
    </row>
    <row r="17" spans="1:38" hidden="1" x14ac:dyDescent="0.2">
      <c r="A17" s="2" t="s">
        <v>60</v>
      </c>
      <c r="B17" s="2" t="s">
        <v>126</v>
      </c>
      <c r="C17" s="2" t="s">
        <v>127</v>
      </c>
      <c r="D17" s="2" t="s">
        <v>128</v>
      </c>
      <c r="E17" s="13">
        <v>10140</v>
      </c>
      <c r="F17" s="13">
        <v>10140</v>
      </c>
      <c r="G17" s="14">
        <v>43312</v>
      </c>
      <c r="H17" s="15">
        <v>0.63972222222221997</v>
      </c>
      <c r="I17" s="14">
        <v>43312</v>
      </c>
      <c r="J17" s="15">
        <v>0.98518518518519005</v>
      </c>
      <c r="K17" s="13">
        <v>0</v>
      </c>
      <c r="L17" s="2" t="s">
        <v>64</v>
      </c>
      <c r="M17" s="2" t="s">
        <v>100</v>
      </c>
      <c r="N17" s="14"/>
      <c r="O17" s="14">
        <v>43314</v>
      </c>
      <c r="P17" s="2" t="s">
        <v>78</v>
      </c>
      <c r="Q17" s="2" t="s">
        <v>594</v>
      </c>
      <c r="R17" s="2" t="s">
        <v>80</v>
      </c>
      <c r="S17" s="14">
        <v>43318</v>
      </c>
      <c r="U17" s="2" t="s">
        <v>129</v>
      </c>
      <c r="V17" s="2" t="s">
        <v>69</v>
      </c>
      <c r="W17" s="2" t="s">
        <v>70</v>
      </c>
      <c r="X17" s="13">
        <v>0</v>
      </c>
      <c r="Y17" s="2" t="s">
        <v>71</v>
      </c>
      <c r="Z17" s="2" t="s">
        <v>72</v>
      </c>
      <c r="AA17" s="13">
        <v>10000</v>
      </c>
      <c r="AB17" s="2" t="s">
        <v>95</v>
      </c>
      <c r="AC17" s="2" t="s">
        <v>6772</v>
      </c>
      <c r="AD17" s="27"/>
      <c r="AL17" s="2" t="s">
        <v>4895</v>
      </c>
    </row>
    <row r="18" spans="1:38" hidden="1" x14ac:dyDescent="0.2">
      <c r="A18" s="2" t="s">
        <v>60</v>
      </c>
      <c r="B18" s="2" t="s">
        <v>130</v>
      </c>
      <c r="C18" s="2" t="s">
        <v>88</v>
      </c>
      <c r="D18" s="2" t="s">
        <v>89</v>
      </c>
      <c r="E18" s="13">
        <v>10140</v>
      </c>
      <c r="F18" s="13">
        <v>10140</v>
      </c>
      <c r="G18" s="14">
        <v>43316</v>
      </c>
      <c r="H18" s="15">
        <v>0.65452546296295999</v>
      </c>
      <c r="I18" s="14">
        <v>43316</v>
      </c>
      <c r="J18" s="15">
        <v>0.99998842592592996</v>
      </c>
      <c r="K18" s="13">
        <v>0</v>
      </c>
      <c r="L18" s="2" t="s">
        <v>64</v>
      </c>
      <c r="M18" s="2" t="s">
        <v>100</v>
      </c>
      <c r="N18" s="14">
        <v>43318</v>
      </c>
      <c r="O18" s="14">
        <v>43318</v>
      </c>
      <c r="P18" s="2" t="s">
        <v>91</v>
      </c>
      <c r="Q18" s="2" t="s">
        <v>98</v>
      </c>
      <c r="R18" s="2" t="s">
        <v>131</v>
      </c>
      <c r="S18" s="14"/>
      <c r="U18" s="2" t="s">
        <v>94</v>
      </c>
      <c r="V18" s="2" t="s">
        <v>69</v>
      </c>
      <c r="W18" s="2" t="s">
        <v>70</v>
      </c>
      <c r="X18" s="13">
        <v>0</v>
      </c>
      <c r="Y18" s="2" t="s">
        <v>71</v>
      </c>
      <c r="Z18" s="2" t="s">
        <v>72</v>
      </c>
      <c r="AA18" s="13">
        <v>10000</v>
      </c>
      <c r="AB18" s="2" t="s">
        <v>95</v>
      </c>
      <c r="AC18" s="2" t="s">
        <v>6772</v>
      </c>
      <c r="AD18" s="27"/>
      <c r="AL18" s="2" t="s">
        <v>4896</v>
      </c>
    </row>
    <row r="19" spans="1:38" hidden="1" x14ac:dyDescent="0.2">
      <c r="A19" s="2" t="s">
        <v>60</v>
      </c>
      <c r="B19" s="2" t="s">
        <v>132</v>
      </c>
      <c r="C19" s="2" t="s">
        <v>115</v>
      </c>
      <c r="D19" s="2" t="s">
        <v>116</v>
      </c>
      <c r="E19" s="13">
        <v>20000</v>
      </c>
      <c r="F19" s="13">
        <v>20000</v>
      </c>
      <c r="G19" s="14">
        <v>43317</v>
      </c>
      <c r="H19" s="15">
        <v>0.31859953703704003</v>
      </c>
      <c r="I19" s="14">
        <v>43317</v>
      </c>
      <c r="J19" s="15">
        <v>0.99998842592592996</v>
      </c>
      <c r="K19" s="13">
        <v>0</v>
      </c>
      <c r="L19" s="2" t="s">
        <v>64</v>
      </c>
      <c r="M19" s="2" t="s">
        <v>65</v>
      </c>
      <c r="N19" s="14">
        <v>43319</v>
      </c>
      <c r="O19" s="14">
        <v>43319</v>
      </c>
      <c r="P19" s="2" t="s">
        <v>78</v>
      </c>
      <c r="Q19" s="2" t="s">
        <v>98</v>
      </c>
      <c r="R19" s="2" t="s">
        <v>131</v>
      </c>
      <c r="S19" s="14"/>
      <c r="U19" s="2" t="s">
        <v>6087</v>
      </c>
      <c r="V19" s="2" t="s">
        <v>6092</v>
      </c>
      <c r="W19" s="2" t="s">
        <v>70</v>
      </c>
      <c r="X19" s="13">
        <v>0</v>
      </c>
      <c r="Y19" s="2" t="s">
        <v>71</v>
      </c>
      <c r="Z19" s="2" t="s">
        <v>72</v>
      </c>
      <c r="AA19" s="13">
        <v>20000</v>
      </c>
      <c r="AB19" s="2" t="s">
        <v>95</v>
      </c>
      <c r="AC19" s="2" t="s">
        <v>6772</v>
      </c>
      <c r="AD19" s="27"/>
      <c r="AL19" s="2" t="s">
        <v>7154</v>
      </c>
    </row>
    <row r="20" spans="1:38" hidden="1" x14ac:dyDescent="0.2">
      <c r="A20" s="2" t="s">
        <v>60</v>
      </c>
      <c r="B20" s="2" t="s">
        <v>133</v>
      </c>
      <c r="C20" s="2" t="s">
        <v>88</v>
      </c>
      <c r="D20" s="2" t="s">
        <v>89</v>
      </c>
      <c r="E20" s="13">
        <v>10140</v>
      </c>
      <c r="F20" s="13">
        <v>10140</v>
      </c>
      <c r="G20" s="14">
        <v>43325</v>
      </c>
      <c r="H20" s="15">
        <v>0.24055555555555999</v>
      </c>
      <c r="I20" s="14">
        <v>43325</v>
      </c>
      <c r="J20" s="15">
        <v>0.58601851851852005</v>
      </c>
      <c r="K20" s="13">
        <v>0</v>
      </c>
      <c r="L20" s="2" t="s">
        <v>64</v>
      </c>
      <c r="M20" s="2" t="s">
        <v>100</v>
      </c>
      <c r="N20" s="14">
        <v>43327</v>
      </c>
      <c r="O20" s="14">
        <v>43327</v>
      </c>
      <c r="P20" s="2" t="s">
        <v>91</v>
      </c>
      <c r="Q20" s="2" t="s">
        <v>98</v>
      </c>
      <c r="R20" s="2" t="s">
        <v>131</v>
      </c>
      <c r="S20" s="14"/>
      <c r="U20" s="2" t="s">
        <v>94</v>
      </c>
      <c r="V20" s="2" t="s">
        <v>69</v>
      </c>
      <c r="W20" s="2" t="s">
        <v>70</v>
      </c>
      <c r="X20" s="13">
        <v>0</v>
      </c>
      <c r="Y20" s="2" t="s">
        <v>71</v>
      </c>
      <c r="Z20" s="2" t="s">
        <v>72</v>
      </c>
      <c r="AA20" s="13">
        <v>10000</v>
      </c>
      <c r="AB20" s="2" t="s">
        <v>95</v>
      </c>
      <c r="AC20" s="2" t="s">
        <v>6772</v>
      </c>
      <c r="AD20" s="27"/>
      <c r="AL20" s="2" t="s">
        <v>4897</v>
      </c>
    </row>
    <row r="21" spans="1:38" hidden="1" x14ac:dyDescent="0.2">
      <c r="A21" s="2" t="s">
        <v>60</v>
      </c>
      <c r="B21" s="2" t="s">
        <v>134</v>
      </c>
      <c r="C21" s="2" t="s">
        <v>115</v>
      </c>
      <c r="D21" s="2" t="s">
        <v>116</v>
      </c>
      <c r="E21" s="13">
        <v>20280</v>
      </c>
      <c r="F21" s="13">
        <v>20280</v>
      </c>
      <c r="G21" s="14">
        <v>43325</v>
      </c>
      <c r="H21" s="15">
        <v>0.60685185185184998</v>
      </c>
      <c r="I21" s="14">
        <v>43326</v>
      </c>
      <c r="J21" s="15">
        <v>0.29777777777777997</v>
      </c>
      <c r="K21" s="13">
        <v>0</v>
      </c>
      <c r="L21" s="2" t="s">
        <v>64</v>
      </c>
      <c r="M21" s="2" t="s">
        <v>97</v>
      </c>
      <c r="N21" s="14">
        <v>43328</v>
      </c>
      <c r="O21" s="14">
        <v>43329</v>
      </c>
      <c r="P21" s="2" t="s">
        <v>78</v>
      </c>
      <c r="Q21" s="2" t="s">
        <v>98</v>
      </c>
      <c r="R21" s="2" t="s">
        <v>131</v>
      </c>
      <c r="S21" s="14"/>
      <c r="U21" s="2" t="s">
        <v>6087</v>
      </c>
      <c r="V21" s="2" t="s">
        <v>6092</v>
      </c>
      <c r="W21" s="2" t="s">
        <v>70</v>
      </c>
      <c r="X21" s="13">
        <v>0</v>
      </c>
      <c r="Y21" s="2" t="s">
        <v>71</v>
      </c>
      <c r="Z21" s="2" t="s">
        <v>72</v>
      </c>
      <c r="AA21" s="13">
        <v>20000</v>
      </c>
      <c r="AB21" s="2" t="s">
        <v>95</v>
      </c>
      <c r="AC21" s="2" t="s">
        <v>6772</v>
      </c>
      <c r="AD21" s="27"/>
      <c r="AL21" s="2" t="s">
        <v>7155</v>
      </c>
    </row>
    <row r="22" spans="1:38" hidden="1" x14ac:dyDescent="0.2">
      <c r="A22" s="2" t="s">
        <v>60</v>
      </c>
      <c r="B22" s="2" t="s">
        <v>135</v>
      </c>
      <c r="C22" s="2" t="s">
        <v>102</v>
      </c>
      <c r="D22" s="2" t="s">
        <v>103</v>
      </c>
      <c r="E22" s="13">
        <v>20000</v>
      </c>
      <c r="F22" s="13">
        <v>20000</v>
      </c>
      <c r="G22" s="14">
        <v>43331</v>
      </c>
      <c r="H22" s="15">
        <v>0.31861111111111001</v>
      </c>
      <c r="I22" s="14">
        <v>43332</v>
      </c>
      <c r="J22" s="15">
        <v>0</v>
      </c>
      <c r="K22" s="13">
        <v>0</v>
      </c>
      <c r="L22" s="2" t="s">
        <v>64</v>
      </c>
      <c r="M22" s="2" t="s">
        <v>65</v>
      </c>
      <c r="N22" s="14">
        <v>43346</v>
      </c>
      <c r="O22" s="14">
        <v>43333</v>
      </c>
      <c r="P22" s="2" t="s">
        <v>66</v>
      </c>
      <c r="Q22" s="2" t="s">
        <v>136</v>
      </c>
      <c r="R22" s="2" t="s">
        <v>80</v>
      </c>
      <c r="S22" s="14">
        <v>43346</v>
      </c>
      <c r="U22" s="2" t="s">
        <v>106</v>
      </c>
      <c r="V22" s="2" t="s">
        <v>69</v>
      </c>
      <c r="W22" s="2" t="s">
        <v>70</v>
      </c>
      <c r="X22" s="13">
        <v>1223</v>
      </c>
      <c r="Y22" s="2" t="s">
        <v>71</v>
      </c>
      <c r="Z22" s="2" t="s">
        <v>72</v>
      </c>
      <c r="AA22" s="13">
        <v>20000</v>
      </c>
      <c r="AB22" s="2" t="s">
        <v>73</v>
      </c>
      <c r="AC22" s="2" t="s">
        <v>6773</v>
      </c>
      <c r="AD22" s="27"/>
      <c r="AL22" s="2" t="s">
        <v>7156</v>
      </c>
    </row>
    <row r="23" spans="1:38" hidden="1" x14ac:dyDescent="0.2">
      <c r="A23" s="2" t="s">
        <v>60</v>
      </c>
      <c r="B23" s="2" t="s">
        <v>137</v>
      </c>
      <c r="C23" s="2" t="s">
        <v>115</v>
      </c>
      <c r="D23" s="2" t="s">
        <v>116</v>
      </c>
      <c r="E23" s="13">
        <v>20280</v>
      </c>
      <c r="F23" s="13">
        <v>20280</v>
      </c>
      <c r="G23" s="14">
        <v>43334</v>
      </c>
      <c r="H23" s="15">
        <v>0.30906250000000002</v>
      </c>
      <c r="I23" s="14">
        <v>43334</v>
      </c>
      <c r="J23" s="15">
        <v>0.99998842592592996</v>
      </c>
      <c r="K23" s="13">
        <v>0</v>
      </c>
      <c r="L23" s="2" t="s">
        <v>64</v>
      </c>
      <c r="M23" s="2" t="s">
        <v>97</v>
      </c>
      <c r="N23" s="14">
        <v>43336</v>
      </c>
      <c r="O23" s="14">
        <v>43336</v>
      </c>
      <c r="P23" s="2" t="s">
        <v>78</v>
      </c>
      <c r="Q23" s="2" t="s">
        <v>98</v>
      </c>
      <c r="R23" s="2" t="s">
        <v>131</v>
      </c>
      <c r="S23" s="14"/>
      <c r="U23" s="2" t="s">
        <v>6087</v>
      </c>
      <c r="V23" s="2" t="s">
        <v>6092</v>
      </c>
      <c r="W23" s="2" t="s">
        <v>70</v>
      </c>
      <c r="X23" s="13">
        <v>0</v>
      </c>
      <c r="Y23" s="2" t="s">
        <v>71</v>
      </c>
      <c r="Z23" s="2" t="s">
        <v>72</v>
      </c>
      <c r="AA23" s="13">
        <v>20000</v>
      </c>
      <c r="AB23" s="2" t="s">
        <v>95</v>
      </c>
      <c r="AC23" s="2" t="s">
        <v>6772</v>
      </c>
      <c r="AD23" s="27"/>
      <c r="AL23" s="2" t="s">
        <v>7157</v>
      </c>
    </row>
    <row r="24" spans="1:38" hidden="1" x14ac:dyDescent="0.2">
      <c r="A24" s="2" t="s">
        <v>60</v>
      </c>
      <c r="B24" s="2" t="s">
        <v>138</v>
      </c>
      <c r="C24" s="2" t="s">
        <v>139</v>
      </c>
      <c r="D24" s="2" t="s">
        <v>140</v>
      </c>
      <c r="E24" s="13">
        <v>10140</v>
      </c>
      <c r="F24" s="13">
        <v>10140</v>
      </c>
      <c r="G24" s="14">
        <v>43338</v>
      </c>
      <c r="H24" s="15">
        <v>0.12266203703704</v>
      </c>
      <c r="I24" s="14">
        <v>43338</v>
      </c>
      <c r="J24" s="15">
        <v>0.46812500000000001</v>
      </c>
      <c r="K24" s="13">
        <v>0</v>
      </c>
      <c r="L24" s="2" t="s">
        <v>64</v>
      </c>
      <c r="M24" s="2" t="s">
        <v>100</v>
      </c>
      <c r="N24" s="14"/>
      <c r="O24" s="14">
        <v>43345</v>
      </c>
      <c r="P24" s="2" t="s">
        <v>91</v>
      </c>
      <c r="Q24" s="2" t="s">
        <v>141</v>
      </c>
      <c r="R24" s="2" t="s">
        <v>80</v>
      </c>
      <c r="S24" s="14">
        <v>43346</v>
      </c>
      <c r="U24" s="2" t="s">
        <v>6089</v>
      </c>
      <c r="V24" s="2" t="s">
        <v>6093</v>
      </c>
      <c r="W24" s="2" t="s">
        <v>70</v>
      </c>
      <c r="X24" s="13">
        <v>1223</v>
      </c>
      <c r="Y24" s="2" t="s">
        <v>71</v>
      </c>
      <c r="Z24" s="2" t="s">
        <v>72</v>
      </c>
      <c r="AA24" s="13">
        <v>10000</v>
      </c>
      <c r="AB24" s="2" t="s">
        <v>73</v>
      </c>
      <c r="AD24" s="27"/>
      <c r="AL24" s="2" t="s">
        <v>3332</v>
      </c>
    </row>
    <row r="25" spans="1:38" hidden="1" x14ac:dyDescent="0.2">
      <c r="A25" s="2" t="s">
        <v>60</v>
      </c>
      <c r="B25" s="2" t="s">
        <v>142</v>
      </c>
      <c r="C25" s="2" t="s">
        <v>143</v>
      </c>
      <c r="D25" s="2" t="s">
        <v>144</v>
      </c>
      <c r="E25" s="13">
        <v>15000</v>
      </c>
      <c r="F25" s="13">
        <v>15000</v>
      </c>
      <c r="G25" s="14">
        <v>43338</v>
      </c>
      <c r="H25" s="15">
        <v>0.48895833333333</v>
      </c>
      <c r="I25" s="14">
        <v>43339</v>
      </c>
      <c r="J25" s="15">
        <v>0</v>
      </c>
      <c r="K25" s="13">
        <v>0</v>
      </c>
      <c r="L25" s="2" t="s">
        <v>64</v>
      </c>
      <c r="M25" s="2" t="s">
        <v>145</v>
      </c>
      <c r="N25" s="14">
        <v>43342</v>
      </c>
      <c r="O25" s="14">
        <v>43340</v>
      </c>
      <c r="P25" s="2" t="s">
        <v>66</v>
      </c>
      <c r="Q25" s="2" t="s">
        <v>146</v>
      </c>
      <c r="R25" s="2" t="s">
        <v>80</v>
      </c>
      <c r="S25" s="14">
        <v>43342</v>
      </c>
      <c r="U25" s="2" t="s">
        <v>6090</v>
      </c>
      <c r="V25" s="2" t="s">
        <v>6094</v>
      </c>
      <c r="W25" s="2" t="s">
        <v>70</v>
      </c>
      <c r="X25" s="13">
        <v>1223</v>
      </c>
      <c r="Y25" s="2" t="s">
        <v>71</v>
      </c>
      <c r="Z25" s="2" t="s">
        <v>72</v>
      </c>
      <c r="AA25" s="13">
        <v>15000</v>
      </c>
      <c r="AB25" s="2" t="s">
        <v>73</v>
      </c>
      <c r="AC25" s="2" t="s">
        <v>6773</v>
      </c>
      <c r="AD25" s="27"/>
      <c r="AL25" s="2" t="s">
        <v>7158</v>
      </c>
    </row>
    <row r="26" spans="1:38" hidden="1" x14ac:dyDescent="0.2">
      <c r="A26" s="2" t="s">
        <v>60</v>
      </c>
      <c r="B26" s="2" t="s">
        <v>4206</v>
      </c>
      <c r="C26" s="2" t="s">
        <v>115</v>
      </c>
      <c r="D26" s="2" t="s">
        <v>116</v>
      </c>
      <c r="E26" s="13">
        <v>20280</v>
      </c>
      <c r="F26" s="13">
        <v>20280</v>
      </c>
      <c r="G26" s="14">
        <v>43342</v>
      </c>
      <c r="H26" s="15">
        <v>0.30906250000000002</v>
      </c>
      <c r="I26" s="14">
        <v>43342</v>
      </c>
      <c r="J26" s="15">
        <v>0.99998842592592996</v>
      </c>
      <c r="K26" s="13">
        <v>0</v>
      </c>
      <c r="L26" s="2" t="s">
        <v>64</v>
      </c>
      <c r="M26" s="2" t="s">
        <v>97</v>
      </c>
      <c r="N26" s="14">
        <v>43344</v>
      </c>
      <c r="O26" s="14">
        <v>43344</v>
      </c>
      <c r="P26" s="2" t="s">
        <v>78</v>
      </c>
      <c r="Q26" s="2" t="s">
        <v>98</v>
      </c>
      <c r="R26" s="2" t="s">
        <v>131</v>
      </c>
      <c r="S26" s="14"/>
      <c r="U26" s="2" t="s">
        <v>6087</v>
      </c>
      <c r="V26" s="2" t="s">
        <v>6092</v>
      </c>
      <c r="W26" s="2" t="s">
        <v>70</v>
      </c>
      <c r="X26" s="13">
        <v>0</v>
      </c>
      <c r="Y26" s="2" t="s">
        <v>71</v>
      </c>
      <c r="Z26" s="2" t="s">
        <v>72</v>
      </c>
      <c r="AA26" s="13">
        <v>20000</v>
      </c>
      <c r="AB26" s="2" t="s">
        <v>95</v>
      </c>
      <c r="AC26" s="2" t="s">
        <v>6772</v>
      </c>
      <c r="AD26" s="27"/>
      <c r="AL26" s="2" t="s">
        <v>7159</v>
      </c>
    </row>
    <row r="27" spans="1:38" hidden="1" x14ac:dyDescent="0.2">
      <c r="A27" s="2" t="s">
        <v>60</v>
      </c>
      <c r="B27" s="2" t="s">
        <v>4207</v>
      </c>
      <c r="C27" s="2" t="s">
        <v>4208</v>
      </c>
      <c r="D27" s="2" t="s">
        <v>4209</v>
      </c>
      <c r="E27" s="13">
        <v>10140</v>
      </c>
      <c r="F27" s="13">
        <v>10140</v>
      </c>
      <c r="G27" s="14">
        <v>43344</v>
      </c>
      <c r="H27" s="15">
        <v>0.30906250000000002</v>
      </c>
      <c r="I27" s="14">
        <v>43344</v>
      </c>
      <c r="J27" s="15">
        <v>0.65452546296295999</v>
      </c>
      <c r="K27" s="13">
        <v>0</v>
      </c>
      <c r="L27" s="2" t="s">
        <v>64</v>
      </c>
      <c r="M27" s="2" t="s">
        <v>100</v>
      </c>
      <c r="N27" s="14">
        <v>43346</v>
      </c>
      <c r="O27" s="14">
        <v>43346</v>
      </c>
      <c r="P27" s="2" t="s">
        <v>78</v>
      </c>
      <c r="Q27" s="2" t="s">
        <v>98</v>
      </c>
      <c r="R27" s="2" t="s">
        <v>131</v>
      </c>
      <c r="S27" s="14"/>
      <c r="U27" s="2" t="s">
        <v>6091</v>
      </c>
      <c r="V27" s="2" t="s">
        <v>69</v>
      </c>
      <c r="W27" s="2" t="s">
        <v>70</v>
      </c>
      <c r="X27" s="13">
        <v>0</v>
      </c>
      <c r="Y27" s="2" t="s">
        <v>71</v>
      </c>
      <c r="Z27" s="2" t="s">
        <v>72</v>
      </c>
      <c r="AA27" s="13">
        <v>10000</v>
      </c>
      <c r="AB27" s="2" t="s">
        <v>95</v>
      </c>
      <c r="AC27" s="2" t="s">
        <v>6772</v>
      </c>
      <c r="AD27" s="27"/>
      <c r="AL27" s="2" t="s">
        <v>7160</v>
      </c>
    </row>
    <row r="28" spans="1:38" hidden="1" x14ac:dyDescent="0.2">
      <c r="A28" s="2" t="s">
        <v>60</v>
      </c>
      <c r="B28" s="2" t="s">
        <v>4210</v>
      </c>
      <c r="C28" s="2" t="s">
        <v>115</v>
      </c>
      <c r="D28" s="2" t="s">
        <v>116</v>
      </c>
      <c r="E28" s="13">
        <v>20280</v>
      </c>
      <c r="F28" s="13">
        <v>20280</v>
      </c>
      <c r="G28" s="14">
        <v>43351</v>
      </c>
      <c r="H28" s="15">
        <v>0.30906250000000002</v>
      </c>
      <c r="I28" s="14">
        <v>43351</v>
      </c>
      <c r="J28" s="15">
        <v>0.99998842592592996</v>
      </c>
      <c r="K28" s="13">
        <v>0</v>
      </c>
      <c r="L28" s="2" t="s">
        <v>64</v>
      </c>
      <c r="M28" s="2" t="s">
        <v>97</v>
      </c>
      <c r="N28" s="14">
        <v>43353</v>
      </c>
      <c r="O28" s="14">
        <v>43353</v>
      </c>
      <c r="P28" s="2" t="s">
        <v>78</v>
      </c>
      <c r="Q28" s="2" t="s">
        <v>98</v>
      </c>
      <c r="R28" s="2" t="s">
        <v>131</v>
      </c>
      <c r="S28" s="14"/>
      <c r="U28" s="2" t="s">
        <v>6087</v>
      </c>
      <c r="V28" s="2" t="s">
        <v>6092</v>
      </c>
      <c r="W28" s="2" t="s">
        <v>70</v>
      </c>
      <c r="X28" s="13">
        <v>0</v>
      </c>
      <c r="Y28" s="2" t="s">
        <v>71</v>
      </c>
      <c r="Z28" s="2" t="s">
        <v>72</v>
      </c>
      <c r="AA28" s="13">
        <v>20000</v>
      </c>
      <c r="AB28" s="2" t="s">
        <v>95</v>
      </c>
      <c r="AC28" s="2" t="s">
        <v>6772</v>
      </c>
      <c r="AD28" s="27"/>
      <c r="AL28" s="2" t="s">
        <v>7161</v>
      </c>
    </row>
    <row r="29" spans="1:38" hidden="1" x14ac:dyDescent="0.2">
      <c r="A29" s="2" t="s">
        <v>60</v>
      </c>
      <c r="B29" s="2" t="s">
        <v>147</v>
      </c>
      <c r="C29" s="2" t="s">
        <v>102</v>
      </c>
      <c r="D29" s="2" t="s">
        <v>103</v>
      </c>
      <c r="E29" s="13">
        <v>10000</v>
      </c>
      <c r="F29" s="13">
        <v>10000</v>
      </c>
      <c r="G29" s="14">
        <v>43360</v>
      </c>
      <c r="H29" s="15">
        <v>0.65930555555556003</v>
      </c>
      <c r="I29" s="14">
        <v>43361</v>
      </c>
      <c r="J29" s="15">
        <v>0</v>
      </c>
      <c r="K29" s="13">
        <v>0</v>
      </c>
      <c r="L29" s="2" t="s">
        <v>64</v>
      </c>
      <c r="M29" s="2" t="s">
        <v>90</v>
      </c>
      <c r="N29" s="14">
        <v>43377</v>
      </c>
      <c r="O29" s="14">
        <v>43362</v>
      </c>
      <c r="P29" s="2" t="s">
        <v>66</v>
      </c>
      <c r="Q29" s="2" t="s">
        <v>148</v>
      </c>
      <c r="R29" s="2" t="s">
        <v>80</v>
      </c>
      <c r="S29" s="14">
        <v>43377</v>
      </c>
      <c r="U29" s="2" t="s">
        <v>106</v>
      </c>
      <c r="V29" s="2" t="s">
        <v>69</v>
      </c>
      <c r="W29" s="2" t="s">
        <v>70</v>
      </c>
      <c r="X29" s="13">
        <v>1223</v>
      </c>
      <c r="Y29" s="2" t="s">
        <v>71</v>
      </c>
      <c r="Z29" s="2" t="s">
        <v>72</v>
      </c>
      <c r="AA29" s="13">
        <v>10000</v>
      </c>
      <c r="AB29" s="2" t="s">
        <v>73</v>
      </c>
      <c r="AC29" s="2" t="s">
        <v>6773</v>
      </c>
      <c r="AD29" s="27"/>
      <c r="AL29" s="2" t="s">
        <v>4898</v>
      </c>
    </row>
    <row r="30" spans="1:38" hidden="1" x14ac:dyDescent="0.2">
      <c r="A30" s="2" t="s">
        <v>149</v>
      </c>
      <c r="B30" s="2" t="s">
        <v>2650</v>
      </c>
      <c r="C30" s="2" t="s">
        <v>151</v>
      </c>
      <c r="D30" s="2" t="s">
        <v>152</v>
      </c>
      <c r="E30" s="13">
        <v>0</v>
      </c>
      <c r="F30" s="13">
        <v>5000</v>
      </c>
      <c r="G30" s="14">
        <v>43287</v>
      </c>
      <c r="H30" s="15">
        <v>0</v>
      </c>
      <c r="I30" s="14">
        <v>43287</v>
      </c>
      <c r="J30" s="15">
        <v>0.17929398148148001</v>
      </c>
      <c r="K30" s="13">
        <v>0</v>
      </c>
      <c r="L30" s="2" t="s">
        <v>64</v>
      </c>
      <c r="M30" s="2" t="s">
        <v>173</v>
      </c>
      <c r="N30" s="14">
        <v>43290</v>
      </c>
      <c r="O30" s="14">
        <v>43289</v>
      </c>
      <c r="P30" s="2" t="s">
        <v>153</v>
      </c>
      <c r="Q30" s="2" t="s">
        <v>98</v>
      </c>
      <c r="R30" s="2" t="s">
        <v>131</v>
      </c>
      <c r="S30" s="14"/>
      <c r="T30" s="2" t="s">
        <v>6160</v>
      </c>
      <c r="U30" s="2" t="s">
        <v>154</v>
      </c>
      <c r="V30" s="2" t="s">
        <v>155</v>
      </c>
      <c r="W30" s="2" t="s">
        <v>70</v>
      </c>
      <c r="X30" s="13">
        <v>1162</v>
      </c>
      <c r="Y30" s="2" t="s">
        <v>71</v>
      </c>
      <c r="Z30" s="2" t="s">
        <v>72</v>
      </c>
      <c r="AA30" s="13">
        <v>0</v>
      </c>
      <c r="AB30" s="2" t="s">
        <v>107</v>
      </c>
      <c r="AC30" s="2" t="s">
        <v>6772</v>
      </c>
      <c r="AD30" s="27">
        <v>43283</v>
      </c>
      <c r="AL30" s="2" t="s">
        <v>4899</v>
      </c>
    </row>
    <row r="31" spans="1:38" hidden="1" x14ac:dyDescent="0.2">
      <c r="A31" s="2" t="s">
        <v>149</v>
      </c>
      <c r="B31" s="2" t="s">
        <v>150</v>
      </c>
      <c r="C31" s="2" t="s">
        <v>151</v>
      </c>
      <c r="D31" s="2" t="s">
        <v>152</v>
      </c>
      <c r="E31" s="13">
        <v>2000</v>
      </c>
      <c r="F31" s="13">
        <v>20000</v>
      </c>
      <c r="G31" s="14">
        <v>43287</v>
      </c>
      <c r="H31" s="15">
        <v>0.43252314814815002</v>
      </c>
      <c r="I31" s="14">
        <v>43288</v>
      </c>
      <c r="J31" s="15">
        <v>0.14967592592592999</v>
      </c>
      <c r="K31" s="13">
        <v>0</v>
      </c>
      <c r="L31" s="2" t="s">
        <v>64</v>
      </c>
      <c r="M31" s="2" t="s">
        <v>190</v>
      </c>
      <c r="N31" s="14"/>
      <c r="O31" s="14">
        <v>43290</v>
      </c>
      <c r="P31" s="2" t="s">
        <v>153</v>
      </c>
      <c r="Q31" s="2" t="s">
        <v>267</v>
      </c>
      <c r="R31" s="2" t="s">
        <v>80</v>
      </c>
      <c r="S31" s="14">
        <v>43297</v>
      </c>
      <c r="T31" s="2" t="s">
        <v>6161</v>
      </c>
      <c r="U31" s="2" t="s">
        <v>154</v>
      </c>
      <c r="V31" s="2" t="s">
        <v>155</v>
      </c>
      <c r="W31" s="2" t="s">
        <v>70</v>
      </c>
      <c r="X31" s="13">
        <v>1162</v>
      </c>
      <c r="Y31" s="2" t="s">
        <v>71</v>
      </c>
      <c r="Z31" s="2" t="s">
        <v>72</v>
      </c>
      <c r="AA31" s="13">
        <v>2000</v>
      </c>
      <c r="AB31" s="2" t="s">
        <v>107</v>
      </c>
      <c r="AC31" s="2" t="s">
        <v>6772</v>
      </c>
      <c r="AD31" s="27">
        <v>43215</v>
      </c>
      <c r="AL31" s="2" t="s">
        <v>4900</v>
      </c>
    </row>
    <row r="32" spans="1:38" hidden="1" x14ac:dyDescent="0.2">
      <c r="A32" s="2" t="s">
        <v>149</v>
      </c>
      <c r="B32" s="2" t="s">
        <v>156</v>
      </c>
      <c r="C32" s="2" t="s">
        <v>157</v>
      </c>
      <c r="D32" s="2" t="s">
        <v>158</v>
      </c>
      <c r="E32" s="13">
        <v>20000</v>
      </c>
      <c r="F32" s="13">
        <v>20000</v>
      </c>
      <c r="G32" s="14">
        <v>43288</v>
      </c>
      <c r="H32" s="15">
        <v>0.23300925925926</v>
      </c>
      <c r="I32" s="14">
        <v>43288</v>
      </c>
      <c r="J32" s="15">
        <v>0.95016203703704005</v>
      </c>
      <c r="K32" s="13">
        <v>0</v>
      </c>
      <c r="L32" s="2" t="s">
        <v>64</v>
      </c>
      <c r="M32" s="2" t="s">
        <v>190</v>
      </c>
      <c r="N32" s="14">
        <v>43291</v>
      </c>
      <c r="O32" s="14">
        <v>43290</v>
      </c>
      <c r="P32" s="2" t="s">
        <v>160</v>
      </c>
      <c r="Q32" s="2" t="s">
        <v>161</v>
      </c>
      <c r="R32" s="2" t="s">
        <v>80</v>
      </c>
      <c r="S32" s="14">
        <v>43291</v>
      </c>
      <c r="T32" s="2" t="s">
        <v>6162</v>
      </c>
      <c r="U32" s="2" t="s">
        <v>162</v>
      </c>
      <c r="V32" s="2" t="s">
        <v>163</v>
      </c>
      <c r="W32" s="2" t="s">
        <v>70</v>
      </c>
      <c r="X32" s="13">
        <v>1162</v>
      </c>
      <c r="Y32" s="2" t="s">
        <v>71</v>
      </c>
      <c r="Z32" s="2" t="s">
        <v>72</v>
      </c>
      <c r="AA32" s="13">
        <v>20000</v>
      </c>
      <c r="AB32" s="2" t="s">
        <v>107</v>
      </c>
      <c r="AC32" s="2" t="s">
        <v>6773</v>
      </c>
      <c r="AD32" s="27">
        <v>43277</v>
      </c>
      <c r="AL32" s="2" t="s">
        <v>4901</v>
      </c>
    </row>
    <row r="33" spans="1:38" x14ac:dyDescent="0.2">
      <c r="A33" s="2" t="s">
        <v>149</v>
      </c>
      <c r="B33" s="2" t="s">
        <v>205</v>
      </c>
      <c r="C33" s="2" t="s">
        <v>206</v>
      </c>
      <c r="D33" s="2" t="s">
        <v>207</v>
      </c>
      <c r="E33" s="13">
        <v>10000</v>
      </c>
      <c r="F33" s="13">
        <v>10000</v>
      </c>
      <c r="G33" s="14">
        <v>43289</v>
      </c>
      <c r="H33" s="15">
        <v>3.3495370370370002E-2</v>
      </c>
      <c r="I33" s="14">
        <v>43289</v>
      </c>
      <c r="J33" s="15">
        <v>0.39207175925926002</v>
      </c>
      <c r="K33" s="13">
        <v>0</v>
      </c>
      <c r="L33" s="2" t="s">
        <v>64</v>
      </c>
      <c r="M33" s="2" t="s">
        <v>181</v>
      </c>
      <c r="N33" s="14">
        <v>43306</v>
      </c>
      <c r="O33" s="14">
        <v>43291</v>
      </c>
      <c r="P33" s="2" t="s">
        <v>208</v>
      </c>
      <c r="Q33" s="2" t="s">
        <v>209</v>
      </c>
      <c r="R33" s="2" t="s">
        <v>80</v>
      </c>
      <c r="S33" s="14">
        <v>43306</v>
      </c>
      <c r="T33" s="2" t="s">
        <v>6163</v>
      </c>
      <c r="U33" s="2" t="s">
        <v>210</v>
      </c>
      <c r="V33" s="2" t="s">
        <v>163</v>
      </c>
      <c r="W33" s="2" t="s">
        <v>70</v>
      </c>
      <c r="X33" s="13">
        <v>1162</v>
      </c>
      <c r="Y33" s="2" t="s">
        <v>71</v>
      </c>
      <c r="Z33" s="2" t="s">
        <v>72</v>
      </c>
      <c r="AA33" s="13">
        <v>10000</v>
      </c>
      <c r="AB33" s="2" t="s">
        <v>107</v>
      </c>
      <c r="AC33" s="2" t="s">
        <v>6773</v>
      </c>
      <c r="AD33" s="27">
        <v>43283</v>
      </c>
      <c r="AL33" s="2" t="s">
        <v>4902</v>
      </c>
    </row>
    <row r="34" spans="1:38" x14ac:dyDescent="0.2">
      <c r="A34" s="2" t="s">
        <v>149</v>
      </c>
      <c r="B34" s="2" t="s">
        <v>164</v>
      </c>
      <c r="C34" s="2" t="s">
        <v>165</v>
      </c>
      <c r="D34" s="2" t="s">
        <v>166</v>
      </c>
      <c r="E34" s="13">
        <v>10000</v>
      </c>
      <c r="F34" s="13">
        <v>10000</v>
      </c>
      <c r="G34" s="14">
        <v>43289</v>
      </c>
      <c r="H34" s="15">
        <v>0.47540509259259001</v>
      </c>
      <c r="I34" s="14">
        <v>43289</v>
      </c>
      <c r="J34" s="15">
        <v>0.83398148148147999</v>
      </c>
      <c r="K34" s="13">
        <v>0</v>
      </c>
      <c r="L34" s="2" t="s">
        <v>64</v>
      </c>
      <c r="M34" s="2" t="s">
        <v>181</v>
      </c>
      <c r="N34" s="14"/>
      <c r="O34" s="14">
        <v>43291</v>
      </c>
      <c r="P34" s="2" t="s">
        <v>160</v>
      </c>
      <c r="Q34" s="2" t="s">
        <v>6897</v>
      </c>
      <c r="R34" s="2" t="s">
        <v>80</v>
      </c>
      <c r="S34" s="14">
        <v>43304</v>
      </c>
      <c r="T34" s="2" t="s">
        <v>6164</v>
      </c>
      <c r="U34" s="2" t="s">
        <v>168</v>
      </c>
      <c r="V34" s="2" t="s">
        <v>163</v>
      </c>
      <c r="W34" s="2" t="s">
        <v>70</v>
      </c>
      <c r="X34" s="13">
        <v>1162</v>
      </c>
      <c r="Y34" s="2" t="s">
        <v>71</v>
      </c>
      <c r="Z34" s="2" t="s">
        <v>72</v>
      </c>
      <c r="AA34" s="13">
        <v>10000</v>
      </c>
      <c r="AB34" s="2" t="s">
        <v>107</v>
      </c>
      <c r="AC34" s="2" t="s">
        <v>6772</v>
      </c>
      <c r="AD34" s="27">
        <v>43283</v>
      </c>
      <c r="AL34" s="2" t="s">
        <v>4903</v>
      </c>
    </row>
    <row r="35" spans="1:38" x14ac:dyDescent="0.2">
      <c r="A35" s="2" t="s">
        <v>149</v>
      </c>
      <c r="B35" s="2" t="s">
        <v>169</v>
      </c>
      <c r="C35" s="2" t="s">
        <v>165</v>
      </c>
      <c r="D35" s="2" t="s">
        <v>166</v>
      </c>
      <c r="E35" s="13">
        <v>10000</v>
      </c>
      <c r="F35" s="13">
        <v>10000</v>
      </c>
      <c r="G35" s="14">
        <v>43289</v>
      </c>
      <c r="H35" s="15">
        <v>0.85481481481481003</v>
      </c>
      <c r="I35" s="14">
        <v>43290</v>
      </c>
      <c r="J35" s="15">
        <v>0.21339120370369999</v>
      </c>
      <c r="K35" s="13">
        <v>0</v>
      </c>
      <c r="L35" s="2" t="s">
        <v>64</v>
      </c>
      <c r="M35" s="2" t="s">
        <v>181</v>
      </c>
      <c r="N35" s="14"/>
      <c r="O35" s="14">
        <v>43292</v>
      </c>
      <c r="P35" s="2" t="s">
        <v>160</v>
      </c>
      <c r="Q35" s="2" t="s">
        <v>6897</v>
      </c>
      <c r="R35" s="2" t="s">
        <v>93</v>
      </c>
      <c r="S35" s="14">
        <v>43304</v>
      </c>
      <c r="T35" s="2" t="s">
        <v>6165</v>
      </c>
      <c r="U35" s="2" t="s">
        <v>168</v>
      </c>
      <c r="V35" s="2" t="s">
        <v>163</v>
      </c>
      <c r="W35" s="2" t="s">
        <v>70</v>
      </c>
      <c r="X35" s="13">
        <v>1162</v>
      </c>
      <c r="Y35" s="2" t="s">
        <v>71</v>
      </c>
      <c r="Z35" s="2" t="s">
        <v>72</v>
      </c>
      <c r="AA35" s="13">
        <v>10000</v>
      </c>
      <c r="AB35" s="2" t="s">
        <v>107</v>
      </c>
      <c r="AC35" s="2" t="s">
        <v>6772</v>
      </c>
      <c r="AD35" s="27">
        <v>43283</v>
      </c>
      <c r="AL35" s="2" t="s">
        <v>4904</v>
      </c>
    </row>
    <row r="36" spans="1:38" x14ac:dyDescent="0.2">
      <c r="A36" s="2" t="s">
        <v>149</v>
      </c>
      <c r="B36" s="2" t="s">
        <v>61</v>
      </c>
      <c r="C36" s="2" t="s">
        <v>62</v>
      </c>
      <c r="D36" s="2" t="s">
        <v>63</v>
      </c>
      <c r="E36" s="13">
        <v>5000</v>
      </c>
      <c r="F36" s="13">
        <v>5000</v>
      </c>
      <c r="G36" s="14">
        <v>43290</v>
      </c>
      <c r="H36" s="15">
        <v>0.29672453703703999</v>
      </c>
      <c r="I36" s="14">
        <v>43290</v>
      </c>
      <c r="J36" s="15">
        <v>0.47601851851852001</v>
      </c>
      <c r="K36" s="13">
        <v>0</v>
      </c>
      <c r="L36" s="2" t="s">
        <v>64</v>
      </c>
      <c r="M36" s="2" t="s">
        <v>173</v>
      </c>
      <c r="N36" s="14">
        <v>43296</v>
      </c>
      <c r="O36" s="14">
        <v>43297</v>
      </c>
      <c r="P36" s="2" t="s">
        <v>66</v>
      </c>
      <c r="Q36" s="2" t="s">
        <v>6898</v>
      </c>
      <c r="R36" s="2" t="s">
        <v>80</v>
      </c>
      <c r="S36" s="14">
        <v>43307</v>
      </c>
      <c r="T36" s="2" t="s">
        <v>6166</v>
      </c>
      <c r="U36" s="2" t="s">
        <v>68</v>
      </c>
      <c r="V36" s="2" t="s">
        <v>69</v>
      </c>
      <c r="W36" s="2" t="s">
        <v>70</v>
      </c>
      <c r="X36" s="13">
        <v>1162</v>
      </c>
      <c r="Y36" s="2" t="s">
        <v>71</v>
      </c>
      <c r="Z36" s="2" t="s">
        <v>72</v>
      </c>
      <c r="AA36" s="13">
        <v>5000</v>
      </c>
      <c r="AB36" s="2" t="s">
        <v>107</v>
      </c>
      <c r="AC36" s="2" t="s">
        <v>6772</v>
      </c>
      <c r="AD36" s="27">
        <v>43283</v>
      </c>
      <c r="AL36" s="2" t="s">
        <v>4905</v>
      </c>
    </row>
    <row r="37" spans="1:38" x14ac:dyDescent="0.2">
      <c r="A37" s="2" t="s">
        <v>149</v>
      </c>
      <c r="B37" s="2" t="s">
        <v>4211</v>
      </c>
      <c r="C37" s="2" t="s">
        <v>258</v>
      </c>
      <c r="D37" s="2" t="s">
        <v>259</v>
      </c>
      <c r="E37" s="16">
        <v>11271.7</v>
      </c>
      <c r="F37" s="16">
        <v>11271.7</v>
      </c>
      <c r="G37" s="14">
        <v>43290</v>
      </c>
      <c r="H37" s="15">
        <v>0.55935185185184999</v>
      </c>
      <c r="I37" s="14">
        <v>43290</v>
      </c>
      <c r="J37" s="15">
        <v>0.96353009259259004</v>
      </c>
      <c r="K37" s="13">
        <v>0</v>
      </c>
      <c r="L37" s="2" t="s">
        <v>64</v>
      </c>
      <c r="M37" s="2" t="s">
        <v>4212</v>
      </c>
      <c r="N37" s="14">
        <v>43304</v>
      </c>
      <c r="O37" s="14">
        <v>43292</v>
      </c>
      <c r="P37" s="2" t="s">
        <v>160</v>
      </c>
      <c r="Q37" s="2" t="s">
        <v>287</v>
      </c>
      <c r="R37" s="2" t="s">
        <v>93</v>
      </c>
      <c r="S37" s="14">
        <v>43294</v>
      </c>
      <c r="T37" s="2" t="s">
        <v>6167</v>
      </c>
      <c r="U37" s="2" t="s">
        <v>235</v>
      </c>
      <c r="V37" s="2" t="s">
        <v>179</v>
      </c>
      <c r="W37" s="2" t="s">
        <v>70</v>
      </c>
      <c r="X37" s="13">
        <v>1162</v>
      </c>
      <c r="Y37" s="2" t="s">
        <v>71</v>
      </c>
      <c r="Z37" s="2" t="s">
        <v>72</v>
      </c>
      <c r="AA37" s="13">
        <v>11000</v>
      </c>
      <c r="AB37" s="2" t="s">
        <v>107</v>
      </c>
      <c r="AC37" s="2" t="s">
        <v>6772</v>
      </c>
      <c r="AD37" s="27">
        <v>43285</v>
      </c>
      <c r="AL37" s="2" t="s">
        <v>4906</v>
      </c>
    </row>
    <row r="38" spans="1:38" x14ac:dyDescent="0.2">
      <c r="A38" s="2" t="s">
        <v>149</v>
      </c>
      <c r="B38" s="2" t="s">
        <v>175</v>
      </c>
      <c r="C38" s="2" t="s">
        <v>176</v>
      </c>
      <c r="D38" s="2" t="s">
        <v>177</v>
      </c>
      <c r="E38" s="16">
        <v>12296.4</v>
      </c>
      <c r="F38" s="16">
        <v>12296.4</v>
      </c>
      <c r="G38" s="14">
        <v>43290</v>
      </c>
      <c r="H38" s="15">
        <v>0.98436342592592996</v>
      </c>
      <c r="I38" s="14">
        <v>43291</v>
      </c>
      <c r="J38" s="15">
        <v>0.42527777777777998</v>
      </c>
      <c r="K38" s="13">
        <v>0</v>
      </c>
      <c r="L38" s="2" t="s">
        <v>64</v>
      </c>
      <c r="M38" s="2" t="s">
        <v>4213</v>
      </c>
      <c r="N38" s="14">
        <v>43292</v>
      </c>
      <c r="O38" s="14">
        <v>43293</v>
      </c>
      <c r="P38" s="2" t="s">
        <v>160</v>
      </c>
      <c r="Q38" s="2" t="s">
        <v>6899</v>
      </c>
      <c r="R38" s="2" t="s">
        <v>80</v>
      </c>
      <c r="S38" s="14">
        <v>43304</v>
      </c>
      <c r="T38" s="2" t="s">
        <v>6168</v>
      </c>
      <c r="U38" s="2" t="s">
        <v>178</v>
      </c>
      <c r="V38" s="2" t="s">
        <v>179</v>
      </c>
      <c r="W38" s="2" t="s">
        <v>70</v>
      </c>
      <c r="X38" s="13">
        <v>1162</v>
      </c>
      <c r="Y38" s="2" t="s">
        <v>71</v>
      </c>
      <c r="Z38" s="2" t="s">
        <v>72</v>
      </c>
      <c r="AA38" s="13">
        <v>12000</v>
      </c>
      <c r="AB38" s="2" t="s">
        <v>107</v>
      </c>
      <c r="AC38" s="2" t="s">
        <v>6772</v>
      </c>
      <c r="AD38" s="27">
        <v>43283</v>
      </c>
      <c r="AL38" s="2" t="s">
        <v>7162</v>
      </c>
    </row>
    <row r="39" spans="1:38" x14ac:dyDescent="0.2">
      <c r="A39" s="2" t="s">
        <v>149</v>
      </c>
      <c r="B39" s="2" t="s">
        <v>180</v>
      </c>
      <c r="C39" s="2" t="s">
        <v>176</v>
      </c>
      <c r="D39" s="2" t="s">
        <v>177</v>
      </c>
      <c r="E39" s="13">
        <v>10000</v>
      </c>
      <c r="F39" s="13">
        <v>10000</v>
      </c>
      <c r="G39" s="14">
        <v>43291</v>
      </c>
      <c r="H39" s="15">
        <v>0.44611111111111001</v>
      </c>
      <c r="I39" s="14">
        <v>43291</v>
      </c>
      <c r="J39" s="15">
        <v>0.8046875</v>
      </c>
      <c r="K39" s="13">
        <v>0</v>
      </c>
      <c r="L39" s="2" t="s">
        <v>64</v>
      </c>
      <c r="M39" s="2" t="s">
        <v>181</v>
      </c>
      <c r="N39" s="14">
        <v>43293</v>
      </c>
      <c r="O39" s="14">
        <v>43293</v>
      </c>
      <c r="P39" s="2" t="s">
        <v>160</v>
      </c>
      <c r="Q39" s="2" t="s">
        <v>182</v>
      </c>
      <c r="R39" s="2" t="s">
        <v>80</v>
      </c>
      <c r="S39" s="14">
        <v>43306</v>
      </c>
      <c r="T39" s="2" t="s">
        <v>6169</v>
      </c>
      <c r="U39" s="2" t="s">
        <v>178</v>
      </c>
      <c r="V39" s="2" t="s">
        <v>179</v>
      </c>
      <c r="W39" s="2" t="s">
        <v>70</v>
      </c>
      <c r="X39" s="13">
        <v>1162</v>
      </c>
      <c r="Y39" s="2" t="s">
        <v>71</v>
      </c>
      <c r="Z39" s="2" t="s">
        <v>72</v>
      </c>
      <c r="AA39" s="13">
        <v>10000</v>
      </c>
      <c r="AB39" s="2" t="s">
        <v>73</v>
      </c>
      <c r="AC39" s="2" t="s">
        <v>6772</v>
      </c>
      <c r="AD39" s="27">
        <v>43283</v>
      </c>
      <c r="AL39" s="2" t="s">
        <v>7163</v>
      </c>
    </row>
    <row r="40" spans="1:38" x14ac:dyDescent="0.2">
      <c r="A40" s="2" t="s">
        <v>149</v>
      </c>
      <c r="B40" s="2" t="s">
        <v>4214</v>
      </c>
      <c r="C40" s="2" t="s">
        <v>176</v>
      </c>
      <c r="D40" s="2" t="s">
        <v>177</v>
      </c>
      <c r="E40" s="13">
        <v>10000</v>
      </c>
      <c r="F40" s="13">
        <v>10000</v>
      </c>
      <c r="G40" s="14">
        <v>43291</v>
      </c>
      <c r="H40" s="15">
        <v>0.82552083333333004</v>
      </c>
      <c r="I40" s="14">
        <v>43292</v>
      </c>
      <c r="J40" s="15">
        <v>0.18409722222222</v>
      </c>
      <c r="K40" s="13">
        <v>0</v>
      </c>
      <c r="L40" s="2" t="s">
        <v>64</v>
      </c>
      <c r="M40" s="2" t="s">
        <v>181</v>
      </c>
      <c r="N40" s="14">
        <v>43298</v>
      </c>
      <c r="O40" s="14">
        <v>43294</v>
      </c>
      <c r="P40" s="2" t="s">
        <v>160</v>
      </c>
      <c r="Q40" s="2" t="s">
        <v>199</v>
      </c>
      <c r="R40" s="2" t="s">
        <v>80</v>
      </c>
      <c r="S40" s="14">
        <v>43308</v>
      </c>
      <c r="T40" s="2" t="s">
        <v>6170</v>
      </c>
      <c r="U40" s="2" t="s">
        <v>178</v>
      </c>
      <c r="V40" s="2" t="s">
        <v>179</v>
      </c>
      <c r="W40" s="2" t="s">
        <v>70</v>
      </c>
      <c r="X40" s="13">
        <v>1162</v>
      </c>
      <c r="Y40" s="2" t="s">
        <v>71</v>
      </c>
      <c r="Z40" s="2" t="s">
        <v>72</v>
      </c>
      <c r="AA40" s="13">
        <v>10000</v>
      </c>
      <c r="AB40" s="2" t="s">
        <v>73</v>
      </c>
      <c r="AC40" s="2" t="s">
        <v>6772</v>
      </c>
      <c r="AD40" s="27">
        <v>43284</v>
      </c>
      <c r="AL40" s="2" t="s">
        <v>7164</v>
      </c>
    </row>
    <row r="41" spans="1:38" x14ac:dyDescent="0.2">
      <c r="A41" s="2" t="s">
        <v>149</v>
      </c>
      <c r="B41" s="2" t="s">
        <v>226</v>
      </c>
      <c r="C41" s="2" t="s">
        <v>227</v>
      </c>
      <c r="D41" s="2" t="s">
        <v>228</v>
      </c>
      <c r="E41" s="16">
        <v>6353.14</v>
      </c>
      <c r="F41" s="16">
        <v>6353.14</v>
      </c>
      <c r="G41" s="14">
        <v>43292</v>
      </c>
      <c r="H41" s="15">
        <v>0.26743055555556</v>
      </c>
      <c r="I41" s="14">
        <v>43292</v>
      </c>
      <c r="J41" s="15">
        <v>0.49524305555555997</v>
      </c>
      <c r="K41" s="13">
        <v>20</v>
      </c>
      <c r="L41" s="2" t="s">
        <v>64</v>
      </c>
      <c r="M41" s="2" t="s">
        <v>229</v>
      </c>
      <c r="N41" s="14">
        <v>43308</v>
      </c>
      <c r="O41" s="14">
        <v>43299</v>
      </c>
      <c r="P41" s="2" t="s">
        <v>230</v>
      </c>
      <c r="Q41" s="2" t="s">
        <v>231</v>
      </c>
      <c r="R41" s="2" t="s">
        <v>80</v>
      </c>
      <c r="S41" s="14">
        <v>43308</v>
      </c>
      <c r="T41" s="2" t="s">
        <v>6171</v>
      </c>
      <c r="U41" s="2" t="s">
        <v>68</v>
      </c>
      <c r="V41" s="2" t="s">
        <v>155</v>
      </c>
      <c r="W41" s="2" t="s">
        <v>70</v>
      </c>
      <c r="X41" s="13">
        <v>1162</v>
      </c>
      <c r="Y41" s="2" t="s">
        <v>71</v>
      </c>
      <c r="Z41" s="2" t="s">
        <v>72</v>
      </c>
      <c r="AA41" s="13">
        <v>6200</v>
      </c>
      <c r="AB41" s="2" t="s">
        <v>73</v>
      </c>
      <c r="AC41" s="2" t="s">
        <v>6773</v>
      </c>
      <c r="AD41" s="27">
        <v>43280</v>
      </c>
      <c r="AL41" s="2" t="s">
        <v>4907</v>
      </c>
    </row>
    <row r="42" spans="1:38" x14ac:dyDescent="0.2">
      <c r="A42" s="2" t="s">
        <v>149</v>
      </c>
      <c r="B42" s="2" t="s">
        <v>183</v>
      </c>
      <c r="C42" s="2" t="s">
        <v>184</v>
      </c>
      <c r="D42" s="2" t="s">
        <v>185</v>
      </c>
      <c r="E42" s="13">
        <v>10247</v>
      </c>
      <c r="F42" s="13">
        <v>10247</v>
      </c>
      <c r="G42" s="14">
        <v>43292</v>
      </c>
      <c r="H42" s="15">
        <v>0.57857638888888996</v>
      </c>
      <c r="I42" s="14">
        <v>43292</v>
      </c>
      <c r="J42" s="15">
        <v>0.94600694444444</v>
      </c>
      <c r="K42" s="13">
        <v>20</v>
      </c>
      <c r="L42" s="2" t="s">
        <v>64</v>
      </c>
      <c r="M42" s="2" t="s">
        <v>186</v>
      </c>
      <c r="N42" s="14">
        <v>43294</v>
      </c>
      <c r="O42" s="14">
        <v>43299</v>
      </c>
      <c r="P42" s="2" t="s">
        <v>160</v>
      </c>
      <c r="Q42" s="2" t="s">
        <v>187</v>
      </c>
      <c r="R42" s="2" t="s">
        <v>80</v>
      </c>
      <c r="S42" s="14">
        <v>43294</v>
      </c>
      <c r="T42" s="2" t="s">
        <v>6172</v>
      </c>
      <c r="U42" s="2" t="s">
        <v>178</v>
      </c>
      <c r="V42" s="2" t="s">
        <v>6095</v>
      </c>
      <c r="W42" s="2" t="s">
        <v>70</v>
      </c>
      <c r="X42" s="13">
        <v>1162</v>
      </c>
      <c r="Y42" s="2" t="s">
        <v>71</v>
      </c>
      <c r="Z42" s="2" t="s">
        <v>72</v>
      </c>
      <c r="AA42" s="13">
        <v>10247</v>
      </c>
      <c r="AB42" s="2" t="s">
        <v>107</v>
      </c>
      <c r="AC42" s="2" t="s">
        <v>6773</v>
      </c>
      <c r="AD42" s="27">
        <v>43265</v>
      </c>
      <c r="AL42" s="2" t="s">
        <v>4908</v>
      </c>
    </row>
    <row r="43" spans="1:38" x14ac:dyDescent="0.2">
      <c r="A43" s="2" t="s">
        <v>149</v>
      </c>
      <c r="B43" s="2" t="s">
        <v>4215</v>
      </c>
      <c r="C43" s="2" t="s">
        <v>188</v>
      </c>
      <c r="D43" s="2" t="s">
        <v>189</v>
      </c>
      <c r="E43" s="13">
        <v>20000</v>
      </c>
      <c r="F43" s="13">
        <v>20000</v>
      </c>
      <c r="G43" s="14">
        <v>43294</v>
      </c>
      <c r="H43" s="15">
        <v>0.13851851851852001</v>
      </c>
      <c r="I43" s="14">
        <v>43294</v>
      </c>
      <c r="J43" s="15">
        <v>0.85567129629630001</v>
      </c>
      <c r="K43" s="13">
        <v>0</v>
      </c>
      <c r="L43" s="2" t="s">
        <v>64</v>
      </c>
      <c r="M43" s="2" t="s">
        <v>190</v>
      </c>
      <c r="N43" s="14"/>
      <c r="O43" s="14">
        <v>43296</v>
      </c>
      <c r="P43" s="2" t="s">
        <v>191</v>
      </c>
      <c r="Q43" s="2" t="s">
        <v>98</v>
      </c>
      <c r="R43" s="2" t="s">
        <v>131</v>
      </c>
      <c r="S43" s="14"/>
      <c r="T43" s="2" t="s">
        <v>6173</v>
      </c>
      <c r="U43" s="2" t="s">
        <v>168</v>
      </c>
      <c r="V43" s="2" t="s">
        <v>192</v>
      </c>
      <c r="W43" s="2" t="s">
        <v>70</v>
      </c>
      <c r="X43" s="13">
        <v>1162</v>
      </c>
      <c r="Y43" s="2" t="s">
        <v>71</v>
      </c>
      <c r="Z43" s="2" t="s">
        <v>72</v>
      </c>
      <c r="AA43" s="13">
        <v>20000</v>
      </c>
      <c r="AB43" s="2" t="s">
        <v>73</v>
      </c>
      <c r="AC43" s="2" t="s">
        <v>6772</v>
      </c>
      <c r="AD43" s="27">
        <v>43284</v>
      </c>
      <c r="AL43" s="2" t="s">
        <v>4909</v>
      </c>
    </row>
    <row r="44" spans="1:38" x14ac:dyDescent="0.2">
      <c r="A44" s="2" t="s">
        <v>149</v>
      </c>
      <c r="B44" s="2" t="s">
        <v>193</v>
      </c>
      <c r="C44" s="2" t="s">
        <v>194</v>
      </c>
      <c r="D44" s="2" t="s">
        <v>195</v>
      </c>
      <c r="E44" s="16">
        <v>5123.5</v>
      </c>
      <c r="F44" s="16">
        <v>5123.5</v>
      </c>
      <c r="G44" s="14">
        <v>43295</v>
      </c>
      <c r="H44" s="15">
        <v>0.39488425925926002</v>
      </c>
      <c r="I44" s="14">
        <v>43295</v>
      </c>
      <c r="J44" s="15">
        <v>0.57859953703704003</v>
      </c>
      <c r="K44" s="13">
        <v>0</v>
      </c>
      <c r="L44" s="2" t="s">
        <v>64</v>
      </c>
      <c r="M44" s="2" t="s">
        <v>196</v>
      </c>
      <c r="N44" s="14">
        <v>43300</v>
      </c>
      <c r="O44" s="14">
        <v>43297</v>
      </c>
      <c r="P44" s="2" t="s">
        <v>153</v>
      </c>
      <c r="Q44" s="2" t="s">
        <v>197</v>
      </c>
      <c r="R44" s="2" t="s">
        <v>80</v>
      </c>
      <c r="S44" s="14">
        <v>43300</v>
      </c>
      <c r="T44" s="2" t="s">
        <v>6175</v>
      </c>
      <c r="U44" s="2" t="s">
        <v>198</v>
      </c>
      <c r="V44" s="2" t="s">
        <v>6096</v>
      </c>
      <c r="W44" s="2" t="s">
        <v>70</v>
      </c>
      <c r="X44" s="13">
        <v>1162</v>
      </c>
      <c r="Y44" s="2" t="s">
        <v>71</v>
      </c>
      <c r="Z44" s="2" t="s">
        <v>72</v>
      </c>
      <c r="AA44" s="16">
        <v>5123.5</v>
      </c>
      <c r="AB44" s="2" t="s">
        <v>107</v>
      </c>
      <c r="AC44" s="2" t="s">
        <v>6773</v>
      </c>
      <c r="AD44" s="27">
        <v>43241</v>
      </c>
      <c r="AL44" s="2" t="s">
        <v>4910</v>
      </c>
    </row>
    <row r="45" spans="1:38" x14ac:dyDescent="0.2">
      <c r="A45" s="2" t="s">
        <v>149</v>
      </c>
      <c r="B45" s="2" t="s">
        <v>286</v>
      </c>
      <c r="C45" s="2" t="s">
        <v>258</v>
      </c>
      <c r="D45" s="2" t="s">
        <v>259</v>
      </c>
      <c r="E45" s="13">
        <v>10000</v>
      </c>
      <c r="F45" s="13">
        <v>10000</v>
      </c>
      <c r="G45" s="14">
        <v>43295</v>
      </c>
      <c r="H45" s="15">
        <v>0.75</v>
      </c>
      <c r="I45" s="14">
        <v>43296</v>
      </c>
      <c r="J45" s="15">
        <v>0.10857638888889</v>
      </c>
      <c r="K45" s="13">
        <v>0</v>
      </c>
      <c r="L45" s="2" t="s">
        <v>64</v>
      </c>
      <c r="M45" s="2" t="s">
        <v>181</v>
      </c>
      <c r="N45" s="14">
        <v>43298</v>
      </c>
      <c r="O45" s="14">
        <v>43298</v>
      </c>
      <c r="P45" s="2" t="s">
        <v>160</v>
      </c>
      <c r="Q45" s="2" t="s">
        <v>260</v>
      </c>
      <c r="R45" s="2" t="s">
        <v>80</v>
      </c>
      <c r="S45" s="14">
        <v>43311</v>
      </c>
      <c r="U45" s="2" t="s">
        <v>235</v>
      </c>
      <c r="V45" s="2" t="s">
        <v>179</v>
      </c>
      <c r="W45" s="2" t="s">
        <v>70</v>
      </c>
      <c r="X45" s="13">
        <v>0</v>
      </c>
      <c r="Y45" s="2" t="s">
        <v>71</v>
      </c>
      <c r="Z45" s="2" t="s">
        <v>72</v>
      </c>
      <c r="AA45" s="13">
        <v>10000</v>
      </c>
      <c r="AB45" s="2" t="s">
        <v>95</v>
      </c>
      <c r="AC45" s="2" t="s">
        <v>6772</v>
      </c>
      <c r="AD45" s="27"/>
      <c r="AL45" s="2" t="s">
        <v>4911</v>
      </c>
    </row>
    <row r="46" spans="1:38" hidden="1" x14ac:dyDescent="0.2">
      <c r="A46" s="2" t="s">
        <v>149</v>
      </c>
      <c r="B46" s="2" t="s">
        <v>200</v>
      </c>
      <c r="C46" s="2" t="s">
        <v>201</v>
      </c>
      <c r="D46" s="2" t="s">
        <v>202</v>
      </c>
      <c r="E46" s="13">
        <v>10000</v>
      </c>
      <c r="F46" s="13">
        <v>10000</v>
      </c>
      <c r="G46" s="14">
        <v>43297</v>
      </c>
      <c r="H46" s="15">
        <v>0.125</v>
      </c>
      <c r="I46" s="14">
        <v>43297</v>
      </c>
      <c r="J46" s="15">
        <v>0.48357638888888999</v>
      </c>
      <c r="K46" s="13">
        <v>20</v>
      </c>
      <c r="L46" s="2" t="s">
        <v>64</v>
      </c>
      <c r="M46" s="2" t="s">
        <v>181</v>
      </c>
      <c r="N46" s="14">
        <v>43305</v>
      </c>
      <c r="O46" s="14">
        <v>43299</v>
      </c>
      <c r="P46" s="2" t="s">
        <v>160</v>
      </c>
      <c r="Q46" s="2" t="s">
        <v>203</v>
      </c>
      <c r="R46" s="2" t="s">
        <v>80</v>
      </c>
      <c r="S46" s="14">
        <v>43305</v>
      </c>
      <c r="T46" s="2" t="s">
        <v>6178</v>
      </c>
      <c r="U46" s="2" t="s">
        <v>204</v>
      </c>
      <c r="V46" s="2" t="s">
        <v>179</v>
      </c>
      <c r="W46" s="2" t="s">
        <v>70</v>
      </c>
      <c r="X46" s="13">
        <v>1162</v>
      </c>
      <c r="Y46" s="2" t="s">
        <v>71</v>
      </c>
      <c r="Z46" s="2" t="s">
        <v>72</v>
      </c>
      <c r="AA46" s="13">
        <v>10000</v>
      </c>
      <c r="AB46" s="2" t="s">
        <v>73</v>
      </c>
      <c r="AC46" s="2" t="s">
        <v>6773</v>
      </c>
      <c r="AD46" s="27">
        <v>43198</v>
      </c>
      <c r="AL46" s="2" t="s">
        <v>4912</v>
      </c>
    </row>
    <row r="47" spans="1:38" hidden="1" x14ac:dyDescent="0.2">
      <c r="A47" s="2" t="s">
        <v>149</v>
      </c>
      <c r="B47" s="2" t="s">
        <v>211</v>
      </c>
      <c r="C47" s="2" t="s">
        <v>212</v>
      </c>
      <c r="D47" s="2" t="s">
        <v>213</v>
      </c>
      <c r="E47" s="16">
        <v>5123.5</v>
      </c>
      <c r="F47" s="16">
        <v>5123.5</v>
      </c>
      <c r="G47" s="14">
        <v>43299</v>
      </c>
      <c r="H47" s="15">
        <v>0.17423611111111001</v>
      </c>
      <c r="I47" s="14">
        <v>43299</v>
      </c>
      <c r="J47" s="15">
        <v>0.35795138888889</v>
      </c>
      <c r="K47" s="13">
        <v>20</v>
      </c>
      <c r="L47" s="2" t="s">
        <v>64</v>
      </c>
      <c r="M47" s="2" t="s">
        <v>196</v>
      </c>
      <c r="N47" s="14">
        <v>43304</v>
      </c>
      <c r="O47" s="14">
        <v>43301</v>
      </c>
      <c r="P47" s="2" t="s">
        <v>153</v>
      </c>
      <c r="Q47" s="2" t="s">
        <v>214</v>
      </c>
      <c r="R47" s="2" t="s">
        <v>80</v>
      </c>
      <c r="S47" s="14">
        <v>43304</v>
      </c>
      <c r="T47" s="2" t="s">
        <v>6192</v>
      </c>
      <c r="U47" s="2" t="s">
        <v>215</v>
      </c>
      <c r="V47" s="2" t="s">
        <v>155</v>
      </c>
      <c r="W47" s="2" t="s">
        <v>70</v>
      </c>
      <c r="X47" s="13">
        <v>1162</v>
      </c>
      <c r="Y47" s="2" t="s">
        <v>71</v>
      </c>
      <c r="Z47" s="2" t="s">
        <v>72</v>
      </c>
      <c r="AA47" s="13">
        <v>5000</v>
      </c>
      <c r="AB47" s="2" t="s">
        <v>73</v>
      </c>
      <c r="AC47" s="2" t="s">
        <v>6773</v>
      </c>
      <c r="AD47" s="27">
        <v>43278</v>
      </c>
      <c r="AL47" s="2" t="s">
        <v>4913</v>
      </c>
    </row>
    <row r="48" spans="1:38" hidden="1" x14ac:dyDescent="0.2">
      <c r="A48" s="2" t="s">
        <v>149</v>
      </c>
      <c r="B48" s="2" t="s">
        <v>216</v>
      </c>
      <c r="C48" s="2" t="s">
        <v>217</v>
      </c>
      <c r="D48" s="2" t="s">
        <v>218</v>
      </c>
      <c r="E48" s="13">
        <v>5000</v>
      </c>
      <c r="F48" s="13">
        <v>5000</v>
      </c>
      <c r="G48" s="14">
        <v>43299</v>
      </c>
      <c r="H48" s="15">
        <v>0.37878472222221998</v>
      </c>
      <c r="I48" s="14">
        <v>43299</v>
      </c>
      <c r="J48" s="15">
        <v>0.55807870370370005</v>
      </c>
      <c r="K48" s="13">
        <v>20</v>
      </c>
      <c r="L48" s="2" t="s">
        <v>64</v>
      </c>
      <c r="M48" s="2" t="s">
        <v>173</v>
      </c>
      <c r="N48" s="14">
        <v>43304</v>
      </c>
      <c r="O48" s="14">
        <v>43301</v>
      </c>
      <c r="P48" s="2" t="s">
        <v>78</v>
      </c>
      <c r="Q48" s="2" t="s">
        <v>219</v>
      </c>
      <c r="R48" s="2" t="s">
        <v>80</v>
      </c>
      <c r="S48" s="14">
        <v>43304</v>
      </c>
      <c r="T48" s="2" t="s">
        <v>6176</v>
      </c>
      <c r="U48" s="2" t="s">
        <v>220</v>
      </c>
      <c r="V48" s="2" t="s">
        <v>221</v>
      </c>
      <c r="W48" s="2" t="s">
        <v>70</v>
      </c>
      <c r="X48" s="13">
        <v>1162</v>
      </c>
      <c r="Y48" s="2" t="s">
        <v>71</v>
      </c>
      <c r="Z48" s="2" t="s">
        <v>72</v>
      </c>
      <c r="AA48" s="13">
        <v>5000</v>
      </c>
      <c r="AB48" s="2" t="s">
        <v>73</v>
      </c>
      <c r="AC48" s="2" t="s">
        <v>6773</v>
      </c>
      <c r="AD48" s="27">
        <v>43274</v>
      </c>
      <c r="AL48" s="2" t="s">
        <v>4914</v>
      </c>
    </row>
    <row r="49" spans="1:38" hidden="1" x14ac:dyDescent="0.2">
      <c r="A49" s="2" t="s">
        <v>149</v>
      </c>
      <c r="B49" s="2" t="s">
        <v>222</v>
      </c>
      <c r="C49" s="2" t="s">
        <v>223</v>
      </c>
      <c r="D49" s="2" t="s">
        <v>224</v>
      </c>
      <c r="E49" s="13">
        <v>5128</v>
      </c>
      <c r="F49" s="13">
        <v>5128</v>
      </c>
      <c r="G49" s="14">
        <v>43299</v>
      </c>
      <c r="H49" s="15">
        <v>0.66282407407406996</v>
      </c>
      <c r="I49" s="14">
        <v>43299</v>
      </c>
      <c r="J49" s="15">
        <v>0.84670138888889002</v>
      </c>
      <c r="K49" s="13">
        <v>0</v>
      </c>
      <c r="L49" s="2" t="s">
        <v>64</v>
      </c>
      <c r="M49" s="2" t="s">
        <v>225</v>
      </c>
      <c r="N49" s="14">
        <v>43301</v>
      </c>
      <c r="O49" s="14">
        <v>43301</v>
      </c>
      <c r="P49" s="2" t="s">
        <v>78</v>
      </c>
      <c r="Q49" s="2" t="s">
        <v>4216</v>
      </c>
      <c r="R49" s="2" t="s">
        <v>80</v>
      </c>
      <c r="S49" s="14">
        <v>43305</v>
      </c>
      <c r="U49" s="2" t="s">
        <v>168</v>
      </c>
      <c r="V49" s="2" t="s">
        <v>69</v>
      </c>
      <c r="W49" s="2" t="s">
        <v>70</v>
      </c>
      <c r="X49" s="13">
        <v>0</v>
      </c>
      <c r="Y49" s="2" t="s">
        <v>71</v>
      </c>
      <c r="Z49" s="2" t="s">
        <v>72</v>
      </c>
      <c r="AA49" s="13">
        <v>5000</v>
      </c>
      <c r="AB49" s="2" t="s">
        <v>95</v>
      </c>
      <c r="AC49" s="2" t="s">
        <v>6772</v>
      </c>
      <c r="AD49" s="27"/>
      <c r="AL49" s="2" t="s">
        <v>4915</v>
      </c>
    </row>
    <row r="50" spans="1:38" hidden="1" x14ac:dyDescent="0.2">
      <c r="A50" s="2" t="s">
        <v>149</v>
      </c>
      <c r="B50" s="2" t="s">
        <v>232</v>
      </c>
      <c r="C50" s="2" t="s">
        <v>233</v>
      </c>
      <c r="D50" s="2" t="s">
        <v>234</v>
      </c>
      <c r="E50" s="13">
        <v>10000</v>
      </c>
      <c r="F50" s="13">
        <v>10000</v>
      </c>
      <c r="G50" s="14">
        <v>43300</v>
      </c>
      <c r="H50" s="15">
        <v>0.19951388888888999</v>
      </c>
      <c r="I50" s="14">
        <v>43300</v>
      </c>
      <c r="J50" s="15">
        <v>0.55809027777777998</v>
      </c>
      <c r="K50" s="13">
        <v>0</v>
      </c>
      <c r="L50" s="2" t="s">
        <v>64</v>
      </c>
      <c r="M50" s="2" t="s">
        <v>181</v>
      </c>
      <c r="N50" s="14">
        <v>43302</v>
      </c>
      <c r="O50" s="14">
        <v>43302</v>
      </c>
      <c r="P50" s="2" t="s">
        <v>160</v>
      </c>
      <c r="Q50" s="2" t="s">
        <v>285</v>
      </c>
      <c r="R50" s="2" t="s">
        <v>80</v>
      </c>
      <c r="S50" s="14">
        <v>43315</v>
      </c>
      <c r="U50" s="2" t="s">
        <v>235</v>
      </c>
      <c r="V50" s="2" t="s">
        <v>236</v>
      </c>
      <c r="W50" s="2" t="s">
        <v>70</v>
      </c>
      <c r="X50" s="13">
        <v>0</v>
      </c>
      <c r="Y50" s="2" t="s">
        <v>71</v>
      </c>
      <c r="Z50" s="2" t="s">
        <v>72</v>
      </c>
      <c r="AA50" s="13">
        <v>10000</v>
      </c>
      <c r="AB50" s="2" t="s">
        <v>95</v>
      </c>
      <c r="AC50" s="2" t="s">
        <v>6772</v>
      </c>
      <c r="AD50" s="27"/>
      <c r="AL50" s="2" t="s">
        <v>4916</v>
      </c>
    </row>
    <row r="51" spans="1:38" hidden="1" x14ac:dyDescent="0.2">
      <c r="A51" s="2" t="s">
        <v>149</v>
      </c>
      <c r="B51" s="2" t="s">
        <v>237</v>
      </c>
      <c r="C51" s="2" t="s">
        <v>238</v>
      </c>
      <c r="D51" s="2" t="s">
        <v>239</v>
      </c>
      <c r="E51" s="13">
        <v>10000</v>
      </c>
      <c r="F51" s="13">
        <v>10000</v>
      </c>
      <c r="G51" s="14">
        <v>43300</v>
      </c>
      <c r="H51" s="15">
        <v>0.64142361111111001</v>
      </c>
      <c r="I51" s="14">
        <v>43301</v>
      </c>
      <c r="J51" s="15">
        <v>0</v>
      </c>
      <c r="K51" s="13">
        <v>20</v>
      </c>
      <c r="L51" s="2" t="s">
        <v>64</v>
      </c>
      <c r="M51" s="2" t="s">
        <v>181</v>
      </c>
      <c r="N51" s="14">
        <v>43304</v>
      </c>
      <c r="O51" s="14">
        <v>43302</v>
      </c>
      <c r="P51" s="2" t="s">
        <v>153</v>
      </c>
      <c r="Q51" s="2" t="s">
        <v>240</v>
      </c>
      <c r="R51" s="2" t="s">
        <v>80</v>
      </c>
      <c r="S51" s="14">
        <v>43304</v>
      </c>
      <c r="T51" s="2" t="s">
        <v>6174</v>
      </c>
      <c r="U51" s="2" t="s">
        <v>241</v>
      </c>
      <c r="V51" s="2" t="s">
        <v>242</v>
      </c>
      <c r="W51" s="2" t="s">
        <v>70</v>
      </c>
      <c r="X51" s="13">
        <v>1162</v>
      </c>
      <c r="Y51" s="2" t="s">
        <v>71</v>
      </c>
      <c r="Z51" s="2" t="s">
        <v>72</v>
      </c>
      <c r="AA51" s="13">
        <v>10000</v>
      </c>
      <c r="AB51" s="2" t="s">
        <v>73</v>
      </c>
      <c r="AC51" s="2" t="s">
        <v>6773</v>
      </c>
      <c r="AD51" s="27">
        <v>43249</v>
      </c>
      <c r="AL51" s="2" t="s">
        <v>4917</v>
      </c>
    </row>
    <row r="52" spans="1:38" hidden="1" x14ac:dyDescent="0.2">
      <c r="A52" s="2" t="s">
        <v>149</v>
      </c>
      <c r="B52" s="2" t="s">
        <v>243</v>
      </c>
      <c r="C52" s="2" t="s">
        <v>212</v>
      </c>
      <c r="D52" s="2" t="s">
        <v>213</v>
      </c>
      <c r="E52" s="13">
        <v>5000</v>
      </c>
      <c r="F52" s="13">
        <v>5000</v>
      </c>
      <c r="G52" s="14">
        <v>43301</v>
      </c>
      <c r="H52" s="15">
        <v>2.0833333333330002E-2</v>
      </c>
      <c r="I52" s="14">
        <v>43301</v>
      </c>
      <c r="J52" s="15">
        <v>0.20012731481481</v>
      </c>
      <c r="K52" s="13">
        <v>20</v>
      </c>
      <c r="L52" s="2" t="s">
        <v>64</v>
      </c>
      <c r="M52" s="2" t="s">
        <v>173</v>
      </c>
      <c r="N52" s="14">
        <v>43304</v>
      </c>
      <c r="O52" s="14">
        <v>43303</v>
      </c>
      <c r="P52" s="2" t="s">
        <v>153</v>
      </c>
      <c r="Q52" s="2" t="s">
        <v>244</v>
      </c>
      <c r="R52" s="2" t="s">
        <v>80</v>
      </c>
      <c r="S52" s="14">
        <v>43304</v>
      </c>
      <c r="T52" s="2" t="s">
        <v>6179</v>
      </c>
      <c r="U52" s="2" t="s">
        <v>215</v>
      </c>
      <c r="V52" s="2" t="s">
        <v>155</v>
      </c>
      <c r="W52" s="2" t="s">
        <v>70</v>
      </c>
      <c r="X52" s="13">
        <v>1162</v>
      </c>
      <c r="Y52" s="2" t="s">
        <v>71</v>
      </c>
      <c r="Z52" s="2" t="s">
        <v>72</v>
      </c>
      <c r="AA52" s="13">
        <v>5000</v>
      </c>
      <c r="AB52" s="2" t="s">
        <v>73</v>
      </c>
      <c r="AC52" s="2" t="s">
        <v>6773</v>
      </c>
      <c r="AD52" s="27">
        <v>43271</v>
      </c>
      <c r="AL52" s="2" t="s">
        <v>4918</v>
      </c>
    </row>
    <row r="53" spans="1:38" hidden="1" x14ac:dyDescent="0.2">
      <c r="A53" s="2" t="s">
        <v>149</v>
      </c>
      <c r="B53" s="2" t="s">
        <v>245</v>
      </c>
      <c r="C53" s="2" t="s">
        <v>246</v>
      </c>
      <c r="D53" s="2" t="s">
        <v>247</v>
      </c>
      <c r="E53" s="13">
        <v>10247</v>
      </c>
      <c r="F53" s="13">
        <v>10247</v>
      </c>
      <c r="G53" s="14">
        <v>43301</v>
      </c>
      <c r="H53" s="15">
        <v>0.43244212962963002</v>
      </c>
      <c r="I53" s="14">
        <v>43301</v>
      </c>
      <c r="J53" s="15">
        <v>0.79987268518518995</v>
      </c>
      <c r="K53" s="13">
        <v>20</v>
      </c>
      <c r="L53" s="2" t="s">
        <v>64</v>
      </c>
      <c r="M53" s="2" t="s">
        <v>186</v>
      </c>
      <c r="N53" s="14">
        <v>43305</v>
      </c>
      <c r="O53" s="14">
        <v>43303</v>
      </c>
      <c r="P53" s="2" t="s">
        <v>208</v>
      </c>
      <c r="Q53" s="2" t="s">
        <v>248</v>
      </c>
      <c r="R53" s="2" t="s">
        <v>80</v>
      </c>
      <c r="S53" s="14">
        <v>43305</v>
      </c>
      <c r="T53" s="2" t="s">
        <v>6180</v>
      </c>
      <c r="U53" s="2" t="s">
        <v>249</v>
      </c>
      <c r="V53" s="2" t="s">
        <v>163</v>
      </c>
      <c r="W53" s="2" t="s">
        <v>70</v>
      </c>
      <c r="X53" s="13">
        <v>1162</v>
      </c>
      <c r="Y53" s="2" t="s">
        <v>71</v>
      </c>
      <c r="Z53" s="2" t="s">
        <v>72</v>
      </c>
      <c r="AA53" s="13">
        <v>10000</v>
      </c>
      <c r="AB53" s="2" t="s">
        <v>73</v>
      </c>
      <c r="AC53" s="2" t="s">
        <v>6773</v>
      </c>
      <c r="AD53" s="27">
        <v>43277</v>
      </c>
      <c r="AL53" s="2" t="s">
        <v>4919</v>
      </c>
    </row>
    <row r="54" spans="1:38" hidden="1" x14ac:dyDescent="0.2">
      <c r="A54" s="2" t="s">
        <v>149</v>
      </c>
      <c r="B54" s="2" t="s">
        <v>250</v>
      </c>
      <c r="C54" s="2" t="s">
        <v>171</v>
      </c>
      <c r="D54" s="2" t="s">
        <v>172</v>
      </c>
      <c r="E54" s="13">
        <v>5000</v>
      </c>
      <c r="F54" s="13">
        <v>5000</v>
      </c>
      <c r="G54" s="14">
        <v>43301</v>
      </c>
      <c r="H54" s="15">
        <v>0.82070601851851999</v>
      </c>
      <c r="I54" s="14">
        <v>43302</v>
      </c>
      <c r="J54" s="15">
        <v>0</v>
      </c>
      <c r="K54" s="13">
        <v>0</v>
      </c>
      <c r="L54" s="2" t="s">
        <v>64</v>
      </c>
      <c r="M54" s="2" t="s">
        <v>173</v>
      </c>
      <c r="N54" s="14">
        <v>43305</v>
      </c>
      <c r="O54" s="14">
        <v>43303</v>
      </c>
      <c r="P54" s="2" t="s">
        <v>78</v>
      </c>
      <c r="Q54" s="2" t="s">
        <v>251</v>
      </c>
      <c r="R54" s="2" t="s">
        <v>80</v>
      </c>
      <c r="S54" s="14">
        <v>43305</v>
      </c>
      <c r="T54" s="2" t="s">
        <v>6181</v>
      </c>
      <c r="U54" s="2" t="s">
        <v>162</v>
      </c>
      <c r="V54" s="2" t="s">
        <v>81</v>
      </c>
      <c r="W54" s="2" t="s">
        <v>70</v>
      </c>
      <c r="X54" s="13">
        <v>1162</v>
      </c>
      <c r="Y54" s="2" t="s">
        <v>71</v>
      </c>
      <c r="Z54" s="2" t="s">
        <v>72</v>
      </c>
      <c r="AA54" s="13">
        <v>5000</v>
      </c>
      <c r="AB54" s="2" t="s">
        <v>73</v>
      </c>
      <c r="AC54" s="2" t="s">
        <v>6772</v>
      </c>
      <c r="AD54" s="27">
        <v>43243</v>
      </c>
      <c r="AL54" s="2" t="s">
        <v>4920</v>
      </c>
    </row>
    <row r="55" spans="1:38" hidden="1" x14ac:dyDescent="0.2">
      <c r="A55" s="2" t="s">
        <v>149</v>
      </c>
      <c r="B55" s="2" t="s">
        <v>252</v>
      </c>
      <c r="C55" s="2" t="s">
        <v>253</v>
      </c>
      <c r="D55" s="2" t="s">
        <v>254</v>
      </c>
      <c r="E55" s="13">
        <v>10000</v>
      </c>
      <c r="F55" s="13">
        <v>10000</v>
      </c>
      <c r="G55" s="14">
        <v>43302</v>
      </c>
      <c r="H55" s="15">
        <v>0.26200231481481001</v>
      </c>
      <c r="I55" s="14">
        <v>43302</v>
      </c>
      <c r="J55" s="15">
        <v>0.62057870370370005</v>
      </c>
      <c r="K55" s="13">
        <v>0</v>
      </c>
      <c r="L55" s="2" t="s">
        <v>64</v>
      </c>
      <c r="M55" s="2" t="s">
        <v>181</v>
      </c>
      <c r="N55" s="14">
        <v>43305</v>
      </c>
      <c r="O55" s="14">
        <v>43304</v>
      </c>
      <c r="P55" s="2" t="s">
        <v>160</v>
      </c>
      <c r="Q55" s="2" t="s">
        <v>255</v>
      </c>
      <c r="R55" s="2" t="s">
        <v>80</v>
      </c>
      <c r="S55" s="14">
        <v>43305</v>
      </c>
      <c r="T55" s="2" t="s">
        <v>6182</v>
      </c>
      <c r="U55" s="2" t="s">
        <v>256</v>
      </c>
      <c r="V55" s="2" t="s">
        <v>257</v>
      </c>
      <c r="W55" s="2" t="s">
        <v>70</v>
      </c>
      <c r="X55" s="13">
        <v>1162</v>
      </c>
      <c r="Y55" s="2" t="s">
        <v>71</v>
      </c>
      <c r="Z55" s="2" t="s">
        <v>72</v>
      </c>
      <c r="AA55" s="13">
        <v>10000</v>
      </c>
      <c r="AB55" s="2" t="s">
        <v>73</v>
      </c>
      <c r="AC55" s="2" t="s">
        <v>6773</v>
      </c>
      <c r="AD55" s="27">
        <v>43273</v>
      </c>
      <c r="AI55" s="2" t="s">
        <v>6153</v>
      </c>
      <c r="AL55" s="2" t="s">
        <v>4921</v>
      </c>
    </row>
    <row r="56" spans="1:38" hidden="1" x14ac:dyDescent="0.2">
      <c r="A56" s="2" t="s">
        <v>149</v>
      </c>
      <c r="B56" s="2" t="s">
        <v>261</v>
      </c>
      <c r="C56" s="2" t="s">
        <v>262</v>
      </c>
      <c r="D56" s="2" t="s">
        <v>263</v>
      </c>
      <c r="E56" s="16">
        <v>5123.5</v>
      </c>
      <c r="F56" s="16">
        <v>5123.5</v>
      </c>
      <c r="G56" s="14">
        <v>43303</v>
      </c>
      <c r="H56" s="15">
        <v>0.35349537037036999</v>
      </c>
      <c r="I56" s="14">
        <v>43303</v>
      </c>
      <c r="J56" s="15">
        <v>0.53721064814815001</v>
      </c>
      <c r="K56" s="13">
        <v>20</v>
      </c>
      <c r="L56" s="2" t="s">
        <v>64</v>
      </c>
      <c r="M56" s="2" t="s">
        <v>196</v>
      </c>
      <c r="N56" s="14">
        <v>43306</v>
      </c>
      <c r="O56" s="14">
        <v>43305</v>
      </c>
      <c r="P56" s="2" t="s">
        <v>78</v>
      </c>
      <c r="Q56" s="2" t="s">
        <v>264</v>
      </c>
      <c r="R56" s="2" t="s">
        <v>80</v>
      </c>
      <c r="S56" s="14">
        <v>43306</v>
      </c>
      <c r="T56" s="2" t="s">
        <v>6177</v>
      </c>
      <c r="U56" s="2" t="s">
        <v>210</v>
      </c>
      <c r="V56" s="2" t="s">
        <v>69</v>
      </c>
      <c r="W56" s="2" t="s">
        <v>70</v>
      </c>
      <c r="X56" s="13">
        <v>1162</v>
      </c>
      <c r="Y56" s="2" t="s">
        <v>71</v>
      </c>
      <c r="Z56" s="2" t="s">
        <v>72</v>
      </c>
      <c r="AA56" s="13">
        <v>5000</v>
      </c>
      <c r="AB56" s="2" t="s">
        <v>73</v>
      </c>
      <c r="AC56" s="2" t="s">
        <v>6773</v>
      </c>
      <c r="AD56" s="27">
        <v>43278</v>
      </c>
      <c r="AL56" s="2" t="s">
        <v>4922</v>
      </c>
    </row>
    <row r="57" spans="1:38" hidden="1" x14ac:dyDescent="0.2">
      <c r="A57" s="2" t="s">
        <v>149</v>
      </c>
      <c r="B57" s="2" t="s">
        <v>265</v>
      </c>
      <c r="C57" s="2" t="s">
        <v>151</v>
      </c>
      <c r="D57" s="2" t="s">
        <v>152</v>
      </c>
      <c r="E57" s="16">
        <v>15370.5</v>
      </c>
      <c r="F57" s="16">
        <v>15370.5</v>
      </c>
      <c r="G57" s="14">
        <v>43303</v>
      </c>
      <c r="H57" s="15">
        <v>0.61891203703704001</v>
      </c>
      <c r="I57" s="14">
        <v>43304</v>
      </c>
      <c r="J57" s="15">
        <v>0.17005787037037001</v>
      </c>
      <c r="K57" s="13">
        <v>0</v>
      </c>
      <c r="L57" s="2" t="s">
        <v>64</v>
      </c>
      <c r="M57" s="2" t="s">
        <v>266</v>
      </c>
      <c r="N57" s="14"/>
      <c r="O57" s="14">
        <v>43306</v>
      </c>
      <c r="P57" s="2" t="s">
        <v>153</v>
      </c>
      <c r="Q57" s="2" t="s">
        <v>6900</v>
      </c>
      <c r="R57" s="2" t="s">
        <v>80</v>
      </c>
      <c r="S57" s="14">
        <v>43305</v>
      </c>
      <c r="T57" s="2" t="s">
        <v>6183</v>
      </c>
      <c r="U57" s="2" t="s">
        <v>154</v>
      </c>
      <c r="V57" s="2" t="s">
        <v>155</v>
      </c>
      <c r="W57" s="2" t="s">
        <v>70</v>
      </c>
      <c r="X57" s="13">
        <v>1162</v>
      </c>
      <c r="Y57" s="2" t="s">
        <v>71</v>
      </c>
      <c r="Z57" s="2" t="s">
        <v>72</v>
      </c>
      <c r="AA57" s="16">
        <v>15370.5</v>
      </c>
      <c r="AB57" s="2" t="s">
        <v>107</v>
      </c>
      <c r="AC57" s="2" t="s">
        <v>6772</v>
      </c>
      <c r="AD57" s="27">
        <v>43265</v>
      </c>
      <c r="AL57" s="2" t="s">
        <v>4923</v>
      </c>
    </row>
    <row r="58" spans="1:38" hidden="1" x14ac:dyDescent="0.2">
      <c r="A58" s="2" t="s">
        <v>149</v>
      </c>
      <c r="B58" s="2" t="s">
        <v>268</v>
      </c>
      <c r="C58" s="2" t="s">
        <v>165</v>
      </c>
      <c r="D58" s="2" t="s">
        <v>166</v>
      </c>
      <c r="E58" s="13">
        <v>20512</v>
      </c>
      <c r="F58" s="13">
        <v>20512</v>
      </c>
      <c r="G58" s="14">
        <v>43303</v>
      </c>
      <c r="H58" s="15">
        <v>0.62054398148148004</v>
      </c>
      <c r="I58" s="14">
        <v>43304</v>
      </c>
      <c r="J58" s="15">
        <v>0.35605324074074002</v>
      </c>
      <c r="K58" s="13">
        <v>0</v>
      </c>
      <c r="L58" s="2" t="s">
        <v>64</v>
      </c>
      <c r="M58" s="2" t="s">
        <v>269</v>
      </c>
      <c r="N58" s="14"/>
      <c r="O58" s="14">
        <v>43306</v>
      </c>
      <c r="P58" s="2" t="s">
        <v>160</v>
      </c>
      <c r="Q58" s="2" t="s">
        <v>98</v>
      </c>
      <c r="R58" s="2" t="s">
        <v>131</v>
      </c>
      <c r="S58" s="14"/>
      <c r="T58" s="2" t="s">
        <v>6184</v>
      </c>
      <c r="U58" s="2" t="s">
        <v>168</v>
      </c>
      <c r="V58" s="2" t="s">
        <v>163</v>
      </c>
      <c r="W58" s="2" t="s">
        <v>70</v>
      </c>
      <c r="X58" s="13">
        <v>1162</v>
      </c>
      <c r="Y58" s="2" t="s">
        <v>71</v>
      </c>
      <c r="Z58" s="2" t="s">
        <v>72</v>
      </c>
      <c r="AA58" s="13">
        <v>20512</v>
      </c>
      <c r="AB58" s="2" t="s">
        <v>107</v>
      </c>
      <c r="AC58" s="2" t="s">
        <v>6772</v>
      </c>
      <c r="AD58" s="27">
        <v>43271</v>
      </c>
      <c r="AL58" s="2" t="s">
        <v>4924</v>
      </c>
    </row>
    <row r="59" spans="1:38" hidden="1" x14ac:dyDescent="0.2">
      <c r="A59" s="2" t="s">
        <v>149</v>
      </c>
      <c r="B59" s="2" t="s">
        <v>270</v>
      </c>
      <c r="C59" s="2" t="s">
        <v>271</v>
      </c>
      <c r="D59" s="2" t="s">
        <v>272</v>
      </c>
      <c r="E59" s="13">
        <v>10247</v>
      </c>
      <c r="F59" s="13">
        <v>10247</v>
      </c>
      <c r="G59" s="14">
        <v>43304</v>
      </c>
      <c r="H59" s="15">
        <v>0.63256944444443997</v>
      </c>
      <c r="I59" s="14">
        <v>43305</v>
      </c>
      <c r="J59" s="15">
        <v>0</v>
      </c>
      <c r="K59" s="13">
        <v>0</v>
      </c>
      <c r="L59" s="2" t="s">
        <v>64</v>
      </c>
      <c r="M59" s="2" t="s">
        <v>186</v>
      </c>
      <c r="N59" s="14">
        <v>43312</v>
      </c>
      <c r="O59" s="14">
        <v>43311</v>
      </c>
      <c r="P59" s="2" t="s">
        <v>160</v>
      </c>
      <c r="Q59" s="2" t="s">
        <v>273</v>
      </c>
      <c r="R59" s="2" t="s">
        <v>80</v>
      </c>
      <c r="S59" s="14">
        <v>43312</v>
      </c>
      <c r="T59" s="2" t="s">
        <v>6185</v>
      </c>
      <c r="U59" s="2" t="s">
        <v>178</v>
      </c>
      <c r="V59" s="2" t="s">
        <v>274</v>
      </c>
      <c r="W59" s="2" t="s">
        <v>70</v>
      </c>
      <c r="X59" s="13">
        <v>1162</v>
      </c>
      <c r="Y59" s="2" t="s">
        <v>71</v>
      </c>
      <c r="Z59" s="2" t="s">
        <v>72</v>
      </c>
      <c r="AA59" s="13">
        <v>10000</v>
      </c>
      <c r="AB59" s="2" t="s">
        <v>73</v>
      </c>
      <c r="AC59" s="2" t="s">
        <v>6773</v>
      </c>
      <c r="AD59" s="27">
        <v>43276</v>
      </c>
      <c r="AL59" s="2" t="s">
        <v>4925</v>
      </c>
    </row>
    <row r="60" spans="1:38" hidden="1" x14ac:dyDescent="0.2">
      <c r="A60" s="2" t="s">
        <v>149</v>
      </c>
      <c r="B60" s="2" t="s">
        <v>275</v>
      </c>
      <c r="C60" s="2" t="s">
        <v>176</v>
      </c>
      <c r="D60" s="2" t="s">
        <v>177</v>
      </c>
      <c r="E60" s="13">
        <v>10000</v>
      </c>
      <c r="F60" s="13">
        <v>10000</v>
      </c>
      <c r="G60" s="14">
        <v>43305</v>
      </c>
      <c r="H60" s="15">
        <v>0.64141203703703997</v>
      </c>
      <c r="I60" s="14">
        <v>43305</v>
      </c>
      <c r="J60" s="15">
        <v>0.99998842592592996</v>
      </c>
      <c r="K60" s="13">
        <v>0</v>
      </c>
      <c r="L60" s="2" t="s">
        <v>64</v>
      </c>
      <c r="M60" s="2" t="s">
        <v>181</v>
      </c>
      <c r="N60" s="14">
        <v>43307</v>
      </c>
      <c r="O60" s="14">
        <v>43307</v>
      </c>
      <c r="P60" s="2" t="s">
        <v>160</v>
      </c>
      <c r="Q60" s="2" t="s">
        <v>4217</v>
      </c>
      <c r="R60" s="2" t="s">
        <v>80</v>
      </c>
      <c r="S60" s="14">
        <v>43329</v>
      </c>
      <c r="U60" s="2" t="s">
        <v>178</v>
      </c>
      <c r="V60" s="2" t="s">
        <v>179</v>
      </c>
      <c r="W60" s="2" t="s">
        <v>70</v>
      </c>
      <c r="X60" s="13">
        <v>0</v>
      </c>
      <c r="Y60" s="2" t="s">
        <v>71</v>
      </c>
      <c r="Z60" s="2" t="s">
        <v>72</v>
      </c>
      <c r="AA60" s="13">
        <v>10000</v>
      </c>
      <c r="AB60" s="2" t="s">
        <v>95</v>
      </c>
      <c r="AC60" s="2" t="s">
        <v>6772</v>
      </c>
      <c r="AD60" s="27"/>
      <c r="AL60" s="2" t="s">
        <v>7165</v>
      </c>
    </row>
    <row r="61" spans="1:38" hidden="1" x14ac:dyDescent="0.2">
      <c r="A61" s="2" t="s">
        <v>149</v>
      </c>
      <c r="B61" s="2" t="s">
        <v>276</v>
      </c>
      <c r="C61" s="2" t="s">
        <v>277</v>
      </c>
      <c r="D61" s="2" t="s">
        <v>278</v>
      </c>
      <c r="E61" s="13">
        <v>5000</v>
      </c>
      <c r="F61" s="13">
        <v>5000</v>
      </c>
      <c r="G61" s="14">
        <v>43308</v>
      </c>
      <c r="H61" s="15">
        <v>8.2719907407410004E-2</v>
      </c>
      <c r="I61" s="14">
        <v>43308</v>
      </c>
      <c r="J61" s="15">
        <v>0.26201388888888999</v>
      </c>
      <c r="K61" s="13">
        <v>0</v>
      </c>
      <c r="L61" s="2" t="s">
        <v>64</v>
      </c>
      <c r="M61" s="2" t="s">
        <v>173</v>
      </c>
      <c r="N61" s="14">
        <v>43311</v>
      </c>
      <c r="O61" s="14">
        <v>43310</v>
      </c>
      <c r="P61" s="2" t="s">
        <v>91</v>
      </c>
      <c r="Q61" s="2" t="s">
        <v>279</v>
      </c>
      <c r="R61" s="2" t="s">
        <v>80</v>
      </c>
      <c r="S61" s="14">
        <v>43311</v>
      </c>
      <c r="U61" s="2" t="s">
        <v>280</v>
      </c>
      <c r="V61" s="2" t="s">
        <v>6097</v>
      </c>
      <c r="W61" s="2" t="s">
        <v>70</v>
      </c>
      <c r="X61" s="13">
        <v>0</v>
      </c>
      <c r="Y61" s="2" t="s">
        <v>71</v>
      </c>
      <c r="Z61" s="2" t="s">
        <v>72</v>
      </c>
      <c r="AA61" s="13">
        <v>5000</v>
      </c>
      <c r="AB61" s="2" t="s">
        <v>281</v>
      </c>
      <c r="AC61" s="2" t="s">
        <v>6773</v>
      </c>
      <c r="AD61" s="27"/>
      <c r="AI61" s="2" t="s">
        <v>6153</v>
      </c>
      <c r="AL61" s="2" t="s">
        <v>4926</v>
      </c>
    </row>
    <row r="62" spans="1:38" hidden="1" x14ac:dyDescent="0.2">
      <c r="A62" s="2" t="s">
        <v>149</v>
      </c>
      <c r="B62" s="2" t="s">
        <v>282</v>
      </c>
      <c r="C62" s="2" t="s">
        <v>188</v>
      </c>
      <c r="D62" s="2" t="s">
        <v>189</v>
      </c>
      <c r="E62" s="13">
        <v>10256</v>
      </c>
      <c r="F62" s="13">
        <v>10256</v>
      </c>
      <c r="G62" s="14">
        <v>43308</v>
      </c>
      <c r="H62" s="15">
        <v>0.28284722222221997</v>
      </c>
      <c r="I62" s="14">
        <v>43308</v>
      </c>
      <c r="J62" s="15">
        <v>0.65060185185185004</v>
      </c>
      <c r="K62" s="13">
        <v>0</v>
      </c>
      <c r="L62" s="2" t="s">
        <v>64</v>
      </c>
      <c r="M62" s="2" t="s">
        <v>167</v>
      </c>
      <c r="N62" s="14"/>
      <c r="O62" s="14">
        <v>43310</v>
      </c>
      <c r="P62" s="2" t="s">
        <v>191</v>
      </c>
      <c r="Q62" s="2" t="s">
        <v>4218</v>
      </c>
      <c r="R62" s="2" t="s">
        <v>80</v>
      </c>
      <c r="S62" s="14">
        <v>43312</v>
      </c>
      <c r="U62" s="2" t="s">
        <v>168</v>
      </c>
      <c r="V62" s="2" t="s">
        <v>192</v>
      </c>
      <c r="W62" s="2" t="s">
        <v>70</v>
      </c>
      <c r="X62" s="13">
        <v>0</v>
      </c>
      <c r="Y62" s="2" t="s">
        <v>71</v>
      </c>
      <c r="Z62" s="2" t="s">
        <v>72</v>
      </c>
      <c r="AA62" s="13">
        <v>10000</v>
      </c>
      <c r="AB62" s="2" t="s">
        <v>95</v>
      </c>
      <c r="AC62" s="2" t="s">
        <v>6772</v>
      </c>
      <c r="AD62" s="27"/>
      <c r="AL62" s="2" t="s">
        <v>6099</v>
      </c>
    </row>
    <row r="63" spans="1:38" hidden="1" x14ac:dyDescent="0.2">
      <c r="A63" s="2" t="s">
        <v>149</v>
      </c>
      <c r="B63" s="2" t="s">
        <v>288</v>
      </c>
      <c r="C63" s="2" t="s">
        <v>258</v>
      </c>
      <c r="D63" s="2" t="s">
        <v>259</v>
      </c>
      <c r="E63" s="16">
        <v>13321.1</v>
      </c>
      <c r="F63" s="16">
        <v>13321.1</v>
      </c>
      <c r="G63" s="14">
        <v>43308</v>
      </c>
      <c r="H63" s="15">
        <v>0.90863425925926</v>
      </c>
      <c r="I63" s="14">
        <v>43309</v>
      </c>
      <c r="J63" s="15">
        <v>0.38629629629630002</v>
      </c>
      <c r="K63" s="13">
        <v>0</v>
      </c>
      <c r="L63" s="2" t="s">
        <v>64</v>
      </c>
      <c r="M63" s="2" t="s">
        <v>4219</v>
      </c>
      <c r="N63" s="14">
        <v>43311</v>
      </c>
      <c r="O63" s="14">
        <v>43311</v>
      </c>
      <c r="P63" s="2" t="s">
        <v>160</v>
      </c>
      <c r="Q63" s="2" t="s">
        <v>289</v>
      </c>
      <c r="R63" s="2" t="s">
        <v>80</v>
      </c>
      <c r="S63" s="14">
        <v>43318</v>
      </c>
      <c r="U63" s="2" t="s">
        <v>235</v>
      </c>
      <c r="V63" s="2" t="s">
        <v>179</v>
      </c>
      <c r="W63" s="2" t="s">
        <v>70</v>
      </c>
      <c r="X63" s="13">
        <v>0</v>
      </c>
      <c r="Y63" s="2" t="s">
        <v>71</v>
      </c>
      <c r="Z63" s="2" t="s">
        <v>72</v>
      </c>
      <c r="AA63" s="13">
        <v>13000</v>
      </c>
      <c r="AB63" s="2" t="s">
        <v>95</v>
      </c>
      <c r="AC63" s="2" t="s">
        <v>6772</v>
      </c>
      <c r="AD63" s="27"/>
      <c r="AL63" s="2" t="s">
        <v>6100</v>
      </c>
    </row>
    <row r="64" spans="1:38" hidden="1" x14ac:dyDescent="0.2">
      <c r="A64" s="2" t="s">
        <v>149</v>
      </c>
      <c r="B64" s="2" t="s">
        <v>284</v>
      </c>
      <c r="C64" s="2" t="s">
        <v>233</v>
      </c>
      <c r="D64" s="2" t="s">
        <v>234</v>
      </c>
      <c r="E64" s="13">
        <v>10247</v>
      </c>
      <c r="F64" s="13">
        <v>10247</v>
      </c>
      <c r="G64" s="14">
        <v>43309</v>
      </c>
      <c r="H64" s="15">
        <v>0.63255787037037003</v>
      </c>
      <c r="I64" s="14">
        <v>43309</v>
      </c>
      <c r="J64" s="15">
        <v>0.99998842592592996</v>
      </c>
      <c r="K64" s="13">
        <v>0</v>
      </c>
      <c r="L64" s="2" t="s">
        <v>64</v>
      </c>
      <c r="M64" s="2" t="s">
        <v>186</v>
      </c>
      <c r="N64" s="14">
        <v>43311</v>
      </c>
      <c r="O64" s="14">
        <v>43311</v>
      </c>
      <c r="P64" s="2" t="s">
        <v>160</v>
      </c>
      <c r="Q64" s="2" t="s">
        <v>285</v>
      </c>
      <c r="R64" s="2" t="s">
        <v>80</v>
      </c>
      <c r="S64" s="14">
        <v>43315</v>
      </c>
      <c r="U64" s="2" t="s">
        <v>235</v>
      </c>
      <c r="V64" s="2" t="s">
        <v>236</v>
      </c>
      <c r="W64" s="2" t="s">
        <v>70</v>
      </c>
      <c r="X64" s="13">
        <v>0</v>
      </c>
      <c r="Y64" s="2" t="s">
        <v>71</v>
      </c>
      <c r="Z64" s="2" t="s">
        <v>72</v>
      </c>
      <c r="AA64" s="13">
        <v>10000</v>
      </c>
      <c r="AB64" s="2" t="s">
        <v>95</v>
      </c>
      <c r="AC64" s="2" t="s">
        <v>6772</v>
      </c>
      <c r="AD64" s="27"/>
      <c r="AL64" s="2" t="s">
        <v>6101</v>
      </c>
    </row>
    <row r="65" spans="1:38" hidden="1" x14ac:dyDescent="0.2">
      <c r="A65" s="2" t="s">
        <v>149</v>
      </c>
      <c r="B65" s="2" t="s">
        <v>290</v>
      </c>
      <c r="C65" s="2" t="s">
        <v>171</v>
      </c>
      <c r="D65" s="2" t="s">
        <v>172</v>
      </c>
      <c r="E65" s="13">
        <v>5000</v>
      </c>
      <c r="F65" s="13">
        <v>5000</v>
      </c>
      <c r="G65" s="14">
        <v>43309</v>
      </c>
      <c r="H65" s="15">
        <v>0.82070601851851999</v>
      </c>
      <c r="I65" s="14">
        <v>43310</v>
      </c>
      <c r="J65" s="15">
        <v>0</v>
      </c>
      <c r="K65" s="13">
        <v>0</v>
      </c>
      <c r="L65" s="2" t="s">
        <v>64</v>
      </c>
      <c r="M65" s="2" t="s">
        <v>173</v>
      </c>
      <c r="N65" s="14">
        <v>43312</v>
      </c>
      <c r="O65" s="14">
        <v>43311</v>
      </c>
      <c r="P65" s="2" t="s">
        <v>78</v>
      </c>
      <c r="Q65" s="2" t="s">
        <v>291</v>
      </c>
      <c r="R65" s="2" t="s">
        <v>80</v>
      </c>
      <c r="S65" s="14">
        <v>43312</v>
      </c>
      <c r="T65" s="2" t="s">
        <v>6186</v>
      </c>
      <c r="U65" s="2" t="s">
        <v>162</v>
      </c>
      <c r="V65" s="2" t="s">
        <v>81</v>
      </c>
      <c r="W65" s="2" t="s">
        <v>70</v>
      </c>
      <c r="X65" s="13">
        <v>1162</v>
      </c>
      <c r="Y65" s="2" t="s">
        <v>71</v>
      </c>
      <c r="Z65" s="2" t="s">
        <v>72</v>
      </c>
      <c r="AA65" s="13">
        <v>5000</v>
      </c>
      <c r="AB65" s="2" t="s">
        <v>73</v>
      </c>
      <c r="AC65" s="2" t="s">
        <v>6772</v>
      </c>
      <c r="AD65" s="27">
        <v>43243</v>
      </c>
      <c r="AL65" s="2" t="s">
        <v>6102</v>
      </c>
    </row>
    <row r="66" spans="1:38" hidden="1" x14ac:dyDescent="0.2">
      <c r="A66" s="2" t="s">
        <v>149</v>
      </c>
      <c r="B66" s="2" t="s">
        <v>4220</v>
      </c>
      <c r="C66" s="2" t="s">
        <v>246</v>
      </c>
      <c r="D66" s="2" t="s">
        <v>247</v>
      </c>
      <c r="E66" s="13">
        <v>10247</v>
      </c>
      <c r="F66" s="13">
        <v>10247</v>
      </c>
      <c r="G66" s="14">
        <v>43310</v>
      </c>
      <c r="H66" s="15">
        <v>0.25315972222222</v>
      </c>
      <c r="I66" s="14">
        <v>43310</v>
      </c>
      <c r="J66" s="15">
        <v>0.62059027777777998</v>
      </c>
      <c r="K66" s="13">
        <v>20</v>
      </c>
      <c r="L66" s="2" t="s">
        <v>64</v>
      </c>
      <c r="M66" s="2" t="s">
        <v>186</v>
      </c>
      <c r="N66" s="14">
        <v>43313</v>
      </c>
      <c r="O66" s="14">
        <v>43312</v>
      </c>
      <c r="P66" s="2" t="s">
        <v>208</v>
      </c>
      <c r="Q66" s="2" t="s">
        <v>4221</v>
      </c>
      <c r="R66" s="2" t="s">
        <v>80</v>
      </c>
      <c r="S66" s="14">
        <v>43313</v>
      </c>
      <c r="T66" s="2" t="s">
        <v>6187</v>
      </c>
      <c r="U66" s="2" t="s">
        <v>249</v>
      </c>
      <c r="V66" s="2" t="s">
        <v>163</v>
      </c>
      <c r="W66" s="2" t="s">
        <v>70</v>
      </c>
      <c r="X66" s="13">
        <v>1162</v>
      </c>
      <c r="Y66" s="2" t="s">
        <v>71</v>
      </c>
      <c r="Z66" s="2" t="s">
        <v>72</v>
      </c>
      <c r="AA66" s="13">
        <v>10000</v>
      </c>
      <c r="AB66" s="2" t="s">
        <v>73</v>
      </c>
      <c r="AC66" s="2" t="s">
        <v>6773</v>
      </c>
      <c r="AD66" s="27">
        <v>43285</v>
      </c>
      <c r="AL66" s="2" t="s">
        <v>6103</v>
      </c>
    </row>
    <row r="67" spans="1:38" hidden="1" x14ac:dyDescent="0.2">
      <c r="A67" s="2" t="s">
        <v>149</v>
      </c>
      <c r="B67" s="2" t="s">
        <v>292</v>
      </c>
      <c r="C67" s="2" t="s">
        <v>223</v>
      </c>
      <c r="D67" s="2" t="s">
        <v>224</v>
      </c>
      <c r="E67" s="13">
        <v>5128</v>
      </c>
      <c r="F67" s="13">
        <v>5128</v>
      </c>
      <c r="G67" s="14">
        <v>43310</v>
      </c>
      <c r="H67" s="15">
        <v>0.64142361111111001</v>
      </c>
      <c r="I67" s="14">
        <v>43310</v>
      </c>
      <c r="J67" s="15">
        <v>0.82530092592592996</v>
      </c>
      <c r="K67" s="13">
        <v>0</v>
      </c>
      <c r="L67" s="2" t="s">
        <v>64</v>
      </c>
      <c r="M67" s="2" t="s">
        <v>225</v>
      </c>
      <c r="N67" s="14"/>
      <c r="O67" s="14">
        <v>43312</v>
      </c>
      <c r="P67" s="2" t="s">
        <v>78</v>
      </c>
      <c r="Q67" s="2" t="s">
        <v>6901</v>
      </c>
      <c r="R67" s="2" t="s">
        <v>80</v>
      </c>
      <c r="S67" s="14">
        <v>43313</v>
      </c>
      <c r="U67" s="2" t="s">
        <v>168</v>
      </c>
      <c r="V67" s="2" t="s">
        <v>69</v>
      </c>
      <c r="W67" s="2" t="s">
        <v>70</v>
      </c>
      <c r="X67" s="13">
        <v>0</v>
      </c>
      <c r="Y67" s="2" t="s">
        <v>71</v>
      </c>
      <c r="Z67" s="2" t="s">
        <v>72</v>
      </c>
      <c r="AA67" s="13">
        <v>5000</v>
      </c>
      <c r="AB67" s="2" t="s">
        <v>95</v>
      </c>
      <c r="AC67" s="2" t="s">
        <v>6772</v>
      </c>
      <c r="AD67" s="27"/>
      <c r="AL67" s="2" t="s">
        <v>6104</v>
      </c>
    </row>
    <row r="68" spans="1:38" hidden="1" x14ac:dyDescent="0.2">
      <c r="A68" s="2" t="s">
        <v>149</v>
      </c>
      <c r="B68" s="2" t="s">
        <v>293</v>
      </c>
      <c r="C68" s="2" t="s">
        <v>223</v>
      </c>
      <c r="D68" s="2" t="s">
        <v>224</v>
      </c>
      <c r="E68" s="13">
        <v>10000</v>
      </c>
      <c r="F68" s="13">
        <v>10000</v>
      </c>
      <c r="G68" s="14">
        <v>43311</v>
      </c>
      <c r="H68" s="15">
        <v>0.64142361111111001</v>
      </c>
      <c r="I68" s="14">
        <v>43312</v>
      </c>
      <c r="J68" s="15">
        <v>0</v>
      </c>
      <c r="K68" s="13">
        <v>0</v>
      </c>
      <c r="L68" s="2" t="s">
        <v>64</v>
      </c>
      <c r="M68" s="2" t="s">
        <v>181</v>
      </c>
      <c r="N68" s="14"/>
      <c r="O68" s="14">
        <v>43313</v>
      </c>
      <c r="P68" s="2" t="s">
        <v>78</v>
      </c>
      <c r="Q68" s="2" t="s">
        <v>4222</v>
      </c>
      <c r="R68" s="2" t="s">
        <v>80</v>
      </c>
      <c r="S68" s="14">
        <v>43321</v>
      </c>
      <c r="U68" s="2" t="s">
        <v>168</v>
      </c>
      <c r="V68" s="2" t="s">
        <v>69</v>
      </c>
      <c r="W68" s="2" t="s">
        <v>70</v>
      </c>
      <c r="X68" s="13">
        <v>0</v>
      </c>
      <c r="Y68" s="2" t="s">
        <v>71</v>
      </c>
      <c r="Z68" s="2" t="s">
        <v>72</v>
      </c>
      <c r="AA68" s="13">
        <v>10000</v>
      </c>
      <c r="AB68" s="2" t="s">
        <v>95</v>
      </c>
      <c r="AC68" s="2" t="s">
        <v>6772</v>
      </c>
      <c r="AD68" s="27"/>
      <c r="AL68" s="2" t="s">
        <v>6105</v>
      </c>
    </row>
    <row r="69" spans="1:38" hidden="1" x14ac:dyDescent="0.2">
      <c r="A69" s="2" t="s">
        <v>149</v>
      </c>
      <c r="B69" s="2" t="s">
        <v>294</v>
      </c>
      <c r="C69" s="2" t="s">
        <v>151</v>
      </c>
      <c r="D69" s="2" t="s">
        <v>152</v>
      </c>
      <c r="E69" s="13">
        <v>10247</v>
      </c>
      <c r="F69" s="13">
        <v>10247</v>
      </c>
      <c r="G69" s="14">
        <v>43312</v>
      </c>
      <c r="H69" s="15">
        <v>5.3032407407409998E-2</v>
      </c>
      <c r="I69" s="14">
        <v>43312</v>
      </c>
      <c r="J69" s="15">
        <v>0.42046296296295999</v>
      </c>
      <c r="K69" s="13">
        <v>0</v>
      </c>
      <c r="L69" s="2" t="s">
        <v>64</v>
      </c>
      <c r="M69" s="2" t="s">
        <v>186</v>
      </c>
      <c r="N69" s="14">
        <v>43314</v>
      </c>
      <c r="O69" s="14">
        <v>43319</v>
      </c>
      <c r="P69" s="2" t="s">
        <v>153</v>
      </c>
      <c r="Q69" s="2" t="s">
        <v>6902</v>
      </c>
      <c r="R69" s="2" t="s">
        <v>80</v>
      </c>
      <c r="S69" s="14">
        <v>43306</v>
      </c>
      <c r="U69" s="2" t="s">
        <v>154</v>
      </c>
      <c r="V69" s="2" t="s">
        <v>155</v>
      </c>
      <c r="W69" s="2" t="s">
        <v>70</v>
      </c>
      <c r="X69" s="13">
        <v>0</v>
      </c>
      <c r="Y69" s="2" t="s">
        <v>71</v>
      </c>
      <c r="Z69" s="2" t="s">
        <v>72</v>
      </c>
      <c r="AA69" s="13">
        <v>10000</v>
      </c>
      <c r="AB69" s="2" t="s">
        <v>95</v>
      </c>
      <c r="AC69" s="2" t="s">
        <v>6772</v>
      </c>
      <c r="AD69" s="27"/>
      <c r="AL69" s="2" t="s">
        <v>6106</v>
      </c>
    </row>
    <row r="70" spans="1:38" hidden="1" x14ac:dyDescent="0.2">
      <c r="A70" s="2" t="s">
        <v>149</v>
      </c>
      <c r="B70" s="2" t="s">
        <v>295</v>
      </c>
      <c r="C70" s="2" t="s">
        <v>238</v>
      </c>
      <c r="D70" s="2" t="s">
        <v>239</v>
      </c>
      <c r="E70" s="13">
        <v>10000</v>
      </c>
      <c r="F70" s="13">
        <v>10000</v>
      </c>
      <c r="G70" s="14">
        <v>43312</v>
      </c>
      <c r="H70" s="15">
        <v>0.44129629629630002</v>
      </c>
      <c r="I70" s="14">
        <v>43312</v>
      </c>
      <c r="J70" s="15">
        <v>0.79987268518518995</v>
      </c>
      <c r="K70" s="13">
        <v>20</v>
      </c>
      <c r="L70" s="2" t="s">
        <v>64</v>
      </c>
      <c r="M70" s="2" t="s">
        <v>181</v>
      </c>
      <c r="N70" s="14">
        <v>43318</v>
      </c>
      <c r="O70" s="14">
        <v>43314</v>
      </c>
      <c r="P70" s="2" t="s">
        <v>153</v>
      </c>
      <c r="Q70" s="2" t="s">
        <v>296</v>
      </c>
      <c r="R70" s="2" t="s">
        <v>80</v>
      </c>
      <c r="S70" s="14">
        <v>43318</v>
      </c>
      <c r="T70" s="2" t="s">
        <v>6188</v>
      </c>
      <c r="U70" s="2" t="s">
        <v>241</v>
      </c>
      <c r="V70" s="2" t="s">
        <v>242</v>
      </c>
      <c r="W70" s="2" t="s">
        <v>70</v>
      </c>
      <c r="X70" s="13">
        <v>1162</v>
      </c>
      <c r="Y70" s="2" t="s">
        <v>71</v>
      </c>
      <c r="Z70" s="2" t="s">
        <v>72</v>
      </c>
      <c r="AA70" s="13">
        <v>10000</v>
      </c>
      <c r="AB70" s="2" t="s">
        <v>73</v>
      </c>
      <c r="AC70" s="2" t="s">
        <v>6773</v>
      </c>
      <c r="AD70" s="27">
        <v>43273</v>
      </c>
      <c r="AL70" s="2" t="s">
        <v>6107</v>
      </c>
    </row>
    <row r="71" spans="1:38" hidden="1" x14ac:dyDescent="0.2">
      <c r="A71" s="2" t="s">
        <v>149</v>
      </c>
      <c r="B71" s="2" t="s">
        <v>297</v>
      </c>
      <c r="C71" s="2" t="s">
        <v>171</v>
      </c>
      <c r="D71" s="2" t="s">
        <v>172</v>
      </c>
      <c r="E71" s="13">
        <v>5000</v>
      </c>
      <c r="F71" s="13">
        <v>5000</v>
      </c>
      <c r="G71" s="14">
        <v>43312</v>
      </c>
      <c r="H71" s="15">
        <v>0.82070601851851999</v>
      </c>
      <c r="I71" s="14">
        <v>43313</v>
      </c>
      <c r="J71" s="15">
        <v>0</v>
      </c>
      <c r="K71" s="13">
        <v>0</v>
      </c>
      <c r="L71" s="2" t="s">
        <v>64</v>
      </c>
      <c r="M71" s="2" t="s">
        <v>173</v>
      </c>
      <c r="N71" s="14">
        <v>43315</v>
      </c>
      <c r="O71" s="14">
        <v>43314</v>
      </c>
      <c r="P71" s="2" t="s">
        <v>78</v>
      </c>
      <c r="Q71" s="2" t="s">
        <v>298</v>
      </c>
      <c r="R71" s="2" t="s">
        <v>80</v>
      </c>
      <c r="S71" s="14">
        <v>43315</v>
      </c>
      <c r="T71" s="2" t="s">
        <v>6189</v>
      </c>
      <c r="U71" s="2" t="s">
        <v>162</v>
      </c>
      <c r="V71" s="2" t="s">
        <v>81</v>
      </c>
      <c r="W71" s="2" t="s">
        <v>70</v>
      </c>
      <c r="X71" s="13">
        <v>1162</v>
      </c>
      <c r="Y71" s="2" t="s">
        <v>71</v>
      </c>
      <c r="Z71" s="2" t="s">
        <v>72</v>
      </c>
      <c r="AA71" s="13">
        <v>5000</v>
      </c>
      <c r="AB71" s="2" t="s">
        <v>73</v>
      </c>
      <c r="AC71" s="2" t="s">
        <v>6772</v>
      </c>
      <c r="AD71" s="27">
        <v>43243</v>
      </c>
      <c r="AL71" s="2" t="s">
        <v>6108</v>
      </c>
    </row>
    <row r="72" spans="1:38" hidden="1" x14ac:dyDescent="0.2">
      <c r="A72" s="2" t="s">
        <v>149</v>
      </c>
      <c r="B72" s="2" t="s">
        <v>299</v>
      </c>
      <c r="C72" s="2" t="s">
        <v>165</v>
      </c>
      <c r="D72" s="2" t="s">
        <v>166</v>
      </c>
      <c r="E72" s="13">
        <v>10256</v>
      </c>
      <c r="F72" s="13">
        <v>10256</v>
      </c>
      <c r="G72" s="14">
        <v>43314</v>
      </c>
      <c r="H72" s="15">
        <v>0.28284722222221997</v>
      </c>
      <c r="I72" s="14">
        <v>43314</v>
      </c>
      <c r="J72" s="15">
        <v>0.65060185185185004</v>
      </c>
      <c r="K72" s="13">
        <v>0</v>
      </c>
      <c r="L72" s="2" t="s">
        <v>64</v>
      </c>
      <c r="M72" s="2" t="s">
        <v>167</v>
      </c>
      <c r="N72" s="14">
        <v>43316</v>
      </c>
      <c r="O72" s="14">
        <v>43316</v>
      </c>
      <c r="P72" s="2" t="s">
        <v>160</v>
      </c>
      <c r="Q72" s="2" t="s">
        <v>98</v>
      </c>
      <c r="R72" s="2" t="s">
        <v>131</v>
      </c>
      <c r="S72" s="14"/>
      <c r="U72" s="2" t="s">
        <v>168</v>
      </c>
      <c r="V72" s="2" t="s">
        <v>163</v>
      </c>
      <c r="W72" s="2" t="s">
        <v>70</v>
      </c>
      <c r="X72" s="13">
        <v>0</v>
      </c>
      <c r="Y72" s="2" t="s">
        <v>71</v>
      </c>
      <c r="Z72" s="2" t="s">
        <v>72</v>
      </c>
      <c r="AA72" s="13">
        <v>10000</v>
      </c>
      <c r="AB72" s="2" t="s">
        <v>95</v>
      </c>
      <c r="AC72" s="2" t="s">
        <v>6772</v>
      </c>
      <c r="AD72" s="27"/>
      <c r="AL72" s="2" t="s">
        <v>6109</v>
      </c>
    </row>
    <row r="73" spans="1:38" hidden="1" x14ac:dyDescent="0.2">
      <c r="A73" s="2" t="s">
        <v>149</v>
      </c>
      <c r="B73" s="2" t="s">
        <v>300</v>
      </c>
      <c r="C73" s="2" t="s">
        <v>301</v>
      </c>
      <c r="D73" s="2" t="s">
        <v>302</v>
      </c>
      <c r="E73" s="13">
        <v>20000</v>
      </c>
      <c r="F73" s="13">
        <v>20000</v>
      </c>
      <c r="G73" s="14">
        <v>43315</v>
      </c>
      <c r="H73" s="15">
        <v>0.28284722222221997</v>
      </c>
      <c r="I73" s="14">
        <v>43316</v>
      </c>
      <c r="J73" s="15">
        <v>0</v>
      </c>
      <c r="K73" s="13">
        <v>0</v>
      </c>
      <c r="L73" s="2" t="s">
        <v>64</v>
      </c>
      <c r="M73" s="2" t="s">
        <v>190</v>
      </c>
      <c r="N73" s="14">
        <v>43318</v>
      </c>
      <c r="O73" s="14">
        <v>43317</v>
      </c>
      <c r="P73" s="2" t="s">
        <v>78</v>
      </c>
      <c r="Q73" s="2" t="s">
        <v>98</v>
      </c>
      <c r="R73" s="2" t="s">
        <v>131</v>
      </c>
      <c r="S73" s="14"/>
      <c r="U73" s="2" t="s">
        <v>215</v>
      </c>
      <c r="V73" s="2" t="s">
        <v>69</v>
      </c>
      <c r="W73" s="2" t="s">
        <v>70</v>
      </c>
      <c r="X73" s="13">
        <v>0</v>
      </c>
      <c r="Y73" s="2" t="s">
        <v>71</v>
      </c>
      <c r="Z73" s="2" t="s">
        <v>72</v>
      </c>
      <c r="AA73" s="13">
        <v>20000</v>
      </c>
      <c r="AB73" s="2" t="s">
        <v>95</v>
      </c>
      <c r="AC73" s="2" t="s">
        <v>6772</v>
      </c>
      <c r="AD73" s="27"/>
      <c r="AL73" s="2" t="s">
        <v>7166</v>
      </c>
    </row>
    <row r="74" spans="1:38" hidden="1" x14ac:dyDescent="0.2">
      <c r="A74" s="2" t="s">
        <v>149</v>
      </c>
      <c r="B74" s="2" t="s">
        <v>303</v>
      </c>
      <c r="C74" s="2" t="s">
        <v>201</v>
      </c>
      <c r="D74" s="2" t="s">
        <v>202</v>
      </c>
      <c r="E74" s="13">
        <v>10000</v>
      </c>
      <c r="F74" s="13">
        <v>10000</v>
      </c>
      <c r="G74" s="14">
        <v>43315</v>
      </c>
      <c r="H74" s="15">
        <v>0.64142361111111001</v>
      </c>
      <c r="I74" s="14">
        <v>43316</v>
      </c>
      <c r="J74" s="15">
        <v>0</v>
      </c>
      <c r="K74" s="13">
        <v>20</v>
      </c>
      <c r="L74" s="2" t="s">
        <v>64</v>
      </c>
      <c r="M74" s="2" t="s">
        <v>181</v>
      </c>
      <c r="N74" s="14">
        <v>43318</v>
      </c>
      <c r="O74" s="14">
        <v>43317</v>
      </c>
      <c r="P74" s="2" t="s">
        <v>160</v>
      </c>
      <c r="Q74" s="2" t="s">
        <v>304</v>
      </c>
      <c r="R74" s="2" t="s">
        <v>80</v>
      </c>
      <c r="S74" s="14">
        <v>43318</v>
      </c>
      <c r="T74" s="2" t="s">
        <v>6190</v>
      </c>
      <c r="U74" s="2" t="s">
        <v>204</v>
      </c>
      <c r="V74" s="2" t="s">
        <v>179</v>
      </c>
      <c r="W74" s="2" t="s">
        <v>70</v>
      </c>
      <c r="X74" s="13">
        <v>1162</v>
      </c>
      <c r="Y74" s="2" t="s">
        <v>71</v>
      </c>
      <c r="Z74" s="2" t="s">
        <v>72</v>
      </c>
      <c r="AA74" s="13">
        <v>10000</v>
      </c>
      <c r="AB74" s="2" t="s">
        <v>73</v>
      </c>
      <c r="AC74" s="2" t="s">
        <v>6773</v>
      </c>
      <c r="AD74" s="27">
        <v>43207</v>
      </c>
      <c r="AL74" s="2" t="s">
        <v>6110</v>
      </c>
    </row>
    <row r="75" spans="1:38" hidden="1" x14ac:dyDescent="0.2">
      <c r="A75" s="2" t="s">
        <v>149</v>
      </c>
      <c r="B75" s="2" t="s">
        <v>305</v>
      </c>
      <c r="C75" s="2" t="s">
        <v>188</v>
      </c>
      <c r="D75" s="2" t="s">
        <v>189</v>
      </c>
      <c r="E75" s="13">
        <v>20512</v>
      </c>
      <c r="F75" s="13">
        <v>20512</v>
      </c>
      <c r="G75" s="14">
        <v>43316</v>
      </c>
      <c r="H75" s="15">
        <v>0.26447916666666998</v>
      </c>
      <c r="I75" s="14">
        <v>43316</v>
      </c>
      <c r="J75" s="15">
        <v>0.99998842592592996</v>
      </c>
      <c r="K75" s="13">
        <v>0</v>
      </c>
      <c r="L75" s="2" t="s">
        <v>64</v>
      </c>
      <c r="M75" s="2" t="s">
        <v>269</v>
      </c>
      <c r="N75" s="14">
        <v>43318</v>
      </c>
      <c r="O75" s="14">
        <v>43318</v>
      </c>
      <c r="P75" s="2" t="s">
        <v>191</v>
      </c>
      <c r="Q75" s="2" t="s">
        <v>98</v>
      </c>
      <c r="R75" s="2" t="s">
        <v>131</v>
      </c>
      <c r="S75" s="14"/>
      <c r="U75" s="2" t="s">
        <v>168</v>
      </c>
      <c r="V75" s="2" t="s">
        <v>192</v>
      </c>
      <c r="W75" s="2" t="s">
        <v>70</v>
      </c>
      <c r="X75" s="13">
        <v>0</v>
      </c>
      <c r="Y75" s="2" t="s">
        <v>71</v>
      </c>
      <c r="Z75" s="2" t="s">
        <v>72</v>
      </c>
      <c r="AA75" s="13">
        <v>20000</v>
      </c>
      <c r="AB75" s="2" t="s">
        <v>95</v>
      </c>
      <c r="AC75" s="2" t="s">
        <v>6772</v>
      </c>
      <c r="AD75" s="27"/>
      <c r="AL75" s="2" t="s">
        <v>6111</v>
      </c>
    </row>
    <row r="76" spans="1:38" hidden="1" x14ac:dyDescent="0.2">
      <c r="A76" s="2" t="s">
        <v>149</v>
      </c>
      <c r="B76" s="2" t="s">
        <v>307</v>
      </c>
      <c r="C76" s="2" t="s">
        <v>308</v>
      </c>
      <c r="D76" s="2" t="s">
        <v>309</v>
      </c>
      <c r="E76" s="13">
        <v>20494</v>
      </c>
      <c r="F76" s="13">
        <v>20494</v>
      </c>
      <c r="G76" s="14">
        <v>43316</v>
      </c>
      <c r="H76" s="15">
        <v>0.56399305555556001</v>
      </c>
      <c r="I76" s="14">
        <v>43317</v>
      </c>
      <c r="J76" s="15">
        <v>0.29886574074074002</v>
      </c>
      <c r="K76" s="13">
        <v>0</v>
      </c>
      <c r="L76" s="2" t="s">
        <v>64</v>
      </c>
      <c r="M76" s="2" t="s">
        <v>159</v>
      </c>
      <c r="N76" s="14">
        <v>43319</v>
      </c>
      <c r="O76" s="14">
        <v>43319</v>
      </c>
      <c r="P76" s="2" t="s">
        <v>78</v>
      </c>
      <c r="Q76" s="2" t="s">
        <v>98</v>
      </c>
      <c r="R76" s="2" t="s">
        <v>131</v>
      </c>
      <c r="S76" s="14"/>
      <c r="U76" s="2" t="s">
        <v>310</v>
      </c>
      <c r="V76" s="2" t="s">
        <v>69</v>
      </c>
      <c r="W76" s="2" t="s">
        <v>70</v>
      </c>
      <c r="X76" s="13">
        <v>0</v>
      </c>
      <c r="Y76" s="2" t="s">
        <v>71</v>
      </c>
      <c r="Z76" s="2" t="s">
        <v>72</v>
      </c>
      <c r="AA76" s="13">
        <v>20000</v>
      </c>
      <c r="AB76" s="2" t="s">
        <v>95</v>
      </c>
      <c r="AC76" s="2" t="s">
        <v>6772</v>
      </c>
      <c r="AD76" s="27"/>
      <c r="AL76" s="2" t="s">
        <v>6112</v>
      </c>
    </row>
    <row r="77" spans="1:38" hidden="1" x14ac:dyDescent="0.2">
      <c r="A77" s="2" t="s">
        <v>149</v>
      </c>
      <c r="B77" s="2" t="s">
        <v>311</v>
      </c>
      <c r="C77" s="2" t="s">
        <v>301</v>
      </c>
      <c r="D77" s="2" t="s">
        <v>302</v>
      </c>
      <c r="E77" s="13">
        <v>20494</v>
      </c>
      <c r="F77" s="13">
        <v>20494</v>
      </c>
      <c r="G77" s="14">
        <v>43317</v>
      </c>
      <c r="H77" s="15">
        <v>0.31969907407407</v>
      </c>
      <c r="I77" s="14">
        <v>43318</v>
      </c>
      <c r="J77" s="15">
        <v>5.457175925926E-2</v>
      </c>
      <c r="K77" s="13">
        <v>0</v>
      </c>
      <c r="L77" s="2" t="s">
        <v>64</v>
      </c>
      <c r="M77" s="2" t="s">
        <v>159</v>
      </c>
      <c r="N77" s="14">
        <v>43320</v>
      </c>
      <c r="O77" s="14">
        <v>43320</v>
      </c>
      <c r="P77" s="2" t="s">
        <v>78</v>
      </c>
      <c r="Q77" s="2" t="s">
        <v>4223</v>
      </c>
      <c r="R77" s="2" t="s">
        <v>80</v>
      </c>
      <c r="S77" s="14">
        <v>43324</v>
      </c>
      <c r="U77" s="2" t="s">
        <v>215</v>
      </c>
      <c r="V77" s="2" t="s">
        <v>69</v>
      </c>
      <c r="W77" s="2" t="s">
        <v>70</v>
      </c>
      <c r="X77" s="13">
        <v>0</v>
      </c>
      <c r="Y77" s="2" t="s">
        <v>71</v>
      </c>
      <c r="Z77" s="2" t="s">
        <v>72</v>
      </c>
      <c r="AA77" s="13">
        <v>20000</v>
      </c>
      <c r="AB77" s="2" t="s">
        <v>95</v>
      </c>
      <c r="AC77" s="2" t="s">
        <v>6772</v>
      </c>
      <c r="AD77" s="27"/>
      <c r="AL77" s="2" t="s">
        <v>7167</v>
      </c>
    </row>
    <row r="78" spans="1:38" hidden="1" x14ac:dyDescent="0.2">
      <c r="A78" s="2" t="s">
        <v>149</v>
      </c>
      <c r="B78" s="2" t="s">
        <v>312</v>
      </c>
      <c r="C78" s="2" t="s">
        <v>233</v>
      </c>
      <c r="D78" s="2" t="s">
        <v>234</v>
      </c>
      <c r="E78" s="13">
        <v>10000</v>
      </c>
      <c r="F78" s="13">
        <v>10000</v>
      </c>
      <c r="G78" s="14">
        <v>43321</v>
      </c>
      <c r="H78" s="15">
        <v>0.16666666666666999</v>
      </c>
      <c r="I78" s="14">
        <v>43321</v>
      </c>
      <c r="J78" s="15">
        <v>0.52524305555555995</v>
      </c>
      <c r="K78" s="13">
        <v>0</v>
      </c>
      <c r="L78" s="2" t="s">
        <v>64</v>
      </c>
      <c r="M78" s="2" t="s">
        <v>181</v>
      </c>
      <c r="N78" s="14">
        <v>43295</v>
      </c>
      <c r="O78" s="14">
        <v>43323</v>
      </c>
      <c r="P78" s="2" t="s">
        <v>160</v>
      </c>
      <c r="Q78" s="2" t="s">
        <v>98</v>
      </c>
      <c r="R78" s="2" t="s">
        <v>131</v>
      </c>
      <c r="S78" s="14"/>
      <c r="U78" s="2" t="s">
        <v>235</v>
      </c>
      <c r="V78" s="2" t="s">
        <v>236</v>
      </c>
      <c r="W78" s="2" t="s">
        <v>70</v>
      </c>
      <c r="X78" s="13">
        <v>0</v>
      </c>
      <c r="Y78" s="2" t="s">
        <v>71</v>
      </c>
      <c r="Z78" s="2" t="s">
        <v>72</v>
      </c>
      <c r="AA78" s="13">
        <v>10000</v>
      </c>
      <c r="AB78" s="2" t="s">
        <v>95</v>
      </c>
      <c r="AC78" s="2" t="s">
        <v>6772</v>
      </c>
      <c r="AD78" s="27"/>
      <c r="AL78" s="2" t="s">
        <v>6113</v>
      </c>
    </row>
    <row r="79" spans="1:38" hidden="1" x14ac:dyDescent="0.2">
      <c r="A79" s="2" t="s">
        <v>149</v>
      </c>
      <c r="B79" s="2" t="s">
        <v>4224</v>
      </c>
      <c r="C79" s="2" t="s">
        <v>4225</v>
      </c>
      <c r="D79" s="2" t="s">
        <v>4226</v>
      </c>
      <c r="E79" s="13">
        <v>10247</v>
      </c>
      <c r="F79" s="13">
        <v>10247</v>
      </c>
      <c r="G79" s="14">
        <v>43321</v>
      </c>
      <c r="H79" s="15">
        <v>0.67230324074073999</v>
      </c>
      <c r="I79" s="14">
        <v>43322</v>
      </c>
      <c r="J79" s="15">
        <v>3.97337962963E-2</v>
      </c>
      <c r="K79" s="13">
        <v>20</v>
      </c>
      <c r="L79" s="2" t="s">
        <v>64</v>
      </c>
      <c r="M79" s="2" t="s">
        <v>186</v>
      </c>
      <c r="N79" s="14">
        <v>43326</v>
      </c>
      <c r="O79" s="14">
        <v>43324</v>
      </c>
      <c r="P79" s="2" t="s">
        <v>78</v>
      </c>
      <c r="Q79" s="2" t="s">
        <v>4227</v>
      </c>
      <c r="R79" s="2" t="s">
        <v>80</v>
      </c>
      <c r="S79" s="14">
        <v>43326</v>
      </c>
      <c r="T79" s="2" t="s">
        <v>6191</v>
      </c>
      <c r="U79" s="2" t="s">
        <v>198</v>
      </c>
      <c r="V79" s="2" t="s">
        <v>6098</v>
      </c>
      <c r="W79" s="2" t="s">
        <v>70</v>
      </c>
      <c r="X79" s="13">
        <v>1162</v>
      </c>
      <c r="Y79" s="2" t="s">
        <v>71</v>
      </c>
      <c r="Z79" s="2" t="s">
        <v>72</v>
      </c>
      <c r="AA79" s="13">
        <v>10000</v>
      </c>
      <c r="AB79" s="2" t="s">
        <v>73</v>
      </c>
      <c r="AC79" s="2" t="s">
        <v>6773</v>
      </c>
      <c r="AD79" s="27">
        <v>43284</v>
      </c>
      <c r="AL79" s="2" t="s">
        <v>6114</v>
      </c>
    </row>
    <row r="80" spans="1:38" hidden="1" x14ac:dyDescent="0.2">
      <c r="A80" s="2" t="s">
        <v>149</v>
      </c>
      <c r="B80" s="2" t="s">
        <v>315</v>
      </c>
      <c r="C80" s="2" t="s">
        <v>301</v>
      </c>
      <c r="D80" s="2" t="s">
        <v>302</v>
      </c>
      <c r="E80" s="13">
        <v>20494</v>
      </c>
      <c r="F80" s="13">
        <v>20494</v>
      </c>
      <c r="G80" s="14">
        <v>43322</v>
      </c>
      <c r="H80" s="15">
        <v>0.26511574074074001</v>
      </c>
      <c r="I80" s="14">
        <v>43322</v>
      </c>
      <c r="J80" s="15">
        <v>0.99998842592592996</v>
      </c>
      <c r="K80" s="13">
        <v>0</v>
      </c>
      <c r="L80" s="2" t="s">
        <v>64</v>
      </c>
      <c r="M80" s="2" t="s">
        <v>159</v>
      </c>
      <c r="N80" s="14">
        <v>43324</v>
      </c>
      <c r="O80" s="14">
        <v>43324</v>
      </c>
      <c r="P80" s="2" t="s">
        <v>78</v>
      </c>
      <c r="Q80" s="2" t="s">
        <v>4228</v>
      </c>
      <c r="R80" s="2" t="s">
        <v>80</v>
      </c>
      <c r="S80" s="14">
        <v>43325</v>
      </c>
      <c r="U80" s="2" t="s">
        <v>215</v>
      </c>
      <c r="V80" s="2" t="s">
        <v>69</v>
      </c>
      <c r="W80" s="2" t="s">
        <v>70</v>
      </c>
      <c r="X80" s="13">
        <v>0</v>
      </c>
      <c r="Y80" s="2" t="s">
        <v>71</v>
      </c>
      <c r="Z80" s="2" t="s">
        <v>72</v>
      </c>
      <c r="AA80" s="13">
        <v>20000</v>
      </c>
      <c r="AB80" s="2" t="s">
        <v>95</v>
      </c>
      <c r="AC80" s="2" t="s">
        <v>6772</v>
      </c>
      <c r="AD80" s="27"/>
      <c r="AL80" s="2" t="s">
        <v>7168</v>
      </c>
    </row>
    <row r="81" spans="1:38" hidden="1" x14ac:dyDescent="0.2">
      <c r="A81" s="2" t="s">
        <v>149</v>
      </c>
      <c r="B81" s="2" t="s">
        <v>316</v>
      </c>
      <c r="C81" s="2" t="s">
        <v>233</v>
      </c>
      <c r="D81" s="2" t="s">
        <v>234</v>
      </c>
      <c r="E81" s="13">
        <v>10247</v>
      </c>
      <c r="F81" s="13">
        <v>10247</v>
      </c>
      <c r="G81" s="14">
        <v>43323</v>
      </c>
      <c r="H81" s="15">
        <v>0.36994212962963002</v>
      </c>
      <c r="I81" s="14">
        <v>43323</v>
      </c>
      <c r="J81" s="15">
        <v>0.73737268518518995</v>
      </c>
      <c r="K81" s="13">
        <v>0</v>
      </c>
      <c r="L81" s="2" t="s">
        <v>64</v>
      </c>
      <c r="M81" s="2" t="s">
        <v>186</v>
      </c>
      <c r="N81" s="14">
        <v>43325</v>
      </c>
      <c r="O81" s="14">
        <v>43325</v>
      </c>
      <c r="P81" s="2" t="s">
        <v>160</v>
      </c>
      <c r="Q81" s="2" t="s">
        <v>98</v>
      </c>
      <c r="R81" s="2" t="s">
        <v>131</v>
      </c>
      <c r="S81" s="14"/>
      <c r="U81" s="2" t="s">
        <v>235</v>
      </c>
      <c r="V81" s="2" t="s">
        <v>236</v>
      </c>
      <c r="W81" s="2" t="s">
        <v>70</v>
      </c>
      <c r="X81" s="13">
        <v>0</v>
      </c>
      <c r="Y81" s="2" t="s">
        <v>71</v>
      </c>
      <c r="Z81" s="2" t="s">
        <v>72</v>
      </c>
      <c r="AA81" s="13">
        <v>10000</v>
      </c>
      <c r="AB81" s="2" t="s">
        <v>95</v>
      </c>
      <c r="AC81" s="2" t="s">
        <v>6772</v>
      </c>
      <c r="AD81" s="27"/>
      <c r="AL81" s="2" t="s">
        <v>6115</v>
      </c>
    </row>
    <row r="82" spans="1:38" hidden="1" x14ac:dyDescent="0.2">
      <c r="A82" s="2" t="s">
        <v>149</v>
      </c>
      <c r="B82" s="2" t="s">
        <v>317</v>
      </c>
      <c r="C82" s="2" t="s">
        <v>258</v>
      </c>
      <c r="D82" s="2" t="s">
        <v>259</v>
      </c>
      <c r="E82" s="13">
        <v>10247</v>
      </c>
      <c r="F82" s="13">
        <v>10247</v>
      </c>
      <c r="G82" s="14">
        <v>43323</v>
      </c>
      <c r="H82" s="15">
        <v>0.63255787037037003</v>
      </c>
      <c r="I82" s="14">
        <v>43323</v>
      </c>
      <c r="J82" s="15">
        <v>0.99998842592592996</v>
      </c>
      <c r="K82" s="13">
        <v>0</v>
      </c>
      <c r="L82" s="2" t="s">
        <v>64</v>
      </c>
      <c r="M82" s="2" t="s">
        <v>186</v>
      </c>
      <c r="N82" s="14">
        <v>43325</v>
      </c>
      <c r="O82" s="14">
        <v>43325</v>
      </c>
      <c r="P82" s="2" t="s">
        <v>160</v>
      </c>
      <c r="Q82" s="2" t="s">
        <v>98</v>
      </c>
      <c r="R82" s="2" t="s">
        <v>131</v>
      </c>
      <c r="S82" s="14"/>
      <c r="U82" s="2" t="s">
        <v>235</v>
      </c>
      <c r="V82" s="2" t="s">
        <v>179</v>
      </c>
      <c r="W82" s="2" t="s">
        <v>70</v>
      </c>
      <c r="X82" s="13">
        <v>0</v>
      </c>
      <c r="Y82" s="2" t="s">
        <v>71</v>
      </c>
      <c r="Z82" s="2" t="s">
        <v>72</v>
      </c>
      <c r="AA82" s="13">
        <v>10000</v>
      </c>
      <c r="AB82" s="2" t="s">
        <v>95</v>
      </c>
      <c r="AC82" s="2" t="s">
        <v>6772</v>
      </c>
      <c r="AD82" s="27"/>
      <c r="AL82" s="2" t="s">
        <v>6116</v>
      </c>
    </row>
    <row r="83" spans="1:38" hidden="1" x14ac:dyDescent="0.2">
      <c r="A83" s="2" t="s">
        <v>149</v>
      </c>
      <c r="B83" s="2" t="s">
        <v>319</v>
      </c>
      <c r="C83" s="2" t="s">
        <v>171</v>
      </c>
      <c r="D83" s="2" t="s">
        <v>172</v>
      </c>
      <c r="E83" s="13">
        <v>5000</v>
      </c>
      <c r="F83" s="13">
        <v>5000</v>
      </c>
      <c r="G83" s="14">
        <v>43323</v>
      </c>
      <c r="H83" s="15">
        <v>0.82070601851851999</v>
      </c>
      <c r="I83" s="14">
        <v>43324</v>
      </c>
      <c r="J83" s="15">
        <v>0</v>
      </c>
      <c r="K83" s="13">
        <v>0</v>
      </c>
      <c r="L83" s="2" t="s">
        <v>64</v>
      </c>
      <c r="M83" s="2" t="s">
        <v>173</v>
      </c>
      <c r="N83" s="14">
        <v>43326</v>
      </c>
      <c r="O83" s="14">
        <v>43325</v>
      </c>
      <c r="P83" s="2" t="s">
        <v>78</v>
      </c>
      <c r="Q83" s="2" t="s">
        <v>320</v>
      </c>
      <c r="R83" s="2" t="s">
        <v>80</v>
      </c>
      <c r="S83" s="14">
        <v>43326</v>
      </c>
      <c r="U83" s="2" t="s">
        <v>162</v>
      </c>
      <c r="V83" s="2" t="s">
        <v>81</v>
      </c>
      <c r="W83" s="2" t="s">
        <v>70</v>
      </c>
      <c r="X83" s="13">
        <v>1162</v>
      </c>
      <c r="Y83" s="2" t="s">
        <v>71</v>
      </c>
      <c r="Z83" s="2" t="s">
        <v>72</v>
      </c>
      <c r="AA83" s="13">
        <v>5000</v>
      </c>
      <c r="AB83" s="2" t="s">
        <v>73</v>
      </c>
      <c r="AC83" s="2" t="s">
        <v>6772</v>
      </c>
      <c r="AD83" s="27"/>
      <c r="AL83" s="2" t="s">
        <v>7169</v>
      </c>
    </row>
    <row r="84" spans="1:38" hidden="1" x14ac:dyDescent="0.2">
      <c r="A84" s="2" t="s">
        <v>149</v>
      </c>
      <c r="B84" s="2" t="s">
        <v>4229</v>
      </c>
      <c r="C84" s="2" t="s">
        <v>165</v>
      </c>
      <c r="D84" s="2" t="s">
        <v>166</v>
      </c>
      <c r="E84" s="13">
        <v>20512</v>
      </c>
      <c r="F84" s="13">
        <v>20512</v>
      </c>
      <c r="G84" s="14">
        <v>43324</v>
      </c>
      <c r="H84" s="15">
        <v>8.3333333333329998E-2</v>
      </c>
      <c r="I84" s="14">
        <v>43324</v>
      </c>
      <c r="J84" s="15">
        <v>0.81884259259258996</v>
      </c>
      <c r="K84" s="13">
        <v>0</v>
      </c>
      <c r="L84" s="2" t="s">
        <v>64</v>
      </c>
      <c r="M84" s="2" t="s">
        <v>269</v>
      </c>
      <c r="N84" s="14">
        <v>43326</v>
      </c>
      <c r="O84" s="14">
        <v>43326</v>
      </c>
      <c r="P84" s="2" t="s">
        <v>160</v>
      </c>
      <c r="Q84" s="2" t="s">
        <v>327</v>
      </c>
      <c r="R84" s="2" t="s">
        <v>80</v>
      </c>
      <c r="S84" s="14">
        <v>43335</v>
      </c>
      <c r="U84" s="2" t="s">
        <v>168</v>
      </c>
      <c r="V84" s="2" t="s">
        <v>163</v>
      </c>
      <c r="W84" s="2" t="s">
        <v>70</v>
      </c>
      <c r="X84" s="13">
        <v>0</v>
      </c>
      <c r="Y84" s="2" t="s">
        <v>71</v>
      </c>
      <c r="Z84" s="2" t="s">
        <v>72</v>
      </c>
      <c r="AA84" s="13">
        <v>20000</v>
      </c>
      <c r="AB84" s="2" t="s">
        <v>95</v>
      </c>
      <c r="AC84" s="2" t="s">
        <v>6772</v>
      </c>
      <c r="AD84" s="27"/>
      <c r="AL84" s="2" t="s">
        <v>6117</v>
      </c>
    </row>
    <row r="85" spans="1:38" hidden="1" x14ac:dyDescent="0.2">
      <c r="A85" s="2" t="s">
        <v>149</v>
      </c>
      <c r="B85" s="2" t="s">
        <v>321</v>
      </c>
      <c r="C85" s="2" t="s">
        <v>301</v>
      </c>
      <c r="D85" s="2" t="s">
        <v>302</v>
      </c>
      <c r="E85" s="13">
        <v>20494</v>
      </c>
      <c r="F85" s="13">
        <v>20494</v>
      </c>
      <c r="G85" s="14">
        <v>43325</v>
      </c>
      <c r="H85" s="15">
        <v>0.26511574074074001</v>
      </c>
      <c r="I85" s="14">
        <v>43325</v>
      </c>
      <c r="J85" s="15">
        <v>0.99998842592592996</v>
      </c>
      <c r="K85" s="13">
        <v>0</v>
      </c>
      <c r="L85" s="2" t="s">
        <v>64</v>
      </c>
      <c r="M85" s="2" t="s">
        <v>159</v>
      </c>
      <c r="N85" s="14">
        <v>43327</v>
      </c>
      <c r="O85" s="14">
        <v>43327</v>
      </c>
      <c r="P85" s="2" t="s">
        <v>78</v>
      </c>
      <c r="Q85" s="2" t="s">
        <v>6903</v>
      </c>
      <c r="R85" s="2" t="s">
        <v>80</v>
      </c>
      <c r="S85" s="14">
        <v>43333</v>
      </c>
      <c r="U85" s="2" t="s">
        <v>215</v>
      </c>
      <c r="V85" s="2" t="s">
        <v>69</v>
      </c>
      <c r="W85" s="2" t="s">
        <v>70</v>
      </c>
      <c r="X85" s="13">
        <v>0</v>
      </c>
      <c r="Y85" s="2" t="s">
        <v>71</v>
      </c>
      <c r="Z85" s="2" t="s">
        <v>72</v>
      </c>
      <c r="AA85" s="13">
        <v>20000</v>
      </c>
      <c r="AB85" s="2" t="s">
        <v>95</v>
      </c>
      <c r="AC85" s="2" t="s">
        <v>6772</v>
      </c>
      <c r="AD85" s="27"/>
      <c r="AL85" s="2" t="s">
        <v>7170</v>
      </c>
    </row>
    <row r="86" spans="1:38" hidden="1" x14ac:dyDescent="0.2">
      <c r="A86" s="2" t="s">
        <v>149</v>
      </c>
      <c r="B86" s="2" t="s">
        <v>4230</v>
      </c>
      <c r="C86" s="2" t="s">
        <v>223</v>
      </c>
      <c r="D86" s="2" t="s">
        <v>224</v>
      </c>
      <c r="E86" s="13">
        <v>5128</v>
      </c>
      <c r="F86" s="13">
        <v>5128</v>
      </c>
      <c r="G86" s="14">
        <v>43328</v>
      </c>
      <c r="H86" s="15">
        <v>0.81611111111111001</v>
      </c>
      <c r="I86" s="14">
        <v>43328</v>
      </c>
      <c r="J86" s="15">
        <v>0.99998842592592996</v>
      </c>
      <c r="K86" s="13">
        <v>0</v>
      </c>
      <c r="L86" s="2" t="s">
        <v>64</v>
      </c>
      <c r="M86" s="2" t="s">
        <v>225</v>
      </c>
      <c r="N86" s="14">
        <v>43330</v>
      </c>
      <c r="O86" s="14">
        <v>43330</v>
      </c>
      <c r="P86" s="2" t="s">
        <v>78</v>
      </c>
      <c r="Q86" s="2" t="s">
        <v>6904</v>
      </c>
      <c r="R86" s="2" t="s">
        <v>80</v>
      </c>
      <c r="S86" s="14">
        <v>43335</v>
      </c>
      <c r="U86" s="2" t="s">
        <v>168</v>
      </c>
      <c r="V86" s="2" t="s">
        <v>69</v>
      </c>
      <c r="W86" s="2" t="s">
        <v>70</v>
      </c>
      <c r="X86" s="13">
        <v>0</v>
      </c>
      <c r="Y86" s="2" t="s">
        <v>71</v>
      </c>
      <c r="Z86" s="2" t="s">
        <v>72</v>
      </c>
      <c r="AA86" s="13">
        <v>5000</v>
      </c>
      <c r="AB86" s="2" t="s">
        <v>95</v>
      </c>
      <c r="AC86" s="2" t="s">
        <v>6772</v>
      </c>
      <c r="AD86" s="27"/>
      <c r="AL86" s="2" t="s">
        <v>6118</v>
      </c>
    </row>
    <row r="87" spans="1:38" hidden="1" x14ac:dyDescent="0.2">
      <c r="A87" s="2" t="s">
        <v>149</v>
      </c>
      <c r="B87" s="2" t="s">
        <v>322</v>
      </c>
      <c r="C87" s="2" t="s">
        <v>176</v>
      </c>
      <c r="D87" s="2" t="s">
        <v>177</v>
      </c>
      <c r="E87" s="13">
        <v>10247</v>
      </c>
      <c r="F87" s="13">
        <v>10247</v>
      </c>
      <c r="G87" s="14">
        <v>43329</v>
      </c>
      <c r="H87" s="15">
        <v>0.81371527777777997</v>
      </c>
      <c r="I87" s="14">
        <v>43330</v>
      </c>
      <c r="J87" s="15">
        <v>0.18114583333333001</v>
      </c>
      <c r="K87" s="13">
        <v>0</v>
      </c>
      <c r="L87" s="2" t="s">
        <v>64</v>
      </c>
      <c r="M87" s="2" t="s">
        <v>186</v>
      </c>
      <c r="N87" s="14">
        <v>43332</v>
      </c>
      <c r="O87" s="14">
        <v>43332</v>
      </c>
      <c r="P87" s="2" t="s">
        <v>160</v>
      </c>
      <c r="Q87" s="2" t="s">
        <v>98</v>
      </c>
      <c r="R87" s="2" t="s">
        <v>131</v>
      </c>
      <c r="S87" s="14"/>
      <c r="U87" s="2" t="s">
        <v>178</v>
      </c>
      <c r="V87" s="2" t="s">
        <v>179</v>
      </c>
      <c r="W87" s="2" t="s">
        <v>70</v>
      </c>
      <c r="X87" s="13">
        <v>0</v>
      </c>
      <c r="Y87" s="2" t="s">
        <v>71</v>
      </c>
      <c r="Z87" s="2" t="s">
        <v>72</v>
      </c>
      <c r="AA87" s="13">
        <v>10000</v>
      </c>
      <c r="AB87" s="2" t="s">
        <v>95</v>
      </c>
      <c r="AC87" s="2" t="s">
        <v>6772</v>
      </c>
      <c r="AD87" s="27"/>
      <c r="AL87" s="2" t="s">
        <v>7171</v>
      </c>
    </row>
    <row r="88" spans="1:38" hidden="1" x14ac:dyDescent="0.2">
      <c r="A88" s="2" t="s">
        <v>149</v>
      </c>
      <c r="B88" s="2" t="s">
        <v>323</v>
      </c>
      <c r="C88" s="2" t="s">
        <v>188</v>
      </c>
      <c r="D88" s="2" t="s">
        <v>189</v>
      </c>
      <c r="E88" s="13">
        <v>20512</v>
      </c>
      <c r="F88" s="13">
        <v>20512</v>
      </c>
      <c r="G88" s="14">
        <v>43330</v>
      </c>
      <c r="H88" s="15">
        <v>0.26447916666666998</v>
      </c>
      <c r="I88" s="14">
        <v>43330</v>
      </c>
      <c r="J88" s="15">
        <v>0.99998842592592996</v>
      </c>
      <c r="K88" s="13">
        <v>0</v>
      </c>
      <c r="L88" s="2" t="s">
        <v>64</v>
      </c>
      <c r="M88" s="2" t="s">
        <v>269</v>
      </c>
      <c r="N88" s="14">
        <v>43332</v>
      </c>
      <c r="O88" s="14">
        <v>43332</v>
      </c>
      <c r="P88" s="2" t="s">
        <v>191</v>
      </c>
      <c r="Q88" s="2" t="s">
        <v>283</v>
      </c>
      <c r="R88" s="2" t="s">
        <v>80</v>
      </c>
      <c r="S88" s="14">
        <v>43333</v>
      </c>
      <c r="U88" s="2" t="s">
        <v>168</v>
      </c>
      <c r="V88" s="2" t="s">
        <v>192</v>
      </c>
      <c r="W88" s="2" t="s">
        <v>70</v>
      </c>
      <c r="X88" s="13">
        <v>0</v>
      </c>
      <c r="Y88" s="2" t="s">
        <v>71</v>
      </c>
      <c r="Z88" s="2" t="s">
        <v>72</v>
      </c>
      <c r="AA88" s="13">
        <v>20000</v>
      </c>
      <c r="AB88" s="2" t="s">
        <v>95</v>
      </c>
      <c r="AC88" s="2" t="s">
        <v>6772</v>
      </c>
      <c r="AD88" s="27"/>
      <c r="AL88" s="2" t="s">
        <v>6119</v>
      </c>
    </row>
    <row r="89" spans="1:38" hidden="1" x14ac:dyDescent="0.2">
      <c r="A89" s="2" t="s">
        <v>149</v>
      </c>
      <c r="B89" s="2" t="s">
        <v>324</v>
      </c>
      <c r="C89" s="2" t="s">
        <v>258</v>
      </c>
      <c r="D89" s="2" t="s">
        <v>259</v>
      </c>
      <c r="E89" s="13">
        <v>10247</v>
      </c>
      <c r="F89" s="13">
        <v>10247</v>
      </c>
      <c r="G89" s="14">
        <v>43330</v>
      </c>
      <c r="H89" s="15">
        <v>0.63255787037037003</v>
      </c>
      <c r="I89" s="14">
        <v>43330</v>
      </c>
      <c r="J89" s="15">
        <v>0.99998842592592996</v>
      </c>
      <c r="K89" s="13">
        <v>0</v>
      </c>
      <c r="L89" s="2" t="s">
        <v>64</v>
      </c>
      <c r="M89" s="2" t="s">
        <v>186</v>
      </c>
      <c r="N89" s="14">
        <v>43332</v>
      </c>
      <c r="O89" s="14">
        <v>43332</v>
      </c>
      <c r="P89" s="2" t="s">
        <v>160</v>
      </c>
      <c r="Q89" s="2" t="s">
        <v>318</v>
      </c>
      <c r="R89" s="2" t="s">
        <v>80</v>
      </c>
      <c r="S89" s="14">
        <v>43334</v>
      </c>
      <c r="U89" s="2" t="s">
        <v>235</v>
      </c>
      <c r="V89" s="2" t="s">
        <v>179</v>
      </c>
      <c r="W89" s="2" t="s">
        <v>70</v>
      </c>
      <c r="X89" s="13">
        <v>0</v>
      </c>
      <c r="Y89" s="2" t="s">
        <v>71</v>
      </c>
      <c r="Z89" s="2" t="s">
        <v>72</v>
      </c>
      <c r="AA89" s="13">
        <v>10000</v>
      </c>
      <c r="AB89" s="2" t="s">
        <v>95</v>
      </c>
      <c r="AC89" s="2" t="s">
        <v>6772</v>
      </c>
      <c r="AD89" s="27"/>
      <c r="AL89" s="2" t="s">
        <v>6120</v>
      </c>
    </row>
    <row r="90" spans="1:38" hidden="1" x14ac:dyDescent="0.2">
      <c r="A90" s="2" t="s">
        <v>149</v>
      </c>
      <c r="B90" s="2" t="s">
        <v>4231</v>
      </c>
      <c r="C90" s="2" t="s">
        <v>301</v>
      </c>
      <c r="D90" s="2" t="s">
        <v>302</v>
      </c>
      <c r="E90" s="13">
        <v>10247</v>
      </c>
      <c r="F90" s="13">
        <v>10247</v>
      </c>
      <c r="G90" s="14">
        <v>43330</v>
      </c>
      <c r="H90" s="15">
        <v>0.63255787037037003</v>
      </c>
      <c r="I90" s="14">
        <v>43330</v>
      </c>
      <c r="J90" s="15">
        <v>0.99998842592592996</v>
      </c>
      <c r="K90" s="13">
        <v>0</v>
      </c>
      <c r="L90" s="2" t="s">
        <v>64</v>
      </c>
      <c r="M90" s="2" t="s">
        <v>186</v>
      </c>
      <c r="N90" s="14">
        <v>43332</v>
      </c>
      <c r="O90" s="14">
        <v>43332</v>
      </c>
      <c r="P90" s="2" t="s">
        <v>78</v>
      </c>
      <c r="Q90" s="2" t="s">
        <v>333</v>
      </c>
      <c r="R90" s="2" t="s">
        <v>80</v>
      </c>
      <c r="S90" s="14">
        <v>43335</v>
      </c>
      <c r="U90" s="2" t="s">
        <v>215</v>
      </c>
      <c r="V90" s="2" t="s">
        <v>69</v>
      </c>
      <c r="W90" s="2" t="s">
        <v>70</v>
      </c>
      <c r="X90" s="13">
        <v>0</v>
      </c>
      <c r="Y90" s="2" t="s">
        <v>71</v>
      </c>
      <c r="Z90" s="2" t="s">
        <v>72</v>
      </c>
      <c r="AA90" s="13">
        <v>10000</v>
      </c>
      <c r="AB90" s="2" t="s">
        <v>95</v>
      </c>
      <c r="AC90" s="2" t="s">
        <v>6772</v>
      </c>
      <c r="AD90" s="27"/>
      <c r="AL90" s="2" t="s">
        <v>7172</v>
      </c>
    </row>
    <row r="91" spans="1:38" hidden="1" x14ac:dyDescent="0.2">
      <c r="A91" s="2" t="s">
        <v>149</v>
      </c>
      <c r="B91" s="2" t="s">
        <v>325</v>
      </c>
      <c r="C91" s="2" t="s">
        <v>308</v>
      </c>
      <c r="D91" s="2" t="s">
        <v>309</v>
      </c>
      <c r="E91" s="13">
        <v>10247</v>
      </c>
      <c r="F91" s="13">
        <v>10247</v>
      </c>
      <c r="G91" s="14">
        <v>43330</v>
      </c>
      <c r="H91" s="15">
        <v>0.74278935185185002</v>
      </c>
      <c r="I91" s="14">
        <v>43331</v>
      </c>
      <c r="J91" s="15">
        <v>0.11021990740741</v>
      </c>
      <c r="K91" s="13">
        <v>0</v>
      </c>
      <c r="L91" s="2" t="s">
        <v>64</v>
      </c>
      <c r="M91" s="2" t="s">
        <v>186</v>
      </c>
      <c r="N91" s="14">
        <v>43333</v>
      </c>
      <c r="O91" s="14">
        <v>43333</v>
      </c>
      <c r="P91" s="2" t="s">
        <v>78</v>
      </c>
      <c r="Q91" s="2" t="s">
        <v>6905</v>
      </c>
      <c r="R91" s="2" t="s">
        <v>80</v>
      </c>
      <c r="S91" s="14">
        <v>43333</v>
      </c>
      <c r="U91" s="2" t="s">
        <v>310</v>
      </c>
      <c r="V91" s="2" t="s">
        <v>69</v>
      </c>
      <c r="W91" s="2" t="s">
        <v>70</v>
      </c>
      <c r="X91" s="13">
        <v>0</v>
      </c>
      <c r="Y91" s="2" t="s">
        <v>71</v>
      </c>
      <c r="Z91" s="2" t="s">
        <v>72</v>
      </c>
      <c r="AA91" s="13">
        <v>10000</v>
      </c>
      <c r="AB91" s="2" t="s">
        <v>95</v>
      </c>
      <c r="AC91" s="2" t="s">
        <v>6772</v>
      </c>
      <c r="AD91" s="27"/>
      <c r="AL91" s="2" t="s">
        <v>6121</v>
      </c>
    </row>
    <row r="92" spans="1:38" hidden="1" x14ac:dyDescent="0.2">
      <c r="A92" s="2" t="s">
        <v>149</v>
      </c>
      <c r="B92" s="2" t="s">
        <v>326</v>
      </c>
      <c r="C92" s="2" t="s">
        <v>165</v>
      </c>
      <c r="D92" s="2" t="s">
        <v>166</v>
      </c>
      <c r="E92" s="13">
        <v>10256</v>
      </c>
      <c r="F92" s="13">
        <v>10256</v>
      </c>
      <c r="G92" s="14">
        <v>43333</v>
      </c>
      <c r="H92" s="15">
        <v>0.83175925925925998</v>
      </c>
      <c r="I92" s="14">
        <v>43334</v>
      </c>
      <c r="J92" s="15">
        <v>0.19951388888888999</v>
      </c>
      <c r="K92" s="13">
        <v>0</v>
      </c>
      <c r="L92" s="2" t="s">
        <v>64</v>
      </c>
      <c r="M92" s="2" t="s">
        <v>167</v>
      </c>
      <c r="N92" s="14">
        <v>43336</v>
      </c>
      <c r="O92" s="14">
        <v>43336</v>
      </c>
      <c r="P92" s="2" t="s">
        <v>160</v>
      </c>
      <c r="Q92" s="2" t="s">
        <v>98</v>
      </c>
      <c r="R92" s="2" t="s">
        <v>131</v>
      </c>
      <c r="S92" s="14"/>
      <c r="U92" s="2" t="s">
        <v>168</v>
      </c>
      <c r="V92" s="2" t="s">
        <v>163</v>
      </c>
      <c r="W92" s="2" t="s">
        <v>70</v>
      </c>
      <c r="X92" s="13">
        <v>0</v>
      </c>
      <c r="Y92" s="2" t="s">
        <v>71</v>
      </c>
      <c r="Z92" s="2" t="s">
        <v>72</v>
      </c>
      <c r="AA92" s="13">
        <v>10000</v>
      </c>
      <c r="AB92" s="2" t="s">
        <v>95</v>
      </c>
      <c r="AC92" s="2" t="s">
        <v>6772</v>
      </c>
      <c r="AD92" s="27"/>
      <c r="AL92" s="2" t="s">
        <v>6122</v>
      </c>
    </row>
    <row r="93" spans="1:38" hidden="1" x14ac:dyDescent="0.2">
      <c r="A93" s="2" t="s">
        <v>149</v>
      </c>
      <c r="B93" s="2" t="s">
        <v>328</v>
      </c>
      <c r="C93" s="2" t="s">
        <v>188</v>
      </c>
      <c r="D93" s="2" t="s">
        <v>189</v>
      </c>
      <c r="E93" s="13">
        <v>20000</v>
      </c>
      <c r="F93" s="13">
        <v>20000</v>
      </c>
      <c r="G93" s="14">
        <v>43334</v>
      </c>
      <c r="H93" s="15">
        <v>0.28284722222221997</v>
      </c>
      <c r="I93" s="14">
        <v>43335</v>
      </c>
      <c r="J93" s="15">
        <v>0</v>
      </c>
      <c r="K93" s="13">
        <v>0</v>
      </c>
      <c r="L93" s="2" t="s">
        <v>64</v>
      </c>
      <c r="M93" s="2" t="s">
        <v>190</v>
      </c>
      <c r="N93" s="14">
        <v>43337</v>
      </c>
      <c r="O93" s="14">
        <v>43336</v>
      </c>
      <c r="P93" s="2" t="s">
        <v>191</v>
      </c>
      <c r="Q93" s="2" t="s">
        <v>98</v>
      </c>
      <c r="R93" s="2" t="s">
        <v>131</v>
      </c>
      <c r="S93" s="14"/>
      <c r="U93" s="2" t="s">
        <v>168</v>
      </c>
      <c r="V93" s="2" t="s">
        <v>192</v>
      </c>
      <c r="W93" s="2" t="s">
        <v>70</v>
      </c>
      <c r="X93" s="13">
        <v>0</v>
      </c>
      <c r="Y93" s="2" t="s">
        <v>71</v>
      </c>
      <c r="Z93" s="2" t="s">
        <v>72</v>
      </c>
      <c r="AA93" s="13">
        <v>20000</v>
      </c>
      <c r="AB93" s="2" t="s">
        <v>95</v>
      </c>
      <c r="AC93" s="2" t="s">
        <v>6772</v>
      </c>
      <c r="AD93" s="27"/>
      <c r="AL93" s="2" t="s">
        <v>6123</v>
      </c>
    </row>
    <row r="94" spans="1:38" hidden="1" x14ac:dyDescent="0.2">
      <c r="A94" s="2" t="s">
        <v>149</v>
      </c>
      <c r="B94" s="2" t="s">
        <v>329</v>
      </c>
      <c r="C94" s="2" t="s">
        <v>188</v>
      </c>
      <c r="D94" s="2" t="s">
        <v>189</v>
      </c>
      <c r="E94" s="13">
        <v>20000</v>
      </c>
      <c r="F94" s="13">
        <v>20000</v>
      </c>
      <c r="G94" s="14">
        <v>43335</v>
      </c>
      <c r="H94" s="15">
        <v>0.28284722222221997</v>
      </c>
      <c r="I94" s="14">
        <v>43336</v>
      </c>
      <c r="J94" s="15">
        <v>0</v>
      </c>
      <c r="K94" s="13">
        <v>0</v>
      </c>
      <c r="L94" s="2" t="s">
        <v>64</v>
      </c>
      <c r="M94" s="2" t="s">
        <v>190</v>
      </c>
      <c r="N94" s="14">
        <v>43338</v>
      </c>
      <c r="O94" s="14">
        <v>43337</v>
      </c>
      <c r="P94" s="2" t="s">
        <v>191</v>
      </c>
      <c r="Q94" s="2" t="s">
        <v>306</v>
      </c>
      <c r="R94" s="2" t="s">
        <v>80</v>
      </c>
      <c r="S94" s="14">
        <v>43343</v>
      </c>
      <c r="U94" s="2" t="s">
        <v>168</v>
      </c>
      <c r="V94" s="2" t="s">
        <v>192</v>
      </c>
      <c r="W94" s="2" t="s">
        <v>70</v>
      </c>
      <c r="X94" s="13">
        <v>0</v>
      </c>
      <c r="Y94" s="2" t="s">
        <v>71</v>
      </c>
      <c r="Z94" s="2" t="s">
        <v>72</v>
      </c>
      <c r="AA94" s="13">
        <v>20000</v>
      </c>
      <c r="AB94" s="2" t="s">
        <v>95</v>
      </c>
      <c r="AC94" s="2" t="s">
        <v>6772</v>
      </c>
      <c r="AD94" s="27"/>
      <c r="AL94" s="2" t="s">
        <v>6124</v>
      </c>
    </row>
    <row r="95" spans="1:38" hidden="1" x14ac:dyDescent="0.2">
      <c r="A95" s="2" t="s">
        <v>149</v>
      </c>
      <c r="B95" s="2" t="s">
        <v>330</v>
      </c>
      <c r="C95" s="2" t="s">
        <v>171</v>
      </c>
      <c r="D95" s="2" t="s">
        <v>172</v>
      </c>
      <c r="E95" s="13">
        <v>5000</v>
      </c>
      <c r="F95" s="13">
        <v>5000</v>
      </c>
      <c r="G95" s="14">
        <v>43336</v>
      </c>
      <c r="H95" s="15">
        <v>0.82070601851851999</v>
      </c>
      <c r="I95" s="14">
        <v>43337</v>
      </c>
      <c r="J95" s="15">
        <v>0</v>
      </c>
      <c r="K95" s="13">
        <v>0</v>
      </c>
      <c r="L95" s="2" t="s">
        <v>64</v>
      </c>
      <c r="M95" s="2" t="s">
        <v>173</v>
      </c>
      <c r="N95" s="14">
        <v>43339</v>
      </c>
      <c r="O95" s="14">
        <v>43338</v>
      </c>
      <c r="P95" s="2" t="s">
        <v>78</v>
      </c>
      <c r="Q95" s="2" t="s">
        <v>331</v>
      </c>
      <c r="R95" s="2" t="s">
        <v>80</v>
      </c>
      <c r="S95" s="14">
        <v>43339</v>
      </c>
      <c r="U95" s="2" t="s">
        <v>162</v>
      </c>
      <c r="V95" s="2" t="s">
        <v>81</v>
      </c>
      <c r="W95" s="2" t="s">
        <v>70</v>
      </c>
      <c r="X95" s="13">
        <v>1162</v>
      </c>
      <c r="Y95" s="2" t="s">
        <v>71</v>
      </c>
      <c r="Z95" s="2" t="s">
        <v>72</v>
      </c>
      <c r="AA95" s="13">
        <v>5000</v>
      </c>
      <c r="AB95" s="2" t="s">
        <v>73</v>
      </c>
      <c r="AC95" s="2" t="s">
        <v>6772</v>
      </c>
      <c r="AD95" s="27"/>
      <c r="AL95" s="2" t="s">
        <v>6125</v>
      </c>
    </row>
    <row r="96" spans="1:38" hidden="1" x14ac:dyDescent="0.2">
      <c r="A96" s="2" t="s">
        <v>149</v>
      </c>
      <c r="B96" s="2" t="s">
        <v>332</v>
      </c>
      <c r="C96" s="2" t="s">
        <v>301</v>
      </c>
      <c r="D96" s="2" t="s">
        <v>302</v>
      </c>
      <c r="E96" s="13">
        <v>10247</v>
      </c>
      <c r="F96" s="13">
        <v>10247</v>
      </c>
      <c r="G96" s="14">
        <v>43337</v>
      </c>
      <c r="H96" s="15">
        <v>0.63255787037037003</v>
      </c>
      <c r="I96" s="14">
        <v>43337</v>
      </c>
      <c r="J96" s="15">
        <v>0.99998842592592996</v>
      </c>
      <c r="K96" s="13">
        <v>0</v>
      </c>
      <c r="L96" s="2" t="s">
        <v>64</v>
      </c>
      <c r="M96" s="2" t="s">
        <v>186</v>
      </c>
      <c r="N96" s="14">
        <v>43339</v>
      </c>
      <c r="O96" s="14">
        <v>43339</v>
      </c>
      <c r="P96" s="2" t="s">
        <v>78</v>
      </c>
      <c r="Q96" s="2" t="s">
        <v>98</v>
      </c>
      <c r="R96" s="2" t="s">
        <v>131</v>
      </c>
      <c r="S96" s="14"/>
      <c r="U96" s="2" t="s">
        <v>215</v>
      </c>
      <c r="V96" s="2" t="s">
        <v>69</v>
      </c>
      <c r="W96" s="2" t="s">
        <v>70</v>
      </c>
      <c r="X96" s="13">
        <v>0</v>
      </c>
      <c r="Y96" s="2" t="s">
        <v>71</v>
      </c>
      <c r="Z96" s="2" t="s">
        <v>72</v>
      </c>
      <c r="AA96" s="13">
        <v>10000</v>
      </c>
      <c r="AB96" s="2" t="s">
        <v>95</v>
      </c>
      <c r="AC96" s="2" t="s">
        <v>6772</v>
      </c>
      <c r="AD96" s="27"/>
      <c r="AL96" s="2" t="s">
        <v>7173</v>
      </c>
    </row>
    <row r="97" spans="1:38" hidden="1" x14ac:dyDescent="0.2">
      <c r="A97" s="2" t="s">
        <v>149</v>
      </c>
      <c r="B97" s="2" t="s">
        <v>334</v>
      </c>
      <c r="C97" s="2" t="s">
        <v>223</v>
      </c>
      <c r="D97" s="2" t="s">
        <v>224</v>
      </c>
      <c r="E97" s="13">
        <v>10000</v>
      </c>
      <c r="F97" s="13">
        <v>10000</v>
      </c>
      <c r="G97" s="14">
        <v>43337</v>
      </c>
      <c r="H97" s="15">
        <v>0.64142361111111001</v>
      </c>
      <c r="I97" s="14">
        <v>43338</v>
      </c>
      <c r="J97" s="15">
        <v>0</v>
      </c>
      <c r="K97" s="13">
        <v>0</v>
      </c>
      <c r="L97" s="2" t="s">
        <v>64</v>
      </c>
      <c r="M97" s="2" t="s">
        <v>181</v>
      </c>
      <c r="N97" s="14">
        <v>43340</v>
      </c>
      <c r="O97" s="14">
        <v>43339</v>
      </c>
      <c r="P97" s="2" t="s">
        <v>78</v>
      </c>
      <c r="Q97" s="2" t="s">
        <v>4232</v>
      </c>
      <c r="R97" s="2" t="s">
        <v>80</v>
      </c>
      <c r="S97" s="14">
        <v>43343</v>
      </c>
      <c r="U97" s="2" t="s">
        <v>168</v>
      </c>
      <c r="V97" s="2" t="s">
        <v>69</v>
      </c>
      <c r="W97" s="2" t="s">
        <v>70</v>
      </c>
      <c r="X97" s="13">
        <v>0</v>
      </c>
      <c r="Y97" s="2" t="s">
        <v>71</v>
      </c>
      <c r="Z97" s="2" t="s">
        <v>72</v>
      </c>
      <c r="AA97" s="13">
        <v>10000</v>
      </c>
      <c r="AB97" s="2" t="s">
        <v>95</v>
      </c>
      <c r="AC97" s="2" t="s">
        <v>6772</v>
      </c>
      <c r="AD97" s="27"/>
      <c r="AL97" s="2" t="s">
        <v>6126</v>
      </c>
    </row>
    <row r="98" spans="1:38" hidden="1" x14ac:dyDescent="0.2">
      <c r="A98" s="2" t="s">
        <v>149</v>
      </c>
      <c r="B98" s="2" t="s">
        <v>335</v>
      </c>
      <c r="C98" s="2" t="s">
        <v>336</v>
      </c>
      <c r="D98" s="2" t="s">
        <v>337</v>
      </c>
      <c r="E98" s="16">
        <v>5123.5</v>
      </c>
      <c r="F98" s="16">
        <v>5123.5</v>
      </c>
      <c r="G98" s="14">
        <v>43338</v>
      </c>
      <c r="H98" s="15">
        <v>0.81628472222222004</v>
      </c>
      <c r="I98" s="14">
        <v>43339</v>
      </c>
      <c r="J98" s="15">
        <v>0</v>
      </c>
      <c r="K98" s="13">
        <v>0</v>
      </c>
      <c r="L98" s="2" t="s">
        <v>64</v>
      </c>
      <c r="M98" s="2" t="s">
        <v>196</v>
      </c>
      <c r="N98" s="14">
        <v>43339</v>
      </c>
      <c r="O98" s="14">
        <v>43338</v>
      </c>
      <c r="P98" s="2" t="s">
        <v>66</v>
      </c>
      <c r="Q98" s="2" t="s">
        <v>338</v>
      </c>
      <c r="R98" s="2" t="s">
        <v>80</v>
      </c>
      <c r="S98" s="14">
        <v>43339</v>
      </c>
      <c r="U98" s="2" t="s">
        <v>339</v>
      </c>
      <c r="V98" s="2" t="s">
        <v>340</v>
      </c>
      <c r="W98" s="2" t="s">
        <v>70</v>
      </c>
      <c r="X98" s="13">
        <v>1162</v>
      </c>
      <c r="Y98" s="2" t="s">
        <v>71</v>
      </c>
      <c r="Z98" s="2" t="s">
        <v>72</v>
      </c>
      <c r="AA98" s="13">
        <v>5000</v>
      </c>
      <c r="AB98" s="2" t="s">
        <v>73</v>
      </c>
      <c r="AC98" s="2" t="s">
        <v>6773</v>
      </c>
      <c r="AD98" s="27"/>
      <c r="AL98" s="2" t="s">
        <v>7174</v>
      </c>
    </row>
    <row r="99" spans="1:38" hidden="1" x14ac:dyDescent="0.2">
      <c r="A99" s="2" t="s">
        <v>149</v>
      </c>
      <c r="B99" s="2" t="s">
        <v>341</v>
      </c>
      <c r="C99" s="2" t="s">
        <v>165</v>
      </c>
      <c r="D99" s="2" t="s">
        <v>166</v>
      </c>
      <c r="E99" s="13">
        <v>10256</v>
      </c>
      <c r="F99" s="13">
        <v>10256</v>
      </c>
      <c r="G99" s="14">
        <v>43340</v>
      </c>
      <c r="H99" s="15">
        <v>0.63223379629630005</v>
      </c>
      <c r="I99" s="14">
        <v>43340</v>
      </c>
      <c r="J99" s="15">
        <v>0.99998842592592996</v>
      </c>
      <c r="K99" s="13">
        <v>0</v>
      </c>
      <c r="L99" s="2" t="s">
        <v>64</v>
      </c>
      <c r="M99" s="2" t="s">
        <v>167</v>
      </c>
      <c r="N99" s="14">
        <v>43342</v>
      </c>
      <c r="O99" s="14">
        <v>43342</v>
      </c>
      <c r="P99" s="2" t="s">
        <v>160</v>
      </c>
      <c r="Q99" s="2" t="s">
        <v>98</v>
      </c>
      <c r="R99" s="2" t="s">
        <v>131</v>
      </c>
      <c r="S99" s="14"/>
      <c r="U99" s="2" t="s">
        <v>168</v>
      </c>
      <c r="V99" s="2" t="s">
        <v>163</v>
      </c>
      <c r="W99" s="2" t="s">
        <v>70</v>
      </c>
      <c r="X99" s="13">
        <v>0</v>
      </c>
      <c r="Y99" s="2" t="s">
        <v>71</v>
      </c>
      <c r="Z99" s="2" t="s">
        <v>72</v>
      </c>
      <c r="AA99" s="13">
        <v>10000</v>
      </c>
      <c r="AB99" s="2" t="s">
        <v>95</v>
      </c>
      <c r="AC99" s="2" t="s">
        <v>6772</v>
      </c>
      <c r="AD99" s="27"/>
      <c r="AL99" s="2" t="s">
        <v>6127</v>
      </c>
    </row>
    <row r="100" spans="1:38" hidden="1" x14ac:dyDescent="0.2">
      <c r="A100" s="2" t="s">
        <v>149</v>
      </c>
      <c r="B100" s="2" t="s">
        <v>313</v>
      </c>
      <c r="C100" s="2" t="s">
        <v>262</v>
      </c>
      <c r="D100" s="2" t="s">
        <v>263</v>
      </c>
      <c r="E100" s="16">
        <v>5123.5</v>
      </c>
      <c r="F100" s="16">
        <v>5123.5</v>
      </c>
      <c r="G100" s="14">
        <v>43341</v>
      </c>
      <c r="H100" s="15">
        <v>0.125</v>
      </c>
      <c r="I100" s="14">
        <v>43341</v>
      </c>
      <c r="J100" s="15">
        <v>0.30871527777778002</v>
      </c>
      <c r="K100" s="13">
        <v>20</v>
      </c>
      <c r="L100" s="2" t="s">
        <v>64</v>
      </c>
      <c r="M100" s="2" t="s">
        <v>196</v>
      </c>
      <c r="N100" s="14">
        <v>43354</v>
      </c>
      <c r="O100" s="14">
        <v>43343</v>
      </c>
      <c r="P100" s="2" t="s">
        <v>78</v>
      </c>
      <c r="Q100" s="2" t="s">
        <v>314</v>
      </c>
      <c r="R100" s="2" t="s">
        <v>80</v>
      </c>
      <c r="S100" s="14">
        <v>43354</v>
      </c>
      <c r="U100" s="2" t="s">
        <v>210</v>
      </c>
      <c r="V100" s="2" t="s">
        <v>69</v>
      </c>
      <c r="W100" s="2" t="s">
        <v>70</v>
      </c>
      <c r="X100" s="13">
        <v>1162</v>
      </c>
      <c r="Y100" s="2" t="s">
        <v>71</v>
      </c>
      <c r="Z100" s="2" t="s">
        <v>72</v>
      </c>
      <c r="AA100" s="13">
        <v>5000</v>
      </c>
      <c r="AB100" s="2" t="s">
        <v>73</v>
      </c>
      <c r="AC100" s="2" t="s">
        <v>6773</v>
      </c>
      <c r="AD100" s="27"/>
      <c r="AL100" s="2" t="s">
        <v>6128</v>
      </c>
    </row>
    <row r="101" spans="1:38" hidden="1" x14ac:dyDescent="0.2">
      <c r="A101" s="2" t="s">
        <v>149</v>
      </c>
      <c r="B101" s="2" t="s">
        <v>342</v>
      </c>
      <c r="C101" s="2" t="s">
        <v>223</v>
      </c>
      <c r="D101" s="2" t="s">
        <v>224</v>
      </c>
      <c r="E101" s="13">
        <v>10000</v>
      </c>
      <c r="F101" s="13">
        <v>10000</v>
      </c>
      <c r="G101" s="14">
        <v>43341</v>
      </c>
      <c r="H101" s="15">
        <v>0.64142361111111001</v>
      </c>
      <c r="I101" s="14">
        <v>43342</v>
      </c>
      <c r="J101" s="15">
        <v>0</v>
      </c>
      <c r="K101" s="13">
        <v>0</v>
      </c>
      <c r="L101" s="2" t="s">
        <v>64</v>
      </c>
      <c r="M101" s="2" t="s">
        <v>181</v>
      </c>
      <c r="N101" s="14"/>
      <c r="O101" s="14">
        <v>43343</v>
      </c>
      <c r="P101" s="2" t="s">
        <v>78</v>
      </c>
      <c r="Q101" s="2" t="s">
        <v>6906</v>
      </c>
      <c r="R101" s="2" t="s">
        <v>80</v>
      </c>
      <c r="S101" s="14">
        <v>43368</v>
      </c>
      <c r="U101" s="2" t="s">
        <v>168</v>
      </c>
      <c r="V101" s="2" t="s">
        <v>69</v>
      </c>
      <c r="W101" s="2" t="s">
        <v>70</v>
      </c>
      <c r="X101" s="13">
        <v>0</v>
      </c>
      <c r="Y101" s="2" t="s">
        <v>71</v>
      </c>
      <c r="Z101" s="2" t="s">
        <v>72</v>
      </c>
      <c r="AA101" s="13">
        <v>10000</v>
      </c>
      <c r="AB101" s="2" t="s">
        <v>95</v>
      </c>
      <c r="AC101" s="2" t="s">
        <v>6772</v>
      </c>
      <c r="AD101" s="27"/>
      <c r="AL101" s="2" t="s">
        <v>6129</v>
      </c>
    </row>
    <row r="102" spans="1:38" hidden="1" x14ac:dyDescent="0.2">
      <c r="A102" s="2" t="s">
        <v>149</v>
      </c>
      <c r="B102" s="2" t="s">
        <v>343</v>
      </c>
      <c r="C102" s="2" t="s">
        <v>301</v>
      </c>
      <c r="D102" s="2" t="s">
        <v>302</v>
      </c>
      <c r="E102" s="13">
        <v>20494</v>
      </c>
      <c r="F102" s="13">
        <v>20494</v>
      </c>
      <c r="G102" s="14">
        <v>43342</v>
      </c>
      <c r="H102" s="15">
        <v>0.26511574074074001</v>
      </c>
      <c r="I102" s="14">
        <v>43342</v>
      </c>
      <c r="J102" s="15">
        <v>0.99998842592592996</v>
      </c>
      <c r="K102" s="13">
        <v>0</v>
      </c>
      <c r="L102" s="2" t="s">
        <v>64</v>
      </c>
      <c r="M102" s="2" t="s">
        <v>159</v>
      </c>
      <c r="N102" s="14">
        <v>43344</v>
      </c>
      <c r="O102" s="14">
        <v>43344</v>
      </c>
      <c r="P102" s="2" t="s">
        <v>78</v>
      </c>
      <c r="Q102" s="2" t="s">
        <v>344</v>
      </c>
      <c r="R102" s="2" t="s">
        <v>80</v>
      </c>
      <c r="S102" s="14">
        <v>43346</v>
      </c>
      <c r="U102" s="2" t="s">
        <v>215</v>
      </c>
      <c r="V102" s="2" t="s">
        <v>69</v>
      </c>
      <c r="W102" s="2" t="s">
        <v>70</v>
      </c>
      <c r="X102" s="13">
        <v>0</v>
      </c>
      <c r="Y102" s="2" t="s">
        <v>71</v>
      </c>
      <c r="Z102" s="2" t="s">
        <v>72</v>
      </c>
      <c r="AA102" s="13">
        <v>20000</v>
      </c>
      <c r="AB102" s="2" t="s">
        <v>95</v>
      </c>
      <c r="AC102" s="2" t="s">
        <v>6772</v>
      </c>
      <c r="AD102" s="27"/>
      <c r="AL102" s="2" t="s">
        <v>7175</v>
      </c>
    </row>
    <row r="103" spans="1:38" hidden="1" x14ac:dyDescent="0.2">
      <c r="A103" s="2" t="s">
        <v>149</v>
      </c>
      <c r="B103" s="2" t="s">
        <v>345</v>
      </c>
      <c r="C103" s="2" t="s">
        <v>301</v>
      </c>
      <c r="D103" s="2" t="s">
        <v>302</v>
      </c>
      <c r="E103" s="13">
        <v>10247</v>
      </c>
      <c r="F103" s="13">
        <v>10247</v>
      </c>
      <c r="G103" s="14">
        <v>43343</v>
      </c>
      <c r="H103" s="15">
        <v>0.83208333333332996</v>
      </c>
      <c r="I103" s="14">
        <v>43344</v>
      </c>
      <c r="J103" s="15">
        <v>0.19951388888888999</v>
      </c>
      <c r="K103" s="13">
        <v>0</v>
      </c>
      <c r="L103" s="2" t="s">
        <v>64</v>
      </c>
      <c r="M103" s="2" t="s">
        <v>186</v>
      </c>
      <c r="N103" s="14">
        <v>43346</v>
      </c>
      <c r="O103" s="14">
        <v>43346</v>
      </c>
      <c r="P103" s="2" t="s">
        <v>78</v>
      </c>
      <c r="Q103" s="2" t="s">
        <v>4233</v>
      </c>
      <c r="R103" s="2" t="s">
        <v>80</v>
      </c>
      <c r="S103" s="14">
        <v>43361</v>
      </c>
      <c r="U103" s="2" t="s">
        <v>215</v>
      </c>
      <c r="V103" s="2" t="s">
        <v>69</v>
      </c>
      <c r="W103" s="2" t="s">
        <v>70</v>
      </c>
      <c r="X103" s="13">
        <v>0</v>
      </c>
      <c r="Y103" s="2" t="s">
        <v>71</v>
      </c>
      <c r="Z103" s="2" t="s">
        <v>72</v>
      </c>
      <c r="AA103" s="13">
        <v>10000</v>
      </c>
      <c r="AB103" s="2" t="s">
        <v>95</v>
      </c>
      <c r="AC103" s="2" t="s">
        <v>6772</v>
      </c>
      <c r="AD103" s="27"/>
      <c r="AL103" s="2" t="s">
        <v>7176</v>
      </c>
    </row>
    <row r="104" spans="1:38" hidden="1" x14ac:dyDescent="0.2">
      <c r="A104" s="2" t="s">
        <v>149</v>
      </c>
      <c r="B104" s="2" t="s">
        <v>346</v>
      </c>
      <c r="C104" s="2" t="s">
        <v>347</v>
      </c>
      <c r="D104" s="2" t="s">
        <v>348</v>
      </c>
      <c r="E104" s="13">
        <v>20000</v>
      </c>
      <c r="F104" s="13">
        <v>20000</v>
      </c>
      <c r="G104" s="14">
        <v>43344</v>
      </c>
      <c r="H104" s="15">
        <v>0.28284722222221997</v>
      </c>
      <c r="I104" s="14">
        <v>43345</v>
      </c>
      <c r="J104" s="15">
        <v>0</v>
      </c>
      <c r="K104" s="13">
        <v>0</v>
      </c>
      <c r="L104" s="2" t="s">
        <v>64</v>
      </c>
      <c r="M104" s="2" t="s">
        <v>190</v>
      </c>
      <c r="N104" s="14">
        <v>43371</v>
      </c>
      <c r="O104" s="14">
        <v>43353</v>
      </c>
      <c r="P104" s="2" t="s">
        <v>160</v>
      </c>
      <c r="Q104" s="2" t="s">
        <v>349</v>
      </c>
      <c r="R104" s="2" t="s">
        <v>80</v>
      </c>
      <c r="S104" s="14">
        <v>43371</v>
      </c>
      <c r="U104" s="2" t="s">
        <v>94</v>
      </c>
      <c r="V104" s="2" t="s">
        <v>350</v>
      </c>
      <c r="W104" s="2" t="s">
        <v>70</v>
      </c>
      <c r="X104" s="13">
        <v>1162</v>
      </c>
      <c r="Y104" s="2" t="s">
        <v>71</v>
      </c>
      <c r="Z104" s="2" t="s">
        <v>72</v>
      </c>
      <c r="AA104" s="13">
        <v>20000</v>
      </c>
      <c r="AB104" s="2" t="s">
        <v>73</v>
      </c>
      <c r="AC104" s="2" t="s">
        <v>6773</v>
      </c>
      <c r="AD104" s="27"/>
      <c r="AL104" s="2" t="s">
        <v>6130</v>
      </c>
    </row>
    <row r="105" spans="1:38" hidden="1" x14ac:dyDescent="0.2">
      <c r="A105" s="2" t="s">
        <v>149</v>
      </c>
      <c r="B105" s="2" t="s">
        <v>4234</v>
      </c>
      <c r="C105" s="2" t="s">
        <v>258</v>
      </c>
      <c r="D105" s="2" t="s">
        <v>259</v>
      </c>
      <c r="E105" s="13">
        <v>10247</v>
      </c>
      <c r="F105" s="13">
        <v>10247</v>
      </c>
      <c r="G105" s="14">
        <v>43344</v>
      </c>
      <c r="H105" s="15">
        <v>0.63255787037037003</v>
      </c>
      <c r="I105" s="14">
        <v>43344</v>
      </c>
      <c r="J105" s="15">
        <v>0.99998842592592996</v>
      </c>
      <c r="K105" s="13">
        <v>0</v>
      </c>
      <c r="L105" s="2" t="s">
        <v>64</v>
      </c>
      <c r="M105" s="2" t="s">
        <v>186</v>
      </c>
      <c r="N105" s="14">
        <v>43346</v>
      </c>
      <c r="O105" s="14">
        <v>43346</v>
      </c>
      <c r="P105" s="2" t="s">
        <v>160</v>
      </c>
      <c r="Q105" s="2" t="s">
        <v>6907</v>
      </c>
      <c r="R105" s="2" t="s">
        <v>80</v>
      </c>
      <c r="S105" s="14">
        <v>43347</v>
      </c>
      <c r="U105" s="2" t="s">
        <v>235</v>
      </c>
      <c r="V105" s="2" t="s">
        <v>179</v>
      </c>
      <c r="W105" s="2" t="s">
        <v>70</v>
      </c>
      <c r="X105" s="13">
        <v>0</v>
      </c>
      <c r="Y105" s="2" t="s">
        <v>71</v>
      </c>
      <c r="Z105" s="2" t="s">
        <v>72</v>
      </c>
      <c r="AA105" s="13">
        <v>10000</v>
      </c>
      <c r="AB105" s="2" t="s">
        <v>95</v>
      </c>
      <c r="AC105" s="2" t="s">
        <v>6772</v>
      </c>
      <c r="AD105" s="27"/>
      <c r="AL105" s="2" t="s">
        <v>6131</v>
      </c>
    </row>
    <row r="106" spans="1:38" hidden="1" x14ac:dyDescent="0.2">
      <c r="A106" s="2" t="s">
        <v>149</v>
      </c>
      <c r="B106" s="2" t="s">
        <v>351</v>
      </c>
      <c r="C106" s="2" t="s">
        <v>171</v>
      </c>
      <c r="D106" s="2" t="s">
        <v>172</v>
      </c>
      <c r="E106" s="13">
        <v>5000</v>
      </c>
      <c r="F106" s="13">
        <v>5000</v>
      </c>
      <c r="G106" s="14">
        <v>43344</v>
      </c>
      <c r="H106" s="15">
        <v>0.82070601851851999</v>
      </c>
      <c r="I106" s="14">
        <v>43345</v>
      </c>
      <c r="J106" s="15">
        <v>0</v>
      </c>
      <c r="K106" s="13">
        <v>0</v>
      </c>
      <c r="L106" s="2" t="s">
        <v>64</v>
      </c>
      <c r="M106" s="2" t="s">
        <v>173</v>
      </c>
      <c r="N106" s="14">
        <v>43347</v>
      </c>
      <c r="O106" s="14">
        <v>43346</v>
      </c>
      <c r="P106" s="2" t="s">
        <v>78</v>
      </c>
      <c r="Q106" s="2" t="s">
        <v>352</v>
      </c>
      <c r="R106" s="2" t="s">
        <v>80</v>
      </c>
      <c r="S106" s="14">
        <v>43347</v>
      </c>
      <c r="U106" s="2" t="s">
        <v>162</v>
      </c>
      <c r="V106" s="2" t="s">
        <v>81</v>
      </c>
      <c r="W106" s="2" t="s">
        <v>70</v>
      </c>
      <c r="X106" s="13">
        <v>1162</v>
      </c>
      <c r="Y106" s="2" t="s">
        <v>71</v>
      </c>
      <c r="Z106" s="2" t="s">
        <v>72</v>
      </c>
      <c r="AA106" s="13">
        <v>5000</v>
      </c>
      <c r="AB106" s="2" t="s">
        <v>73</v>
      </c>
      <c r="AC106" s="2" t="s">
        <v>6772</v>
      </c>
      <c r="AD106" s="27"/>
      <c r="AL106" s="2" t="s">
        <v>6132</v>
      </c>
    </row>
    <row r="107" spans="1:38" hidden="1" x14ac:dyDescent="0.2">
      <c r="A107" s="2" t="s">
        <v>149</v>
      </c>
      <c r="B107" s="2" t="s">
        <v>4235</v>
      </c>
      <c r="C107" s="2" t="s">
        <v>151</v>
      </c>
      <c r="D107" s="2" t="s">
        <v>152</v>
      </c>
      <c r="E107" s="13">
        <v>10247</v>
      </c>
      <c r="F107" s="13">
        <v>10247</v>
      </c>
      <c r="G107" s="14">
        <v>43347</v>
      </c>
      <c r="H107" s="15">
        <v>0.77952546296295999</v>
      </c>
      <c r="I107" s="14">
        <v>43348</v>
      </c>
      <c r="J107" s="15">
        <v>0.14695601851852</v>
      </c>
      <c r="K107" s="13">
        <v>0</v>
      </c>
      <c r="L107" s="2" t="s">
        <v>64</v>
      </c>
      <c r="M107" s="2" t="s">
        <v>186</v>
      </c>
      <c r="N107" s="14">
        <v>43350</v>
      </c>
      <c r="O107" s="14">
        <v>43350</v>
      </c>
      <c r="P107" s="2" t="s">
        <v>153</v>
      </c>
      <c r="Q107" s="2" t="s">
        <v>6908</v>
      </c>
      <c r="R107" s="2" t="s">
        <v>80</v>
      </c>
      <c r="S107" s="14">
        <v>43360</v>
      </c>
      <c r="U107" s="2" t="s">
        <v>154</v>
      </c>
      <c r="V107" s="2" t="s">
        <v>155</v>
      </c>
      <c r="W107" s="2" t="s">
        <v>70</v>
      </c>
      <c r="X107" s="13">
        <v>0</v>
      </c>
      <c r="Y107" s="2" t="s">
        <v>71</v>
      </c>
      <c r="Z107" s="2" t="s">
        <v>72</v>
      </c>
      <c r="AA107" s="13">
        <v>10000</v>
      </c>
      <c r="AB107" s="2" t="s">
        <v>95</v>
      </c>
      <c r="AC107" s="2" t="s">
        <v>6772</v>
      </c>
      <c r="AD107" s="27"/>
      <c r="AL107" s="2" t="s">
        <v>6133</v>
      </c>
    </row>
    <row r="108" spans="1:38" hidden="1" x14ac:dyDescent="0.2">
      <c r="A108" s="2" t="s">
        <v>149</v>
      </c>
      <c r="B108" s="2" t="s">
        <v>353</v>
      </c>
      <c r="C108" s="2" t="s">
        <v>171</v>
      </c>
      <c r="D108" s="2" t="s">
        <v>172</v>
      </c>
      <c r="E108" s="13">
        <v>5000</v>
      </c>
      <c r="F108" s="13">
        <v>5000</v>
      </c>
      <c r="G108" s="14">
        <v>43354</v>
      </c>
      <c r="H108" s="15">
        <v>0.82070601851851999</v>
      </c>
      <c r="I108" s="14">
        <v>43355</v>
      </c>
      <c r="J108" s="15">
        <v>0</v>
      </c>
      <c r="K108" s="13">
        <v>0</v>
      </c>
      <c r="L108" s="2" t="s">
        <v>64</v>
      </c>
      <c r="M108" s="2" t="s">
        <v>173</v>
      </c>
      <c r="N108" s="14">
        <v>43357</v>
      </c>
      <c r="O108" s="14">
        <v>43356</v>
      </c>
      <c r="P108" s="2" t="s">
        <v>78</v>
      </c>
      <c r="Q108" s="2" t="s">
        <v>354</v>
      </c>
      <c r="R108" s="2" t="s">
        <v>80</v>
      </c>
      <c r="S108" s="14">
        <v>43357</v>
      </c>
      <c r="U108" s="2" t="s">
        <v>162</v>
      </c>
      <c r="V108" s="2" t="s">
        <v>81</v>
      </c>
      <c r="W108" s="2" t="s">
        <v>70</v>
      </c>
      <c r="X108" s="13">
        <v>1162</v>
      </c>
      <c r="Y108" s="2" t="s">
        <v>71</v>
      </c>
      <c r="Z108" s="2" t="s">
        <v>72</v>
      </c>
      <c r="AA108" s="13">
        <v>5000</v>
      </c>
      <c r="AB108" s="2" t="s">
        <v>73</v>
      </c>
      <c r="AC108" s="2" t="s">
        <v>6772</v>
      </c>
      <c r="AD108" s="27"/>
      <c r="AL108" s="2" t="s">
        <v>6134</v>
      </c>
    </row>
    <row r="109" spans="1:38" hidden="1" x14ac:dyDescent="0.2">
      <c r="A109" s="2" t="s">
        <v>149</v>
      </c>
      <c r="B109" s="2" t="s">
        <v>4236</v>
      </c>
      <c r="C109" s="2" t="s">
        <v>301</v>
      </c>
      <c r="D109" s="2" t="s">
        <v>302</v>
      </c>
      <c r="E109" s="13">
        <v>20494</v>
      </c>
      <c r="F109" s="13">
        <v>20494</v>
      </c>
      <c r="G109" s="14">
        <v>43358</v>
      </c>
      <c r="H109" s="15">
        <v>0.26511574074074001</v>
      </c>
      <c r="I109" s="14">
        <v>43358</v>
      </c>
      <c r="J109" s="15">
        <v>0.99998842592592996</v>
      </c>
      <c r="K109" s="13">
        <v>0</v>
      </c>
      <c r="L109" s="2" t="s">
        <v>64</v>
      </c>
      <c r="M109" s="2" t="s">
        <v>159</v>
      </c>
      <c r="N109" s="14">
        <v>43360</v>
      </c>
      <c r="O109" s="14">
        <v>43360</v>
      </c>
      <c r="P109" s="2" t="s">
        <v>78</v>
      </c>
      <c r="Q109" s="2" t="s">
        <v>6909</v>
      </c>
      <c r="R109" s="2" t="s">
        <v>80</v>
      </c>
      <c r="S109" s="14">
        <v>43365</v>
      </c>
      <c r="U109" s="2" t="s">
        <v>215</v>
      </c>
      <c r="V109" s="2" t="s">
        <v>69</v>
      </c>
      <c r="W109" s="2" t="s">
        <v>70</v>
      </c>
      <c r="X109" s="13">
        <v>0</v>
      </c>
      <c r="Y109" s="2" t="s">
        <v>71</v>
      </c>
      <c r="Z109" s="2" t="s">
        <v>72</v>
      </c>
      <c r="AA109" s="13">
        <v>20000</v>
      </c>
      <c r="AB109" s="2" t="s">
        <v>95</v>
      </c>
      <c r="AC109" s="2" t="s">
        <v>6772</v>
      </c>
      <c r="AD109" s="27"/>
      <c r="AL109" s="2" t="s">
        <v>7177</v>
      </c>
    </row>
    <row r="110" spans="1:38" hidden="1" x14ac:dyDescent="0.2">
      <c r="A110" s="2" t="s">
        <v>149</v>
      </c>
      <c r="B110" s="2" t="s">
        <v>4081</v>
      </c>
      <c r="C110" s="2" t="s">
        <v>1023</v>
      </c>
      <c r="D110" s="2" t="s">
        <v>1024</v>
      </c>
      <c r="E110" s="13">
        <v>10256</v>
      </c>
      <c r="F110" s="13">
        <v>10256</v>
      </c>
      <c r="G110" s="14">
        <v>43358</v>
      </c>
      <c r="H110" s="15">
        <v>0.63224537037036999</v>
      </c>
      <c r="I110" s="14">
        <v>43359</v>
      </c>
      <c r="J110" s="15">
        <v>0</v>
      </c>
      <c r="K110" s="13">
        <v>20</v>
      </c>
      <c r="L110" s="2" t="s">
        <v>64</v>
      </c>
      <c r="M110" s="2" t="s">
        <v>167</v>
      </c>
      <c r="N110" s="14">
        <v>43361</v>
      </c>
      <c r="O110" s="14">
        <v>43360</v>
      </c>
      <c r="P110" s="2" t="s">
        <v>160</v>
      </c>
      <c r="Q110" s="2" t="s">
        <v>4082</v>
      </c>
      <c r="R110" s="2" t="s">
        <v>80</v>
      </c>
      <c r="S110" s="14">
        <v>43361</v>
      </c>
      <c r="U110" s="2" t="s">
        <v>1025</v>
      </c>
      <c r="V110" s="2" t="s">
        <v>155</v>
      </c>
      <c r="W110" s="2" t="s">
        <v>70</v>
      </c>
      <c r="X110" s="13">
        <v>1162</v>
      </c>
      <c r="Y110" s="2" t="s">
        <v>71</v>
      </c>
      <c r="Z110" s="2" t="s">
        <v>72</v>
      </c>
      <c r="AA110" s="13">
        <v>10000</v>
      </c>
      <c r="AB110" s="2" t="s">
        <v>73</v>
      </c>
      <c r="AC110" s="2" t="s">
        <v>6773</v>
      </c>
      <c r="AD110" s="27"/>
      <c r="AL110" s="2" t="s">
        <v>6135</v>
      </c>
    </row>
    <row r="111" spans="1:38" hidden="1" x14ac:dyDescent="0.2">
      <c r="A111" s="2" t="s">
        <v>149</v>
      </c>
      <c r="B111" s="2" t="s">
        <v>355</v>
      </c>
      <c r="C111" s="2" t="s">
        <v>201</v>
      </c>
      <c r="D111" s="2" t="s">
        <v>202</v>
      </c>
      <c r="E111" s="13">
        <v>10000</v>
      </c>
      <c r="F111" s="13">
        <v>10000</v>
      </c>
      <c r="G111" s="14">
        <v>43361</v>
      </c>
      <c r="H111" s="15">
        <v>0.64142361111111001</v>
      </c>
      <c r="I111" s="14">
        <v>43362</v>
      </c>
      <c r="J111" s="15">
        <v>0</v>
      </c>
      <c r="K111" s="13">
        <v>20</v>
      </c>
      <c r="L111" s="2" t="s">
        <v>64</v>
      </c>
      <c r="M111" s="2" t="s">
        <v>181</v>
      </c>
      <c r="N111" s="14">
        <v>43364</v>
      </c>
      <c r="O111" s="14">
        <v>43363</v>
      </c>
      <c r="P111" s="2" t="s">
        <v>160</v>
      </c>
      <c r="Q111" s="2" t="s">
        <v>356</v>
      </c>
      <c r="R111" s="2" t="s">
        <v>80</v>
      </c>
      <c r="S111" s="14">
        <v>43364</v>
      </c>
      <c r="U111" s="2" t="s">
        <v>204</v>
      </c>
      <c r="V111" s="2" t="s">
        <v>179</v>
      </c>
      <c r="W111" s="2" t="s">
        <v>70</v>
      </c>
      <c r="X111" s="13">
        <v>1162</v>
      </c>
      <c r="Y111" s="2" t="s">
        <v>71</v>
      </c>
      <c r="Z111" s="2" t="s">
        <v>72</v>
      </c>
      <c r="AA111" s="13">
        <v>10000</v>
      </c>
      <c r="AB111" s="2" t="s">
        <v>73</v>
      </c>
      <c r="AC111" s="2" t="s">
        <v>6773</v>
      </c>
      <c r="AD111" s="27"/>
      <c r="AL111" s="2" t="s">
        <v>6136</v>
      </c>
    </row>
    <row r="112" spans="1:38" hidden="1" x14ac:dyDescent="0.2">
      <c r="A112" s="2" t="s">
        <v>149</v>
      </c>
      <c r="B112" s="2" t="s">
        <v>357</v>
      </c>
      <c r="C112" s="2" t="s">
        <v>188</v>
      </c>
      <c r="D112" s="2" t="s">
        <v>189</v>
      </c>
      <c r="E112" s="13">
        <v>20512</v>
      </c>
      <c r="F112" s="13">
        <v>20512</v>
      </c>
      <c r="G112" s="14">
        <v>43365</v>
      </c>
      <c r="H112" s="15">
        <v>0.26447916666666998</v>
      </c>
      <c r="I112" s="14">
        <v>43365</v>
      </c>
      <c r="J112" s="15">
        <v>0.99998842592592996</v>
      </c>
      <c r="K112" s="13">
        <v>0</v>
      </c>
      <c r="L112" s="2" t="s">
        <v>64</v>
      </c>
      <c r="M112" s="2" t="s">
        <v>269</v>
      </c>
      <c r="N112" s="14">
        <v>43367</v>
      </c>
      <c r="O112" s="14">
        <v>43367</v>
      </c>
      <c r="P112" s="2" t="s">
        <v>191</v>
      </c>
      <c r="Q112" s="2" t="s">
        <v>4237</v>
      </c>
      <c r="R112" s="2" t="s">
        <v>80</v>
      </c>
      <c r="S112" s="14">
        <v>43368</v>
      </c>
      <c r="U112" s="2" t="s">
        <v>168</v>
      </c>
      <c r="V112" s="2" t="s">
        <v>192</v>
      </c>
      <c r="W112" s="2" t="s">
        <v>70</v>
      </c>
      <c r="X112" s="13">
        <v>0</v>
      </c>
      <c r="Y112" s="2" t="s">
        <v>71</v>
      </c>
      <c r="Z112" s="2" t="s">
        <v>72</v>
      </c>
      <c r="AA112" s="13">
        <v>20000</v>
      </c>
      <c r="AB112" s="2" t="s">
        <v>95</v>
      </c>
      <c r="AC112" s="2" t="s">
        <v>6772</v>
      </c>
      <c r="AD112" s="27"/>
      <c r="AL112" s="2" t="s">
        <v>6137</v>
      </c>
    </row>
    <row r="113" spans="1:38" hidden="1" x14ac:dyDescent="0.2">
      <c r="A113" s="2" t="s">
        <v>149</v>
      </c>
      <c r="B113" s="2" t="s">
        <v>358</v>
      </c>
      <c r="C113" s="2" t="s">
        <v>171</v>
      </c>
      <c r="D113" s="2" t="s">
        <v>172</v>
      </c>
      <c r="E113" s="13">
        <v>5000</v>
      </c>
      <c r="F113" s="13">
        <v>5000</v>
      </c>
      <c r="G113" s="14">
        <v>43365</v>
      </c>
      <c r="H113" s="15">
        <v>0.82070601851851999</v>
      </c>
      <c r="I113" s="14">
        <v>43366</v>
      </c>
      <c r="J113" s="15">
        <v>0</v>
      </c>
      <c r="K113" s="13">
        <v>0</v>
      </c>
      <c r="L113" s="2" t="s">
        <v>64</v>
      </c>
      <c r="M113" s="2" t="s">
        <v>173</v>
      </c>
      <c r="N113" s="14">
        <v>43368</v>
      </c>
      <c r="O113" s="14">
        <v>43367</v>
      </c>
      <c r="P113" s="2" t="s">
        <v>78</v>
      </c>
      <c r="Q113" s="2" t="s">
        <v>359</v>
      </c>
      <c r="R113" s="2" t="s">
        <v>80</v>
      </c>
      <c r="S113" s="14">
        <v>43368</v>
      </c>
      <c r="U113" s="2" t="s">
        <v>162</v>
      </c>
      <c r="V113" s="2" t="s">
        <v>81</v>
      </c>
      <c r="W113" s="2" t="s">
        <v>70</v>
      </c>
      <c r="X113" s="13">
        <v>1162</v>
      </c>
      <c r="Y113" s="2" t="s">
        <v>71</v>
      </c>
      <c r="Z113" s="2" t="s">
        <v>72</v>
      </c>
      <c r="AA113" s="13">
        <v>5000</v>
      </c>
      <c r="AB113" s="2" t="s">
        <v>73</v>
      </c>
      <c r="AC113" s="2" t="s">
        <v>6772</v>
      </c>
      <c r="AD113" s="27"/>
      <c r="AL113" s="2" t="s">
        <v>6138</v>
      </c>
    </row>
    <row r="114" spans="1:38" hidden="1" x14ac:dyDescent="0.2">
      <c r="A114" s="2" t="s">
        <v>149</v>
      </c>
      <c r="B114" s="2" t="s">
        <v>4238</v>
      </c>
      <c r="C114" s="2" t="s">
        <v>165</v>
      </c>
      <c r="D114" s="2" t="s">
        <v>166</v>
      </c>
      <c r="E114" s="13">
        <v>20512</v>
      </c>
      <c r="F114" s="13">
        <v>20512</v>
      </c>
      <c r="G114" s="14">
        <v>43370</v>
      </c>
      <c r="H114" s="15">
        <v>0.44563657407406998</v>
      </c>
      <c r="I114" s="14">
        <v>43371</v>
      </c>
      <c r="J114" s="15">
        <v>0.18114583333333001</v>
      </c>
      <c r="K114" s="13">
        <v>0</v>
      </c>
      <c r="L114" s="2" t="s">
        <v>64</v>
      </c>
      <c r="M114" s="2" t="s">
        <v>269</v>
      </c>
      <c r="N114" s="14">
        <v>43373</v>
      </c>
      <c r="O114" s="14">
        <v>43373</v>
      </c>
      <c r="P114" s="2" t="s">
        <v>160</v>
      </c>
      <c r="Q114" s="2" t="s">
        <v>98</v>
      </c>
      <c r="R114" s="2" t="s">
        <v>131</v>
      </c>
      <c r="S114" s="14"/>
      <c r="U114" s="2" t="s">
        <v>168</v>
      </c>
      <c r="V114" s="2" t="s">
        <v>163</v>
      </c>
      <c r="W114" s="2" t="s">
        <v>70</v>
      </c>
      <c r="X114" s="13">
        <v>0</v>
      </c>
      <c r="Y114" s="2" t="s">
        <v>71</v>
      </c>
      <c r="Z114" s="2" t="s">
        <v>72</v>
      </c>
      <c r="AA114" s="13">
        <v>20000</v>
      </c>
      <c r="AB114" s="2" t="s">
        <v>95</v>
      </c>
      <c r="AC114" s="2" t="s">
        <v>6772</v>
      </c>
      <c r="AD114" s="27"/>
      <c r="AL114" s="2" t="s">
        <v>6139</v>
      </c>
    </row>
    <row r="115" spans="1:38" hidden="1" x14ac:dyDescent="0.2">
      <c r="A115" s="2" t="s">
        <v>149</v>
      </c>
      <c r="B115" s="2" t="s">
        <v>360</v>
      </c>
      <c r="C115" s="2" t="s">
        <v>188</v>
      </c>
      <c r="D115" s="2" t="s">
        <v>189</v>
      </c>
      <c r="E115" s="13">
        <v>20512</v>
      </c>
      <c r="F115" s="13">
        <v>20512</v>
      </c>
      <c r="G115" s="14">
        <v>43371</v>
      </c>
      <c r="H115" s="15">
        <v>0.26447916666666998</v>
      </c>
      <c r="I115" s="14">
        <v>43371</v>
      </c>
      <c r="J115" s="15">
        <v>0.99998842592592996</v>
      </c>
      <c r="K115" s="13">
        <v>0</v>
      </c>
      <c r="L115" s="2" t="s">
        <v>64</v>
      </c>
      <c r="M115" s="2" t="s">
        <v>269</v>
      </c>
      <c r="N115" s="14">
        <v>43373</v>
      </c>
      <c r="O115" s="14">
        <v>43373</v>
      </c>
      <c r="P115" s="2" t="s">
        <v>191</v>
      </c>
      <c r="Q115" s="2" t="s">
        <v>98</v>
      </c>
      <c r="R115" s="2" t="s">
        <v>131</v>
      </c>
      <c r="S115" s="14"/>
      <c r="U115" s="2" t="s">
        <v>168</v>
      </c>
      <c r="V115" s="2" t="s">
        <v>192</v>
      </c>
      <c r="W115" s="2" t="s">
        <v>70</v>
      </c>
      <c r="X115" s="13">
        <v>0</v>
      </c>
      <c r="Y115" s="2" t="s">
        <v>71</v>
      </c>
      <c r="Z115" s="2" t="s">
        <v>72</v>
      </c>
      <c r="AA115" s="13">
        <v>20000</v>
      </c>
      <c r="AB115" s="2" t="s">
        <v>95</v>
      </c>
      <c r="AC115" s="2" t="s">
        <v>6772</v>
      </c>
      <c r="AD115" s="27"/>
      <c r="AL115" s="2" t="s">
        <v>6140</v>
      </c>
    </row>
    <row r="116" spans="1:38" hidden="1" x14ac:dyDescent="0.2">
      <c r="A116" s="2" t="s">
        <v>149</v>
      </c>
      <c r="B116" s="2" t="s">
        <v>4083</v>
      </c>
      <c r="C116" s="2" t="s">
        <v>171</v>
      </c>
      <c r="D116" s="2" t="s">
        <v>172</v>
      </c>
      <c r="E116" s="13">
        <v>5000</v>
      </c>
      <c r="F116" s="13">
        <v>5000</v>
      </c>
      <c r="G116" s="14">
        <v>43374</v>
      </c>
      <c r="H116" s="15">
        <v>0.82070601851851999</v>
      </c>
      <c r="I116" s="14">
        <v>43375</v>
      </c>
      <c r="J116" s="15">
        <v>0</v>
      </c>
      <c r="K116" s="13">
        <v>0</v>
      </c>
      <c r="L116" s="2" t="s">
        <v>64</v>
      </c>
      <c r="M116" s="2" t="s">
        <v>173</v>
      </c>
      <c r="N116" s="14">
        <v>43377</v>
      </c>
      <c r="O116" s="14">
        <v>43376</v>
      </c>
      <c r="P116" s="2" t="s">
        <v>78</v>
      </c>
      <c r="Q116" s="2" t="s">
        <v>4084</v>
      </c>
      <c r="R116" s="2" t="s">
        <v>80</v>
      </c>
      <c r="S116" s="14">
        <v>43377</v>
      </c>
      <c r="U116" s="2" t="s">
        <v>162</v>
      </c>
      <c r="V116" s="2" t="s">
        <v>81</v>
      </c>
      <c r="W116" s="2" t="s">
        <v>70</v>
      </c>
      <c r="X116" s="13">
        <v>1162</v>
      </c>
      <c r="Y116" s="2" t="s">
        <v>71</v>
      </c>
      <c r="Z116" s="2" t="s">
        <v>72</v>
      </c>
      <c r="AA116" s="13">
        <v>5000</v>
      </c>
      <c r="AB116" s="2" t="s">
        <v>73</v>
      </c>
      <c r="AC116" s="2" t="s">
        <v>6772</v>
      </c>
      <c r="AD116" s="27"/>
      <c r="AL116" s="2" t="s">
        <v>6141</v>
      </c>
    </row>
    <row r="117" spans="1:38" hidden="1" x14ac:dyDescent="0.2">
      <c r="A117" s="2" t="s">
        <v>149</v>
      </c>
      <c r="B117" s="2" t="s">
        <v>4239</v>
      </c>
      <c r="C117" s="2" t="s">
        <v>151</v>
      </c>
      <c r="D117" s="2" t="s">
        <v>152</v>
      </c>
      <c r="E117" s="13">
        <v>10247</v>
      </c>
      <c r="F117" s="13">
        <v>10247</v>
      </c>
      <c r="G117" s="14">
        <v>43377</v>
      </c>
      <c r="H117" s="15">
        <v>0.88975694444443998</v>
      </c>
      <c r="I117" s="14">
        <v>43378</v>
      </c>
      <c r="J117" s="15">
        <v>0.25718750000000001</v>
      </c>
      <c r="K117" s="13">
        <v>0</v>
      </c>
      <c r="L117" s="2" t="s">
        <v>64</v>
      </c>
      <c r="M117" s="2" t="s">
        <v>186</v>
      </c>
      <c r="N117" s="14">
        <v>43380</v>
      </c>
      <c r="O117" s="14">
        <v>43380</v>
      </c>
      <c r="P117" s="2" t="s">
        <v>153</v>
      </c>
      <c r="Q117" s="2" t="s">
        <v>6910</v>
      </c>
      <c r="R117" s="2" t="s">
        <v>80</v>
      </c>
      <c r="S117" s="14">
        <v>43397</v>
      </c>
      <c r="U117" s="2" t="s">
        <v>154</v>
      </c>
      <c r="V117" s="2" t="s">
        <v>155</v>
      </c>
      <c r="W117" s="2" t="s">
        <v>70</v>
      </c>
      <c r="X117" s="13">
        <v>0</v>
      </c>
      <c r="Y117" s="2" t="s">
        <v>71</v>
      </c>
      <c r="Z117" s="2" t="s">
        <v>72</v>
      </c>
      <c r="AA117" s="13">
        <v>10000</v>
      </c>
      <c r="AB117" s="2" t="s">
        <v>95</v>
      </c>
      <c r="AC117" s="2" t="s">
        <v>6772</v>
      </c>
      <c r="AD117" s="27"/>
      <c r="AL117" s="2" t="s">
        <v>6142</v>
      </c>
    </row>
    <row r="118" spans="1:38" hidden="1" x14ac:dyDescent="0.2">
      <c r="A118" s="2" t="s">
        <v>361</v>
      </c>
      <c r="B118" s="2" t="s">
        <v>450</v>
      </c>
      <c r="C118" s="2" t="s">
        <v>451</v>
      </c>
      <c r="D118" s="2" t="s">
        <v>452</v>
      </c>
      <c r="E118" s="13">
        <v>0</v>
      </c>
      <c r="F118" s="13">
        <v>5000</v>
      </c>
      <c r="G118" s="14">
        <v>43287</v>
      </c>
      <c r="H118" s="15">
        <v>0</v>
      </c>
      <c r="I118" s="14">
        <v>43287</v>
      </c>
      <c r="J118" s="15">
        <v>0.18768518518519001</v>
      </c>
      <c r="K118" s="13">
        <v>0</v>
      </c>
      <c r="L118" s="2" t="s">
        <v>64</v>
      </c>
      <c r="M118" s="2" t="s">
        <v>411</v>
      </c>
      <c r="N118" s="14">
        <v>43306</v>
      </c>
      <c r="O118" s="14">
        <v>43289</v>
      </c>
      <c r="P118" s="2" t="s">
        <v>91</v>
      </c>
      <c r="Q118" s="2" t="s">
        <v>98</v>
      </c>
      <c r="R118" s="2" t="s">
        <v>131</v>
      </c>
      <c r="S118" s="14"/>
      <c r="T118" s="2" t="s">
        <v>6193</v>
      </c>
      <c r="U118" s="2" t="s">
        <v>453</v>
      </c>
      <c r="V118" s="2" t="s">
        <v>454</v>
      </c>
      <c r="W118" s="2" t="s">
        <v>70</v>
      </c>
      <c r="X118" s="13">
        <v>1110</v>
      </c>
      <c r="Y118" s="2" t="s">
        <v>71</v>
      </c>
      <c r="Z118" s="2" t="s">
        <v>72</v>
      </c>
      <c r="AA118" s="13">
        <v>0</v>
      </c>
      <c r="AB118" s="2" t="s">
        <v>107</v>
      </c>
      <c r="AC118" s="2" t="s">
        <v>6773</v>
      </c>
      <c r="AD118" s="27">
        <v>43259</v>
      </c>
      <c r="AI118" s="2" t="s">
        <v>6153</v>
      </c>
      <c r="AL118" s="2" t="s">
        <v>4927</v>
      </c>
    </row>
    <row r="119" spans="1:38" hidden="1" x14ac:dyDescent="0.2">
      <c r="A119" s="2" t="s">
        <v>361</v>
      </c>
      <c r="B119" s="2" t="s">
        <v>369</v>
      </c>
      <c r="C119" s="2" t="s">
        <v>363</v>
      </c>
      <c r="D119" s="2" t="s">
        <v>364</v>
      </c>
      <c r="E119" s="13">
        <v>3000</v>
      </c>
      <c r="F119" s="13">
        <v>15000</v>
      </c>
      <c r="G119" s="14">
        <v>43287</v>
      </c>
      <c r="H119" s="15">
        <v>0.43479166666667002</v>
      </c>
      <c r="I119" s="14">
        <v>43287</v>
      </c>
      <c r="J119" s="15">
        <v>0.99785879629630003</v>
      </c>
      <c r="K119" s="13">
        <v>0</v>
      </c>
      <c r="L119" s="2" t="s">
        <v>64</v>
      </c>
      <c r="M119" s="2" t="s">
        <v>370</v>
      </c>
      <c r="N119" s="14">
        <v>43292</v>
      </c>
      <c r="O119" s="14">
        <v>43289</v>
      </c>
      <c r="P119" s="2" t="s">
        <v>91</v>
      </c>
      <c r="Q119" s="2" t="s">
        <v>366</v>
      </c>
      <c r="R119" s="2" t="s">
        <v>93</v>
      </c>
      <c r="S119" s="14">
        <v>43292</v>
      </c>
      <c r="T119" s="2" t="s">
        <v>6194</v>
      </c>
      <c r="U119" s="2" t="s">
        <v>367</v>
      </c>
      <c r="V119" s="2" t="s">
        <v>368</v>
      </c>
      <c r="W119" s="2" t="s">
        <v>70</v>
      </c>
      <c r="X119" s="13">
        <v>1110</v>
      </c>
      <c r="Y119" s="2" t="s">
        <v>71</v>
      </c>
      <c r="Z119" s="2" t="s">
        <v>72</v>
      </c>
      <c r="AA119" s="13">
        <v>3000</v>
      </c>
      <c r="AB119" s="2" t="s">
        <v>107</v>
      </c>
      <c r="AC119" s="2" t="s">
        <v>6773</v>
      </c>
      <c r="AD119" s="27">
        <v>43250</v>
      </c>
      <c r="AI119" s="2" t="s">
        <v>6153</v>
      </c>
      <c r="AL119" s="2" t="s">
        <v>4928</v>
      </c>
    </row>
    <row r="120" spans="1:38" hidden="1" x14ac:dyDescent="0.2">
      <c r="A120" s="2" t="s">
        <v>361</v>
      </c>
      <c r="B120" s="2" t="s">
        <v>362</v>
      </c>
      <c r="C120" s="2" t="s">
        <v>363</v>
      </c>
      <c r="D120" s="2" t="s">
        <v>364</v>
      </c>
      <c r="E120" s="13">
        <v>20000</v>
      </c>
      <c r="F120" s="13">
        <v>20000</v>
      </c>
      <c r="G120" s="14">
        <v>43288</v>
      </c>
      <c r="H120" s="15">
        <v>1.8692129629629999E-2</v>
      </c>
      <c r="I120" s="14">
        <v>43288</v>
      </c>
      <c r="J120" s="15">
        <v>0.76944444444444005</v>
      </c>
      <c r="K120" s="13">
        <v>0</v>
      </c>
      <c r="L120" s="2" t="s">
        <v>64</v>
      </c>
      <c r="M120" s="2" t="s">
        <v>365</v>
      </c>
      <c r="N120" s="14">
        <v>43292</v>
      </c>
      <c r="O120" s="14">
        <v>43290</v>
      </c>
      <c r="P120" s="2" t="s">
        <v>91</v>
      </c>
      <c r="Q120" s="2" t="s">
        <v>366</v>
      </c>
      <c r="R120" s="2" t="s">
        <v>80</v>
      </c>
      <c r="S120" s="14">
        <v>43292</v>
      </c>
      <c r="T120" s="2" t="s">
        <v>6195</v>
      </c>
      <c r="U120" s="2" t="s">
        <v>367</v>
      </c>
      <c r="V120" s="2" t="s">
        <v>368</v>
      </c>
      <c r="W120" s="2" t="s">
        <v>70</v>
      </c>
      <c r="X120" s="13">
        <v>1110</v>
      </c>
      <c r="Y120" s="2" t="s">
        <v>71</v>
      </c>
      <c r="Z120" s="2" t="s">
        <v>72</v>
      </c>
      <c r="AA120" s="13">
        <v>20000</v>
      </c>
      <c r="AB120" s="2" t="s">
        <v>107</v>
      </c>
      <c r="AC120" s="2" t="s">
        <v>6773</v>
      </c>
      <c r="AD120" s="27">
        <v>43250</v>
      </c>
      <c r="AI120" s="2" t="s">
        <v>6153</v>
      </c>
      <c r="AL120" s="2" t="s">
        <v>4929</v>
      </c>
    </row>
    <row r="121" spans="1:38" hidden="1" x14ac:dyDescent="0.2">
      <c r="A121" s="2" t="s">
        <v>361</v>
      </c>
      <c r="B121" s="2" t="s">
        <v>4240</v>
      </c>
      <c r="C121" s="2" t="s">
        <v>2674</v>
      </c>
      <c r="D121" s="2" t="s">
        <v>2675</v>
      </c>
      <c r="E121" s="16">
        <v>3058.2</v>
      </c>
      <c r="F121" s="16">
        <v>3058.2</v>
      </c>
      <c r="G121" s="14">
        <v>43288</v>
      </c>
      <c r="H121" s="15">
        <v>0.79027777777777997</v>
      </c>
      <c r="I121" s="14">
        <v>43288</v>
      </c>
      <c r="J121" s="15">
        <v>0.90508101851851996</v>
      </c>
      <c r="K121" s="13">
        <v>0</v>
      </c>
      <c r="L121" s="2" t="s">
        <v>64</v>
      </c>
      <c r="M121" s="2" t="s">
        <v>4241</v>
      </c>
      <c r="N121" s="14">
        <v>43290</v>
      </c>
      <c r="O121" s="14">
        <v>43290</v>
      </c>
      <c r="P121" s="2" t="s">
        <v>91</v>
      </c>
      <c r="Q121" s="2" t="s">
        <v>2677</v>
      </c>
      <c r="R121" s="2" t="s">
        <v>80</v>
      </c>
      <c r="S121" s="14">
        <v>43300</v>
      </c>
      <c r="T121" s="2" t="s">
        <v>6196</v>
      </c>
      <c r="U121" s="2" t="s">
        <v>495</v>
      </c>
      <c r="V121" s="2" t="s">
        <v>2678</v>
      </c>
      <c r="W121" s="2" t="s">
        <v>70</v>
      </c>
      <c r="X121" s="13">
        <v>1110</v>
      </c>
      <c r="Y121" s="2" t="s">
        <v>71</v>
      </c>
      <c r="Z121" s="2" t="s">
        <v>72</v>
      </c>
      <c r="AA121" s="13">
        <v>3000</v>
      </c>
      <c r="AB121" s="2" t="s">
        <v>107</v>
      </c>
      <c r="AC121" s="2" t="s">
        <v>6773</v>
      </c>
      <c r="AD121" s="27">
        <v>43284</v>
      </c>
      <c r="AI121" s="2" t="s">
        <v>6153</v>
      </c>
      <c r="AL121" s="2" t="s">
        <v>4930</v>
      </c>
    </row>
    <row r="122" spans="1:38" hidden="1" x14ac:dyDescent="0.2">
      <c r="A122" s="2" t="s">
        <v>361</v>
      </c>
      <c r="B122" s="2" t="s">
        <v>371</v>
      </c>
      <c r="C122" s="2" t="s">
        <v>372</v>
      </c>
      <c r="D122" s="2" t="s">
        <v>373</v>
      </c>
      <c r="E122" s="13">
        <v>20388</v>
      </c>
      <c r="F122" s="13">
        <v>20388</v>
      </c>
      <c r="G122" s="14">
        <v>43288</v>
      </c>
      <c r="H122" s="15">
        <v>0.92591435185185</v>
      </c>
      <c r="I122" s="14">
        <v>43289</v>
      </c>
      <c r="J122" s="15">
        <v>0.69122685185184995</v>
      </c>
      <c r="K122" s="13">
        <v>20</v>
      </c>
      <c r="L122" s="2" t="s">
        <v>64</v>
      </c>
      <c r="M122" s="2" t="s">
        <v>374</v>
      </c>
      <c r="N122" s="14">
        <v>43291</v>
      </c>
      <c r="O122" s="14">
        <v>43291</v>
      </c>
      <c r="P122" s="2" t="s">
        <v>91</v>
      </c>
      <c r="Q122" s="2" t="s">
        <v>375</v>
      </c>
      <c r="R122" s="2" t="s">
        <v>80</v>
      </c>
      <c r="S122" s="14">
        <v>43291</v>
      </c>
      <c r="T122" s="2" t="s">
        <v>6197</v>
      </c>
      <c r="U122" s="2" t="s">
        <v>376</v>
      </c>
      <c r="V122" s="2" t="s">
        <v>377</v>
      </c>
      <c r="W122" s="2" t="s">
        <v>70</v>
      </c>
      <c r="X122" s="13">
        <v>1110</v>
      </c>
      <c r="Y122" s="2" t="s">
        <v>71</v>
      </c>
      <c r="Z122" s="2" t="s">
        <v>72</v>
      </c>
      <c r="AA122" s="13">
        <v>20388</v>
      </c>
      <c r="AB122" s="2" t="s">
        <v>107</v>
      </c>
      <c r="AC122" s="2" t="s">
        <v>6773</v>
      </c>
      <c r="AD122" s="27">
        <v>43206</v>
      </c>
      <c r="AI122" s="2" t="s">
        <v>6153</v>
      </c>
      <c r="AL122" s="2" t="s">
        <v>4931</v>
      </c>
    </row>
    <row r="123" spans="1:38" x14ac:dyDescent="0.2">
      <c r="A123" s="2" t="s">
        <v>361</v>
      </c>
      <c r="B123" s="2" t="s">
        <v>378</v>
      </c>
      <c r="C123" s="2" t="s">
        <v>379</v>
      </c>
      <c r="D123" s="2" t="s">
        <v>380</v>
      </c>
      <c r="E123" s="13">
        <v>20000</v>
      </c>
      <c r="F123" s="13">
        <v>20000</v>
      </c>
      <c r="G123" s="14">
        <v>43289</v>
      </c>
      <c r="H123" s="15">
        <v>0.71206018518518999</v>
      </c>
      <c r="I123" s="14">
        <v>43290</v>
      </c>
      <c r="J123" s="15">
        <v>0.46281250000000002</v>
      </c>
      <c r="K123" s="13">
        <v>20</v>
      </c>
      <c r="L123" s="2" t="s">
        <v>64</v>
      </c>
      <c r="M123" s="2" t="s">
        <v>365</v>
      </c>
      <c r="N123" s="14">
        <v>43299</v>
      </c>
      <c r="O123" s="14">
        <v>43292</v>
      </c>
      <c r="P123" s="2" t="s">
        <v>91</v>
      </c>
      <c r="Q123" s="2" t="s">
        <v>381</v>
      </c>
      <c r="R123" s="2" t="s">
        <v>80</v>
      </c>
      <c r="S123" s="14">
        <v>43299</v>
      </c>
      <c r="T123" s="2" t="s">
        <v>6198</v>
      </c>
      <c r="U123" s="2" t="s">
        <v>376</v>
      </c>
      <c r="V123" s="2" t="s">
        <v>382</v>
      </c>
      <c r="W123" s="2" t="s">
        <v>70</v>
      </c>
      <c r="X123" s="13">
        <v>1110</v>
      </c>
      <c r="Y123" s="2" t="s">
        <v>71</v>
      </c>
      <c r="Z123" s="2" t="s">
        <v>72</v>
      </c>
      <c r="AA123" s="13">
        <v>20000</v>
      </c>
      <c r="AB123" s="2" t="s">
        <v>107</v>
      </c>
      <c r="AC123" s="2" t="s">
        <v>6773</v>
      </c>
      <c r="AD123" s="27">
        <v>43271</v>
      </c>
      <c r="AI123" s="2" t="s">
        <v>6153</v>
      </c>
      <c r="AL123" s="2" t="s">
        <v>4932</v>
      </c>
    </row>
    <row r="124" spans="1:38" x14ac:dyDescent="0.2">
      <c r="A124" s="2" t="s">
        <v>361</v>
      </c>
      <c r="B124" s="2" t="s">
        <v>383</v>
      </c>
      <c r="C124" s="2" t="s">
        <v>384</v>
      </c>
      <c r="D124" s="2" t="s">
        <v>385</v>
      </c>
      <c r="E124" s="13">
        <v>10000</v>
      </c>
      <c r="F124" s="13">
        <v>10000</v>
      </c>
      <c r="G124" s="14">
        <v>43290</v>
      </c>
      <c r="H124" s="15">
        <v>0.48364583333333</v>
      </c>
      <c r="I124" s="14">
        <v>43290</v>
      </c>
      <c r="J124" s="15">
        <v>0.85901620370370002</v>
      </c>
      <c r="K124" s="13">
        <v>0</v>
      </c>
      <c r="L124" s="2" t="s">
        <v>64</v>
      </c>
      <c r="M124" s="2" t="s">
        <v>386</v>
      </c>
      <c r="N124" s="14">
        <v>43298</v>
      </c>
      <c r="O124" s="14">
        <v>43292</v>
      </c>
      <c r="P124" s="2" t="s">
        <v>387</v>
      </c>
      <c r="Q124" s="2" t="s">
        <v>6911</v>
      </c>
      <c r="R124" s="2" t="s">
        <v>80</v>
      </c>
      <c r="S124" s="14">
        <v>43299</v>
      </c>
      <c r="T124" s="2" t="s">
        <v>6199</v>
      </c>
      <c r="U124" s="2" t="s">
        <v>280</v>
      </c>
      <c r="V124" s="2" t="s">
        <v>388</v>
      </c>
      <c r="W124" s="2" t="s">
        <v>70</v>
      </c>
      <c r="X124" s="13">
        <v>1110</v>
      </c>
      <c r="Y124" s="2" t="s">
        <v>71</v>
      </c>
      <c r="Z124" s="2" t="s">
        <v>72</v>
      </c>
      <c r="AA124" s="13">
        <v>10000</v>
      </c>
      <c r="AB124" s="2" t="s">
        <v>107</v>
      </c>
      <c r="AC124" s="2" t="s">
        <v>6773</v>
      </c>
      <c r="AD124" s="27">
        <v>43283</v>
      </c>
      <c r="AI124" s="2" t="s">
        <v>6153</v>
      </c>
      <c r="AL124" s="2" t="s">
        <v>7178</v>
      </c>
    </row>
    <row r="125" spans="1:38" x14ac:dyDescent="0.2">
      <c r="A125" s="2" t="s">
        <v>361</v>
      </c>
      <c r="B125" s="2" t="s">
        <v>389</v>
      </c>
      <c r="C125" s="2" t="s">
        <v>390</v>
      </c>
      <c r="D125" s="2" t="s">
        <v>391</v>
      </c>
      <c r="E125" s="13">
        <v>20000</v>
      </c>
      <c r="F125" s="13">
        <v>20000</v>
      </c>
      <c r="G125" s="14">
        <v>43290</v>
      </c>
      <c r="H125" s="15">
        <v>0.87984953703704005</v>
      </c>
      <c r="I125" s="14">
        <v>43291</v>
      </c>
      <c r="J125" s="15">
        <v>0.63060185185185003</v>
      </c>
      <c r="K125" s="13">
        <v>20</v>
      </c>
      <c r="L125" s="2" t="s">
        <v>64</v>
      </c>
      <c r="M125" s="2" t="s">
        <v>365</v>
      </c>
      <c r="N125" s="14">
        <v>43280</v>
      </c>
      <c r="O125" s="14">
        <v>43293</v>
      </c>
      <c r="P125" s="2" t="s">
        <v>91</v>
      </c>
      <c r="Q125" s="2" t="s">
        <v>392</v>
      </c>
      <c r="R125" s="2" t="s">
        <v>93</v>
      </c>
      <c r="S125" s="14">
        <v>43294</v>
      </c>
      <c r="T125" s="2" t="s">
        <v>6201</v>
      </c>
      <c r="U125" s="2" t="s">
        <v>393</v>
      </c>
      <c r="V125" s="2" t="s">
        <v>163</v>
      </c>
      <c r="W125" s="2" t="s">
        <v>70</v>
      </c>
      <c r="X125" s="13">
        <v>1110</v>
      </c>
      <c r="Y125" s="2" t="s">
        <v>71</v>
      </c>
      <c r="Z125" s="2" t="s">
        <v>72</v>
      </c>
      <c r="AA125" s="13">
        <v>20000</v>
      </c>
      <c r="AB125" s="2" t="s">
        <v>73</v>
      </c>
      <c r="AC125" s="2" t="s">
        <v>6773</v>
      </c>
      <c r="AD125" s="27">
        <v>43186</v>
      </c>
      <c r="AL125" s="2" t="s">
        <v>7179</v>
      </c>
    </row>
    <row r="126" spans="1:38" x14ac:dyDescent="0.2">
      <c r="A126" s="2" t="s">
        <v>361</v>
      </c>
      <c r="B126" s="2" t="s">
        <v>394</v>
      </c>
      <c r="C126" s="2" t="s">
        <v>395</v>
      </c>
      <c r="D126" s="2" t="s">
        <v>396</v>
      </c>
      <c r="E126" s="16">
        <v>8155.2</v>
      </c>
      <c r="F126" s="16">
        <v>8155.2</v>
      </c>
      <c r="G126" s="14">
        <v>43291</v>
      </c>
      <c r="H126" s="15">
        <v>0.65143518518518995</v>
      </c>
      <c r="I126" s="14">
        <v>43291</v>
      </c>
      <c r="J126" s="15">
        <v>0.95755787037036999</v>
      </c>
      <c r="K126" s="13">
        <v>20</v>
      </c>
      <c r="L126" s="2" t="s">
        <v>64</v>
      </c>
      <c r="M126" s="2" t="s">
        <v>4242</v>
      </c>
      <c r="N126" s="14">
        <v>43291</v>
      </c>
      <c r="O126" s="14">
        <v>43293</v>
      </c>
      <c r="P126" s="2" t="s">
        <v>397</v>
      </c>
      <c r="Q126" s="2" t="s">
        <v>398</v>
      </c>
      <c r="R126" s="2" t="s">
        <v>80</v>
      </c>
      <c r="S126" s="14">
        <v>43297</v>
      </c>
      <c r="T126" s="2" t="s">
        <v>6200</v>
      </c>
      <c r="U126" s="2" t="s">
        <v>399</v>
      </c>
      <c r="V126" s="2" t="s">
        <v>400</v>
      </c>
      <c r="W126" s="2" t="s">
        <v>70</v>
      </c>
      <c r="X126" s="13">
        <v>1110</v>
      </c>
      <c r="Y126" s="2" t="s">
        <v>71</v>
      </c>
      <c r="Z126" s="2" t="s">
        <v>72</v>
      </c>
      <c r="AA126" s="13">
        <v>8000</v>
      </c>
      <c r="AB126" s="2" t="s">
        <v>73</v>
      </c>
      <c r="AC126" s="2" t="s">
        <v>6773</v>
      </c>
      <c r="AD126" s="27">
        <v>43053</v>
      </c>
      <c r="AI126" s="2" t="s">
        <v>6153</v>
      </c>
      <c r="AL126" s="2" t="s">
        <v>4933</v>
      </c>
    </row>
    <row r="127" spans="1:38" x14ac:dyDescent="0.2">
      <c r="A127" s="2" t="s">
        <v>361</v>
      </c>
      <c r="B127" s="2" t="s">
        <v>2539</v>
      </c>
      <c r="C127" s="2" t="s">
        <v>395</v>
      </c>
      <c r="D127" s="2" t="s">
        <v>396</v>
      </c>
      <c r="E127" s="13">
        <v>10194</v>
      </c>
      <c r="F127" s="13">
        <v>10194</v>
      </c>
      <c r="G127" s="14">
        <v>43291</v>
      </c>
      <c r="H127" s="15">
        <v>0.97839120370370003</v>
      </c>
      <c r="I127" s="14">
        <v>43292</v>
      </c>
      <c r="J127" s="15">
        <v>0.36105324074074002</v>
      </c>
      <c r="K127" s="13">
        <v>20</v>
      </c>
      <c r="L127" s="2" t="s">
        <v>64</v>
      </c>
      <c r="M127" s="2" t="s">
        <v>434</v>
      </c>
      <c r="N127" s="14">
        <v>43305</v>
      </c>
      <c r="O127" s="14">
        <v>43294</v>
      </c>
      <c r="P127" s="2" t="s">
        <v>397</v>
      </c>
      <c r="Q127" s="2" t="s">
        <v>2540</v>
      </c>
      <c r="R127" s="2" t="s">
        <v>80</v>
      </c>
      <c r="S127" s="14">
        <v>43305</v>
      </c>
      <c r="T127" s="2" t="s">
        <v>6202</v>
      </c>
      <c r="U127" s="2" t="s">
        <v>399</v>
      </c>
      <c r="V127" s="2" t="s">
        <v>400</v>
      </c>
      <c r="W127" s="2" t="s">
        <v>70</v>
      </c>
      <c r="X127" s="13">
        <v>1110</v>
      </c>
      <c r="Y127" s="2" t="s">
        <v>71</v>
      </c>
      <c r="Z127" s="2" t="s">
        <v>72</v>
      </c>
      <c r="AA127" s="13">
        <v>10000</v>
      </c>
      <c r="AB127" s="2" t="s">
        <v>73</v>
      </c>
      <c r="AC127" s="2" t="s">
        <v>6773</v>
      </c>
      <c r="AD127" s="27">
        <v>43276</v>
      </c>
      <c r="AI127" s="2" t="s">
        <v>6153</v>
      </c>
      <c r="AL127" s="2" t="s">
        <v>4934</v>
      </c>
    </row>
    <row r="128" spans="1:38" x14ac:dyDescent="0.2">
      <c r="A128" s="2" t="s">
        <v>361</v>
      </c>
      <c r="B128" s="2" t="s">
        <v>2541</v>
      </c>
      <c r="C128" s="2" t="s">
        <v>395</v>
      </c>
      <c r="D128" s="2" t="s">
        <v>396</v>
      </c>
      <c r="E128" s="13">
        <v>5097</v>
      </c>
      <c r="F128" s="13">
        <v>5097</v>
      </c>
      <c r="G128" s="14">
        <v>43292</v>
      </c>
      <c r="H128" s="15">
        <v>0.38188657407407001</v>
      </c>
      <c r="I128" s="14">
        <v>43292</v>
      </c>
      <c r="J128" s="15">
        <v>0.57321759259258998</v>
      </c>
      <c r="K128" s="13">
        <v>0</v>
      </c>
      <c r="L128" s="2" t="s">
        <v>64</v>
      </c>
      <c r="M128" s="2" t="s">
        <v>4243</v>
      </c>
      <c r="N128" s="14">
        <v>43297</v>
      </c>
      <c r="O128" s="14">
        <v>43294</v>
      </c>
      <c r="P128" s="2" t="s">
        <v>397</v>
      </c>
      <c r="Q128" s="2" t="s">
        <v>2543</v>
      </c>
      <c r="R128" s="2" t="s">
        <v>80</v>
      </c>
      <c r="S128" s="14">
        <v>43297</v>
      </c>
      <c r="T128" s="2" t="s">
        <v>6203</v>
      </c>
      <c r="U128" s="2" t="s">
        <v>399</v>
      </c>
      <c r="V128" s="2" t="s">
        <v>400</v>
      </c>
      <c r="W128" s="2" t="s">
        <v>70</v>
      </c>
      <c r="X128" s="13">
        <v>1110</v>
      </c>
      <c r="Y128" s="2" t="s">
        <v>71</v>
      </c>
      <c r="Z128" s="2" t="s">
        <v>72</v>
      </c>
      <c r="AA128" s="13">
        <v>5000</v>
      </c>
      <c r="AB128" s="2" t="s">
        <v>73</v>
      </c>
      <c r="AC128" s="2" t="s">
        <v>6773</v>
      </c>
      <c r="AD128" s="27">
        <v>43218</v>
      </c>
      <c r="AI128" s="2" t="s">
        <v>6153</v>
      </c>
      <c r="AL128" s="2" t="s">
        <v>4935</v>
      </c>
    </row>
    <row r="129" spans="1:38" x14ac:dyDescent="0.2">
      <c r="A129" s="2" t="s">
        <v>361</v>
      </c>
      <c r="B129" s="2" t="s">
        <v>1410</v>
      </c>
      <c r="C129" s="2" t="s">
        <v>1411</v>
      </c>
      <c r="D129" s="2" t="s">
        <v>1412</v>
      </c>
      <c r="E129" s="13">
        <v>5097</v>
      </c>
      <c r="F129" s="13">
        <v>5097</v>
      </c>
      <c r="G129" s="14">
        <v>43292</v>
      </c>
      <c r="H129" s="15">
        <v>0.75</v>
      </c>
      <c r="I129" s="14">
        <v>43292</v>
      </c>
      <c r="J129" s="15">
        <v>0.94133101851851997</v>
      </c>
      <c r="K129" s="13">
        <v>0</v>
      </c>
      <c r="L129" s="2" t="s">
        <v>64</v>
      </c>
      <c r="M129" s="2" t="s">
        <v>4243</v>
      </c>
      <c r="N129" s="14">
        <v>43311</v>
      </c>
      <c r="O129" s="14">
        <v>43294</v>
      </c>
      <c r="P129" s="2" t="s">
        <v>91</v>
      </c>
      <c r="Q129" s="2" t="s">
        <v>1413</v>
      </c>
      <c r="R129" s="2" t="s">
        <v>80</v>
      </c>
      <c r="S129" s="14">
        <v>43311</v>
      </c>
      <c r="T129" s="2" t="s">
        <v>6204</v>
      </c>
      <c r="U129" s="2" t="s">
        <v>1414</v>
      </c>
      <c r="V129" s="2" t="s">
        <v>1415</v>
      </c>
      <c r="W129" s="2" t="s">
        <v>70</v>
      </c>
      <c r="X129" s="13">
        <v>1110</v>
      </c>
      <c r="Y129" s="2" t="s">
        <v>71</v>
      </c>
      <c r="Z129" s="2" t="s">
        <v>72</v>
      </c>
      <c r="AA129" s="13">
        <v>5000</v>
      </c>
      <c r="AB129" s="2" t="s">
        <v>73</v>
      </c>
      <c r="AC129" s="2" t="s">
        <v>6773</v>
      </c>
      <c r="AD129" s="27">
        <v>43255</v>
      </c>
      <c r="AL129" s="2" t="s">
        <v>4936</v>
      </c>
    </row>
    <row r="130" spans="1:38" x14ac:dyDescent="0.2">
      <c r="A130" s="2" t="s">
        <v>361</v>
      </c>
      <c r="B130" s="2" t="s">
        <v>2395</v>
      </c>
      <c r="C130" s="2" t="s">
        <v>2396</v>
      </c>
      <c r="D130" s="2" t="s">
        <v>2397</v>
      </c>
      <c r="E130" s="13">
        <v>5000</v>
      </c>
      <c r="F130" s="13">
        <v>5000</v>
      </c>
      <c r="G130" s="14">
        <v>43294</v>
      </c>
      <c r="H130" s="15">
        <v>0.125</v>
      </c>
      <c r="I130" s="14">
        <v>43294</v>
      </c>
      <c r="J130" s="15">
        <v>0.31268518518519001</v>
      </c>
      <c r="K130" s="13">
        <v>0</v>
      </c>
      <c r="L130" s="2" t="s">
        <v>64</v>
      </c>
      <c r="M130" s="2" t="s">
        <v>411</v>
      </c>
      <c r="N130" s="14">
        <v>43300</v>
      </c>
      <c r="O130" s="14">
        <v>43296</v>
      </c>
      <c r="P130" s="2" t="s">
        <v>91</v>
      </c>
      <c r="Q130" s="2" t="s">
        <v>2398</v>
      </c>
      <c r="R130" s="2" t="s">
        <v>80</v>
      </c>
      <c r="S130" s="14">
        <v>43300</v>
      </c>
      <c r="T130" s="2" t="s">
        <v>6205</v>
      </c>
      <c r="U130" s="2" t="s">
        <v>495</v>
      </c>
      <c r="V130" s="2" t="s">
        <v>2399</v>
      </c>
      <c r="W130" s="2" t="s">
        <v>70</v>
      </c>
      <c r="X130" s="13">
        <v>1110</v>
      </c>
      <c r="Y130" s="2" t="s">
        <v>71</v>
      </c>
      <c r="Z130" s="2" t="s">
        <v>72</v>
      </c>
      <c r="AA130" s="13">
        <v>5000</v>
      </c>
      <c r="AB130" s="2" t="s">
        <v>73</v>
      </c>
      <c r="AC130" s="2" t="s">
        <v>6773</v>
      </c>
      <c r="AD130" s="27">
        <v>43252</v>
      </c>
      <c r="AI130" s="2" t="s">
        <v>6153</v>
      </c>
      <c r="AL130" s="2" t="s">
        <v>4937</v>
      </c>
    </row>
    <row r="131" spans="1:38" x14ac:dyDescent="0.2">
      <c r="A131" s="2" t="s">
        <v>361</v>
      </c>
      <c r="B131" s="2" t="s">
        <v>401</v>
      </c>
      <c r="C131" s="2" t="s">
        <v>402</v>
      </c>
      <c r="D131" s="2" t="s">
        <v>403</v>
      </c>
      <c r="E131" s="13">
        <v>10000</v>
      </c>
      <c r="F131" s="13">
        <v>10000</v>
      </c>
      <c r="G131" s="14">
        <v>43294</v>
      </c>
      <c r="H131" s="15">
        <v>0.33333333333332998</v>
      </c>
      <c r="I131" s="14">
        <v>43294</v>
      </c>
      <c r="J131" s="15">
        <v>0.70870370370369995</v>
      </c>
      <c r="K131" s="13">
        <v>0</v>
      </c>
      <c r="L131" s="2" t="s">
        <v>64</v>
      </c>
      <c r="M131" s="2" t="s">
        <v>386</v>
      </c>
      <c r="N131" s="14">
        <v>43297</v>
      </c>
      <c r="O131" s="14">
        <v>43296</v>
      </c>
      <c r="P131" s="2" t="s">
        <v>404</v>
      </c>
      <c r="Q131" s="2" t="s">
        <v>405</v>
      </c>
      <c r="R131" s="2" t="s">
        <v>80</v>
      </c>
      <c r="S131" s="14">
        <v>43297</v>
      </c>
      <c r="T131" s="2" t="s">
        <v>6206</v>
      </c>
      <c r="U131" s="2" t="s">
        <v>406</v>
      </c>
      <c r="V131" s="2" t="s">
        <v>407</v>
      </c>
      <c r="W131" s="2" t="s">
        <v>70</v>
      </c>
      <c r="X131" s="13">
        <v>1110</v>
      </c>
      <c r="Y131" s="2" t="s">
        <v>71</v>
      </c>
      <c r="Z131" s="2" t="s">
        <v>72</v>
      </c>
      <c r="AA131" s="13">
        <v>10000</v>
      </c>
      <c r="AB131" s="2" t="s">
        <v>73</v>
      </c>
      <c r="AC131" s="2" t="s">
        <v>6773</v>
      </c>
      <c r="AD131" s="27">
        <v>43263</v>
      </c>
      <c r="AI131" s="2" t="s">
        <v>6153</v>
      </c>
      <c r="AL131" s="2" t="s">
        <v>4938</v>
      </c>
    </row>
    <row r="132" spans="1:38" x14ac:dyDescent="0.2">
      <c r="A132" s="2" t="s">
        <v>361</v>
      </c>
      <c r="B132" s="2" t="s">
        <v>414</v>
      </c>
      <c r="C132" s="2" t="s">
        <v>415</v>
      </c>
      <c r="D132" s="2" t="s">
        <v>416</v>
      </c>
      <c r="E132" s="13">
        <v>10000</v>
      </c>
      <c r="F132" s="13">
        <v>10000</v>
      </c>
      <c r="G132" s="14">
        <v>43295</v>
      </c>
      <c r="H132" s="15">
        <v>0.125</v>
      </c>
      <c r="I132" s="14">
        <v>43295</v>
      </c>
      <c r="J132" s="15">
        <v>0.50037037037037002</v>
      </c>
      <c r="K132" s="13">
        <v>20</v>
      </c>
      <c r="L132" s="2" t="s">
        <v>64</v>
      </c>
      <c r="M132" s="2" t="s">
        <v>386</v>
      </c>
      <c r="N132" s="14">
        <v>43298</v>
      </c>
      <c r="O132" s="14">
        <v>43297</v>
      </c>
      <c r="P132" s="2" t="s">
        <v>91</v>
      </c>
      <c r="Q132" s="2" t="s">
        <v>417</v>
      </c>
      <c r="R132" s="2" t="s">
        <v>80</v>
      </c>
      <c r="S132" s="14">
        <v>43297</v>
      </c>
      <c r="T132" s="2" t="s">
        <v>6209</v>
      </c>
      <c r="U132" s="2" t="s">
        <v>418</v>
      </c>
      <c r="V132" s="2" t="s">
        <v>419</v>
      </c>
      <c r="W132" s="2" t="s">
        <v>420</v>
      </c>
      <c r="X132" s="13">
        <v>1110</v>
      </c>
      <c r="Y132" s="2" t="s">
        <v>71</v>
      </c>
      <c r="Z132" s="2" t="s">
        <v>72</v>
      </c>
      <c r="AA132" s="13">
        <v>10000</v>
      </c>
      <c r="AB132" s="2" t="s">
        <v>73</v>
      </c>
      <c r="AC132" s="2" t="s">
        <v>6773</v>
      </c>
      <c r="AD132" s="27">
        <v>43256</v>
      </c>
      <c r="AL132" s="2" t="s">
        <v>4939</v>
      </c>
    </row>
    <row r="133" spans="1:38" x14ac:dyDescent="0.2">
      <c r="A133" s="2" t="s">
        <v>361</v>
      </c>
      <c r="B133" s="2" t="s">
        <v>421</v>
      </c>
      <c r="C133" s="2" t="s">
        <v>415</v>
      </c>
      <c r="D133" s="2" t="s">
        <v>416</v>
      </c>
      <c r="E133" s="13">
        <v>10000</v>
      </c>
      <c r="F133" s="13">
        <v>10000</v>
      </c>
      <c r="G133" s="14">
        <v>43295</v>
      </c>
      <c r="H133" s="15">
        <v>0.625</v>
      </c>
      <c r="I133" s="14">
        <v>43296</v>
      </c>
      <c r="J133" s="15">
        <v>3.7037037036999999E-4</v>
      </c>
      <c r="K133" s="13">
        <v>20</v>
      </c>
      <c r="L133" s="2" t="s">
        <v>64</v>
      </c>
      <c r="M133" s="2" t="s">
        <v>386</v>
      </c>
      <c r="N133" s="14">
        <v>43293</v>
      </c>
      <c r="O133" s="14">
        <v>43298</v>
      </c>
      <c r="P133" s="2" t="s">
        <v>91</v>
      </c>
      <c r="Q133" s="2" t="s">
        <v>422</v>
      </c>
      <c r="R133" s="2" t="s">
        <v>80</v>
      </c>
      <c r="S133" s="14">
        <v>43297</v>
      </c>
      <c r="U133" s="2" t="s">
        <v>418</v>
      </c>
      <c r="V133" s="2" t="s">
        <v>419</v>
      </c>
      <c r="W133" s="2" t="s">
        <v>420</v>
      </c>
      <c r="X133" s="13">
        <v>0</v>
      </c>
      <c r="Y133" s="2" t="s">
        <v>71</v>
      </c>
      <c r="Z133" s="2" t="s">
        <v>72</v>
      </c>
      <c r="AA133" s="13">
        <v>10000</v>
      </c>
      <c r="AB133" s="2" t="s">
        <v>95</v>
      </c>
      <c r="AC133" s="2" t="s">
        <v>6773</v>
      </c>
      <c r="AD133" s="27"/>
      <c r="AL133" s="2" t="s">
        <v>4940</v>
      </c>
    </row>
    <row r="134" spans="1:38" hidden="1" x14ac:dyDescent="0.2">
      <c r="A134" s="2" t="s">
        <v>361</v>
      </c>
      <c r="B134" s="2" t="s">
        <v>423</v>
      </c>
      <c r="C134" s="2" t="s">
        <v>415</v>
      </c>
      <c r="D134" s="2" t="s">
        <v>416</v>
      </c>
      <c r="E134" s="13">
        <v>10000</v>
      </c>
      <c r="F134" s="13">
        <v>10000</v>
      </c>
      <c r="G134" s="14">
        <v>43296</v>
      </c>
      <c r="H134" s="15">
        <v>0.16666666666666999</v>
      </c>
      <c r="I134" s="14">
        <v>43296</v>
      </c>
      <c r="J134" s="15">
        <v>0.54203703703703998</v>
      </c>
      <c r="K134" s="13">
        <v>20</v>
      </c>
      <c r="L134" s="2" t="s">
        <v>64</v>
      </c>
      <c r="M134" s="2" t="s">
        <v>386</v>
      </c>
      <c r="N134" s="14">
        <v>43300</v>
      </c>
      <c r="O134" s="14">
        <v>43298</v>
      </c>
      <c r="P134" s="2" t="s">
        <v>91</v>
      </c>
      <c r="Q134" s="2" t="s">
        <v>424</v>
      </c>
      <c r="R134" s="2" t="s">
        <v>80</v>
      </c>
      <c r="S134" s="14">
        <v>43300</v>
      </c>
      <c r="U134" s="2" t="s">
        <v>418</v>
      </c>
      <c r="V134" s="2" t="s">
        <v>419</v>
      </c>
      <c r="W134" s="2" t="s">
        <v>420</v>
      </c>
      <c r="X134" s="13">
        <v>0</v>
      </c>
      <c r="Y134" s="2" t="s">
        <v>71</v>
      </c>
      <c r="Z134" s="2" t="s">
        <v>72</v>
      </c>
      <c r="AA134" s="13">
        <v>10000</v>
      </c>
      <c r="AB134" s="2" t="s">
        <v>95</v>
      </c>
      <c r="AC134" s="2" t="s">
        <v>6773</v>
      </c>
      <c r="AD134" s="27"/>
      <c r="AL134" s="2" t="s">
        <v>4941</v>
      </c>
    </row>
    <row r="135" spans="1:38" hidden="1" x14ac:dyDescent="0.2">
      <c r="A135" s="2" t="s">
        <v>361</v>
      </c>
      <c r="B135" s="2" t="s">
        <v>425</v>
      </c>
      <c r="C135" s="2" t="s">
        <v>426</v>
      </c>
      <c r="D135" s="2" t="s">
        <v>427</v>
      </c>
      <c r="E135" s="13">
        <v>10000</v>
      </c>
      <c r="F135" s="13">
        <v>10000</v>
      </c>
      <c r="G135" s="14">
        <v>43296</v>
      </c>
      <c r="H135" s="15">
        <v>0.70833333333333004</v>
      </c>
      <c r="I135" s="14">
        <v>43297</v>
      </c>
      <c r="J135" s="15">
        <v>8.3703703703700005E-2</v>
      </c>
      <c r="K135" s="13">
        <v>20</v>
      </c>
      <c r="L135" s="2" t="s">
        <v>64</v>
      </c>
      <c r="M135" s="2" t="s">
        <v>386</v>
      </c>
      <c r="N135" s="14">
        <v>43297</v>
      </c>
      <c r="O135" s="14">
        <v>43299</v>
      </c>
      <c r="P135" s="2" t="s">
        <v>91</v>
      </c>
      <c r="Q135" s="2" t="s">
        <v>428</v>
      </c>
      <c r="R135" s="2" t="s">
        <v>80</v>
      </c>
      <c r="S135" s="14">
        <v>43297</v>
      </c>
      <c r="T135" s="2" t="s">
        <v>6208</v>
      </c>
      <c r="U135" s="2" t="s">
        <v>429</v>
      </c>
      <c r="V135" s="2" t="s">
        <v>430</v>
      </c>
      <c r="W135" s="2" t="s">
        <v>70</v>
      </c>
      <c r="X135" s="13">
        <v>1110</v>
      </c>
      <c r="Y135" s="2" t="s">
        <v>71</v>
      </c>
      <c r="Z135" s="2" t="s">
        <v>72</v>
      </c>
      <c r="AA135" s="13">
        <v>10000</v>
      </c>
      <c r="AB135" s="2" t="s">
        <v>73</v>
      </c>
      <c r="AC135" s="2" t="s">
        <v>6773</v>
      </c>
      <c r="AD135" s="27">
        <v>43179</v>
      </c>
      <c r="AL135" s="2" t="s">
        <v>4942</v>
      </c>
    </row>
    <row r="136" spans="1:38" hidden="1" x14ac:dyDescent="0.2">
      <c r="A136" s="2" t="s">
        <v>361</v>
      </c>
      <c r="B136" s="2" t="s">
        <v>431</v>
      </c>
      <c r="C136" s="2" t="s">
        <v>432</v>
      </c>
      <c r="D136" s="2" t="s">
        <v>433</v>
      </c>
      <c r="E136" s="13">
        <v>10194</v>
      </c>
      <c r="F136" s="13">
        <v>10194</v>
      </c>
      <c r="G136" s="14">
        <v>43297</v>
      </c>
      <c r="H136" s="15">
        <v>0.25</v>
      </c>
      <c r="I136" s="14">
        <v>43297</v>
      </c>
      <c r="J136" s="15">
        <v>0.63266203703704005</v>
      </c>
      <c r="K136" s="13">
        <v>0</v>
      </c>
      <c r="L136" s="2" t="s">
        <v>64</v>
      </c>
      <c r="M136" s="2" t="s">
        <v>434</v>
      </c>
      <c r="N136" s="14">
        <v>43298</v>
      </c>
      <c r="O136" s="14">
        <v>43299</v>
      </c>
      <c r="P136" s="2" t="s">
        <v>387</v>
      </c>
      <c r="Q136" s="2" t="s">
        <v>435</v>
      </c>
      <c r="R136" s="2" t="s">
        <v>80</v>
      </c>
      <c r="S136" s="14">
        <v>43298</v>
      </c>
      <c r="T136" s="2" t="s">
        <v>6210</v>
      </c>
      <c r="U136" s="2" t="s">
        <v>436</v>
      </c>
      <c r="V136" s="2" t="s">
        <v>388</v>
      </c>
      <c r="W136" s="2" t="s">
        <v>70</v>
      </c>
      <c r="X136" s="13">
        <v>1110</v>
      </c>
      <c r="Y136" s="2" t="s">
        <v>71</v>
      </c>
      <c r="Z136" s="2" t="s">
        <v>72</v>
      </c>
      <c r="AA136" s="13">
        <v>10000</v>
      </c>
      <c r="AB136" s="2" t="s">
        <v>73</v>
      </c>
      <c r="AC136" s="2" t="s">
        <v>6773</v>
      </c>
      <c r="AD136" s="27">
        <v>43241</v>
      </c>
      <c r="AI136" s="2" t="s">
        <v>6153</v>
      </c>
      <c r="AL136" s="2" t="s">
        <v>4943</v>
      </c>
    </row>
    <row r="137" spans="1:38" hidden="1" x14ac:dyDescent="0.2">
      <c r="A137" s="2" t="s">
        <v>361</v>
      </c>
      <c r="B137" s="2" t="s">
        <v>437</v>
      </c>
      <c r="C137" s="2" t="s">
        <v>438</v>
      </c>
      <c r="D137" s="2" t="s">
        <v>439</v>
      </c>
      <c r="E137" s="13">
        <v>5000</v>
      </c>
      <c r="F137" s="13">
        <v>5000</v>
      </c>
      <c r="G137" s="14">
        <v>43297</v>
      </c>
      <c r="H137" s="15">
        <v>0.79166666666666996</v>
      </c>
      <c r="I137" s="14">
        <v>43297</v>
      </c>
      <c r="J137" s="15">
        <v>0.97935185185185003</v>
      </c>
      <c r="K137" s="13">
        <v>0</v>
      </c>
      <c r="L137" s="2" t="s">
        <v>64</v>
      </c>
      <c r="M137" s="2" t="s">
        <v>411</v>
      </c>
      <c r="N137" s="14">
        <v>43294</v>
      </c>
      <c r="O137" s="14">
        <v>43299</v>
      </c>
      <c r="P137" s="2" t="s">
        <v>440</v>
      </c>
      <c r="Q137" s="2" t="s">
        <v>441</v>
      </c>
      <c r="R137" s="2" t="s">
        <v>80</v>
      </c>
      <c r="S137" s="14">
        <v>43294</v>
      </c>
      <c r="T137" s="2" t="s">
        <v>6207</v>
      </c>
      <c r="U137" s="2" t="s">
        <v>442</v>
      </c>
      <c r="V137" s="2" t="s">
        <v>443</v>
      </c>
      <c r="W137" s="2" t="s">
        <v>70</v>
      </c>
      <c r="X137" s="13">
        <v>1110</v>
      </c>
      <c r="Y137" s="2" t="s">
        <v>71</v>
      </c>
      <c r="Z137" s="2" t="s">
        <v>72</v>
      </c>
      <c r="AA137" s="13">
        <v>5000</v>
      </c>
      <c r="AB137" s="2" t="s">
        <v>73</v>
      </c>
      <c r="AC137" s="2" t="s">
        <v>6773</v>
      </c>
      <c r="AD137" s="27">
        <v>43258</v>
      </c>
      <c r="AI137" s="2" t="s">
        <v>6153</v>
      </c>
      <c r="AL137" s="2" t="s">
        <v>4944</v>
      </c>
    </row>
    <row r="138" spans="1:38" hidden="1" x14ac:dyDescent="0.2">
      <c r="A138" s="2" t="s">
        <v>361</v>
      </c>
      <c r="B138" s="2" t="s">
        <v>2334</v>
      </c>
      <c r="C138" s="2" t="s">
        <v>2335</v>
      </c>
      <c r="D138" s="2" t="s">
        <v>2336</v>
      </c>
      <c r="E138" s="13">
        <v>5097</v>
      </c>
      <c r="F138" s="13">
        <v>5097</v>
      </c>
      <c r="G138" s="14">
        <v>43298</v>
      </c>
      <c r="H138" s="15">
        <v>8.3333333333329998E-2</v>
      </c>
      <c r="I138" s="14">
        <v>43298</v>
      </c>
      <c r="J138" s="15">
        <v>0.27466435185185001</v>
      </c>
      <c r="K138" s="13">
        <v>20</v>
      </c>
      <c r="L138" s="2" t="s">
        <v>64</v>
      </c>
      <c r="M138" s="2" t="s">
        <v>4243</v>
      </c>
      <c r="N138" s="14">
        <v>43307</v>
      </c>
      <c r="O138" s="14">
        <v>43300</v>
      </c>
      <c r="P138" s="2" t="s">
        <v>3260</v>
      </c>
      <c r="Q138" s="2" t="s">
        <v>2337</v>
      </c>
      <c r="R138" s="2" t="s">
        <v>80</v>
      </c>
      <c r="S138" s="14">
        <v>43325</v>
      </c>
      <c r="T138" s="2" t="s">
        <v>6211</v>
      </c>
      <c r="U138" s="2" t="s">
        <v>1273</v>
      </c>
      <c r="V138" s="2" t="s">
        <v>2338</v>
      </c>
      <c r="W138" s="2" t="s">
        <v>70</v>
      </c>
      <c r="X138" s="13">
        <v>1110</v>
      </c>
      <c r="Y138" s="2" t="s">
        <v>71</v>
      </c>
      <c r="Z138" s="2" t="s">
        <v>72</v>
      </c>
      <c r="AA138" s="13">
        <v>5000</v>
      </c>
      <c r="AB138" s="2" t="s">
        <v>73</v>
      </c>
      <c r="AC138" s="2" t="s">
        <v>6773</v>
      </c>
      <c r="AD138" s="27">
        <v>43256</v>
      </c>
      <c r="AI138" s="2" t="s">
        <v>6153</v>
      </c>
      <c r="AL138" s="2" t="s">
        <v>4945</v>
      </c>
    </row>
    <row r="139" spans="1:38" hidden="1" x14ac:dyDescent="0.2">
      <c r="A139" s="2" t="s">
        <v>361</v>
      </c>
      <c r="B139" s="2" t="s">
        <v>470</v>
      </c>
      <c r="C139" s="2" t="s">
        <v>471</v>
      </c>
      <c r="D139" s="2" t="s">
        <v>472</v>
      </c>
      <c r="E139" s="13">
        <v>10194</v>
      </c>
      <c r="F139" s="13">
        <v>10194</v>
      </c>
      <c r="G139" s="14">
        <v>43298</v>
      </c>
      <c r="H139" s="15">
        <v>0.29166666666667002</v>
      </c>
      <c r="I139" s="14">
        <v>43298</v>
      </c>
      <c r="J139" s="15">
        <v>0.67432870370370002</v>
      </c>
      <c r="K139" s="13">
        <v>0</v>
      </c>
      <c r="L139" s="2" t="s">
        <v>64</v>
      </c>
      <c r="M139" s="2" t="s">
        <v>434</v>
      </c>
      <c r="N139" s="14">
        <v>43300</v>
      </c>
      <c r="O139" s="14">
        <v>43300</v>
      </c>
      <c r="P139" s="2" t="s">
        <v>466</v>
      </c>
      <c r="Q139" s="2" t="s">
        <v>473</v>
      </c>
      <c r="R139" s="2" t="s">
        <v>80</v>
      </c>
      <c r="S139" s="14">
        <v>43300</v>
      </c>
      <c r="T139" s="2" t="s">
        <v>6212</v>
      </c>
      <c r="U139" s="2" t="s">
        <v>256</v>
      </c>
      <c r="V139" s="2" t="s">
        <v>474</v>
      </c>
      <c r="W139" s="2" t="s">
        <v>70</v>
      </c>
      <c r="X139" s="13">
        <v>1110</v>
      </c>
      <c r="Y139" s="2" t="s">
        <v>71</v>
      </c>
      <c r="Z139" s="2" t="s">
        <v>72</v>
      </c>
      <c r="AA139" s="13">
        <v>10000</v>
      </c>
      <c r="AB139" s="2" t="s">
        <v>73</v>
      </c>
      <c r="AC139" s="2" t="s">
        <v>6773</v>
      </c>
      <c r="AD139" s="27">
        <v>43280</v>
      </c>
      <c r="AI139" s="2" t="s">
        <v>6153</v>
      </c>
      <c r="AL139" s="2" t="s">
        <v>4946</v>
      </c>
    </row>
    <row r="140" spans="1:38" hidden="1" x14ac:dyDescent="0.2">
      <c r="A140" s="2" t="s">
        <v>361</v>
      </c>
      <c r="B140" s="2" t="s">
        <v>2286</v>
      </c>
      <c r="C140" s="2" t="s">
        <v>2252</v>
      </c>
      <c r="D140" s="2" t="s">
        <v>2253</v>
      </c>
      <c r="E140" s="13">
        <v>20388</v>
      </c>
      <c r="F140" s="13">
        <v>20388</v>
      </c>
      <c r="G140" s="14">
        <v>43298</v>
      </c>
      <c r="H140" s="15">
        <v>0.70833333333333004</v>
      </c>
      <c r="I140" s="14">
        <v>43299</v>
      </c>
      <c r="J140" s="15">
        <v>0.47364583333332999</v>
      </c>
      <c r="K140" s="13">
        <v>0</v>
      </c>
      <c r="L140" s="2" t="s">
        <v>64</v>
      </c>
      <c r="M140" s="2" t="s">
        <v>374</v>
      </c>
      <c r="N140" s="14">
        <v>43301</v>
      </c>
      <c r="O140" s="14">
        <v>43301</v>
      </c>
      <c r="P140" s="2" t="s">
        <v>524</v>
      </c>
      <c r="Q140" s="2" t="s">
        <v>6912</v>
      </c>
      <c r="R140" s="2" t="s">
        <v>80</v>
      </c>
      <c r="S140" s="14">
        <v>43304</v>
      </c>
      <c r="U140" s="2" t="s">
        <v>1324</v>
      </c>
      <c r="V140" s="2" t="s">
        <v>2254</v>
      </c>
      <c r="W140" s="2" t="s">
        <v>70</v>
      </c>
      <c r="X140" s="13">
        <v>0</v>
      </c>
      <c r="Y140" s="2" t="s">
        <v>71</v>
      </c>
      <c r="Z140" s="2" t="s">
        <v>72</v>
      </c>
      <c r="AA140" s="13">
        <v>20000</v>
      </c>
      <c r="AB140" s="2" t="s">
        <v>95</v>
      </c>
      <c r="AC140" s="2" t="s">
        <v>6772</v>
      </c>
      <c r="AD140" s="27"/>
      <c r="AL140" s="2" t="s">
        <v>4947</v>
      </c>
    </row>
    <row r="141" spans="1:38" hidden="1" x14ac:dyDescent="0.2">
      <c r="A141" s="2" t="s">
        <v>361</v>
      </c>
      <c r="B141" s="2" t="s">
        <v>1610</v>
      </c>
      <c r="C141" s="2" t="s">
        <v>536</v>
      </c>
      <c r="D141" s="2" t="s">
        <v>537</v>
      </c>
      <c r="E141" s="16">
        <v>3058.2</v>
      </c>
      <c r="F141" s="16">
        <v>3058.2</v>
      </c>
      <c r="G141" s="14">
        <v>43299</v>
      </c>
      <c r="H141" s="15">
        <v>0.88738425925926001</v>
      </c>
      <c r="I141" s="14">
        <v>43300</v>
      </c>
      <c r="J141" s="15">
        <v>2.1759259259300002E-3</v>
      </c>
      <c r="K141" s="13">
        <v>0</v>
      </c>
      <c r="L141" s="2" t="s">
        <v>64</v>
      </c>
      <c r="M141" s="2" t="s">
        <v>4244</v>
      </c>
      <c r="N141" s="14"/>
      <c r="O141" s="14">
        <v>43302</v>
      </c>
      <c r="P141" s="2" t="s">
        <v>91</v>
      </c>
      <c r="Q141" s="2" t="s">
        <v>1611</v>
      </c>
      <c r="R141" s="2" t="s">
        <v>80</v>
      </c>
      <c r="S141" s="14">
        <v>43313</v>
      </c>
      <c r="U141" s="2" t="s">
        <v>540</v>
      </c>
      <c r="V141" s="2" t="s">
        <v>541</v>
      </c>
      <c r="W141" s="2" t="s">
        <v>70</v>
      </c>
      <c r="X141" s="13">
        <v>0</v>
      </c>
      <c r="Y141" s="2" t="s">
        <v>71</v>
      </c>
      <c r="Z141" s="2" t="s">
        <v>72</v>
      </c>
      <c r="AA141" s="13">
        <v>3000</v>
      </c>
      <c r="AB141" s="2" t="s">
        <v>95</v>
      </c>
      <c r="AC141" s="2" t="s">
        <v>6773</v>
      </c>
      <c r="AD141" s="27"/>
      <c r="AI141" s="2" t="s">
        <v>6153</v>
      </c>
      <c r="AL141" s="2" t="s">
        <v>7180</v>
      </c>
    </row>
    <row r="142" spans="1:38" hidden="1" x14ac:dyDescent="0.2">
      <c r="A142" s="2" t="s">
        <v>361</v>
      </c>
      <c r="B142" s="2" t="s">
        <v>446</v>
      </c>
      <c r="C142" s="2" t="s">
        <v>415</v>
      </c>
      <c r="D142" s="2" t="s">
        <v>416</v>
      </c>
      <c r="E142" s="13">
        <v>10000</v>
      </c>
      <c r="F142" s="13">
        <v>10000</v>
      </c>
      <c r="G142" s="14">
        <v>43301</v>
      </c>
      <c r="H142" s="15">
        <v>0.77158564814815001</v>
      </c>
      <c r="I142" s="14">
        <v>43302</v>
      </c>
      <c r="J142" s="15">
        <v>0.14695601851852</v>
      </c>
      <c r="K142" s="13">
        <v>20</v>
      </c>
      <c r="L142" s="2" t="s">
        <v>64</v>
      </c>
      <c r="M142" s="2" t="s">
        <v>386</v>
      </c>
      <c r="N142" s="14">
        <v>43307</v>
      </c>
      <c r="O142" s="14">
        <v>43304</v>
      </c>
      <c r="P142" s="2" t="s">
        <v>91</v>
      </c>
      <c r="Q142" s="2" t="s">
        <v>447</v>
      </c>
      <c r="R142" s="2" t="s">
        <v>80</v>
      </c>
      <c r="S142" s="14">
        <v>43307</v>
      </c>
      <c r="U142" s="2" t="s">
        <v>418</v>
      </c>
      <c r="V142" s="2" t="s">
        <v>419</v>
      </c>
      <c r="W142" s="2" t="s">
        <v>420</v>
      </c>
      <c r="X142" s="13">
        <v>0</v>
      </c>
      <c r="Y142" s="2" t="s">
        <v>71</v>
      </c>
      <c r="Z142" s="2" t="s">
        <v>72</v>
      </c>
      <c r="AA142" s="13">
        <v>10000</v>
      </c>
      <c r="AB142" s="2" t="s">
        <v>95</v>
      </c>
      <c r="AC142" s="2" t="s">
        <v>6773</v>
      </c>
      <c r="AD142" s="27"/>
      <c r="AL142" s="2" t="s">
        <v>4948</v>
      </c>
    </row>
    <row r="143" spans="1:38" hidden="1" x14ac:dyDescent="0.2">
      <c r="A143" s="2" t="s">
        <v>361</v>
      </c>
      <c r="B143" s="2" t="s">
        <v>448</v>
      </c>
      <c r="C143" s="2" t="s">
        <v>415</v>
      </c>
      <c r="D143" s="2" t="s">
        <v>416</v>
      </c>
      <c r="E143" s="13">
        <v>10000</v>
      </c>
      <c r="F143" s="13">
        <v>10000</v>
      </c>
      <c r="G143" s="14">
        <v>43302</v>
      </c>
      <c r="H143" s="15">
        <v>0.62462962962962998</v>
      </c>
      <c r="I143" s="14">
        <v>43303</v>
      </c>
      <c r="J143" s="15">
        <v>0</v>
      </c>
      <c r="K143" s="13">
        <v>20</v>
      </c>
      <c r="L143" s="2" t="s">
        <v>64</v>
      </c>
      <c r="M143" s="2" t="s">
        <v>386</v>
      </c>
      <c r="N143" s="14">
        <v>43305</v>
      </c>
      <c r="O143" s="14">
        <v>43304</v>
      </c>
      <c r="P143" s="2" t="s">
        <v>91</v>
      </c>
      <c r="Q143" s="2" t="s">
        <v>449</v>
      </c>
      <c r="R143" s="2" t="s">
        <v>80</v>
      </c>
      <c r="S143" s="14">
        <v>43305</v>
      </c>
      <c r="T143" s="2" t="s">
        <v>6213</v>
      </c>
      <c r="U143" s="2" t="s">
        <v>418</v>
      </c>
      <c r="V143" s="2" t="s">
        <v>419</v>
      </c>
      <c r="W143" s="2" t="s">
        <v>420</v>
      </c>
      <c r="X143" s="13">
        <v>1110</v>
      </c>
      <c r="Y143" s="2" t="s">
        <v>71</v>
      </c>
      <c r="Z143" s="2" t="s">
        <v>72</v>
      </c>
      <c r="AA143" s="13">
        <v>10000</v>
      </c>
      <c r="AB143" s="2" t="s">
        <v>73</v>
      </c>
      <c r="AC143" s="2" t="s">
        <v>6773</v>
      </c>
      <c r="AD143" s="27">
        <v>43256</v>
      </c>
      <c r="AL143" s="2" t="s">
        <v>4949</v>
      </c>
    </row>
    <row r="144" spans="1:38" hidden="1" x14ac:dyDescent="0.2">
      <c r="A144" s="2" t="s">
        <v>361</v>
      </c>
      <c r="B144" s="2" t="s">
        <v>2546</v>
      </c>
      <c r="C144" s="2" t="s">
        <v>395</v>
      </c>
      <c r="D144" s="2" t="s">
        <v>396</v>
      </c>
      <c r="E144" s="16">
        <v>9480.4220000000005</v>
      </c>
      <c r="F144" s="16">
        <v>9480.4220000000005</v>
      </c>
      <c r="G144" s="14">
        <v>43303</v>
      </c>
      <c r="H144" s="15">
        <v>0.37724537037036998</v>
      </c>
      <c r="I144" s="14">
        <v>43303</v>
      </c>
      <c r="J144" s="15">
        <v>0.73311342592592998</v>
      </c>
      <c r="K144" s="13">
        <v>0</v>
      </c>
      <c r="L144" s="2" t="s">
        <v>64</v>
      </c>
      <c r="M144" s="2" t="s">
        <v>4245</v>
      </c>
      <c r="N144" s="14">
        <v>43308</v>
      </c>
      <c r="O144" s="14">
        <v>43306</v>
      </c>
      <c r="P144" s="2" t="s">
        <v>397</v>
      </c>
      <c r="Q144" s="2" t="s">
        <v>98</v>
      </c>
      <c r="R144" s="2" t="s">
        <v>131</v>
      </c>
      <c r="S144" s="14"/>
      <c r="T144" s="2" t="s">
        <v>6214</v>
      </c>
      <c r="U144" s="2" t="s">
        <v>399</v>
      </c>
      <c r="V144" s="2" t="s">
        <v>400</v>
      </c>
      <c r="W144" s="2" t="s">
        <v>70</v>
      </c>
      <c r="X144" s="13">
        <v>1110</v>
      </c>
      <c r="Y144" s="2" t="s">
        <v>71</v>
      </c>
      <c r="Z144" s="2" t="s">
        <v>72</v>
      </c>
      <c r="AA144" s="16">
        <v>9300.0020000000004</v>
      </c>
      <c r="AB144" s="2" t="s">
        <v>73</v>
      </c>
      <c r="AC144" s="2" t="s">
        <v>6773</v>
      </c>
      <c r="AD144" s="27">
        <v>43263</v>
      </c>
      <c r="AI144" s="2" t="s">
        <v>6153</v>
      </c>
      <c r="AL144" s="2" t="s">
        <v>4950</v>
      </c>
    </row>
    <row r="145" spans="1:38" hidden="1" x14ac:dyDescent="0.2">
      <c r="A145" s="2" t="s">
        <v>361</v>
      </c>
      <c r="B145" s="2" t="s">
        <v>455</v>
      </c>
      <c r="C145" s="2" t="s">
        <v>456</v>
      </c>
      <c r="D145" s="2" t="s">
        <v>457</v>
      </c>
      <c r="E145" s="13">
        <v>6000</v>
      </c>
      <c r="F145" s="13">
        <v>6000</v>
      </c>
      <c r="G145" s="14">
        <v>43303</v>
      </c>
      <c r="H145" s="15">
        <v>0.77478009259258995</v>
      </c>
      <c r="I145" s="14">
        <v>43304</v>
      </c>
      <c r="J145" s="15">
        <v>0</v>
      </c>
      <c r="K145" s="13">
        <v>0</v>
      </c>
      <c r="L145" s="2" t="s">
        <v>64</v>
      </c>
      <c r="M145" s="2" t="s">
        <v>458</v>
      </c>
      <c r="N145" s="14">
        <v>43306</v>
      </c>
      <c r="O145" s="14">
        <v>43305</v>
      </c>
      <c r="P145" s="2" t="s">
        <v>459</v>
      </c>
      <c r="Q145" s="2" t="s">
        <v>460</v>
      </c>
      <c r="R145" s="2" t="s">
        <v>80</v>
      </c>
      <c r="S145" s="14">
        <v>43306</v>
      </c>
      <c r="T145" s="2" t="s">
        <v>6215</v>
      </c>
      <c r="U145" s="2" t="s">
        <v>461</v>
      </c>
      <c r="V145" s="2" t="s">
        <v>462</v>
      </c>
      <c r="W145" s="2" t="s">
        <v>70</v>
      </c>
      <c r="X145" s="13">
        <v>1110</v>
      </c>
      <c r="Y145" s="2" t="s">
        <v>71</v>
      </c>
      <c r="Z145" s="2" t="s">
        <v>72</v>
      </c>
      <c r="AA145" s="13">
        <v>6000</v>
      </c>
      <c r="AB145" s="2" t="s">
        <v>73</v>
      </c>
      <c r="AC145" s="2" t="s">
        <v>6773</v>
      </c>
      <c r="AD145" s="27">
        <v>43256</v>
      </c>
      <c r="AI145" s="2" t="s">
        <v>6153</v>
      </c>
      <c r="AL145" s="2" t="s">
        <v>4951</v>
      </c>
    </row>
    <row r="146" spans="1:38" hidden="1" x14ac:dyDescent="0.2">
      <c r="A146" s="2" t="s">
        <v>361</v>
      </c>
      <c r="B146" s="2" t="s">
        <v>463</v>
      </c>
      <c r="C146" s="2" t="s">
        <v>464</v>
      </c>
      <c r="D146" s="2" t="s">
        <v>465</v>
      </c>
      <c r="E146" s="13">
        <v>20000</v>
      </c>
      <c r="F146" s="13">
        <v>20000</v>
      </c>
      <c r="G146" s="14">
        <v>43304</v>
      </c>
      <c r="H146" s="15">
        <v>0.24924768518519</v>
      </c>
      <c r="I146" s="14">
        <v>43305</v>
      </c>
      <c r="J146" s="15">
        <v>0</v>
      </c>
      <c r="K146" s="13">
        <v>20</v>
      </c>
      <c r="L146" s="2" t="s">
        <v>64</v>
      </c>
      <c r="M146" s="2" t="s">
        <v>365</v>
      </c>
      <c r="N146" s="14">
        <v>43307</v>
      </c>
      <c r="O146" s="14">
        <v>43306</v>
      </c>
      <c r="P146" s="2" t="s">
        <v>466</v>
      </c>
      <c r="Q146" s="2" t="s">
        <v>467</v>
      </c>
      <c r="R146" s="2" t="s">
        <v>80</v>
      </c>
      <c r="S146" s="14">
        <v>43307</v>
      </c>
      <c r="T146" s="2" t="s">
        <v>6216</v>
      </c>
      <c r="U146" s="2" t="s">
        <v>468</v>
      </c>
      <c r="V146" s="2" t="s">
        <v>469</v>
      </c>
      <c r="W146" s="2" t="s">
        <v>70</v>
      </c>
      <c r="X146" s="13">
        <v>1110</v>
      </c>
      <c r="Y146" s="2" t="s">
        <v>71</v>
      </c>
      <c r="Z146" s="2" t="s">
        <v>72</v>
      </c>
      <c r="AA146" s="13">
        <v>20000</v>
      </c>
      <c r="AB146" s="2" t="s">
        <v>73</v>
      </c>
      <c r="AC146" s="2" t="s">
        <v>6773</v>
      </c>
      <c r="AD146" s="27">
        <v>43250</v>
      </c>
      <c r="AL146" s="2" t="s">
        <v>4952</v>
      </c>
    </row>
    <row r="147" spans="1:38" hidden="1" x14ac:dyDescent="0.2">
      <c r="A147" s="2" t="s">
        <v>361</v>
      </c>
      <c r="B147" s="2" t="s">
        <v>475</v>
      </c>
      <c r="C147" s="2" t="s">
        <v>476</v>
      </c>
      <c r="D147" s="2" t="s">
        <v>477</v>
      </c>
      <c r="E147" s="13">
        <v>10000</v>
      </c>
      <c r="F147" s="13">
        <v>10000</v>
      </c>
      <c r="G147" s="14">
        <v>43305</v>
      </c>
      <c r="H147" s="15">
        <v>0.62462962962962998</v>
      </c>
      <c r="I147" s="14">
        <v>43306</v>
      </c>
      <c r="J147" s="15">
        <v>0</v>
      </c>
      <c r="K147" s="13">
        <v>20</v>
      </c>
      <c r="L147" s="2" t="s">
        <v>64</v>
      </c>
      <c r="M147" s="2" t="s">
        <v>386</v>
      </c>
      <c r="N147" s="14">
        <v>43308</v>
      </c>
      <c r="O147" s="14">
        <v>43307</v>
      </c>
      <c r="P147" s="2" t="s">
        <v>478</v>
      </c>
      <c r="Q147" s="2" t="s">
        <v>479</v>
      </c>
      <c r="R147" s="2" t="s">
        <v>80</v>
      </c>
      <c r="S147" s="14">
        <v>43308</v>
      </c>
      <c r="T147" s="2" t="s">
        <v>6217</v>
      </c>
      <c r="U147" s="2" t="s">
        <v>256</v>
      </c>
      <c r="V147" s="2" t="s">
        <v>163</v>
      </c>
      <c r="W147" s="2" t="s">
        <v>70</v>
      </c>
      <c r="X147" s="13">
        <v>1110</v>
      </c>
      <c r="Y147" s="2" t="s">
        <v>71</v>
      </c>
      <c r="Z147" s="2" t="s">
        <v>72</v>
      </c>
      <c r="AA147" s="13">
        <v>10000</v>
      </c>
      <c r="AB147" s="2" t="s">
        <v>73</v>
      </c>
      <c r="AC147" s="2" t="s">
        <v>6773</v>
      </c>
      <c r="AD147" s="27">
        <v>43157</v>
      </c>
      <c r="AL147" s="2" t="s">
        <v>4953</v>
      </c>
    </row>
    <row r="148" spans="1:38" hidden="1" x14ac:dyDescent="0.2">
      <c r="A148" s="2" t="s">
        <v>361</v>
      </c>
      <c r="B148" s="2" t="s">
        <v>480</v>
      </c>
      <c r="C148" s="2" t="s">
        <v>481</v>
      </c>
      <c r="D148" s="2" t="s">
        <v>482</v>
      </c>
      <c r="E148" s="13">
        <v>5097</v>
      </c>
      <c r="F148" s="13">
        <v>5097</v>
      </c>
      <c r="G148" s="14">
        <v>43306</v>
      </c>
      <c r="H148" s="15">
        <v>0.24923611111110999</v>
      </c>
      <c r="I148" s="14">
        <v>43306</v>
      </c>
      <c r="J148" s="15">
        <v>0.44056712962963002</v>
      </c>
      <c r="K148" s="13">
        <v>0</v>
      </c>
      <c r="L148" s="2" t="s">
        <v>64</v>
      </c>
      <c r="M148" s="2" t="s">
        <v>4243</v>
      </c>
      <c r="N148" s="14">
        <v>43308</v>
      </c>
      <c r="O148" s="14">
        <v>43308</v>
      </c>
      <c r="P148" s="2" t="s">
        <v>483</v>
      </c>
      <c r="Q148" s="2" t="s">
        <v>98</v>
      </c>
      <c r="R148" s="2" t="s">
        <v>131</v>
      </c>
      <c r="S148" s="14"/>
      <c r="U148" s="2" t="s">
        <v>484</v>
      </c>
      <c r="V148" s="2" t="s">
        <v>485</v>
      </c>
      <c r="W148" s="2" t="s">
        <v>70</v>
      </c>
      <c r="X148" s="13">
        <v>0</v>
      </c>
      <c r="Y148" s="2" t="s">
        <v>71</v>
      </c>
      <c r="Z148" s="2" t="s">
        <v>72</v>
      </c>
      <c r="AA148" s="13">
        <v>5000</v>
      </c>
      <c r="AB148" s="2" t="s">
        <v>95</v>
      </c>
      <c r="AC148" s="2" t="s">
        <v>6772</v>
      </c>
      <c r="AD148" s="27"/>
      <c r="AL148" s="2" t="s">
        <v>7181</v>
      </c>
    </row>
    <row r="149" spans="1:38" hidden="1" x14ac:dyDescent="0.2">
      <c r="A149" s="2" t="s">
        <v>361</v>
      </c>
      <c r="B149" s="2" t="s">
        <v>4246</v>
      </c>
      <c r="C149" s="2" t="s">
        <v>4247</v>
      </c>
      <c r="D149" s="2" t="s">
        <v>4248</v>
      </c>
      <c r="E149" s="16">
        <v>3058.2</v>
      </c>
      <c r="F149" s="16">
        <v>3058.2</v>
      </c>
      <c r="G149" s="14">
        <v>43308</v>
      </c>
      <c r="H149" s="15">
        <v>0.65998842592592999</v>
      </c>
      <c r="I149" s="14">
        <v>43308</v>
      </c>
      <c r="J149" s="15">
        <v>0.77478009259258995</v>
      </c>
      <c r="K149" s="13">
        <v>0</v>
      </c>
      <c r="L149" s="2" t="s">
        <v>64</v>
      </c>
      <c r="M149" s="2" t="s">
        <v>4244</v>
      </c>
      <c r="N149" s="14">
        <v>43312</v>
      </c>
      <c r="O149" s="14">
        <v>43310</v>
      </c>
      <c r="P149" s="2" t="s">
        <v>91</v>
      </c>
      <c r="Q149" s="2" t="s">
        <v>4249</v>
      </c>
      <c r="R149" s="2" t="s">
        <v>80</v>
      </c>
      <c r="S149" s="14">
        <v>43312</v>
      </c>
      <c r="T149" s="2" t="s">
        <v>6218</v>
      </c>
      <c r="U149" s="2" t="s">
        <v>1460</v>
      </c>
      <c r="V149" s="2" t="s">
        <v>4250</v>
      </c>
      <c r="W149" s="2" t="s">
        <v>70</v>
      </c>
      <c r="X149" s="13">
        <v>1110</v>
      </c>
      <c r="Y149" s="2" t="s">
        <v>71</v>
      </c>
      <c r="Z149" s="2" t="s">
        <v>72</v>
      </c>
      <c r="AA149" s="13">
        <v>3000</v>
      </c>
      <c r="AB149" s="2" t="s">
        <v>73</v>
      </c>
      <c r="AC149" s="2" t="s">
        <v>6773</v>
      </c>
      <c r="AD149" s="27">
        <v>43286</v>
      </c>
      <c r="AL149" s="2" t="s">
        <v>4954</v>
      </c>
    </row>
    <row r="150" spans="1:38" hidden="1" x14ac:dyDescent="0.2">
      <c r="A150" s="2" t="s">
        <v>361</v>
      </c>
      <c r="B150" s="2" t="s">
        <v>491</v>
      </c>
      <c r="C150" s="2" t="s">
        <v>492</v>
      </c>
      <c r="D150" s="2" t="s">
        <v>493</v>
      </c>
      <c r="E150" s="13">
        <v>6000</v>
      </c>
      <c r="F150" s="13">
        <v>6000</v>
      </c>
      <c r="G150" s="14">
        <v>43308</v>
      </c>
      <c r="H150" s="15">
        <v>0.79561342592592998</v>
      </c>
      <c r="I150" s="14">
        <v>43309</v>
      </c>
      <c r="J150" s="15">
        <v>2.0833333333330002E-2</v>
      </c>
      <c r="K150" s="13">
        <v>0</v>
      </c>
      <c r="L150" s="2" t="s">
        <v>64</v>
      </c>
      <c r="M150" s="2" t="s">
        <v>458</v>
      </c>
      <c r="N150" s="14">
        <v>43312</v>
      </c>
      <c r="O150" s="14">
        <v>43311</v>
      </c>
      <c r="P150" s="2" t="s">
        <v>91</v>
      </c>
      <c r="Q150" s="2" t="s">
        <v>494</v>
      </c>
      <c r="R150" s="2" t="s">
        <v>80</v>
      </c>
      <c r="S150" s="14">
        <v>43312</v>
      </c>
      <c r="T150" s="2" t="s">
        <v>6219</v>
      </c>
      <c r="U150" s="2" t="s">
        <v>495</v>
      </c>
      <c r="V150" s="2" t="s">
        <v>496</v>
      </c>
      <c r="W150" s="2" t="s">
        <v>70</v>
      </c>
      <c r="X150" s="13">
        <v>1110</v>
      </c>
      <c r="Y150" s="2" t="s">
        <v>71</v>
      </c>
      <c r="Z150" s="2" t="s">
        <v>72</v>
      </c>
      <c r="AA150" s="13">
        <v>6000</v>
      </c>
      <c r="AB150" s="2" t="s">
        <v>73</v>
      </c>
      <c r="AC150" s="2" t="s">
        <v>6773</v>
      </c>
      <c r="AD150" s="27">
        <v>43276</v>
      </c>
      <c r="AL150" s="2" t="s">
        <v>4955</v>
      </c>
    </row>
    <row r="151" spans="1:38" hidden="1" x14ac:dyDescent="0.2">
      <c r="A151" s="2" t="s">
        <v>361</v>
      </c>
      <c r="B151" s="2" t="s">
        <v>497</v>
      </c>
      <c r="C151" s="2" t="s">
        <v>498</v>
      </c>
      <c r="D151" s="2" t="s">
        <v>499</v>
      </c>
      <c r="E151" s="13">
        <v>20388</v>
      </c>
      <c r="F151" s="13">
        <v>20388</v>
      </c>
      <c r="G151" s="14">
        <v>43309</v>
      </c>
      <c r="H151" s="15">
        <v>4.1666666666670002E-2</v>
      </c>
      <c r="I151" s="14">
        <v>43309</v>
      </c>
      <c r="J151" s="15">
        <v>0.80697916666667002</v>
      </c>
      <c r="K151" s="13">
        <v>0</v>
      </c>
      <c r="L151" s="2" t="s">
        <v>64</v>
      </c>
      <c r="M151" s="2" t="s">
        <v>374</v>
      </c>
      <c r="N151" s="14">
        <v>43291</v>
      </c>
      <c r="O151" s="14">
        <v>43311</v>
      </c>
      <c r="P151" s="2" t="s">
        <v>478</v>
      </c>
      <c r="Q151" s="2" t="s">
        <v>98</v>
      </c>
      <c r="R151" s="2" t="s">
        <v>131</v>
      </c>
      <c r="S151" s="14"/>
      <c r="T151" s="2" t="s">
        <v>6220</v>
      </c>
      <c r="U151" s="2" t="s">
        <v>495</v>
      </c>
      <c r="V151" s="2" t="s">
        <v>163</v>
      </c>
      <c r="W151" s="2" t="s">
        <v>70</v>
      </c>
      <c r="X151" s="13">
        <v>1110</v>
      </c>
      <c r="Y151" s="2" t="s">
        <v>71</v>
      </c>
      <c r="Z151" s="2" t="s">
        <v>72</v>
      </c>
      <c r="AA151" s="13">
        <v>20388</v>
      </c>
      <c r="AB151" s="2" t="s">
        <v>107</v>
      </c>
      <c r="AC151" s="2" t="s">
        <v>6772</v>
      </c>
      <c r="AD151" s="27">
        <v>43272</v>
      </c>
      <c r="AL151" s="2" t="s">
        <v>7182</v>
      </c>
    </row>
    <row r="152" spans="1:38" hidden="1" x14ac:dyDescent="0.2">
      <c r="A152" s="2" t="s">
        <v>361</v>
      </c>
      <c r="B152" s="2" t="s">
        <v>4085</v>
      </c>
      <c r="C152" s="2" t="s">
        <v>2252</v>
      </c>
      <c r="D152" s="2" t="s">
        <v>2253</v>
      </c>
      <c r="E152" s="13">
        <v>10194</v>
      </c>
      <c r="F152" s="13">
        <v>10194</v>
      </c>
      <c r="G152" s="14">
        <v>43309</v>
      </c>
      <c r="H152" s="15">
        <v>0.61732638888889002</v>
      </c>
      <c r="I152" s="14">
        <v>43309</v>
      </c>
      <c r="J152" s="15">
        <v>0.99998842592592996</v>
      </c>
      <c r="K152" s="13">
        <v>0</v>
      </c>
      <c r="L152" s="2" t="s">
        <v>64</v>
      </c>
      <c r="M152" s="2" t="s">
        <v>434</v>
      </c>
      <c r="N152" s="14">
        <v>43311</v>
      </c>
      <c r="O152" s="14">
        <v>43311</v>
      </c>
      <c r="P152" s="2" t="s">
        <v>524</v>
      </c>
      <c r="Q152" s="2" t="s">
        <v>2574</v>
      </c>
      <c r="R152" s="2" t="s">
        <v>80</v>
      </c>
      <c r="S152" s="14">
        <v>43315</v>
      </c>
      <c r="U152" s="2" t="s">
        <v>1324</v>
      </c>
      <c r="V152" s="2" t="s">
        <v>2254</v>
      </c>
      <c r="W152" s="2" t="s">
        <v>70</v>
      </c>
      <c r="X152" s="13">
        <v>0</v>
      </c>
      <c r="Y152" s="2" t="s">
        <v>71</v>
      </c>
      <c r="Z152" s="2" t="s">
        <v>72</v>
      </c>
      <c r="AA152" s="13">
        <v>10000</v>
      </c>
      <c r="AB152" s="2" t="s">
        <v>95</v>
      </c>
      <c r="AC152" s="2" t="s">
        <v>6772</v>
      </c>
      <c r="AD152" s="27"/>
      <c r="AL152" s="2" t="s">
        <v>4956</v>
      </c>
    </row>
    <row r="153" spans="1:38" hidden="1" x14ac:dyDescent="0.2">
      <c r="A153" s="2" t="s">
        <v>361</v>
      </c>
      <c r="B153" s="2" t="s">
        <v>444</v>
      </c>
      <c r="C153" s="2" t="s">
        <v>415</v>
      </c>
      <c r="D153" s="2" t="s">
        <v>416</v>
      </c>
      <c r="E153" s="13">
        <v>10000</v>
      </c>
      <c r="F153" s="13">
        <v>10000</v>
      </c>
      <c r="G153" s="14">
        <v>43310</v>
      </c>
      <c r="H153" s="15">
        <v>0.22842592592593</v>
      </c>
      <c r="I153" s="14">
        <v>43310</v>
      </c>
      <c r="J153" s="15">
        <v>0.60379629629630005</v>
      </c>
      <c r="K153" s="13">
        <v>20</v>
      </c>
      <c r="L153" s="2" t="s">
        <v>64</v>
      </c>
      <c r="M153" s="2" t="s">
        <v>386</v>
      </c>
      <c r="N153" s="14">
        <v>43314</v>
      </c>
      <c r="O153" s="14">
        <v>43312</v>
      </c>
      <c r="P153" s="2" t="s">
        <v>91</v>
      </c>
      <c r="Q153" s="2" t="s">
        <v>445</v>
      </c>
      <c r="R153" s="2" t="s">
        <v>80</v>
      </c>
      <c r="S153" s="14">
        <v>43314</v>
      </c>
      <c r="U153" s="2" t="s">
        <v>418</v>
      </c>
      <c r="V153" s="2" t="s">
        <v>419</v>
      </c>
      <c r="W153" s="2" t="s">
        <v>420</v>
      </c>
      <c r="X153" s="13">
        <v>0</v>
      </c>
      <c r="Y153" s="2" t="s">
        <v>71</v>
      </c>
      <c r="Z153" s="2" t="s">
        <v>72</v>
      </c>
      <c r="AA153" s="13">
        <v>10000</v>
      </c>
      <c r="AB153" s="2" t="s">
        <v>95</v>
      </c>
      <c r="AC153" s="2" t="s">
        <v>6773</v>
      </c>
      <c r="AD153" s="27"/>
      <c r="AL153" s="2" t="s">
        <v>4957</v>
      </c>
    </row>
    <row r="154" spans="1:38" hidden="1" x14ac:dyDescent="0.2">
      <c r="A154" s="2" t="s">
        <v>361</v>
      </c>
      <c r="B154" s="2" t="s">
        <v>500</v>
      </c>
      <c r="C154" s="2" t="s">
        <v>384</v>
      </c>
      <c r="D154" s="2" t="s">
        <v>385</v>
      </c>
      <c r="E154" s="13">
        <v>10000</v>
      </c>
      <c r="F154" s="13">
        <v>10000</v>
      </c>
      <c r="G154" s="14">
        <v>43310</v>
      </c>
      <c r="H154" s="15">
        <v>0.62462962962962998</v>
      </c>
      <c r="I154" s="14">
        <v>43311</v>
      </c>
      <c r="J154" s="15">
        <v>0</v>
      </c>
      <c r="K154" s="13">
        <v>0</v>
      </c>
      <c r="L154" s="2" t="s">
        <v>64</v>
      </c>
      <c r="M154" s="2" t="s">
        <v>386</v>
      </c>
      <c r="N154" s="14">
        <v>43313</v>
      </c>
      <c r="O154" s="14">
        <v>43312</v>
      </c>
      <c r="P154" s="2" t="s">
        <v>387</v>
      </c>
      <c r="Q154" s="2" t="s">
        <v>98</v>
      </c>
      <c r="R154" s="2" t="s">
        <v>131</v>
      </c>
      <c r="S154" s="14"/>
      <c r="U154" s="2" t="s">
        <v>280</v>
      </c>
      <c r="V154" s="2" t="s">
        <v>388</v>
      </c>
      <c r="W154" s="2" t="s">
        <v>70</v>
      </c>
      <c r="X154" s="13">
        <v>0</v>
      </c>
      <c r="Y154" s="2" t="s">
        <v>71</v>
      </c>
      <c r="Z154" s="2" t="s">
        <v>72</v>
      </c>
      <c r="AA154" s="13">
        <v>10000</v>
      </c>
      <c r="AB154" s="2" t="s">
        <v>95</v>
      </c>
      <c r="AC154" s="2" t="s">
        <v>6773</v>
      </c>
      <c r="AD154" s="27"/>
      <c r="AI154" s="2" t="s">
        <v>6153</v>
      </c>
      <c r="AL154" s="2" t="s">
        <v>7183</v>
      </c>
    </row>
    <row r="155" spans="1:38" hidden="1" x14ac:dyDescent="0.2">
      <c r="A155" s="2" t="s">
        <v>361</v>
      </c>
      <c r="B155" s="2" t="s">
        <v>501</v>
      </c>
      <c r="C155" s="2" t="s">
        <v>502</v>
      </c>
      <c r="D155" s="2" t="s">
        <v>503</v>
      </c>
      <c r="E155" s="13">
        <v>5000</v>
      </c>
      <c r="F155" s="13">
        <v>5000</v>
      </c>
      <c r="G155" s="14">
        <v>43310</v>
      </c>
      <c r="H155" s="15">
        <v>0.81231481481481005</v>
      </c>
      <c r="I155" s="14">
        <v>43311</v>
      </c>
      <c r="J155" s="15">
        <v>0</v>
      </c>
      <c r="K155" s="13">
        <v>0</v>
      </c>
      <c r="L155" s="2" t="s">
        <v>64</v>
      </c>
      <c r="M155" s="2" t="s">
        <v>411</v>
      </c>
      <c r="N155" s="14">
        <v>43313</v>
      </c>
      <c r="O155" s="14">
        <v>43312</v>
      </c>
      <c r="P155" s="2" t="s">
        <v>504</v>
      </c>
      <c r="Q155" s="2" t="s">
        <v>505</v>
      </c>
      <c r="R155" s="2" t="s">
        <v>80</v>
      </c>
      <c r="S155" s="14">
        <v>43313</v>
      </c>
      <c r="T155" s="2" t="s">
        <v>6221</v>
      </c>
      <c r="U155" s="2" t="s">
        <v>406</v>
      </c>
      <c r="V155" s="2" t="s">
        <v>506</v>
      </c>
      <c r="W155" s="2" t="s">
        <v>70</v>
      </c>
      <c r="X155" s="13">
        <v>1110</v>
      </c>
      <c r="Y155" s="2" t="s">
        <v>71</v>
      </c>
      <c r="Z155" s="2" t="s">
        <v>72</v>
      </c>
      <c r="AA155" s="13">
        <v>5000</v>
      </c>
      <c r="AB155" s="2" t="s">
        <v>73</v>
      </c>
      <c r="AC155" s="2" t="s">
        <v>6773</v>
      </c>
      <c r="AD155" s="27">
        <v>43249</v>
      </c>
      <c r="AI155" s="2" t="s">
        <v>6153</v>
      </c>
      <c r="AL155" s="2" t="s">
        <v>4958</v>
      </c>
    </row>
    <row r="156" spans="1:38" hidden="1" x14ac:dyDescent="0.2">
      <c r="A156" s="2" t="s">
        <v>361</v>
      </c>
      <c r="B156" s="2" t="s">
        <v>507</v>
      </c>
      <c r="C156" s="2" t="s">
        <v>508</v>
      </c>
      <c r="D156" s="2" t="s">
        <v>509</v>
      </c>
      <c r="E156" s="16">
        <v>5107.5</v>
      </c>
      <c r="F156" s="16">
        <v>5107.5</v>
      </c>
      <c r="G156" s="14">
        <v>43312</v>
      </c>
      <c r="H156" s="15">
        <v>0.26509259259258999</v>
      </c>
      <c r="I156" s="14">
        <v>43312</v>
      </c>
      <c r="J156" s="15">
        <v>0.45681712962963</v>
      </c>
      <c r="K156" s="13">
        <v>0</v>
      </c>
      <c r="L156" s="2" t="s">
        <v>64</v>
      </c>
      <c r="M156" s="2" t="s">
        <v>510</v>
      </c>
      <c r="N156" s="14">
        <v>43314</v>
      </c>
      <c r="O156" s="14">
        <v>43315</v>
      </c>
      <c r="P156" s="2" t="s">
        <v>488</v>
      </c>
      <c r="Q156" s="2" t="s">
        <v>98</v>
      </c>
      <c r="R156" s="2" t="s">
        <v>131</v>
      </c>
      <c r="S156" s="14"/>
      <c r="U156" s="2" t="s">
        <v>511</v>
      </c>
      <c r="V156" s="2" t="s">
        <v>490</v>
      </c>
      <c r="W156" s="2" t="s">
        <v>70</v>
      </c>
      <c r="X156" s="13">
        <v>0</v>
      </c>
      <c r="Y156" s="2" t="s">
        <v>71</v>
      </c>
      <c r="Z156" s="2" t="s">
        <v>72</v>
      </c>
      <c r="AA156" s="13">
        <v>5000</v>
      </c>
      <c r="AB156" s="2" t="s">
        <v>95</v>
      </c>
      <c r="AC156" s="2" t="s">
        <v>6773</v>
      </c>
      <c r="AD156" s="27"/>
      <c r="AI156" s="2" t="s">
        <v>6153</v>
      </c>
      <c r="AL156" s="2" t="s">
        <v>7184</v>
      </c>
    </row>
    <row r="157" spans="1:38" hidden="1" x14ac:dyDescent="0.2">
      <c r="A157" s="2" t="s">
        <v>361</v>
      </c>
      <c r="B157" s="2" t="s">
        <v>512</v>
      </c>
      <c r="C157" s="2" t="s">
        <v>481</v>
      </c>
      <c r="D157" s="2" t="s">
        <v>482</v>
      </c>
      <c r="E157" s="13">
        <v>20000</v>
      </c>
      <c r="F157" s="13">
        <v>20000</v>
      </c>
      <c r="G157" s="14">
        <v>43312</v>
      </c>
      <c r="H157" s="15">
        <v>0.47765046296295999</v>
      </c>
      <c r="I157" s="14">
        <v>43313</v>
      </c>
      <c r="J157" s="15">
        <v>0.22840277777778001</v>
      </c>
      <c r="K157" s="13">
        <v>0</v>
      </c>
      <c r="L157" s="2" t="s">
        <v>64</v>
      </c>
      <c r="M157" s="2" t="s">
        <v>365</v>
      </c>
      <c r="N157" s="14">
        <v>43315</v>
      </c>
      <c r="O157" s="14">
        <v>43315</v>
      </c>
      <c r="P157" s="2" t="s">
        <v>483</v>
      </c>
      <c r="Q157" s="2" t="s">
        <v>534</v>
      </c>
      <c r="R157" s="2" t="s">
        <v>80</v>
      </c>
      <c r="S157" s="14">
        <v>43318</v>
      </c>
      <c r="U157" s="2" t="s">
        <v>484</v>
      </c>
      <c r="V157" s="2" t="s">
        <v>485</v>
      </c>
      <c r="W157" s="2" t="s">
        <v>70</v>
      </c>
      <c r="X157" s="13">
        <v>0</v>
      </c>
      <c r="Y157" s="2" t="s">
        <v>71</v>
      </c>
      <c r="Z157" s="2" t="s">
        <v>72</v>
      </c>
      <c r="AA157" s="13">
        <v>20000</v>
      </c>
      <c r="AB157" s="2" t="s">
        <v>95</v>
      </c>
      <c r="AC157" s="2" t="s">
        <v>6772</v>
      </c>
      <c r="AD157" s="27"/>
      <c r="AL157" s="2" t="s">
        <v>7185</v>
      </c>
    </row>
    <row r="158" spans="1:38" hidden="1" x14ac:dyDescent="0.2">
      <c r="A158" s="2" t="s">
        <v>361</v>
      </c>
      <c r="B158" s="2" t="s">
        <v>513</v>
      </c>
      <c r="C158" s="2" t="s">
        <v>514</v>
      </c>
      <c r="D158" s="2" t="s">
        <v>515</v>
      </c>
      <c r="E158" s="13">
        <v>20000</v>
      </c>
      <c r="F158" s="13">
        <v>20000</v>
      </c>
      <c r="G158" s="14">
        <v>43313</v>
      </c>
      <c r="H158" s="15">
        <v>0.24923611111110999</v>
      </c>
      <c r="I158" s="14">
        <v>43313</v>
      </c>
      <c r="J158" s="15">
        <v>0.99998842592592996</v>
      </c>
      <c r="K158" s="13">
        <v>0</v>
      </c>
      <c r="L158" s="2" t="s">
        <v>64</v>
      </c>
      <c r="M158" s="2" t="s">
        <v>365</v>
      </c>
      <c r="N158" s="14">
        <v>43315</v>
      </c>
      <c r="O158" s="14">
        <v>43315</v>
      </c>
      <c r="P158" s="2" t="s">
        <v>478</v>
      </c>
      <c r="Q158" s="2" t="s">
        <v>98</v>
      </c>
      <c r="R158" s="2" t="s">
        <v>131</v>
      </c>
      <c r="S158" s="14"/>
      <c r="U158" s="2" t="s">
        <v>516</v>
      </c>
      <c r="V158" s="2" t="s">
        <v>163</v>
      </c>
      <c r="W158" s="2" t="s">
        <v>70</v>
      </c>
      <c r="X158" s="13">
        <v>0</v>
      </c>
      <c r="Y158" s="2" t="s">
        <v>71</v>
      </c>
      <c r="Z158" s="2" t="s">
        <v>72</v>
      </c>
      <c r="AA158" s="13">
        <v>20000</v>
      </c>
      <c r="AB158" s="2" t="s">
        <v>95</v>
      </c>
      <c r="AC158" s="2" t="s">
        <v>6772</v>
      </c>
      <c r="AD158" s="27"/>
      <c r="AL158" s="2" t="s">
        <v>4959</v>
      </c>
    </row>
    <row r="159" spans="1:38" hidden="1" x14ac:dyDescent="0.2">
      <c r="A159" s="2" t="s">
        <v>361</v>
      </c>
      <c r="B159" s="2" t="s">
        <v>517</v>
      </c>
      <c r="C159" s="2" t="s">
        <v>486</v>
      </c>
      <c r="D159" s="2" t="s">
        <v>487</v>
      </c>
      <c r="E159" s="13">
        <v>20388</v>
      </c>
      <c r="F159" s="13">
        <v>20388</v>
      </c>
      <c r="G159" s="14">
        <v>43316</v>
      </c>
      <c r="H159" s="15">
        <v>0.23467592592593001</v>
      </c>
      <c r="I159" s="14">
        <v>43316</v>
      </c>
      <c r="J159" s="15">
        <v>0.99998842592592996</v>
      </c>
      <c r="K159" s="13">
        <v>0</v>
      </c>
      <c r="L159" s="2" t="s">
        <v>64</v>
      </c>
      <c r="M159" s="2" t="s">
        <v>374</v>
      </c>
      <c r="N159" s="14">
        <v>43318</v>
      </c>
      <c r="O159" s="14">
        <v>43318</v>
      </c>
      <c r="P159" s="2" t="s">
        <v>488</v>
      </c>
      <c r="Q159" s="2" t="s">
        <v>98</v>
      </c>
      <c r="R159" s="2" t="s">
        <v>131</v>
      </c>
      <c r="S159" s="14"/>
      <c r="U159" s="2" t="s">
        <v>489</v>
      </c>
      <c r="V159" s="2" t="s">
        <v>490</v>
      </c>
      <c r="W159" s="2" t="s">
        <v>70</v>
      </c>
      <c r="X159" s="13">
        <v>0</v>
      </c>
      <c r="Y159" s="2" t="s">
        <v>71</v>
      </c>
      <c r="Z159" s="2" t="s">
        <v>72</v>
      </c>
      <c r="AA159" s="13">
        <v>20000</v>
      </c>
      <c r="AB159" s="2" t="s">
        <v>95</v>
      </c>
      <c r="AC159" s="2" t="s">
        <v>6774</v>
      </c>
      <c r="AD159" s="27"/>
      <c r="AI159" s="2" t="s">
        <v>6153</v>
      </c>
      <c r="AL159" s="2" t="s">
        <v>4960</v>
      </c>
    </row>
    <row r="160" spans="1:38" hidden="1" x14ac:dyDescent="0.2">
      <c r="A160" s="2" t="s">
        <v>361</v>
      </c>
      <c r="B160" s="2" t="s">
        <v>4251</v>
      </c>
      <c r="C160" s="2" t="s">
        <v>471</v>
      </c>
      <c r="D160" s="2" t="s">
        <v>472</v>
      </c>
      <c r="E160" s="13">
        <v>10194</v>
      </c>
      <c r="F160" s="13">
        <v>10194</v>
      </c>
      <c r="G160" s="14">
        <v>43318</v>
      </c>
      <c r="H160" s="15">
        <v>7.9548611111110001E-2</v>
      </c>
      <c r="I160" s="14">
        <v>43318</v>
      </c>
      <c r="J160" s="15">
        <v>0.46221064814814999</v>
      </c>
      <c r="K160" s="13">
        <v>0</v>
      </c>
      <c r="L160" s="2" t="s">
        <v>64</v>
      </c>
      <c r="M160" s="2" t="s">
        <v>434</v>
      </c>
      <c r="N160" s="14">
        <v>43321</v>
      </c>
      <c r="O160" s="14">
        <v>43320</v>
      </c>
      <c r="P160" s="2" t="s">
        <v>466</v>
      </c>
      <c r="Q160" s="2" t="s">
        <v>4252</v>
      </c>
      <c r="R160" s="2" t="s">
        <v>80</v>
      </c>
      <c r="S160" s="14">
        <v>43321</v>
      </c>
      <c r="T160" s="2" t="s">
        <v>6222</v>
      </c>
      <c r="U160" s="2" t="s">
        <v>256</v>
      </c>
      <c r="V160" s="2" t="s">
        <v>474</v>
      </c>
      <c r="W160" s="2" t="s">
        <v>70</v>
      </c>
      <c r="X160" s="13">
        <v>1110</v>
      </c>
      <c r="Y160" s="2" t="s">
        <v>71</v>
      </c>
      <c r="Z160" s="2" t="s">
        <v>72</v>
      </c>
      <c r="AA160" s="13">
        <v>10000</v>
      </c>
      <c r="AB160" s="2" t="s">
        <v>73</v>
      </c>
      <c r="AC160" s="2" t="s">
        <v>6773</v>
      </c>
      <c r="AD160" s="27">
        <v>43285</v>
      </c>
      <c r="AI160" s="2" t="s">
        <v>6153</v>
      </c>
      <c r="AL160" s="2" t="s">
        <v>4961</v>
      </c>
    </row>
    <row r="161" spans="1:38" hidden="1" x14ac:dyDescent="0.2">
      <c r="A161" s="2" t="s">
        <v>361</v>
      </c>
      <c r="B161" s="2" t="s">
        <v>518</v>
      </c>
      <c r="C161" s="2" t="s">
        <v>415</v>
      </c>
      <c r="D161" s="2" t="s">
        <v>416</v>
      </c>
      <c r="E161" s="13">
        <v>10000</v>
      </c>
      <c r="F161" s="13">
        <v>10000</v>
      </c>
      <c r="G161" s="14">
        <v>43318</v>
      </c>
      <c r="H161" s="15">
        <v>0.48304398148147998</v>
      </c>
      <c r="I161" s="14">
        <v>43318</v>
      </c>
      <c r="J161" s="15">
        <v>0.85841435185185</v>
      </c>
      <c r="K161" s="13">
        <v>20</v>
      </c>
      <c r="L161" s="2" t="s">
        <v>64</v>
      </c>
      <c r="M161" s="2" t="s">
        <v>386</v>
      </c>
      <c r="N161" s="14">
        <v>43321</v>
      </c>
      <c r="O161" s="14">
        <v>43320</v>
      </c>
      <c r="P161" s="2" t="s">
        <v>91</v>
      </c>
      <c r="Q161" s="2" t="s">
        <v>519</v>
      </c>
      <c r="R161" s="2" t="s">
        <v>80</v>
      </c>
      <c r="S161" s="14">
        <v>43321</v>
      </c>
      <c r="U161" s="2" t="s">
        <v>418</v>
      </c>
      <c r="V161" s="2" t="s">
        <v>419</v>
      </c>
      <c r="W161" s="2" t="s">
        <v>420</v>
      </c>
      <c r="X161" s="13">
        <v>0</v>
      </c>
      <c r="Y161" s="2" t="s">
        <v>71</v>
      </c>
      <c r="Z161" s="2" t="s">
        <v>72</v>
      </c>
      <c r="AA161" s="13">
        <v>10000</v>
      </c>
      <c r="AB161" s="2" t="s">
        <v>95</v>
      </c>
      <c r="AC161" s="2" t="s">
        <v>6773</v>
      </c>
      <c r="AD161" s="27"/>
      <c r="AL161" s="2" t="s">
        <v>4962</v>
      </c>
    </row>
    <row r="162" spans="1:38" hidden="1" x14ac:dyDescent="0.2">
      <c r="A162" s="2" t="s">
        <v>361</v>
      </c>
      <c r="B162" s="2" t="s">
        <v>520</v>
      </c>
      <c r="C162" s="2" t="s">
        <v>481</v>
      </c>
      <c r="D162" s="2" t="s">
        <v>482</v>
      </c>
      <c r="E162" s="13">
        <v>20000</v>
      </c>
      <c r="F162" s="13">
        <v>20000</v>
      </c>
      <c r="G162" s="14">
        <v>43320</v>
      </c>
      <c r="H162" s="15">
        <v>0.24923611111110999</v>
      </c>
      <c r="I162" s="14">
        <v>43320</v>
      </c>
      <c r="J162" s="15">
        <v>0.99998842592592996</v>
      </c>
      <c r="K162" s="13">
        <v>0</v>
      </c>
      <c r="L162" s="2" t="s">
        <v>64</v>
      </c>
      <c r="M162" s="2" t="s">
        <v>365</v>
      </c>
      <c r="N162" s="14">
        <v>43322</v>
      </c>
      <c r="O162" s="14">
        <v>43322</v>
      </c>
      <c r="P162" s="2" t="s">
        <v>483</v>
      </c>
      <c r="Q162" s="2" t="s">
        <v>98</v>
      </c>
      <c r="R162" s="2" t="s">
        <v>131</v>
      </c>
      <c r="S162" s="14"/>
      <c r="U162" s="2" t="s">
        <v>484</v>
      </c>
      <c r="V162" s="2" t="s">
        <v>485</v>
      </c>
      <c r="W162" s="2" t="s">
        <v>70</v>
      </c>
      <c r="X162" s="13">
        <v>0</v>
      </c>
      <c r="Y162" s="2" t="s">
        <v>71</v>
      </c>
      <c r="Z162" s="2" t="s">
        <v>72</v>
      </c>
      <c r="AA162" s="13">
        <v>20000</v>
      </c>
      <c r="AB162" s="2" t="s">
        <v>95</v>
      </c>
      <c r="AC162" s="2" t="s">
        <v>6772</v>
      </c>
      <c r="AD162" s="27"/>
      <c r="AL162" s="2" t="s">
        <v>7186</v>
      </c>
    </row>
    <row r="163" spans="1:38" hidden="1" x14ac:dyDescent="0.2">
      <c r="A163" s="2" t="s">
        <v>361</v>
      </c>
      <c r="B163" s="2" t="s">
        <v>521</v>
      </c>
      <c r="C163" s="2" t="s">
        <v>522</v>
      </c>
      <c r="D163" s="2" t="s">
        <v>523</v>
      </c>
      <c r="E163" s="13">
        <v>10000</v>
      </c>
      <c r="F163" s="13">
        <v>10000</v>
      </c>
      <c r="G163" s="14">
        <v>43322</v>
      </c>
      <c r="H163" s="15">
        <v>0.62462962962962998</v>
      </c>
      <c r="I163" s="14">
        <v>43323</v>
      </c>
      <c r="J163" s="15">
        <v>0</v>
      </c>
      <c r="K163" s="13">
        <v>0</v>
      </c>
      <c r="L163" s="2" t="s">
        <v>64</v>
      </c>
      <c r="M163" s="2" t="s">
        <v>386</v>
      </c>
      <c r="N163" s="14">
        <v>43325</v>
      </c>
      <c r="O163" s="14">
        <v>43324</v>
      </c>
      <c r="P163" s="2" t="s">
        <v>524</v>
      </c>
      <c r="Q163" s="2" t="s">
        <v>525</v>
      </c>
      <c r="R163" s="2" t="s">
        <v>80</v>
      </c>
      <c r="S163" s="14">
        <v>43325</v>
      </c>
      <c r="U163" s="2" t="s">
        <v>526</v>
      </c>
      <c r="V163" s="2" t="s">
        <v>527</v>
      </c>
      <c r="W163" s="2" t="s">
        <v>70</v>
      </c>
      <c r="X163" s="13">
        <v>1110</v>
      </c>
      <c r="Y163" s="2" t="s">
        <v>71</v>
      </c>
      <c r="Z163" s="2" t="s">
        <v>72</v>
      </c>
      <c r="AA163" s="13">
        <v>10000</v>
      </c>
      <c r="AB163" s="2" t="s">
        <v>73</v>
      </c>
      <c r="AC163" s="2" t="s">
        <v>6773</v>
      </c>
      <c r="AD163" s="27"/>
      <c r="AI163" s="2" t="s">
        <v>6153</v>
      </c>
      <c r="AL163" s="2" t="s">
        <v>7187</v>
      </c>
    </row>
    <row r="164" spans="1:38" hidden="1" x14ac:dyDescent="0.2">
      <c r="A164" s="2" t="s">
        <v>361</v>
      </c>
      <c r="B164" s="2" t="s">
        <v>528</v>
      </c>
      <c r="C164" s="2" t="s">
        <v>529</v>
      </c>
      <c r="D164" s="2" t="s">
        <v>530</v>
      </c>
      <c r="E164" s="13">
        <v>10194</v>
      </c>
      <c r="F164" s="13">
        <v>10194</v>
      </c>
      <c r="G164" s="14">
        <v>43323</v>
      </c>
      <c r="H164" s="15">
        <v>0.61732638888889002</v>
      </c>
      <c r="I164" s="14">
        <v>43323</v>
      </c>
      <c r="J164" s="15">
        <v>0.99998842592592996</v>
      </c>
      <c r="K164" s="13">
        <v>0</v>
      </c>
      <c r="L164" s="2" t="s">
        <v>64</v>
      </c>
      <c r="M164" s="2" t="s">
        <v>434</v>
      </c>
      <c r="N164" s="14">
        <v>43325</v>
      </c>
      <c r="O164" s="14">
        <v>43325</v>
      </c>
      <c r="P164" s="2" t="s">
        <v>478</v>
      </c>
      <c r="Q164" s="2" t="s">
        <v>98</v>
      </c>
      <c r="R164" s="2" t="s">
        <v>131</v>
      </c>
      <c r="S164" s="14"/>
      <c r="U164" s="2" t="s">
        <v>429</v>
      </c>
      <c r="V164" s="2" t="s">
        <v>163</v>
      </c>
      <c r="W164" s="2" t="s">
        <v>70</v>
      </c>
      <c r="X164" s="13">
        <v>0</v>
      </c>
      <c r="Y164" s="2" t="s">
        <v>71</v>
      </c>
      <c r="Z164" s="2" t="s">
        <v>72</v>
      </c>
      <c r="AA164" s="13">
        <v>10000</v>
      </c>
      <c r="AB164" s="2" t="s">
        <v>95</v>
      </c>
      <c r="AC164" s="2" t="s">
        <v>6772</v>
      </c>
      <c r="AD164" s="27"/>
      <c r="AL164" s="2" t="s">
        <v>4963</v>
      </c>
    </row>
    <row r="165" spans="1:38" hidden="1" x14ac:dyDescent="0.2">
      <c r="A165" s="2" t="s">
        <v>361</v>
      </c>
      <c r="B165" s="2" t="s">
        <v>4253</v>
      </c>
      <c r="C165" s="2" t="s">
        <v>486</v>
      </c>
      <c r="D165" s="2" t="s">
        <v>487</v>
      </c>
      <c r="E165" s="13">
        <v>20388</v>
      </c>
      <c r="F165" s="13">
        <v>20388</v>
      </c>
      <c r="G165" s="14">
        <v>43324</v>
      </c>
      <c r="H165" s="15">
        <v>0.69689814814814999</v>
      </c>
      <c r="I165" s="14">
        <v>43325</v>
      </c>
      <c r="J165" s="15">
        <v>0.46221064814814999</v>
      </c>
      <c r="K165" s="13">
        <v>0</v>
      </c>
      <c r="L165" s="2" t="s">
        <v>64</v>
      </c>
      <c r="M165" s="2" t="s">
        <v>374</v>
      </c>
      <c r="N165" s="14">
        <v>43327</v>
      </c>
      <c r="O165" s="14">
        <v>43327</v>
      </c>
      <c r="P165" s="2" t="s">
        <v>488</v>
      </c>
      <c r="Q165" s="2" t="s">
        <v>4254</v>
      </c>
      <c r="R165" s="2" t="s">
        <v>80</v>
      </c>
      <c r="S165" s="14">
        <v>43353</v>
      </c>
      <c r="U165" s="2" t="s">
        <v>489</v>
      </c>
      <c r="V165" s="2" t="s">
        <v>490</v>
      </c>
      <c r="W165" s="2" t="s">
        <v>70</v>
      </c>
      <c r="X165" s="13">
        <v>0</v>
      </c>
      <c r="Y165" s="2" t="s">
        <v>71</v>
      </c>
      <c r="Z165" s="2" t="s">
        <v>72</v>
      </c>
      <c r="AA165" s="13">
        <v>20000</v>
      </c>
      <c r="AB165" s="2" t="s">
        <v>95</v>
      </c>
      <c r="AC165" s="2" t="s">
        <v>6774</v>
      </c>
      <c r="AD165" s="27"/>
      <c r="AI165" s="2" t="s">
        <v>6153</v>
      </c>
      <c r="AL165" s="2" t="s">
        <v>4964</v>
      </c>
    </row>
    <row r="166" spans="1:38" hidden="1" x14ac:dyDescent="0.2">
      <c r="A166" s="2" t="s">
        <v>361</v>
      </c>
      <c r="B166" s="2" t="s">
        <v>531</v>
      </c>
      <c r="C166" s="2" t="s">
        <v>415</v>
      </c>
      <c r="D166" s="2" t="s">
        <v>416</v>
      </c>
      <c r="E166" s="13">
        <v>10000</v>
      </c>
      <c r="F166" s="13">
        <v>10000</v>
      </c>
      <c r="G166" s="14">
        <v>43325</v>
      </c>
      <c r="H166" s="15">
        <v>0.48304398148147998</v>
      </c>
      <c r="I166" s="14">
        <v>43325</v>
      </c>
      <c r="J166" s="15">
        <v>0.85841435185185</v>
      </c>
      <c r="K166" s="13">
        <v>20</v>
      </c>
      <c r="L166" s="2" t="s">
        <v>64</v>
      </c>
      <c r="M166" s="2" t="s">
        <v>386</v>
      </c>
      <c r="N166" s="14">
        <v>43328</v>
      </c>
      <c r="O166" s="14">
        <v>43327</v>
      </c>
      <c r="P166" s="2" t="s">
        <v>91</v>
      </c>
      <c r="Q166" s="2" t="s">
        <v>532</v>
      </c>
      <c r="R166" s="2" t="s">
        <v>80</v>
      </c>
      <c r="S166" s="14">
        <v>43328</v>
      </c>
      <c r="U166" s="2" t="s">
        <v>418</v>
      </c>
      <c r="V166" s="2" t="s">
        <v>419</v>
      </c>
      <c r="W166" s="2" t="s">
        <v>420</v>
      </c>
      <c r="X166" s="13">
        <v>0</v>
      </c>
      <c r="Y166" s="2" t="s">
        <v>71</v>
      </c>
      <c r="Z166" s="2" t="s">
        <v>72</v>
      </c>
      <c r="AA166" s="13">
        <v>10000</v>
      </c>
      <c r="AB166" s="2" t="s">
        <v>95</v>
      </c>
      <c r="AC166" s="2" t="s">
        <v>6773</v>
      </c>
      <c r="AD166" s="27"/>
      <c r="AL166" s="2" t="s">
        <v>4965</v>
      </c>
    </row>
    <row r="167" spans="1:38" hidden="1" x14ac:dyDescent="0.2">
      <c r="A167" s="2" t="s">
        <v>361</v>
      </c>
      <c r="B167" s="2" t="s">
        <v>533</v>
      </c>
      <c r="C167" s="2" t="s">
        <v>481</v>
      </c>
      <c r="D167" s="2" t="s">
        <v>482</v>
      </c>
      <c r="E167" s="13">
        <v>20000</v>
      </c>
      <c r="F167" s="13">
        <v>20000</v>
      </c>
      <c r="G167" s="14">
        <v>43327</v>
      </c>
      <c r="H167" s="15">
        <v>0.24923611111110999</v>
      </c>
      <c r="I167" s="14">
        <v>43327</v>
      </c>
      <c r="J167" s="15">
        <v>0.99998842592592996</v>
      </c>
      <c r="K167" s="13">
        <v>0</v>
      </c>
      <c r="L167" s="2" t="s">
        <v>64</v>
      </c>
      <c r="M167" s="2" t="s">
        <v>365</v>
      </c>
      <c r="N167" s="14">
        <v>43329</v>
      </c>
      <c r="O167" s="14">
        <v>43329</v>
      </c>
      <c r="P167" s="2" t="s">
        <v>483</v>
      </c>
      <c r="Q167" s="2" t="s">
        <v>98</v>
      </c>
      <c r="R167" s="2" t="s">
        <v>131</v>
      </c>
      <c r="S167" s="14"/>
      <c r="U167" s="2" t="s">
        <v>484</v>
      </c>
      <c r="V167" s="2" t="s">
        <v>485</v>
      </c>
      <c r="W167" s="2" t="s">
        <v>70</v>
      </c>
      <c r="X167" s="13">
        <v>0</v>
      </c>
      <c r="Y167" s="2" t="s">
        <v>71</v>
      </c>
      <c r="Z167" s="2" t="s">
        <v>72</v>
      </c>
      <c r="AA167" s="13">
        <v>20000</v>
      </c>
      <c r="AB167" s="2" t="s">
        <v>95</v>
      </c>
      <c r="AC167" s="2" t="s">
        <v>6772</v>
      </c>
      <c r="AD167" s="27"/>
      <c r="AL167" s="2" t="s">
        <v>7188</v>
      </c>
    </row>
    <row r="168" spans="1:38" hidden="1" x14ac:dyDescent="0.2">
      <c r="A168" s="2" t="s">
        <v>361</v>
      </c>
      <c r="B168" s="2" t="s">
        <v>535</v>
      </c>
      <c r="C168" s="2" t="s">
        <v>536</v>
      </c>
      <c r="D168" s="2" t="s">
        <v>537</v>
      </c>
      <c r="E168" s="13">
        <v>4000</v>
      </c>
      <c r="F168" s="13">
        <v>4000</v>
      </c>
      <c r="G168" s="14">
        <v>43332</v>
      </c>
      <c r="H168" s="15">
        <v>0.84984953703704003</v>
      </c>
      <c r="I168" s="14">
        <v>43333</v>
      </c>
      <c r="J168" s="15">
        <v>0</v>
      </c>
      <c r="K168" s="13">
        <v>0</v>
      </c>
      <c r="L168" s="2" t="s">
        <v>64</v>
      </c>
      <c r="M168" s="2" t="s">
        <v>538</v>
      </c>
      <c r="N168" s="14"/>
      <c r="O168" s="14">
        <v>43334</v>
      </c>
      <c r="P168" s="2" t="s">
        <v>91</v>
      </c>
      <c r="Q168" s="2" t="s">
        <v>539</v>
      </c>
      <c r="R168" s="2" t="s">
        <v>80</v>
      </c>
      <c r="S168" s="14">
        <v>43341</v>
      </c>
      <c r="U168" s="2" t="s">
        <v>540</v>
      </c>
      <c r="V168" s="2" t="s">
        <v>541</v>
      </c>
      <c r="W168" s="2" t="s">
        <v>70</v>
      </c>
      <c r="X168" s="13">
        <v>0</v>
      </c>
      <c r="Y168" s="2" t="s">
        <v>71</v>
      </c>
      <c r="Z168" s="2" t="s">
        <v>72</v>
      </c>
      <c r="AA168" s="13">
        <v>4000</v>
      </c>
      <c r="AB168" s="2" t="s">
        <v>95</v>
      </c>
      <c r="AC168" s="2" t="s">
        <v>6773</v>
      </c>
      <c r="AD168" s="27"/>
      <c r="AI168" s="2" t="s">
        <v>6153</v>
      </c>
      <c r="AL168" s="2" t="s">
        <v>7189</v>
      </c>
    </row>
    <row r="169" spans="1:38" hidden="1" x14ac:dyDescent="0.2">
      <c r="A169" s="2" t="s">
        <v>361</v>
      </c>
      <c r="B169" s="2" t="s">
        <v>542</v>
      </c>
      <c r="C169" s="2" t="s">
        <v>522</v>
      </c>
      <c r="D169" s="2" t="s">
        <v>523</v>
      </c>
      <c r="E169" s="13">
        <v>10194</v>
      </c>
      <c r="F169" s="13">
        <v>10194</v>
      </c>
      <c r="G169" s="14">
        <v>43335</v>
      </c>
      <c r="H169" s="15">
        <v>0.82491898148148002</v>
      </c>
      <c r="I169" s="14">
        <v>43336</v>
      </c>
      <c r="J169" s="15">
        <v>0.20758101851852001</v>
      </c>
      <c r="K169" s="13">
        <v>0</v>
      </c>
      <c r="L169" s="2" t="s">
        <v>64</v>
      </c>
      <c r="M169" s="2" t="s">
        <v>434</v>
      </c>
      <c r="N169" s="14">
        <v>43339</v>
      </c>
      <c r="O169" s="14">
        <v>43338</v>
      </c>
      <c r="P169" s="2" t="s">
        <v>524</v>
      </c>
      <c r="Q169" s="2" t="s">
        <v>543</v>
      </c>
      <c r="R169" s="2" t="s">
        <v>80</v>
      </c>
      <c r="S169" s="14">
        <v>43339</v>
      </c>
      <c r="U169" s="2" t="s">
        <v>526</v>
      </c>
      <c r="V169" s="2" t="s">
        <v>527</v>
      </c>
      <c r="W169" s="2" t="s">
        <v>70</v>
      </c>
      <c r="X169" s="13">
        <v>1110</v>
      </c>
      <c r="Y169" s="2" t="s">
        <v>71</v>
      </c>
      <c r="Z169" s="2" t="s">
        <v>72</v>
      </c>
      <c r="AA169" s="13">
        <v>10000</v>
      </c>
      <c r="AB169" s="2" t="s">
        <v>73</v>
      </c>
      <c r="AC169" s="2" t="s">
        <v>6773</v>
      </c>
      <c r="AD169" s="27"/>
      <c r="AI169" s="2" t="s">
        <v>6153</v>
      </c>
      <c r="AL169" s="2" t="s">
        <v>4966</v>
      </c>
    </row>
    <row r="170" spans="1:38" hidden="1" x14ac:dyDescent="0.2">
      <c r="A170" s="2" t="s">
        <v>361</v>
      </c>
      <c r="B170" s="2" t="s">
        <v>544</v>
      </c>
      <c r="C170" s="2" t="s">
        <v>464</v>
      </c>
      <c r="D170" s="2" t="s">
        <v>465</v>
      </c>
      <c r="E170" s="13">
        <v>20000</v>
      </c>
      <c r="F170" s="13">
        <v>20000</v>
      </c>
      <c r="G170" s="14">
        <v>43336</v>
      </c>
      <c r="H170" s="15">
        <v>0.24924768518519</v>
      </c>
      <c r="I170" s="14">
        <v>43337</v>
      </c>
      <c r="J170" s="15">
        <v>0</v>
      </c>
      <c r="K170" s="13">
        <v>20</v>
      </c>
      <c r="L170" s="2" t="s">
        <v>64</v>
      </c>
      <c r="M170" s="2" t="s">
        <v>365</v>
      </c>
      <c r="N170" s="14">
        <v>43339</v>
      </c>
      <c r="O170" s="14">
        <v>43338</v>
      </c>
      <c r="P170" s="2" t="s">
        <v>466</v>
      </c>
      <c r="Q170" s="2" t="s">
        <v>545</v>
      </c>
      <c r="R170" s="2" t="s">
        <v>80</v>
      </c>
      <c r="S170" s="14">
        <v>43339</v>
      </c>
      <c r="U170" s="2" t="s">
        <v>468</v>
      </c>
      <c r="V170" s="2" t="s">
        <v>469</v>
      </c>
      <c r="W170" s="2" t="s">
        <v>70</v>
      </c>
      <c r="X170" s="13">
        <v>1110</v>
      </c>
      <c r="Y170" s="2" t="s">
        <v>71</v>
      </c>
      <c r="Z170" s="2" t="s">
        <v>72</v>
      </c>
      <c r="AA170" s="13">
        <v>20000</v>
      </c>
      <c r="AB170" s="2" t="s">
        <v>73</v>
      </c>
      <c r="AC170" s="2" t="s">
        <v>6773</v>
      </c>
      <c r="AD170" s="27"/>
      <c r="AL170" s="2" t="s">
        <v>4967</v>
      </c>
    </row>
    <row r="171" spans="1:38" hidden="1" x14ac:dyDescent="0.2">
      <c r="A171" s="2" t="s">
        <v>361</v>
      </c>
      <c r="B171" s="2" t="s">
        <v>546</v>
      </c>
      <c r="C171" s="2" t="s">
        <v>514</v>
      </c>
      <c r="D171" s="2" t="s">
        <v>515</v>
      </c>
      <c r="E171" s="13">
        <v>20000</v>
      </c>
      <c r="F171" s="13">
        <v>20000</v>
      </c>
      <c r="G171" s="14">
        <v>43343</v>
      </c>
      <c r="H171" s="15">
        <v>0.24923611111110999</v>
      </c>
      <c r="I171" s="14">
        <v>43343</v>
      </c>
      <c r="J171" s="15">
        <v>0.99998842592592996</v>
      </c>
      <c r="K171" s="13">
        <v>0</v>
      </c>
      <c r="L171" s="2" t="s">
        <v>64</v>
      </c>
      <c r="M171" s="2" t="s">
        <v>365</v>
      </c>
      <c r="N171" s="14">
        <v>43345</v>
      </c>
      <c r="O171" s="14">
        <v>43345</v>
      </c>
      <c r="P171" s="2" t="s">
        <v>478</v>
      </c>
      <c r="Q171" s="2" t="s">
        <v>98</v>
      </c>
      <c r="R171" s="2" t="s">
        <v>131</v>
      </c>
      <c r="S171" s="14"/>
      <c r="U171" s="2" t="s">
        <v>516</v>
      </c>
      <c r="V171" s="2" t="s">
        <v>163</v>
      </c>
      <c r="W171" s="2" t="s">
        <v>70</v>
      </c>
      <c r="X171" s="13">
        <v>0</v>
      </c>
      <c r="Y171" s="2" t="s">
        <v>71</v>
      </c>
      <c r="Z171" s="2" t="s">
        <v>72</v>
      </c>
      <c r="AA171" s="13">
        <v>20000</v>
      </c>
      <c r="AB171" s="2" t="s">
        <v>95</v>
      </c>
      <c r="AC171" s="2" t="s">
        <v>6772</v>
      </c>
      <c r="AD171" s="27"/>
      <c r="AL171" s="2" t="s">
        <v>4968</v>
      </c>
    </row>
    <row r="172" spans="1:38" hidden="1" x14ac:dyDescent="0.2">
      <c r="A172" s="2" t="s">
        <v>361</v>
      </c>
      <c r="B172" s="2" t="s">
        <v>4255</v>
      </c>
      <c r="C172" s="2" t="s">
        <v>464</v>
      </c>
      <c r="D172" s="2" t="s">
        <v>465</v>
      </c>
      <c r="E172" s="13">
        <v>20388</v>
      </c>
      <c r="F172" s="13">
        <v>20388</v>
      </c>
      <c r="G172" s="14">
        <v>43347</v>
      </c>
      <c r="H172" s="15">
        <v>0.23468749999999999</v>
      </c>
      <c r="I172" s="14">
        <v>43348</v>
      </c>
      <c r="J172" s="15">
        <v>0</v>
      </c>
      <c r="K172" s="13">
        <v>20</v>
      </c>
      <c r="L172" s="2" t="s">
        <v>64</v>
      </c>
      <c r="M172" s="2" t="s">
        <v>374</v>
      </c>
      <c r="N172" s="14">
        <v>43350</v>
      </c>
      <c r="O172" s="14">
        <v>43349</v>
      </c>
      <c r="P172" s="2" t="s">
        <v>466</v>
      </c>
      <c r="Q172" s="2" t="s">
        <v>4256</v>
      </c>
      <c r="R172" s="2" t="s">
        <v>80</v>
      </c>
      <c r="S172" s="14">
        <v>43350</v>
      </c>
      <c r="U172" s="2" t="s">
        <v>468</v>
      </c>
      <c r="V172" s="2" t="s">
        <v>469</v>
      </c>
      <c r="W172" s="2" t="s">
        <v>70</v>
      </c>
      <c r="X172" s="13">
        <v>1110</v>
      </c>
      <c r="Y172" s="2" t="s">
        <v>71</v>
      </c>
      <c r="Z172" s="2" t="s">
        <v>72</v>
      </c>
      <c r="AA172" s="13">
        <v>20000</v>
      </c>
      <c r="AB172" s="2" t="s">
        <v>73</v>
      </c>
      <c r="AC172" s="2" t="s">
        <v>6773</v>
      </c>
      <c r="AD172" s="27"/>
      <c r="AL172" s="2" t="s">
        <v>4969</v>
      </c>
    </row>
    <row r="173" spans="1:38" hidden="1" x14ac:dyDescent="0.2">
      <c r="A173" s="2" t="s">
        <v>547</v>
      </c>
      <c r="B173" s="2" t="s">
        <v>551</v>
      </c>
      <c r="C173" s="2" t="s">
        <v>552</v>
      </c>
      <c r="D173" s="2" t="s">
        <v>553</v>
      </c>
      <c r="E173" s="13">
        <v>0</v>
      </c>
      <c r="F173" s="13">
        <v>20000</v>
      </c>
      <c r="G173" s="14">
        <v>43286</v>
      </c>
      <c r="H173" s="15">
        <v>0.33333333333332998</v>
      </c>
      <c r="I173" s="14">
        <v>43286</v>
      </c>
      <c r="J173" s="15">
        <v>0.82381944444444</v>
      </c>
      <c r="K173" s="13">
        <v>0</v>
      </c>
      <c r="L173" s="2" t="s">
        <v>64</v>
      </c>
      <c r="M173" s="2" t="s">
        <v>549</v>
      </c>
      <c r="N173" s="14">
        <v>43293</v>
      </c>
      <c r="O173" s="14">
        <v>43288</v>
      </c>
      <c r="P173" s="2" t="s">
        <v>78</v>
      </c>
      <c r="Q173" s="2" t="s">
        <v>98</v>
      </c>
      <c r="R173" s="2" t="s">
        <v>131</v>
      </c>
      <c r="S173" s="14"/>
      <c r="T173" s="2" t="s">
        <v>6223</v>
      </c>
      <c r="U173" s="2" t="s">
        <v>198</v>
      </c>
      <c r="V173" s="2" t="s">
        <v>554</v>
      </c>
      <c r="W173" s="2" t="s">
        <v>70</v>
      </c>
      <c r="X173" s="13">
        <v>1699</v>
      </c>
      <c r="Y173" s="2" t="s">
        <v>71</v>
      </c>
      <c r="Z173" s="2" t="s">
        <v>72</v>
      </c>
      <c r="AA173" s="13">
        <v>0</v>
      </c>
      <c r="AB173" s="2" t="s">
        <v>107</v>
      </c>
      <c r="AC173" s="2" t="s">
        <v>6772</v>
      </c>
      <c r="AD173" s="27">
        <v>43283</v>
      </c>
      <c r="AL173" s="2" t="s">
        <v>4970</v>
      </c>
    </row>
    <row r="174" spans="1:38" hidden="1" x14ac:dyDescent="0.2">
      <c r="A174" s="2" t="s">
        <v>547</v>
      </c>
      <c r="B174" s="2" t="s">
        <v>556</v>
      </c>
      <c r="C174" s="2" t="s">
        <v>552</v>
      </c>
      <c r="D174" s="2" t="s">
        <v>553</v>
      </c>
      <c r="E174" s="13">
        <v>8000</v>
      </c>
      <c r="F174" s="13">
        <v>20000</v>
      </c>
      <c r="G174" s="14">
        <v>43287</v>
      </c>
      <c r="H174" s="15">
        <v>0.62351851851852003</v>
      </c>
      <c r="I174" s="14">
        <v>43288</v>
      </c>
      <c r="J174" s="15">
        <v>0.11400462962963</v>
      </c>
      <c r="K174" s="13">
        <v>0</v>
      </c>
      <c r="L174" s="2" t="s">
        <v>64</v>
      </c>
      <c r="M174" s="2" t="s">
        <v>549</v>
      </c>
      <c r="N174" s="14">
        <v>43294</v>
      </c>
      <c r="O174" s="14">
        <v>43290</v>
      </c>
      <c r="P174" s="2" t="s">
        <v>78</v>
      </c>
      <c r="Q174" s="2" t="s">
        <v>98</v>
      </c>
      <c r="R174" s="2" t="s">
        <v>131</v>
      </c>
      <c r="S174" s="14"/>
      <c r="T174" s="2" t="s">
        <v>6224</v>
      </c>
      <c r="U174" s="2" t="s">
        <v>198</v>
      </c>
      <c r="V174" s="2" t="s">
        <v>554</v>
      </c>
      <c r="W174" s="2" t="s">
        <v>70</v>
      </c>
      <c r="X174" s="13">
        <v>1699</v>
      </c>
      <c r="Y174" s="2" t="s">
        <v>71</v>
      </c>
      <c r="Z174" s="2" t="s">
        <v>72</v>
      </c>
      <c r="AA174" s="13">
        <v>8000</v>
      </c>
      <c r="AB174" s="2" t="s">
        <v>107</v>
      </c>
      <c r="AC174" s="2" t="s">
        <v>6772</v>
      </c>
      <c r="AD174" s="27">
        <v>43283</v>
      </c>
      <c r="AL174" s="2" t="s">
        <v>4971</v>
      </c>
    </row>
    <row r="175" spans="1:38" hidden="1" x14ac:dyDescent="0.2">
      <c r="A175" s="2" t="s">
        <v>547</v>
      </c>
      <c r="B175" s="2" t="s">
        <v>557</v>
      </c>
      <c r="C175" s="2" t="s">
        <v>552</v>
      </c>
      <c r="D175" s="2" t="s">
        <v>553</v>
      </c>
      <c r="E175" s="13">
        <v>20000</v>
      </c>
      <c r="F175" s="13">
        <v>20000</v>
      </c>
      <c r="G175" s="14">
        <v>43288</v>
      </c>
      <c r="H175" s="15">
        <v>0.13483796296296</v>
      </c>
      <c r="I175" s="14">
        <v>43288</v>
      </c>
      <c r="J175" s="15">
        <v>0.62532407407406998</v>
      </c>
      <c r="K175" s="13">
        <v>0</v>
      </c>
      <c r="L175" s="2" t="s">
        <v>64</v>
      </c>
      <c r="M175" s="2" t="s">
        <v>549</v>
      </c>
      <c r="N175" s="14">
        <v>43295</v>
      </c>
      <c r="O175" s="14">
        <v>43290</v>
      </c>
      <c r="P175" s="2" t="s">
        <v>78</v>
      </c>
      <c r="Q175" s="2" t="s">
        <v>98</v>
      </c>
      <c r="R175" s="2" t="s">
        <v>131</v>
      </c>
      <c r="S175" s="14"/>
      <c r="T175" s="2" t="s">
        <v>6225</v>
      </c>
      <c r="U175" s="2" t="s">
        <v>198</v>
      </c>
      <c r="V175" s="2" t="s">
        <v>554</v>
      </c>
      <c r="W175" s="2" t="s">
        <v>70</v>
      </c>
      <c r="X175" s="13">
        <v>1699</v>
      </c>
      <c r="Y175" s="2" t="s">
        <v>71</v>
      </c>
      <c r="Z175" s="2" t="s">
        <v>72</v>
      </c>
      <c r="AA175" s="13">
        <v>20000</v>
      </c>
      <c r="AB175" s="2" t="s">
        <v>107</v>
      </c>
      <c r="AC175" s="2" t="s">
        <v>6772</v>
      </c>
      <c r="AD175" s="27">
        <v>43283</v>
      </c>
      <c r="AL175" s="2" t="s">
        <v>4972</v>
      </c>
    </row>
    <row r="176" spans="1:38" hidden="1" x14ac:dyDescent="0.2">
      <c r="A176" s="2" t="s">
        <v>547</v>
      </c>
      <c r="B176" s="2" t="s">
        <v>555</v>
      </c>
      <c r="C176" s="2" t="s">
        <v>552</v>
      </c>
      <c r="D176" s="2" t="s">
        <v>553</v>
      </c>
      <c r="E176" s="13">
        <v>20000</v>
      </c>
      <c r="F176" s="13">
        <v>20000</v>
      </c>
      <c r="G176" s="14">
        <v>43288</v>
      </c>
      <c r="H176" s="15">
        <v>0.64615740740741001</v>
      </c>
      <c r="I176" s="14">
        <v>43289</v>
      </c>
      <c r="J176" s="15">
        <v>0.13664351851852</v>
      </c>
      <c r="K176" s="13">
        <v>0</v>
      </c>
      <c r="L176" s="2" t="s">
        <v>64</v>
      </c>
      <c r="M176" s="2" t="s">
        <v>549</v>
      </c>
      <c r="N176" s="14">
        <v>43294</v>
      </c>
      <c r="O176" s="14">
        <v>43291</v>
      </c>
      <c r="P176" s="2" t="s">
        <v>78</v>
      </c>
      <c r="Q176" s="2" t="s">
        <v>98</v>
      </c>
      <c r="R176" s="2" t="s">
        <v>131</v>
      </c>
      <c r="S176" s="14"/>
      <c r="T176" s="2" t="s">
        <v>6226</v>
      </c>
      <c r="U176" s="2" t="s">
        <v>198</v>
      </c>
      <c r="V176" s="2" t="s">
        <v>554</v>
      </c>
      <c r="W176" s="2" t="s">
        <v>70</v>
      </c>
      <c r="X176" s="13">
        <v>1699</v>
      </c>
      <c r="Y176" s="2" t="s">
        <v>71</v>
      </c>
      <c r="Z176" s="2" t="s">
        <v>72</v>
      </c>
      <c r="AA176" s="13">
        <v>20000</v>
      </c>
      <c r="AB176" s="2" t="s">
        <v>107</v>
      </c>
      <c r="AC176" s="2" t="s">
        <v>6772</v>
      </c>
      <c r="AD176" s="27">
        <v>43283</v>
      </c>
      <c r="AL176" s="2" t="s">
        <v>4973</v>
      </c>
    </row>
    <row r="177" spans="1:38" x14ac:dyDescent="0.2">
      <c r="A177" s="2" t="s">
        <v>547</v>
      </c>
      <c r="B177" s="2" t="s">
        <v>4257</v>
      </c>
      <c r="C177" s="2" t="s">
        <v>552</v>
      </c>
      <c r="D177" s="2" t="s">
        <v>553</v>
      </c>
      <c r="E177" s="13">
        <v>20000</v>
      </c>
      <c r="F177" s="13">
        <v>20000</v>
      </c>
      <c r="G177" s="14">
        <v>43289</v>
      </c>
      <c r="H177" s="15">
        <v>0.15747685185185001</v>
      </c>
      <c r="I177" s="14">
        <v>43289</v>
      </c>
      <c r="J177" s="15">
        <v>0.64796296296295997</v>
      </c>
      <c r="K177" s="13">
        <v>0</v>
      </c>
      <c r="L177" s="2" t="s">
        <v>64</v>
      </c>
      <c r="M177" s="2" t="s">
        <v>549</v>
      </c>
      <c r="N177" s="14"/>
      <c r="O177" s="14">
        <v>43291</v>
      </c>
      <c r="P177" s="2" t="s">
        <v>78</v>
      </c>
      <c r="Q177" s="2" t="s">
        <v>98</v>
      </c>
      <c r="R177" s="2" t="s">
        <v>131</v>
      </c>
      <c r="S177" s="14"/>
      <c r="T177" s="2" t="s">
        <v>6227</v>
      </c>
      <c r="U177" s="2" t="s">
        <v>198</v>
      </c>
      <c r="V177" s="2" t="s">
        <v>554</v>
      </c>
      <c r="W177" s="2" t="s">
        <v>70</v>
      </c>
      <c r="X177" s="13">
        <v>1699</v>
      </c>
      <c r="Y177" s="2" t="s">
        <v>71</v>
      </c>
      <c r="Z177" s="2" t="s">
        <v>72</v>
      </c>
      <c r="AA177" s="13">
        <v>20000</v>
      </c>
      <c r="AB177" s="2" t="s">
        <v>107</v>
      </c>
      <c r="AC177" s="2" t="s">
        <v>6772</v>
      </c>
      <c r="AD177" s="27">
        <v>43284</v>
      </c>
      <c r="AL177" s="2" t="s">
        <v>4974</v>
      </c>
    </row>
    <row r="178" spans="1:38" x14ac:dyDescent="0.2">
      <c r="A178" s="2" t="s">
        <v>547</v>
      </c>
      <c r="B178" s="2" t="s">
        <v>4258</v>
      </c>
      <c r="C178" s="2" t="s">
        <v>552</v>
      </c>
      <c r="D178" s="2" t="s">
        <v>553</v>
      </c>
      <c r="E178" s="13">
        <v>20000</v>
      </c>
      <c r="F178" s="13">
        <v>20000</v>
      </c>
      <c r="G178" s="14">
        <v>43289</v>
      </c>
      <c r="H178" s="15">
        <v>0.6687962962963</v>
      </c>
      <c r="I178" s="14">
        <v>43290</v>
      </c>
      <c r="J178" s="15">
        <v>0.15928240740741001</v>
      </c>
      <c r="K178" s="13">
        <v>0</v>
      </c>
      <c r="L178" s="2" t="s">
        <v>64</v>
      </c>
      <c r="M178" s="2" t="s">
        <v>549</v>
      </c>
      <c r="N178" s="14"/>
      <c r="O178" s="14">
        <v>43292</v>
      </c>
      <c r="P178" s="2" t="s">
        <v>78</v>
      </c>
      <c r="Q178" s="2" t="s">
        <v>98</v>
      </c>
      <c r="R178" s="2" t="s">
        <v>131</v>
      </c>
      <c r="S178" s="14"/>
      <c r="T178" s="2" t="s">
        <v>6228</v>
      </c>
      <c r="U178" s="2" t="s">
        <v>198</v>
      </c>
      <c r="V178" s="2" t="s">
        <v>554</v>
      </c>
      <c r="W178" s="2" t="s">
        <v>70</v>
      </c>
      <c r="X178" s="13">
        <v>1699</v>
      </c>
      <c r="Y178" s="2" t="s">
        <v>71</v>
      </c>
      <c r="Z178" s="2" t="s">
        <v>72</v>
      </c>
      <c r="AA178" s="13">
        <v>20000</v>
      </c>
      <c r="AB178" s="2" t="s">
        <v>107</v>
      </c>
      <c r="AC178" s="2" t="s">
        <v>6772</v>
      </c>
      <c r="AD178" s="27">
        <v>43284</v>
      </c>
      <c r="AL178" s="2" t="s">
        <v>4975</v>
      </c>
    </row>
    <row r="179" spans="1:38" x14ac:dyDescent="0.2">
      <c r="A179" s="2" t="s">
        <v>547</v>
      </c>
      <c r="B179" s="2" t="s">
        <v>558</v>
      </c>
      <c r="C179" s="2" t="s">
        <v>559</v>
      </c>
      <c r="D179" s="2" t="s">
        <v>560</v>
      </c>
      <c r="E179" s="13">
        <v>10000</v>
      </c>
      <c r="F179" s="13">
        <v>10000</v>
      </c>
      <c r="G179" s="14">
        <v>43290</v>
      </c>
      <c r="H179" s="15">
        <v>0.18011574074073999</v>
      </c>
      <c r="I179" s="14">
        <v>43290</v>
      </c>
      <c r="J179" s="15">
        <v>0.42535879629630002</v>
      </c>
      <c r="K179" s="13">
        <v>0</v>
      </c>
      <c r="L179" s="2" t="s">
        <v>64</v>
      </c>
      <c r="M179" s="2" t="s">
        <v>4259</v>
      </c>
      <c r="N179" s="14"/>
      <c r="O179" s="14">
        <v>43292</v>
      </c>
      <c r="P179" s="2" t="s">
        <v>78</v>
      </c>
      <c r="Q179" s="2" t="s">
        <v>6913</v>
      </c>
      <c r="R179" s="2" t="s">
        <v>80</v>
      </c>
      <c r="S179" s="14">
        <v>43297</v>
      </c>
      <c r="T179" s="2" t="s">
        <v>6229</v>
      </c>
      <c r="U179" s="2" t="s">
        <v>562</v>
      </c>
      <c r="V179" s="2" t="s">
        <v>69</v>
      </c>
      <c r="W179" s="2" t="s">
        <v>70</v>
      </c>
      <c r="X179" s="13">
        <v>1699</v>
      </c>
      <c r="Y179" s="2" t="s">
        <v>71</v>
      </c>
      <c r="Z179" s="2" t="s">
        <v>72</v>
      </c>
      <c r="AA179" s="13">
        <v>10000</v>
      </c>
      <c r="AB179" s="2" t="s">
        <v>107</v>
      </c>
      <c r="AC179" s="2" t="s">
        <v>6773</v>
      </c>
      <c r="AD179" s="27">
        <v>43280</v>
      </c>
      <c r="AL179" s="2" t="s">
        <v>4976</v>
      </c>
    </row>
    <row r="180" spans="1:38" x14ac:dyDescent="0.2">
      <c r="A180" s="2" t="s">
        <v>547</v>
      </c>
      <c r="B180" s="2" t="s">
        <v>548</v>
      </c>
      <c r="C180" s="2" t="s">
        <v>127</v>
      </c>
      <c r="D180" s="2" t="s">
        <v>128</v>
      </c>
      <c r="E180" s="13">
        <v>20000</v>
      </c>
      <c r="F180" s="13">
        <v>20000</v>
      </c>
      <c r="G180" s="14">
        <v>43290</v>
      </c>
      <c r="H180" s="15">
        <v>0.44619212962963001</v>
      </c>
      <c r="I180" s="14">
        <v>43290</v>
      </c>
      <c r="J180" s="15">
        <v>0.93667824074074002</v>
      </c>
      <c r="K180" s="13">
        <v>0</v>
      </c>
      <c r="L180" s="2" t="s">
        <v>64</v>
      </c>
      <c r="M180" s="2" t="s">
        <v>549</v>
      </c>
      <c r="N180" s="14"/>
      <c r="O180" s="14">
        <v>43292</v>
      </c>
      <c r="P180" s="2" t="s">
        <v>78</v>
      </c>
      <c r="Q180" s="2" t="s">
        <v>98</v>
      </c>
      <c r="R180" s="2" t="s">
        <v>131</v>
      </c>
      <c r="S180" s="14"/>
      <c r="T180" s="2" t="s">
        <v>6230</v>
      </c>
      <c r="U180" s="2" t="s">
        <v>129</v>
      </c>
      <c r="V180" s="2" t="s">
        <v>69</v>
      </c>
      <c r="W180" s="2" t="s">
        <v>70</v>
      </c>
      <c r="X180" s="13">
        <v>1699</v>
      </c>
      <c r="Y180" s="2" t="s">
        <v>71</v>
      </c>
      <c r="Z180" s="2" t="s">
        <v>72</v>
      </c>
      <c r="AA180" s="13">
        <v>20000</v>
      </c>
      <c r="AB180" s="2" t="s">
        <v>107</v>
      </c>
      <c r="AC180" s="2" t="s">
        <v>6772</v>
      </c>
      <c r="AD180" s="27">
        <v>43283</v>
      </c>
      <c r="AL180" s="2" t="s">
        <v>4977</v>
      </c>
    </row>
    <row r="181" spans="1:38" x14ac:dyDescent="0.2">
      <c r="A181" s="2" t="s">
        <v>547</v>
      </c>
      <c r="B181" s="2" t="s">
        <v>4260</v>
      </c>
      <c r="C181" s="2" t="s">
        <v>552</v>
      </c>
      <c r="D181" s="2" t="s">
        <v>553</v>
      </c>
      <c r="E181" s="13">
        <v>20000</v>
      </c>
      <c r="F181" s="13">
        <v>20000</v>
      </c>
      <c r="G181" s="14">
        <v>43290</v>
      </c>
      <c r="H181" s="15">
        <v>0.95751157407406995</v>
      </c>
      <c r="I181" s="14">
        <v>43291</v>
      </c>
      <c r="J181" s="15">
        <v>0.44799768518519001</v>
      </c>
      <c r="K181" s="13">
        <v>0</v>
      </c>
      <c r="L181" s="2" t="s">
        <v>64</v>
      </c>
      <c r="M181" s="2" t="s">
        <v>549</v>
      </c>
      <c r="N181" s="14">
        <v>43306</v>
      </c>
      <c r="O181" s="14">
        <v>43293</v>
      </c>
      <c r="P181" s="2" t="s">
        <v>78</v>
      </c>
      <c r="Q181" s="2" t="s">
        <v>98</v>
      </c>
      <c r="R181" s="2" t="s">
        <v>131</v>
      </c>
      <c r="S181" s="14"/>
      <c r="T181" s="2" t="s">
        <v>6232</v>
      </c>
      <c r="U181" s="2" t="s">
        <v>198</v>
      </c>
      <c r="V181" s="2" t="s">
        <v>554</v>
      </c>
      <c r="W181" s="2" t="s">
        <v>70</v>
      </c>
      <c r="X181" s="13">
        <v>1699</v>
      </c>
      <c r="Y181" s="2" t="s">
        <v>71</v>
      </c>
      <c r="Z181" s="2" t="s">
        <v>72</v>
      </c>
      <c r="AA181" s="13">
        <v>20000</v>
      </c>
      <c r="AB181" s="2" t="s">
        <v>73</v>
      </c>
      <c r="AC181" s="2" t="s">
        <v>6772</v>
      </c>
      <c r="AD181" s="27">
        <v>43287</v>
      </c>
      <c r="AL181" s="2" t="s">
        <v>7190</v>
      </c>
    </row>
    <row r="182" spans="1:38" x14ac:dyDescent="0.2">
      <c r="A182" s="2" t="s">
        <v>547</v>
      </c>
      <c r="B182" s="2" t="s">
        <v>4261</v>
      </c>
      <c r="C182" s="2" t="s">
        <v>552</v>
      </c>
      <c r="D182" s="2" t="s">
        <v>553</v>
      </c>
      <c r="E182" s="13">
        <v>20000</v>
      </c>
      <c r="F182" s="13">
        <v>20000</v>
      </c>
      <c r="G182" s="14">
        <v>43291</v>
      </c>
      <c r="H182" s="15">
        <v>0.46883101851851999</v>
      </c>
      <c r="I182" s="14">
        <v>43291</v>
      </c>
      <c r="J182" s="15">
        <v>0.95931712962963001</v>
      </c>
      <c r="K182" s="13">
        <v>0</v>
      </c>
      <c r="L182" s="2" t="s">
        <v>64</v>
      </c>
      <c r="M182" s="2" t="s">
        <v>549</v>
      </c>
      <c r="N182" s="14">
        <v>43306</v>
      </c>
      <c r="O182" s="14">
        <v>43293</v>
      </c>
      <c r="P182" s="2" t="s">
        <v>78</v>
      </c>
      <c r="Q182" s="2" t="s">
        <v>98</v>
      </c>
      <c r="R182" s="2" t="s">
        <v>131</v>
      </c>
      <c r="S182" s="14"/>
      <c r="T182" s="2" t="s">
        <v>6231</v>
      </c>
      <c r="U182" s="2" t="s">
        <v>198</v>
      </c>
      <c r="V182" s="2" t="s">
        <v>554</v>
      </c>
      <c r="W182" s="2" t="s">
        <v>70</v>
      </c>
      <c r="X182" s="13">
        <v>1699</v>
      </c>
      <c r="Y182" s="2" t="s">
        <v>71</v>
      </c>
      <c r="Z182" s="2" t="s">
        <v>72</v>
      </c>
      <c r="AA182" s="13">
        <v>20000</v>
      </c>
      <c r="AB182" s="2" t="s">
        <v>73</v>
      </c>
      <c r="AC182" s="2" t="s">
        <v>6772</v>
      </c>
      <c r="AD182" s="27">
        <v>43287</v>
      </c>
      <c r="AL182" s="2" t="s">
        <v>7191</v>
      </c>
    </row>
    <row r="183" spans="1:38" x14ac:dyDescent="0.2">
      <c r="A183" s="2" t="s">
        <v>547</v>
      </c>
      <c r="B183" s="2" t="s">
        <v>4262</v>
      </c>
      <c r="C183" s="2" t="s">
        <v>552</v>
      </c>
      <c r="D183" s="2" t="s">
        <v>553</v>
      </c>
      <c r="E183" s="13">
        <v>20000</v>
      </c>
      <c r="F183" s="13">
        <v>20000</v>
      </c>
      <c r="G183" s="14">
        <v>43291</v>
      </c>
      <c r="H183" s="15">
        <v>0.98015046296296005</v>
      </c>
      <c r="I183" s="14">
        <v>43292</v>
      </c>
      <c r="J183" s="15">
        <v>0.47063657407407</v>
      </c>
      <c r="K183" s="13">
        <v>0</v>
      </c>
      <c r="L183" s="2" t="s">
        <v>64</v>
      </c>
      <c r="M183" s="2" t="s">
        <v>549</v>
      </c>
      <c r="N183" s="14">
        <v>43307</v>
      </c>
      <c r="O183" s="14">
        <v>43294</v>
      </c>
      <c r="P183" s="2" t="s">
        <v>78</v>
      </c>
      <c r="Q183" s="2" t="s">
        <v>98</v>
      </c>
      <c r="R183" s="2" t="s">
        <v>131</v>
      </c>
      <c r="S183" s="14"/>
      <c r="T183" s="2" t="s">
        <v>6233</v>
      </c>
      <c r="U183" s="2" t="s">
        <v>198</v>
      </c>
      <c r="V183" s="2" t="s">
        <v>554</v>
      </c>
      <c r="W183" s="2" t="s">
        <v>70</v>
      </c>
      <c r="X183" s="13">
        <v>1699</v>
      </c>
      <c r="Y183" s="2" t="s">
        <v>71</v>
      </c>
      <c r="Z183" s="2" t="s">
        <v>72</v>
      </c>
      <c r="AA183" s="13">
        <v>20000</v>
      </c>
      <c r="AB183" s="2" t="s">
        <v>73</v>
      </c>
      <c r="AC183" s="2" t="s">
        <v>6772</v>
      </c>
      <c r="AD183" s="27">
        <v>43287</v>
      </c>
      <c r="AL183" s="2" t="s">
        <v>7192</v>
      </c>
    </row>
    <row r="184" spans="1:38" hidden="1" x14ac:dyDescent="0.2">
      <c r="A184" s="2" t="s">
        <v>547</v>
      </c>
      <c r="B184" s="2" t="s">
        <v>568</v>
      </c>
      <c r="C184" s="2" t="s">
        <v>127</v>
      </c>
      <c r="D184" s="2" t="s">
        <v>128</v>
      </c>
      <c r="E184" s="13">
        <v>20190</v>
      </c>
      <c r="F184" s="13">
        <v>20190</v>
      </c>
      <c r="G184" s="14">
        <v>43301</v>
      </c>
      <c r="H184" s="15">
        <v>0.68783564814815001</v>
      </c>
      <c r="I184" s="14">
        <v>43302</v>
      </c>
      <c r="J184" s="15">
        <v>0.18297453703704</v>
      </c>
      <c r="K184" s="13">
        <v>0</v>
      </c>
      <c r="L184" s="2" t="s">
        <v>64</v>
      </c>
      <c r="M184" s="2" t="s">
        <v>569</v>
      </c>
      <c r="N184" s="14"/>
      <c r="O184" s="14">
        <v>43304</v>
      </c>
      <c r="P184" s="2" t="s">
        <v>78</v>
      </c>
      <c r="Q184" s="2" t="s">
        <v>550</v>
      </c>
      <c r="R184" s="2" t="s">
        <v>80</v>
      </c>
      <c r="S184" s="14">
        <v>43305</v>
      </c>
      <c r="T184" s="2" t="s">
        <v>6234</v>
      </c>
      <c r="U184" s="2" t="s">
        <v>129</v>
      </c>
      <c r="V184" s="2" t="s">
        <v>69</v>
      </c>
      <c r="W184" s="2" t="s">
        <v>70</v>
      </c>
      <c r="X184" s="13">
        <v>1699</v>
      </c>
      <c r="Y184" s="2" t="s">
        <v>71</v>
      </c>
      <c r="Z184" s="2" t="s">
        <v>72</v>
      </c>
      <c r="AA184" s="13">
        <v>20190</v>
      </c>
      <c r="AB184" s="2" t="s">
        <v>107</v>
      </c>
      <c r="AC184" s="2" t="s">
        <v>6772</v>
      </c>
      <c r="AD184" s="27">
        <v>43264</v>
      </c>
      <c r="AL184" s="2" t="s">
        <v>4978</v>
      </c>
    </row>
    <row r="185" spans="1:38" hidden="1" x14ac:dyDescent="0.2">
      <c r="A185" s="2" t="s">
        <v>547</v>
      </c>
      <c r="B185" s="2" t="s">
        <v>571</v>
      </c>
      <c r="C185" s="2" t="s">
        <v>127</v>
      </c>
      <c r="D185" s="2" t="s">
        <v>128</v>
      </c>
      <c r="E185" s="13">
        <v>10095</v>
      </c>
      <c r="F185" s="13">
        <v>10095</v>
      </c>
      <c r="G185" s="14">
        <v>43302</v>
      </c>
      <c r="H185" s="15">
        <v>0.20380787037036999</v>
      </c>
      <c r="I185" s="14">
        <v>43302</v>
      </c>
      <c r="J185" s="15">
        <v>0.45137731481481003</v>
      </c>
      <c r="K185" s="13">
        <v>0</v>
      </c>
      <c r="L185" s="2" t="s">
        <v>64</v>
      </c>
      <c r="M185" s="2" t="s">
        <v>561</v>
      </c>
      <c r="N185" s="14"/>
      <c r="O185" s="14">
        <v>43304</v>
      </c>
      <c r="P185" s="2" t="s">
        <v>78</v>
      </c>
      <c r="Q185" s="2" t="s">
        <v>570</v>
      </c>
      <c r="R185" s="2" t="s">
        <v>80</v>
      </c>
      <c r="S185" s="14">
        <v>43305</v>
      </c>
      <c r="T185" s="2" t="s">
        <v>6235</v>
      </c>
      <c r="U185" s="2" t="s">
        <v>129</v>
      </c>
      <c r="V185" s="2" t="s">
        <v>69</v>
      </c>
      <c r="W185" s="2" t="s">
        <v>70</v>
      </c>
      <c r="X185" s="13">
        <v>0</v>
      </c>
      <c r="Y185" s="2" t="s">
        <v>71</v>
      </c>
      <c r="Z185" s="2" t="s">
        <v>72</v>
      </c>
      <c r="AA185" s="13">
        <v>10000</v>
      </c>
      <c r="AB185" s="2" t="s">
        <v>73</v>
      </c>
      <c r="AC185" s="2" t="s">
        <v>6772</v>
      </c>
      <c r="AD185" s="27">
        <v>43262</v>
      </c>
      <c r="AL185" s="2" t="s">
        <v>4979</v>
      </c>
    </row>
    <row r="186" spans="1:38" hidden="1" x14ac:dyDescent="0.2">
      <c r="A186" s="2" t="s">
        <v>547</v>
      </c>
      <c r="B186" s="2" t="s">
        <v>573</v>
      </c>
      <c r="C186" s="2" t="s">
        <v>127</v>
      </c>
      <c r="D186" s="2" t="s">
        <v>128</v>
      </c>
      <c r="E186" s="13">
        <v>10095</v>
      </c>
      <c r="F186" s="13">
        <v>10095</v>
      </c>
      <c r="G186" s="14">
        <v>43302</v>
      </c>
      <c r="H186" s="15">
        <v>0.47221064814815</v>
      </c>
      <c r="I186" s="14">
        <v>43302</v>
      </c>
      <c r="J186" s="15">
        <v>0.71978009259259002</v>
      </c>
      <c r="K186" s="13">
        <v>0</v>
      </c>
      <c r="L186" s="2" t="s">
        <v>64</v>
      </c>
      <c r="M186" s="2" t="s">
        <v>561</v>
      </c>
      <c r="N186" s="14"/>
      <c r="O186" s="14">
        <v>43304</v>
      </c>
      <c r="P186" s="2" t="s">
        <v>78</v>
      </c>
      <c r="Q186" s="2" t="s">
        <v>572</v>
      </c>
      <c r="R186" s="2" t="s">
        <v>80</v>
      </c>
      <c r="S186" s="14">
        <v>43312</v>
      </c>
      <c r="T186" s="2" t="s">
        <v>6236</v>
      </c>
      <c r="U186" s="2" t="s">
        <v>129</v>
      </c>
      <c r="V186" s="2" t="s">
        <v>69</v>
      </c>
      <c r="W186" s="2" t="s">
        <v>70</v>
      </c>
      <c r="X186" s="13">
        <v>0</v>
      </c>
      <c r="Y186" s="2" t="s">
        <v>71</v>
      </c>
      <c r="Z186" s="2" t="s">
        <v>72</v>
      </c>
      <c r="AA186" s="13">
        <v>10000</v>
      </c>
      <c r="AB186" s="2" t="s">
        <v>73</v>
      </c>
      <c r="AC186" s="2" t="s">
        <v>6772</v>
      </c>
      <c r="AD186" s="27">
        <v>43262</v>
      </c>
      <c r="AL186" s="2" t="s">
        <v>4980</v>
      </c>
    </row>
    <row r="187" spans="1:38" hidden="1" x14ac:dyDescent="0.2">
      <c r="A187" s="2" t="s">
        <v>547</v>
      </c>
      <c r="B187" s="2" t="s">
        <v>575</v>
      </c>
      <c r="C187" s="2" t="s">
        <v>576</v>
      </c>
      <c r="D187" s="2" t="s">
        <v>577</v>
      </c>
      <c r="E187" s="13">
        <v>20000</v>
      </c>
      <c r="F187" s="13">
        <v>20000</v>
      </c>
      <c r="G187" s="14">
        <v>43305</v>
      </c>
      <c r="H187" s="15">
        <v>0.99819444444444005</v>
      </c>
      <c r="I187" s="14">
        <v>43306</v>
      </c>
      <c r="J187" s="15">
        <v>0.48868055555556</v>
      </c>
      <c r="K187" s="13">
        <v>0</v>
      </c>
      <c r="L187" s="2" t="s">
        <v>64</v>
      </c>
      <c r="M187" s="2" t="s">
        <v>549</v>
      </c>
      <c r="N187" s="14"/>
      <c r="O187" s="14">
        <v>43319</v>
      </c>
      <c r="P187" s="2" t="s">
        <v>78</v>
      </c>
      <c r="Q187" s="2" t="s">
        <v>583</v>
      </c>
      <c r="R187" s="2" t="s">
        <v>80</v>
      </c>
      <c r="S187" s="14">
        <v>43326</v>
      </c>
      <c r="U187" s="2" t="s">
        <v>578</v>
      </c>
      <c r="V187" s="2" t="s">
        <v>69</v>
      </c>
      <c r="W187" s="2" t="s">
        <v>70</v>
      </c>
      <c r="X187" s="13">
        <v>0</v>
      </c>
      <c r="Y187" s="2" t="s">
        <v>71</v>
      </c>
      <c r="Z187" s="2" t="s">
        <v>72</v>
      </c>
      <c r="AA187" s="13">
        <v>20000</v>
      </c>
      <c r="AB187" s="2" t="s">
        <v>95</v>
      </c>
      <c r="AC187" s="2" t="s">
        <v>6772</v>
      </c>
      <c r="AD187" s="27"/>
      <c r="AL187" s="2" t="s">
        <v>4981</v>
      </c>
    </row>
    <row r="188" spans="1:38" hidden="1" x14ac:dyDescent="0.2">
      <c r="A188" s="2" t="s">
        <v>547</v>
      </c>
      <c r="B188" s="2" t="s">
        <v>579</v>
      </c>
      <c r="C188" s="2" t="s">
        <v>576</v>
      </c>
      <c r="D188" s="2" t="s">
        <v>577</v>
      </c>
      <c r="E188" s="13">
        <v>20000</v>
      </c>
      <c r="F188" s="13">
        <v>20000</v>
      </c>
      <c r="G188" s="14">
        <v>43306</v>
      </c>
      <c r="H188" s="15">
        <v>0.99819444444444005</v>
      </c>
      <c r="I188" s="14">
        <v>43307</v>
      </c>
      <c r="J188" s="15">
        <v>0.48868055555556</v>
      </c>
      <c r="K188" s="13">
        <v>0</v>
      </c>
      <c r="L188" s="2" t="s">
        <v>64</v>
      </c>
      <c r="M188" s="2" t="s">
        <v>549</v>
      </c>
      <c r="N188" s="14"/>
      <c r="O188" s="14">
        <v>43329</v>
      </c>
      <c r="P188" s="2" t="s">
        <v>78</v>
      </c>
      <c r="Q188" s="2" t="s">
        <v>585</v>
      </c>
      <c r="R188" s="2" t="s">
        <v>80</v>
      </c>
      <c r="S188" s="14">
        <v>43340</v>
      </c>
      <c r="U188" s="2" t="s">
        <v>578</v>
      </c>
      <c r="V188" s="2" t="s">
        <v>69</v>
      </c>
      <c r="W188" s="2" t="s">
        <v>70</v>
      </c>
      <c r="X188" s="13">
        <v>0</v>
      </c>
      <c r="Y188" s="2" t="s">
        <v>71</v>
      </c>
      <c r="Z188" s="2" t="s">
        <v>72</v>
      </c>
      <c r="AA188" s="13">
        <v>20000</v>
      </c>
      <c r="AB188" s="2" t="s">
        <v>95</v>
      </c>
      <c r="AC188" s="2" t="s">
        <v>6772</v>
      </c>
      <c r="AD188" s="27"/>
      <c r="AL188" s="2" t="s">
        <v>4982</v>
      </c>
    </row>
    <row r="189" spans="1:38" hidden="1" x14ac:dyDescent="0.2">
      <c r="A189" s="2" t="s">
        <v>547</v>
      </c>
      <c r="B189" s="2" t="s">
        <v>580</v>
      </c>
      <c r="C189" s="2" t="s">
        <v>576</v>
      </c>
      <c r="D189" s="2" t="s">
        <v>577</v>
      </c>
      <c r="E189" s="13">
        <v>20000</v>
      </c>
      <c r="F189" s="13">
        <v>20000</v>
      </c>
      <c r="G189" s="14">
        <v>43307</v>
      </c>
      <c r="H189" s="15">
        <v>0.50951388888889004</v>
      </c>
      <c r="I189" s="14">
        <v>43308</v>
      </c>
      <c r="J189" s="15">
        <v>0</v>
      </c>
      <c r="K189" s="13">
        <v>0</v>
      </c>
      <c r="L189" s="2" t="s">
        <v>64</v>
      </c>
      <c r="M189" s="2" t="s">
        <v>549</v>
      </c>
      <c r="N189" s="14"/>
      <c r="O189" s="14">
        <v>43309</v>
      </c>
      <c r="P189" s="2" t="s">
        <v>78</v>
      </c>
      <c r="Q189" s="2" t="s">
        <v>98</v>
      </c>
      <c r="R189" s="2" t="s">
        <v>131</v>
      </c>
      <c r="S189" s="14"/>
      <c r="U189" s="2" t="s">
        <v>578</v>
      </c>
      <c r="V189" s="2" t="s">
        <v>69</v>
      </c>
      <c r="W189" s="2" t="s">
        <v>70</v>
      </c>
      <c r="X189" s="13">
        <v>0</v>
      </c>
      <c r="Y189" s="2" t="s">
        <v>71</v>
      </c>
      <c r="Z189" s="2" t="s">
        <v>72</v>
      </c>
      <c r="AA189" s="13">
        <v>20000</v>
      </c>
      <c r="AB189" s="2" t="s">
        <v>95</v>
      </c>
      <c r="AC189" s="2" t="s">
        <v>6772</v>
      </c>
      <c r="AD189" s="27"/>
      <c r="AL189" s="2" t="s">
        <v>4983</v>
      </c>
    </row>
    <row r="190" spans="1:38" hidden="1" x14ac:dyDescent="0.2">
      <c r="A190" s="2" t="s">
        <v>547</v>
      </c>
      <c r="B190" s="2" t="s">
        <v>582</v>
      </c>
      <c r="C190" s="2" t="s">
        <v>576</v>
      </c>
      <c r="D190" s="2" t="s">
        <v>577</v>
      </c>
      <c r="E190" s="13">
        <v>20000</v>
      </c>
      <c r="F190" s="13">
        <v>20000</v>
      </c>
      <c r="G190" s="14">
        <v>43308</v>
      </c>
      <c r="H190" s="15">
        <v>0.50951388888889004</v>
      </c>
      <c r="I190" s="14">
        <v>43309</v>
      </c>
      <c r="J190" s="15">
        <v>0</v>
      </c>
      <c r="K190" s="13">
        <v>0</v>
      </c>
      <c r="L190" s="2" t="s">
        <v>64</v>
      </c>
      <c r="M190" s="2" t="s">
        <v>549</v>
      </c>
      <c r="N190" s="14"/>
      <c r="O190" s="14">
        <v>43310</v>
      </c>
      <c r="P190" s="2" t="s">
        <v>78</v>
      </c>
      <c r="Q190" s="2" t="s">
        <v>98</v>
      </c>
      <c r="R190" s="2" t="s">
        <v>131</v>
      </c>
      <c r="S190" s="14"/>
      <c r="U190" s="2" t="s">
        <v>578</v>
      </c>
      <c r="V190" s="2" t="s">
        <v>69</v>
      </c>
      <c r="W190" s="2" t="s">
        <v>70</v>
      </c>
      <c r="X190" s="13">
        <v>0</v>
      </c>
      <c r="Y190" s="2" t="s">
        <v>71</v>
      </c>
      <c r="Z190" s="2" t="s">
        <v>72</v>
      </c>
      <c r="AA190" s="13">
        <v>20000</v>
      </c>
      <c r="AB190" s="2" t="s">
        <v>95</v>
      </c>
      <c r="AC190" s="2" t="s">
        <v>6772</v>
      </c>
      <c r="AD190" s="27"/>
      <c r="AL190" s="2" t="s">
        <v>4984</v>
      </c>
    </row>
    <row r="191" spans="1:38" hidden="1" x14ac:dyDescent="0.2">
      <c r="A191" s="2" t="s">
        <v>547</v>
      </c>
      <c r="B191" s="2" t="s">
        <v>584</v>
      </c>
      <c r="C191" s="2" t="s">
        <v>576</v>
      </c>
      <c r="D191" s="2" t="s">
        <v>577</v>
      </c>
      <c r="E191" s="13">
        <v>20000</v>
      </c>
      <c r="F191" s="13">
        <v>20000</v>
      </c>
      <c r="G191" s="14">
        <v>43308</v>
      </c>
      <c r="H191" s="15">
        <v>0.50951388888889004</v>
      </c>
      <c r="I191" s="14">
        <v>43309</v>
      </c>
      <c r="J191" s="15">
        <v>0</v>
      </c>
      <c r="K191" s="13">
        <v>0</v>
      </c>
      <c r="L191" s="2" t="s">
        <v>64</v>
      </c>
      <c r="M191" s="2" t="s">
        <v>549</v>
      </c>
      <c r="N191" s="14"/>
      <c r="O191" s="14">
        <v>43310</v>
      </c>
      <c r="P191" s="2" t="s">
        <v>78</v>
      </c>
      <c r="Q191" s="2" t="s">
        <v>581</v>
      </c>
      <c r="R191" s="2" t="s">
        <v>80</v>
      </c>
      <c r="S191" s="14">
        <v>43318</v>
      </c>
      <c r="U191" s="2" t="s">
        <v>578</v>
      </c>
      <c r="V191" s="2" t="s">
        <v>69</v>
      </c>
      <c r="W191" s="2" t="s">
        <v>70</v>
      </c>
      <c r="X191" s="13">
        <v>0</v>
      </c>
      <c r="Y191" s="2" t="s">
        <v>71</v>
      </c>
      <c r="Z191" s="2" t="s">
        <v>72</v>
      </c>
      <c r="AA191" s="13">
        <v>20000</v>
      </c>
      <c r="AB191" s="2" t="s">
        <v>95</v>
      </c>
      <c r="AC191" s="2" t="s">
        <v>6772</v>
      </c>
      <c r="AD191" s="27"/>
      <c r="AL191" s="2" t="s">
        <v>4985</v>
      </c>
    </row>
    <row r="192" spans="1:38" hidden="1" x14ac:dyDescent="0.2">
      <c r="A192" s="2" t="s">
        <v>547</v>
      </c>
      <c r="B192" s="2" t="s">
        <v>4263</v>
      </c>
      <c r="C192" s="2" t="s">
        <v>833</v>
      </c>
      <c r="D192" s="2" t="s">
        <v>834</v>
      </c>
      <c r="E192" s="13">
        <v>10000</v>
      </c>
      <c r="F192" s="13">
        <v>10000</v>
      </c>
      <c r="G192" s="14">
        <v>43309</v>
      </c>
      <c r="H192" s="15">
        <v>0.2434375</v>
      </c>
      <c r="I192" s="14">
        <v>43309</v>
      </c>
      <c r="J192" s="15">
        <v>0.48868055555556</v>
      </c>
      <c r="K192" s="13">
        <v>20</v>
      </c>
      <c r="L192" s="2" t="s">
        <v>64</v>
      </c>
      <c r="M192" s="2" t="s">
        <v>4259</v>
      </c>
      <c r="N192" s="14">
        <v>43313</v>
      </c>
      <c r="O192" s="14">
        <v>43311</v>
      </c>
      <c r="P192" s="2" t="s">
        <v>78</v>
      </c>
      <c r="Q192" s="2" t="s">
        <v>4264</v>
      </c>
      <c r="R192" s="2" t="s">
        <v>80</v>
      </c>
      <c r="S192" s="14">
        <v>43313</v>
      </c>
      <c r="T192" s="2" t="s">
        <v>6237</v>
      </c>
      <c r="U192" s="2" t="s">
        <v>241</v>
      </c>
      <c r="V192" s="2" t="s">
        <v>69</v>
      </c>
      <c r="W192" s="2" t="s">
        <v>70</v>
      </c>
      <c r="X192" s="13">
        <v>1699</v>
      </c>
      <c r="Y192" s="2" t="s">
        <v>71</v>
      </c>
      <c r="Z192" s="2" t="s">
        <v>72</v>
      </c>
      <c r="AA192" s="13">
        <v>10000</v>
      </c>
      <c r="AB192" s="2" t="s">
        <v>73</v>
      </c>
      <c r="AC192" s="2" t="s">
        <v>6773</v>
      </c>
      <c r="AD192" s="27">
        <v>43285</v>
      </c>
      <c r="AL192" s="2" t="s">
        <v>4986</v>
      </c>
    </row>
    <row r="193" spans="1:38" hidden="1" x14ac:dyDescent="0.2">
      <c r="A193" s="2" t="s">
        <v>547</v>
      </c>
      <c r="B193" s="2" t="s">
        <v>586</v>
      </c>
      <c r="C193" s="2" t="s">
        <v>308</v>
      </c>
      <c r="D193" s="2" t="s">
        <v>309</v>
      </c>
      <c r="E193" s="13">
        <v>8076</v>
      </c>
      <c r="F193" s="13">
        <v>8076</v>
      </c>
      <c r="G193" s="14">
        <v>43309</v>
      </c>
      <c r="H193" s="15">
        <v>0.50951388888889004</v>
      </c>
      <c r="I193" s="14">
        <v>43309</v>
      </c>
      <c r="J193" s="15">
        <v>0.70756944444444003</v>
      </c>
      <c r="K193" s="13">
        <v>0</v>
      </c>
      <c r="L193" s="2" t="s">
        <v>64</v>
      </c>
      <c r="M193" s="2" t="s">
        <v>4086</v>
      </c>
      <c r="N193" s="14">
        <v>43311</v>
      </c>
      <c r="O193" s="14">
        <v>43311</v>
      </c>
      <c r="P193" s="2" t="s">
        <v>78</v>
      </c>
      <c r="Q193" s="2" t="s">
        <v>98</v>
      </c>
      <c r="R193" s="2" t="s">
        <v>131</v>
      </c>
      <c r="S193" s="14"/>
      <c r="U193" s="2" t="s">
        <v>310</v>
      </c>
      <c r="V193" s="2" t="s">
        <v>69</v>
      </c>
      <c r="W193" s="2" t="s">
        <v>70</v>
      </c>
      <c r="X193" s="13">
        <v>0</v>
      </c>
      <c r="Y193" s="2" t="s">
        <v>71</v>
      </c>
      <c r="Z193" s="2" t="s">
        <v>72</v>
      </c>
      <c r="AA193" s="13">
        <v>8000</v>
      </c>
      <c r="AB193" s="2" t="s">
        <v>95</v>
      </c>
      <c r="AC193" s="2" t="s">
        <v>6772</v>
      </c>
      <c r="AD193" s="27"/>
      <c r="AL193" s="2" t="s">
        <v>4987</v>
      </c>
    </row>
    <row r="194" spans="1:38" hidden="1" x14ac:dyDescent="0.2">
      <c r="A194" s="2" t="s">
        <v>547</v>
      </c>
      <c r="B194" s="2" t="s">
        <v>4265</v>
      </c>
      <c r="C194" s="2" t="s">
        <v>552</v>
      </c>
      <c r="D194" s="2" t="s">
        <v>553</v>
      </c>
      <c r="E194" s="13">
        <v>20190</v>
      </c>
      <c r="F194" s="13">
        <v>20190</v>
      </c>
      <c r="G194" s="14">
        <v>43309</v>
      </c>
      <c r="H194" s="15">
        <v>0.99354166666666999</v>
      </c>
      <c r="I194" s="14">
        <v>43310</v>
      </c>
      <c r="J194" s="15">
        <v>0.48868055555556</v>
      </c>
      <c r="K194" s="13">
        <v>0</v>
      </c>
      <c r="L194" s="2" t="s">
        <v>64</v>
      </c>
      <c r="M194" s="2" t="s">
        <v>569</v>
      </c>
      <c r="N194" s="14">
        <v>43312</v>
      </c>
      <c r="O194" s="14">
        <v>43334</v>
      </c>
      <c r="P194" s="2" t="s">
        <v>78</v>
      </c>
      <c r="Q194" s="2" t="s">
        <v>4266</v>
      </c>
      <c r="R194" s="2" t="s">
        <v>93</v>
      </c>
      <c r="S194" s="14">
        <v>43334</v>
      </c>
      <c r="U194" s="2" t="s">
        <v>198</v>
      </c>
      <c r="V194" s="2" t="s">
        <v>554</v>
      </c>
      <c r="W194" s="2" t="s">
        <v>70</v>
      </c>
      <c r="X194" s="13">
        <v>0</v>
      </c>
      <c r="Y194" s="2" t="s">
        <v>71</v>
      </c>
      <c r="Z194" s="2" t="s">
        <v>72</v>
      </c>
      <c r="AA194" s="13">
        <v>20000</v>
      </c>
      <c r="AB194" s="2" t="s">
        <v>95</v>
      </c>
      <c r="AC194" s="2" t="s">
        <v>6772</v>
      </c>
      <c r="AD194" s="27"/>
      <c r="AL194" s="2" t="s">
        <v>4988</v>
      </c>
    </row>
    <row r="195" spans="1:38" hidden="1" x14ac:dyDescent="0.2">
      <c r="A195" s="2" t="s">
        <v>547</v>
      </c>
      <c r="B195" s="2" t="s">
        <v>587</v>
      </c>
      <c r="C195" s="2" t="s">
        <v>552</v>
      </c>
      <c r="D195" s="2" t="s">
        <v>553</v>
      </c>
      <c r="E195" s="13">
        <v>20000</v>
      </c>
      <c r="F195" s="13">
        <v>20000</v>
      </c>
      <c r="G195" s="14">
        <v>43310</v>
      </c>
      <c r="H195" s="15">
        <v>0.50951388888889004</v>
      </c>
      <c r="I195" s="14">
        <v>43311</v>
      </c>
      <c r="J195" s="15">
        <v>0</v>
      </c>
      <c r="K195" s="13">
        <v>0</v>
      </c>
      <c r="L195" s="2" t="s">
        <v>64</v>
      </c>
      <c r="M195" s="2" t="s">
        <v>549</v>
      </c>
      <c r="N195" s="14"/>
      <c r="O195" s="14">
        <v>43312</v>
      </c>
      <c r="P195" s="2" t="s">
        <v>78</v>
      </c>
      <c r="Q195" s="2" t="s">
        <v>98</v>
      </c>
      <c r="R195" s="2" t="s">
        <v>131</v>
      </c>
      <c r="S195" s="14"/>
      <c r="U195" s="2" t="s">
        <v>198</v>
      </c>
      <c r="V195" s="2" t="s">
        <v>554</v>
      </c>
      <c r="W195" s="2" t="s">
        <v>70</v>
      </c>
      <c r="X195" s="13">
        <v>0</v>
      </c>
      <c r="Y195" s="2" t="s">
        <v>71</v>
      </c>
      <c r="Z195" s="2" t="s">
        <v>72</v>
      </c>
      <c r="AA195" s="13">
        <v>20000</v>
      </c>
      <c r="AB195" s="2" t="s">
        <v>95</v>
      </c>
      <c r="AC195" s="2" t="s">
        <v>6772</v>
      </c>
      <c r="AD195" s="27"/>
      <c r="AL195" s="2" t="s">
        <v>4989</v>
      </c>
    </row>
    <row r="196" spans="1:38" hidden="1" x14ac:dyDescent="0.2">
      <c r="A196" s="2" t="s">
        <v>547</v>
      </c>
      <c r="B196" s="2" t="s">
        <v>588</v>
      </c>
      <c r="C196" s="2" t="s">
        <v>552</v>
      </c>
      <c r="D196" s="2" t="s">
        <v>553</v>
      </c>
      <c r="E196" s="13">
        <v>20000</v>
      </c>
      <c r="F196" s="13">
        <v>20000</v>
      </c>
      <c r="G196" s="14">
        <v>43310</v>
      </c>
      <c r="H196" s="15">
        <v>0.50951388888889004</v>
      </c>
      <c r="I196" s="14">
        <v>43311</v>
      </c>
      <c r="J196" s="15">
        <v>0</v>
      </c>
      <c r="K196" s="13">
        <v>0</v>
      </c>
      <c r="L196" s="2" t="s">
        <v>64</v>
      </c>
      <c r="M196" s="2" t="s">
        <v>549</v>
      </c>
      <c r="N196" s="14"/>
      <c r="O196" s="14">
        <v>43312</v>
      </c>
      <c r="P196" s="2" t="s">
        <v>78</v>
      </c>
      <c r="Q196" s="2" t="s">
        <v>98</v>
      </c>
      <c r="R196" s="2" t="s">
        <v>131</v>
      </c>
      <c r="S196" s="14"/>
      <c r="U196" s="2" t="s">
        <v>198</v>
      </c>
      <c r="V196" s="2" t="s">
        <v>554</v>
      </c>
      <c r="W196" s="2" t="s">
        <v>70</v>
      </c>
      <c r="X196" s="13">
        <v>0</v>
      </c>
      <c r="Y196" s="2" t="s">
        <v>71</v>
      </c>
      <c r="Z196" s="2" t="s">
        <v>72</v>
      </c>
      <c r="AA196" s="13">
        <v>20000</v>
      </c>
      <c r="AB196" s="2" t="s">
        <v>95</v>
      </c>
      <c r="AC196" s="2" t="s">
        <v>6772</v>
      </c>
      <c r="AD196" s="27"/>
      <c r="AL196" s="2" t="s">
        <v>4990</v>
      </c>
    </row>
    <row r="197" spans="1:38" hidden="1" x14ac:dyDescent="0.2">
      <c r="A197" s="2" t="s">
        <v>547</v>
      </c>
      <c r="B197" s="2" t="s">
        <v>589</v>
      </c>
      <c r="C197" s="2" t="s">
        <v>552</v>
      </c>
      <c r="D197" s="2" t="s">
        <v>553</v>
      </c>
      <c r="E197" s="13">
        <v>20000</v>
      </c>
      <c r="F197" s="13">
        <v>20000</v>
      </c>
      <c r="G197" s="14">
        <v>43311</v>
      </c>
      <c r="H197" s="15">
        <v>0.50951388888889004</v>
      </c>
      <c r="I197" s="14">
        <v>43312</v>
      </c>
      <c r="J197" s="15">
        <v>0</v>
      </c>
      <c r="K197" s="13">
        <v>0</v>
      </c>
      <c r="L197" s="2" t="s">
        <v>64</v>
      </c>
      <c r="M197" s="2" t="s">
        <v>549</v>
      </c>
      <c r="N197" s="14"/>
      <c r="O197" s="14">
        <v>43313</v>
      </c>
      <c r="P197" s="2" t="s">
        <v>78</v>
      </c>
      <c r="Q197" s="2" t="s">
        <v>98</v>
      </c>
      <c r="R197" s="2" t="s">
        <v>131</v>
      </c>
      <c r="S197" s="14"/>
      <c r="U197" s="2" t="s">
        <v>198</v>
      </c>
      <c r="V197" s="2" t="s">
        <v>554</v>
      </c>
      <c r="W197" s="2" t="s">
        <v>70</v>
      </c>
      <c r="X197" s="13">
        <v>0</v>
      </c>
      <c r="Y197" s="2" t="s">
        <v>71</v>
      </c>
      <c r="Z197" s="2" t="s">
        <v>72</v>
      </c>
      <c r="AA197" s="13">
        <v>20000</v>
      </c>
      <c r="AB197" s="2" t="s">
        <v>95</v>
      </c>
      <c r="AC197" s="2" t="s">
        <v>6772</v>
      </c>
      <c r="AD197" s="27"/>
      <c r="AL197" s="2" t="s">
        <v>4991</v>
      </c>
    </row>
    <row r="198" spans="1:38" hidden="1" x14ac:dyDescent="0.2">
      <c r="A198" s="2" t="s">
        <v>547</v>
      </c>
      <c r="B198" s="2" t="s">
        <v>590</v>
      </c>
      <c r="C198" s="2" t="s">
        <v>552</v>
      </c>
      <c r="D198" s="2" t="s">
        <v>553</v>
      </c>
      <c r="E198" s="13">
        <v>20000</v>
      </c>
      <c r="F198" s="13">
        <v>20000</v>
      </c>
      <c r="G198" s="14">
        <v>43312</v>
      </c>
      <c r="H198" s="15">
        <v>0.50951388888889004</v>
      </c>
      <c r="I198" s="14">
        <v>43313</v>
      </c>
      <c r="J198" s="15">
        <v>0</v>
      </c>
      <c r="K198" s="13">
        <v>0</v>
      </c>
      <c r="L198" s="2" t="s">
        <v>64</v>
      </c>
      <c r="M198" s="2" t="s">
        <v>549</v>
      </c>
      <c r="N198" s="14"/>
      <c r="O198" s="14">
        <v>43314</v>
      </c>
      <c r="P198" s="2" t="s">
        <v>78</v>
      </c>
      <c r="Q198" s="2" t="s">
        <v>98</v>
      </c>
      <c r="R198" s="2" t="s">
        <v>131</v>
      </c>
      <c r="S198" s="14"/>
      <c r="U198" s="2" t="s">
        <v>198</v>
      </c>
      <c r="V198" s="2" t="s">
        <v>554</v>
      </c>
      <c r="W198" s="2" t="s">
        <v>70</v>
      </c>
      <c r="X198" s="13">
        <v>0</v>
      </c>
      <c r="Y198" s="2" t="s">
        <v>71</v>
      </c>
      <c r="Z198" s="2" t="s">
        <v>72</v>
      </c>
      <c r="AA198" s="13">
        <v>20000</v>
      </c>
      <c r="AB198" s="2" t="s">
        <v>95</v>
      </c>
      <c r="AC198" s="2" t="s">
        <v>6772</v>
      </c>
      <c r="AD198" s="27"/>
      <c r="AL198" s="2" t="s">
        <v>4992</v>
      </c>
    </row>
    <row r="199" spans="1:38" hidden="1" x14ac:dyDescent="0.2">
      <c r="A199" s="2" t="s">
        <v>547</v>
      </c>
      <c r="B199" s="2" t="s">
        <v>591</v>
      </c>
      <c r="C199" s="2" t="s">
        <v>552</v>
      </c>
      <c r="D199" s="2" t="s">
        <v>553</v>
      </c>
      <c r="E199" s="13">
        <v>20000</v>
      </c>
      <c r="F199" s="13">
        <v>20000</v>
      </c>
      <c r="G199" s="14">
        <v>43312</v>
      </c>
      <c r="H199" s="15">
        <v>0.50951388888889004</v>
      </c>
      <c r="I199" s="14">
        <v>43313</v>
      </c>
      <c r="J199" s="15">
        <v>0</v>
      </c>
      <c r="K199" s="13">
        <v>0</v>
      </c>
      <c r="L199" s="2" t="s">
        <v>64</v>
      </c>
      <c r="M199" s="2" t="s">
        <v>549</v>
      </c>
      <c r="N199" s="14"/>
      <c r="O199" s="14">
        <v>43314</v>
      </c>
      <c r="P199" s="2" t="s">
        <v>78</v>
      </c>
      <c r="Q199" s="2" t="s">
        <v>98</v>
      </c>
      <c r="R199" s="2" t="s">
        <v>131</v>
      </c>
      <c r="S199" s="14"/>
      <c r="U199" s="2" t="s">
        <v>198</v>
      </c>
      <c r="V199" s="2" t="s">
        <v>554</v>
      </c>
      <c r="W199" s="2" t="s">
        <v>70</v>
      </c>
      <c r="X199" s="13">
        <v>0</v>
      </c>
      <c r="Y199" s="2" t="s">
        <v>71</v>
      </c>
      <c r="Z199" s="2" t="s">
        <v>72</v>
      </c>
      <c r="AA199" s="13">
        <v>20000</v>
      </c>
      <c r="AB199" s="2" t="s">
        <v>95</v>
      </c>
      <c r="AC199" s="2" t="s">
        <v>6772</v>
      </c>
      <c r="AD199" s="27"/>
      <c r="AL199" s="2" t="s">
        <v>4993</v>
      </c>
    </row>
    <row r="200" spans="1:38" hidden="1" x14ac:dyDescent="0.2">
      <c r="A200" s="2" t="s">
        <v>547</v>
      </c>
      <c r="B200" s="2" t="s">
        <v>592</v>
      </c>
      <c r="C200" s="2" t="s">
        <v>552</v>
      </c>
      <c r="D200" s="2" t="s">
        <v>553</v>
      </c>
      <c r="E200" s="13">
        <v>20000</v>
      </c>
      <c r="F200" s="13">
        <v>20000</v>
      </c>
      <c r="G200" s="14">
        <v>43313</v>
      </c>
      <c r="H200" s="15">
        <v>0.50951388888889004</v>
      </c>
      <c r="I200" s="14">
        <v>43314</v>
      </c>
      <c r="J200" s="15">
        <v>0</v>
      </c>
      <c r="K200" s="13">
        <v>0</v>
      </c>
      <c r="L200" s="2" t="s">
        <v>64</v>
      </c>
      <c r="M200" s="2" t="s">
        <v>549</v>
      </c>
      <c r="N200" s="14"/>
      <c r="O200" s="14">
        <v>43315</v>
      </c>
      <c r="P200" s="2" t="s">
        <v>78</v>
      </c>
      <c r="Q200" s="2" t="s">
        <v>98</v>
      </c>
      <c r="R200" s="2" t="s">
        <v>131</v>
      </c>
      <c r="S200" s="14"/>
      <c r="U200" s="2" t="s">
        <v>198</v>
      </c>
      <c r="V200" s="2" t="s">
        <v>554</v>
      </c>
      <c r="W200" s="2" t="s">
        <v>70</v>
      </c>
      <c r="X200" s="13">
        <v>0</v>
      </c>
      <c r="Y200" s="2" t="s">
        <v>71</v>
      </c>
      <c r="Z200" s="2" t="s">
        <v>72</v>
      </c>
      <c r="AA200" s="13">
        <v>20000</v>
      </c>
      <c r="AB200" s="2" t="s">
        <v>95</v>
      </c>
      <c r="AC200" s="2" t="s">
        <v>6772</v>
      </c>
      <c r="AD200" s="27"/>
      <c r="AL200" s="2" t="s">
        <v>4994</v>
      </c>
    </row>
    <row r="201" spans="1:38" hidden="1" x14ac:dyDescent="0.2">
      <c r="A201" s="2" t="s">
        <v>547</v>
      </c>
      <c r="B201" s="2" t="s">
        <v>593</v>
      </c>
      <c r="C201" s="2" t="s">
        <v>127</v>
      </c>
      <c r="D201" s="2" t="s">
        <v>128</v>
      </c>
      <c r="E201" s="13">
        <v>10095</v>
      </c>
      <c r="F201" s="13">
        <v>10095</v>
      </c>
      <c r="G201" s="14">
        <v>43314</v>
      </c>
      <c r="H201" s="15">
        <v>2.0833333333330002E-2</v>
      </c>
      <c r="I201" s="14">
        <v>43314</v>
      </c>
      <c r="J201" s="15">
        <v>0.26840277777777999</v>
      </c>
      <c r="K201" s="13">
        <v>0</v>
      </c>
      <c r="L201" s="2" t="s">
        <v>64</v>
      </c>
      <c r="M201" s="2" t="s">
        <v>561</v>
      </c>
      <c r="N201" s="14"/>
      <c r="O201" s="14">
        <v>43316</v>
      </c>
      <c r="P201" s="2" t="s">
        <v>78</v>
      </c>
      <c r="Q201" s="2" t="s">
        <v>594</v>
      </c>
      <c r="R201" s="2" t="s">
        <v>80</v>
      </c>
      <c r="S201" s="14">
        <v>43318</v>
      </c>
      <c r="U201" s="2" t="s">
        <v>129</v>
      </c>
      <c r="V201" s="2" t="s">
        <v>69</v>
      </c>
      <c r="W201" s="2" t="s">
        <v>70</v>
      </c>
      <c r="X201" s="13">
        <v>0</v>
      </c>
      <c r="Y201" s="2" t="s">
        <v>71</v>
      </c>
      <c r="Z201" s="2" t="s">
        <v>72</v>
      </c>
      <c r="AA201" s="13">
        <v>10000</v>
      </c>
      <c r="AB201" s="2" t="s">
        <v>95</v>
      </c>
      <c r="AC201" s="2" t="s">
        <v>6772</v>
      </c>
      <c r="AD201" s="27"/>
      <c r="AL201" s="2" t="s">
        <v>4995</v>
      </c>
    </row>
    <row r="202" spans="1:38" hidden="1" x14ac:dyDescent="0.2">
      <c r="A202" s="2" t="s">
        <v>547</v>
      </c>
      <c r="B202" s="2" t="s">
        <v>595</v>
      </c>
      <c r="C202" s="2" t="s">
        <v>552</v>
      </c>
      <c r="D202" s="2" t="s">
        <v>553</v>
      </c>
      <c r="E202" s="13">
        <v>20000</v>
      </c>
      <c r="F202" s="13">
        <v>20000</v>
      </c>
      <c r="G202" s="14">
        <v>43314</v>
      </c>
      <c r="H202" s="15">
        <v>0.50950231481481001</v>
      </c>
      <c r="I202" s="14">
        <v>43314</v>
      </c>
      <c r="J202" s="15">
        <v>0.99998842592592996</v>
      </c>
      <c r="K202" s="13">
        <v>0</v>
      </c>
      <c r="L202" s="2" t="s">
        <v>64</v>
      </c>
      <c r="M202" s="2" t="s">
        <v>549</v>
      </c>
      <c r="N202" s="14">
        <v>43316</v>
      </c>
      <c r="O202" s="14">
        <v>43316</v>
      </c>
      <c r="P202" s="2" t="s">
        <v>78</v>
      </c>
      <c r="Q202" s="2" t="s">
        <v>98</v>
      </c>
      <c r="R202" s="2" t="s">
        <v>131</v>
      </c>
      <c r="S202" s="14"/>
      <c r="U202" s="2" t="s">
        <v>198</v>
      </c>
      <c r="V202" s="2" t="s">
        <v>554</v>
      </c>
      <c r="W202" s="2" t="s">
        <v>70</v>
      </c>
      <c r="X202" s="13">
        <v>0</v>
      </c>
      <c r="Y202" s="2" t="s">
        <v>71</v>
      </c>
      <c r="Z202" s="2" t="s">
        <v>72</v>
      </c>
      <c r="AA202" s="13">
        <v>20000</v>
      </c>
      <c r="AB202" s="2" t="s">
        <v>95</v>
      </c>
      <c r="AC202" s="2" t="s">
        <v>6772</v>
      </c>
      <c r="AD202" s="27"/>
      <c r="AL202" s="2" t="s">
        <v>4996</v>
      </c>
    </row>
    <row r="203" spans="1:38" hidden="1" x14ac:dyDescent="0.2">
      <c r="A203" s="2" t="s">
        <v>547</v>
      </c>
      <c r="B203" s="2" t="s">
        <v>596</v>
      </c>
      <c r="C203" s="2" t="s">
        <v>552</v>
      </c>
      <c r="D203" s="2" t="s">
        <v>553</v>
      </c>
      <c r="E203" s="13">
        <v>20000</v>
      </c>
      <c r="F203" s="13">
        <v>20000</v>
      </c>
      <c r="G203" s="14">
        <v>43315</v>
      </c>
      <c r="H203" s="15">
        <v>0.50950231481481001</v>
      </c>
      <c r="I203" s="14">
        <v>43315</v>
      </c>
      <c r="J203" s="15">
        <v>0.99998842592592996</v>
      </c>
      <c r="K203" s="13">
        <v>0</v>
      </c>
      <c r="L203" s="2" t="s">
        <v>64</v>
      </c>
      <c r="M203" s="2" t="s">
        <v>549</v>
      </c>
      <c r="N203" s="14">
        <v>43317</v>
      </c>
      <c r="O203" s="14">
        <v>43317</v>
      </c>
      <c r="P203" s="2" t="s">
        <v>78</v>
      </c>
      <c r="Q203" s="2" t="s">
        <v>98</v>
      </c>
      <c r="R203" s="2" t="s">
        <v>131</v>
      </c>
      <c r="S203" s="14"/>
      <c r="U203" s="2" t="s">
        <v>198</v>
      </c>
      <c r="V203" s="2" t="s">
        <v>554</v>
      </c>
      <c r="W203" s="2" t="s">
        <v>70</v>
      </c>
      <c r="X203" s="13">
        <v>0</v>
      </c>
      <c r="Y203" s="2" t="s">
        <v>71</v>
      </c>
      <c r="Z203" s="2" t="s">
        <v>72</v>
      </c>
      <c r="AA203" s="13">
        <v>20000</v>
      </c>
      <c r="AB203" s="2" t="s">
        <v>95</v>
      </c>
      <c r="AC203" s="2" t="s">
        <v>6772</v>
      </c>
      <c r="AD203" s="27"/>
      <c r="AL203" s="2" t="s">
        <v>4997</v>
      </c>
    </row>
    <row r="204" spans="1:38" hidden="1" x14ac:dyDescent="0.2">
      <c r="A204" s="2" t="s">
        <v>547</v>
      </c>
      <c r="B204" s="2" t="s">
        <v>597</v>
      </c>
      <c r="C204" s="2" t="s">
        <v>552</v>
      </c>
      <c r="D204" s="2" t="s">
        <v>553</v>
      </c>
      <c r="E204" s="13">
        <v>20000</v>
      </c>
      <c r="F204" s="13">
        <v>20000</v>
      </c>
      <c r="G204" s="14">
        <v>43316</v>
      </c>
      <c r="H204" s="15">
        <v>0.50950231481481001</v>
      </c>
      <c r="I204" s="14">
        <v>43316</v>
      </c>
      <c r="J204" s="15">
        <v>0.99998842592592996</v>
      </c>
      <c r="K204" s="13">
        <v>0</v>
      </c>
      <c r="L204" s="2" t="s">
        <v>64</v>
      </c>
      <c r="M204" s="2" t="s">
        <v>549</v>
      </c>
      <c r="N204" s="14">
        <v>43318</v>
      </c>
      <c r="O204" s="14">
        <v>43318</v>
      </c>
      <c r="P204" s="2" t="s">
        <v>78</v>
      </c>
      <c r="Q204" s="2" t="s">
        <v>98</v>
      </c>
      <c r="R204" s="2" t="s">
        <v>131</v>
      </c>
      <c r="S204" s="14"/>
      <c r="U204" s="2" t="s">
        <v>198</v>
      </c>
      <c r="V204" s="2" t="s">
        <v>554</v>
      </c>
      <c r="W204" s="2" t="s">
        <v>70</v>
      </c>
      <c r="X204" s="13">
        <v>0</v>
      </c>
      <c r="Y204" s="2" t="s">
        <v>71</v>
      </c>
      <c r="Z204" s="2" t="s">
        <v>72</v>
      </c>
      <c r="AA204" s="13">
        <v>20000</v>
      </c>
      <c r="AB204" s="2" t="s">
        <v>95</v>
      </c>
      <c r="AC204" s="2" t="s">
        <v>6772</v>
      </c>
      <c r="AD204" s="27"/>
      <c r="AL204" s="2" t="s">
        <v>4998</v>
      </c>
    </row>
    <row r="205" spans="1:38" hidden="1" x14ac:dyDescent="0.2">
      <c r="A205" s="2" t="s">
        <v>547</v>
      </c>
      <c r="B205" s="2" t="s">
        <v>598</v>
      </c>
      <c r="C205" s="2" t="s">
        <v>552</v>
      </c>
      <c r="D205" s="2" t="s">
        <v>553</v>
      </c>
      <c r="E205" s="13">
        <v>20000</v>
      </c>
      <c r="F205" s="13">
        <v>20000</v>
      </c>
      <c r="G205" s="14">
        <v>43317</v>
      </c>
      <c r="H205" s="15">
        <v>0.50950231481481001</v>
      </c>
      <c r="I205" s="14">
        <v>43317</v>
      </c>
      <c r="J205" s="15">
        <v>0.99998842592592996</v>
      </c>
      <c r="K205" s="13">
        <v>0</v>
      </c>
      <c r="L205" s="2" t="s">
        <v>64</v>
      </c>
      <c r="M205" s="2" t="s">
        <v>549</v>
      </c>
      <c r="N205" s="14">
        <v>43319</v>
      </c>
      <c r="O205" s="14">
        <v>43319</v>
      </c>
      <c r="P205" s="2" t="s">
        <v>78</v>
      </c>
      <c r="Q205" s="2" t="s">
        <v>98</v>
      </c>
      <c r="R205" s="2" t="s">
        <v>131</v>
      </c>
      <c r="S205" s="14"/>
      <c r="U205" s="2" t="s">
        <v>198</v>
      </c>
      <c r="V205" s="2" t="s">
        <v>554</v>
      </c>
      <c r="W205" s="2" t="s">
        <v>70</v>
      </c>
      <c r="X205" s="13">
        <v>0</v>
      </c>
      <c r="Y205" s="2" t="s">
        <v>71</v>
      </c>
      <c r="Z205" s="2" t="s">
        <v>72</v>
      </c>
      <c r="AA205" s="13">
        <v>20000</v>
      </c>
      <c r="AB205" s="2" t="s">
        <v>95</v>
      </c>
      <c r="AC205" s="2" t="s">
        <v>6772</v>
      </c>
      <c r="AD205" s="27"/>
      <c r="AL205" s="2" t="s">
        <v>4999</v>
      </c>
    </row>
    <row r="206" spans="1:38" hidden="1" x14ac:dyDescent="0.2">
      <c r="A206" s="2" t="s">
        <v>547</v>
      </c>
      <c r="B206" s="2" t="s">
        <v>599</v>
      </c>
      <c r="C206" s="2" t="s">
        <v>552</v>
      </c>
      <c r="D206" s="2" t="s">
        <v>553</v>
      </c>
      <c r="E206" s="13">
        <v>20000</v>
      </c>
      <c r="F206" s="13">
        <v>20000</v>
      </c>
      <c r="G206" s="14">
        <v>43318</v>
      </c>
      <c r="H206" s="15">
        <v>0.50950231481481001</v>
      </c>
      <c r="I206" s="14">
        <v>43318</v>
      </c>
      <c r="J206" s="15">
        <v>0.99998842592592996</v>
      </c>
      <c r="K206" s="13">
        <v>0</v>
      </c>
      <c r="L206" s="2" t="s">
        <v>64</v>
      </c>
      <c r="M206" s="2" t="s">
        <v>549</v>
      </c>
      <c r="N206" s="14">
        <v>43320</v>
      </c>
      <c r="O206" s="14">
        <v>43320</v>
      </c>
      <c r="P206" s="2" t="s">
        <v>78</v>
      </c>
      <c r="Q206" s="2" t="s">
        <v>4267</v>
      </c>
      <c r="R206" s="2" t="s">
        <v>80</v>
      </c>
      <c r="S206" s="14">
        <v>43321</v>
      </c>
      <c r="U206" s="2" t="s">
        <v>198</v>
      </c>
      <c r="V206" s="2" t="s">
        <v>554</v>
      </c>
      <c r="W206" s="2" t="s">
        <v>70</v>
      </c>
      <c r="X206" s="13">
        <v>0</v>
      </c>
      <c r="Y206" s="2" t="s">
        <v>71</v>
      </c>
      <c r="Z206" s="2" t="s">
        <v>72</v>
      </c>
      <c r="AA206" s="13">
        <v>20000</v>
      </c>
      <c r="AB206" s="2" t="s">
        <v>95</v>
      </c>
      <c r="AC206" s="2" t="s">
        <v>6772</v>
      </c>
      <c r="AD206" s="27"/>
      <c r="AL206" s="2" t="s">
        <v>5000</v>
      </c>
    </row>
    <row r="207" spans="1:38" hidden="1" x14ac:dyDescent="0.2">
      <c r="A207" s="2" t="s">
        <v>547</v>
      </c>
      <c r="B207" s="2" t="s">
        <v>600</v>
      </c>
      <c r="C207" s="2" t="s">
        <v>552</v>
      </c>
      <c r="D207" s="2" t="s">
        <v>553</v>
      </c>
      <c r="E207" s="13">
        <v>20000</v>
      </c>
      <c r="F207" s="13">
        <v>20000</v>
      </c>
      <c r="G207" s="14">
        <v>43319</v>
      </c>
      <c r="H207" s="15">
        <v>0.50950231481481001</v>
      </c>
      <c r="I207" s="14">
        <v>43319</v>
      </c>
      <c r="J207" s="15">
        <v>0.99998842592592996</v>
      </c>
      <c r="K207" s="13">
        <v>0</v>
      </c>
      <c r="L207" s="2" t="s">
        <v>64</v>
      </c>
      <c r="M207" s="2" t="s">
        <v>549</v>
      </c>
      <c r="N207" s="14">
        <v>43321</v>
      </c>
      <c r="O207" s="14">
        <v>43321</v>
      </c>
      <c r="P207" s="2" t="s">
        <v>78</v>
      </c>
      <c r="Q207" s="2" t="s">
        <v>98</v>
      </c>
      <c r="R207" s="2" t="s">
        <v>131</v>
      </c>
      <c r="S207" s="14"/>
      <c r="U207" s="2" t="s">
        <v>198</v>
      </c>
      <c r="V207" s="2" t="s">
        <v>554</v>
      </c>
      <c r="W207" s="2" t="s">
        <v>70</v>
      </c>
      <c r="X207" s="13">
        <v>0</v>
      </c>
      <c r="Y207" s="2" t="s">
        <v>71</v>
      </c>
      <c r="Z207" s="2" t="s">
        <v>72</v>
      </c>
      <c r="AA207" s="13">
        <v>20000</v>
      </c>
      <c r="AB207" s="2" t="s">
        <v>95</v>
      </c>
      <c r="AC207" s="2" t="s">
        <v>6772</v>
      </c>
      <c r="AD207" s="27"/>
      <c r="AL207" s="2" t="s">
        <v>5001</v>
      </c>
    </row>
    <row r="208" spans="1:38" hidden="1" x14ac:dyDescent="0.2">
      <c r="A208" s="2" t="s">
        <v>547</v>
      </c>
      <c r="B208" s="2" t="s">
        <v>602</v>
      </c>
      <c r="C208" s="2" t="s">
        <v>127</v>
      </c>
      <c r="D208" s="2" t="s">
        <v>128</v>
      </c>
      <c r="E208" s="13">
        <v>20000</v>
      </c>
      <c r="F208" s="13">
        <v>20000</v>
      </c>
      <c r="G208" s="14">
        <v>43320</v>
      </c>
      <c r="H208" s="15">
        <v>0.37074074074073998</v>
      </c>
      <c r="I208" s="14">
        <v>43320</v>
      </c>
      <c r="J208" s="15">
        <v>0.86122685185184999</v>
      </c>
      <c r="K208" s="13">
        <v>0</v>
      </c>
      <c r="L208" s="2" t="s">
        <v>64</v>
      </c>
      <c r="M208" s="2" t="s">
        <v>549</v>
      </c>
      <c r="N208" s="14"/>
      <c r="O208" s="14">
        <v>43322</v>
      </c>
      <c r="P208" s="2" t="s">
        <v>78</v>
      </c>
      <c r="Q208" s="2" t="s">
        <v>98</v>
      </c>
      <c r="R208" s="2" t="s">
        <v>131</v>
      </c>
      <c r="S208" s="14"/>
      <c r="U208" s="2" t="s">
        <v>129</v>
      </c>
      <c r="V208" s="2" t="s">
        <v>69</v>
      </c>
      <c r="W208" s="2" t="s">
        <v>70</v>
      </c>
      <c r="X208" s="13">
        <v>0</v>
      </c>
      <c r="Y208" s="2" t="s">
        <v>71</v>
      </c>
      <c r="Z208" s="2" t="s">
        <v>72</v>
      </c>
      <c r="AA208" s="13">
        <v>20000</v>
      </c>
      <c r="AB208" s="2" t="s">
        <v>95</v>
      </c>
      <c r="AC208" s="2" t="s">
        <v>6772</v>
      </c>
      <c r="AD208" s="27"/>
      <c r="AL208" s="2" t="s">
        <v>5002</v>
      </c>
    </row>
    <row r="209" spans="1:38" hidden="1" x14ac:dyDescent="0.2">
      <c r="A209" s="2" t="s">
        <v>547</v>
      </c>
      <c r="B209" s="2" t="s">
        <v>603</v>
      </c>
      <c r="C209" s="2" t="s">
        <v>552</v>
      </c>
      <c r="D209" s="2" t="s">
        <v>553</v>
      </c>
      <c r="E209" s="13">
        <v>20000</v>
      </c>
      <c r="F209" s="13">
        <v>20000</v>
      </c>
      <c r="G209" s="14">
        <v>43320</v>
      </c>
      <c r="H209" s="15">
        <v>0.50950231481481001</v>
      </c>
      <c r="I209" s="14">
        <v>43320</v>
      </c>
      <c r="J209" s="15">
        <v>0.99998842592592996</v>
      </c>
      <c r="K209" s="13">
        <v>0</v>
      </c>
      <c r="L209" s="2" t="s">
        <v>64</v>
      </c>
      <c r="M209" s="2" t="s">
        <v>549</v>
      </c>
      <c r="N209" s="14">
        <v>43322</v>
      </c>
      <c r="O209" s="14">
        <v>43322</v>
      </c>
      <c r="P209" s="2" t="s">
        <v>78</v>
      </c>
      <c r="Q209" s="2" t="s">
        <v>98</v>
      </c>
      <c r="R209" s="2" t="s">
        <v>131</v>
      </c>
      <c r="S209" s="14"/>
      <c r="U209" s="2" t="s">
        <v>198</v>
      </c>
      <c r="V209" s="2" t="s">
        <v>554</v>
      </c>
      <c r="W209" s="2" t="s">
        <v>70</v>
      </c>
      <c r="X209" s="13">
        <v>0</v>
      </c>
      <c r="Y209" s="2" t="s">
        <v>71</v>
      </c>
      <c r="Z209" s="2" t="s">
        <v>72</v>
      </c>
      <c r="AA209" s="13">
        <v>20000</v>
      </c>
      <c r="AB209" s="2" t="s">
        <v>95</v>
      </c>
      <c r="AC209" s="2" t="s">
        <v>6772</v>
      </c>
      <c r="AD209" s="27"/>
      <c r="AL209" s="2" t="s">
        <v>5003</v>
      </c>
    </row>
    <row r="210" spans="1:38" hidden="1" x14ac:dyDescent="0.2">
      <c r="A210" s="2" t="s">
        <v>547</v>
      </c>
      <c r="B210" s="2" t="s">
        <v>604</v>
      </c>
      <c r="C210" s="2" t="s">
        <v>552</v>
      </c>
      <c r="D210" s="2" t="s">
        <v>553</v>
      </c>
      <c r="E210" s="13">
        <v>20000</v>
      </c>
      <c r="F210" s="13">
        <v>20000</v>
      </c>
      <c r="G210" s="14">
        <v>43321</v>
      </c>
      <c r="H210" s="15">
        <v>0.50950231481481001</v>
      </c>
      <c r="I210" s="14">
        <v>43321</v>
      </c>
      <c r="J210" s="15">
        <v>0.99998842592592996</v>
      </c>
      <c r="K210" s="13">
        <v>0</v>
      </c>
      <c r="L210" s="2" t="s">
        <v>64</v>
      </c>
      <c r="M210" s="2" t="s">
        <v>549</v>
      </c>
      <c r="N210" s="14">
        <v>43323</v>
      </c>
      <c r="O210" s="14">
        <v>43323</v>
      </c>
      <c r="P210" s="2" t="s">
        <v>78</v>
      </c>
      <c r="Q210" s="2" t="s">
        <v>98</v>
      </c>
      <c r="R210" s="2" t="s">
        <v>131</v>
      </c>
      <c r="S210" s="14"/>
      <c r="U210" s="2" t="s">
        <v>198</v>
      </c>
      <c r="V210" s="2" t="s">
        <v>554</v>
      </c>
      <c r="W210" s="2" t="s">
        <v>70</v>
      </c>
      <c r="X210" s="13">
        <v>0</v>
      </c>
      <c r="Y210" s="2" t="s">
        <v>71</v>
      </c>
      <c r="Z210" s="2" t="s">
        <v>72</v>
      </c>
      <c r="AA210" s="13">
        <v>20000</v>
      </c>
      <c r="AB210" s="2" t="s">
        <v>95</v>
      </c>
      <c r="AC210" s="2" t="s">
        <v>6772</v>
      </c>
      <c r="AD210" s="27"/>
      <c r="AL210" s="2" t="s">
        <v>5004</v>
      </c>
    </row>
    <row r="211" spans="1:38" hidden="1" x14ac:dyDescent="0.2">
      <c r="A211" s="2" t="s">
        <v>547</v>
      </c>
      <c r="B211" s="2" t="s">
        <v>606</v>
      </c>
      <c r="C211" s="2" t="s">
        <v>552</v>
      </c>
      <c r="D211" s="2" t="s">
        <v>553</v>
      </c>
      <c r="E211" s="13">
        <v>20000</v>
      </c>
      <c r="F211" s="13">
        <v>20000</v>
      </c>
      <c r="G211" s="14">
        <v>43322</v>
      </c>
      <c r="H211" s="15">
        <v>0.50950231481481001</v>
      </c>
      <c r="I211" s="14">
        <v>43322</v>
      </c>
      <c r="J211" s="15">
        <v>0.99998842592592996</v>
      </c>
      <c r="K211" s="13">
        <v>0</v>
      </c>
      <c r="L211" s="2" t="s">
        <v>64</v>
      </c>
      <c r="M211" s="2" t="s">
        <v>549</v>
      </c>
      <c r="N211" s="14">
        <v>43324</v>
      </c>
      <c r="O211" s="14">
        <v>43324</v>
      </c>
      <c r="P211" s="2" t="s">
        <v>78</v>
      </c>
      <c r="Q211" s="2" t="s">
        <v>98</v>
      </c>
      <c r="R211" s="2" t="s">
        <v>131</v>
      </c>
      <c r="S211" s="14"/>
      <c r="U211" s="2" t="s">
        <v>198</v>
      </c>
      <c r="V211" s="2" t="s">
        <v>554</v>
      </c>
      <c r="W211" s="2" t="s">
        <v>70</v>
      </c>
      <c r="X211" s="13">
        <v>0</v>
      </c>
      <c r="Y211" s="2" t="s">
        <v>71</v>
      </c>
      <c r="Z211" s="2" t="s">
        <v>72</v>
      </c>
      <c r="AA211" s="13">
        <v>20000</v>
      </c>
      <c r="AB211" s="2" t="s">
        <v>95</v>
      </c>
      <c r="AC211" s="2" t="s">
        <v>6772</v>
      </c>
      <c r="AD211" s="27"/>
      <c r="AL211" s="2" t="s">
        <v>5005</v>
      </c>
    </row>
    <row r="212" spans="1:38" hidden="1" x14ac:dyDescent="0.2">
      <c r="A212" s="2" t="s">
        <v>547</v>
      </c>
      <c r="B212" s="2" t="s">
        <v>608</v>
      </c>
      <c r="C212" s="2" t="s">
        <v>552</v>
      </c>
      <c r="D212" s="2" t="s">
        <v>553</v>
      </c>
      <c r="E212" s="13">
        <v>20000</v>
      </c>
      <c r="F212" s="13">
        <v>20000</v>
      </c>
      <c r="G212" s="14">
        <v>43323</v>
      </c>
      <c r="H212" s="15">
        <v>0.50950231481481001</v>
      </c>
      <c r="I212" s="14">
        <v>43323</v>
      </c>
      <c r="J212" s="15">
        <v>0.99998842592592996</v>
      </c>
      <c r="K212" s="13">
        <v>0</v>
      </c>
      <c r="L212" s="2" t="s">
        <v>64</v>
      </c>
      <c r="M212" s="2" t="s">
        <v>549</v>
      </c>
      <c r="N212" s="14">
        <v>43325</v>
      </c>
      <c r="O212" s="14">
        <v>43325</v>
      </c>
      <c r="P212" s="2" t="s">
        <v>78</v>
      </c>
      <c r="Q212" s="2" t="s">
        <v>98</v>
      </c>
      <c r="R212" s="2" t="s">
        <v>131</v>
      </c>
      <c r="S212" s="14"/>
      <c r="U212" s="2" t="s">
        <v>198</v>
      </c>
      <c r="V212" s="2" t="s">
        <v>554</v>
      </c>
      <c r="W212" s="2" t="s">
        <v>70</v>
      </c>
      <c r="X212" s="13">
        <v>0</v>
      </c>
      <c r="Y212" s="2" t="s">
        <v>71</v>
      </c>
      <c r="Z212" s="2" t="s">
        <v>72</v>
      </c>
      <c r="AA212" s="13">
        <v>20000</v>
      </c>
      <c r="AB212" s="2" t="s">
        <v>95</v>
      </c>
      <c r="AC212" s="2" t="s">
        <v>6772</v>
      </c>
      <c r="AD212" s="27"/>
      <c r="AL212" s="2" t="s">
        <v>5006</v>
      </c>
    </row>
    <row r="213" spans="1:38" hidden="1" x14ac:dyDescent="0.2">
      <c r="A213" s="2" t="s">
        <v>547</v>
      </c>
      <c r="B213" s="2" t="s">
        <v>609</v>
      </c>
      <c r="C213" s="2" t="s">
        <v>552</v>
      </c>
      <c r="D213" s="2" t="s">
        <v>553</v>
      </c>
      <c r="E213" s="13">
        <v>20000</v>
      </c>
      <c r="F213" s="13">
        <v>20000</v>
      </c>
      <c r="G213" s="14">
        <v>43323</v>
      </c>
      <c r="H213" s="15">
        <v>0.50950231481481001</v>
      </c>
      <c r="I213" s="14">
        <v>43323</v>
      </c>
      <c r="J213" s="15">
        <v>0.99998842592592996</v>
      </c>
      <c r="K213" s="13">
        <v>0</v>
      </c>
      <c r="L213" s="2" t="s">
        <v>64</v>
      </c>
      <c r="M213" s="2" t="s">
        <v>549</v>
      </c>
      <c r="N213" s="14">
        <v>43325</v>
      </c>
      <c r="O213" s="14">
        <v>43325</v>
      </c>
      <c r="P213" s="2" t="s">
        <v>78</v>
      </c>
      <c r="Q213" s="2" t="s">
        <v>98</v>
      </c>
      <c r="R213" s="2" t="s">
        <v>131</v>
      </c>
      <c r="S213" s="14"/>
      <c r="U213" s="2" t="s">
        <v>198</v>
      </c>
      <c r="V213" s="2" t="s">
        <v>554</v>
      </c>
      <c r="W213" s="2" t="s">
        <v>70</v>
      </c>
      <c r="X213" s="13">
        <v>0</v>
      </c>
      <c r="Y213" s="2" t="s">
        <v>71</v>
      </c>
      <c r="Z213" s="2" t="s">
        <v>72</v>
      </c>
      <c r="AA213" s="13">
        <v>20000</v>
      </c>
      <c r="AB213" s="2" t="s">
        <v>95</v>
      </c>
      <c r="AC213" s="2" t="s">
        <v>6772</v>
      </c>
      <c r="AD213" s="27"/>
      <c r="AL213" s="2" t="s">
        <v>5007</v>
      </c>
    </row>
    <row r="214" spans="1:38" hidden="1" x14ac:dyDescent="0.2">
      <c r="A214" s="2" t="s">
        <v>547</v>
      </c>
      <c r="B214" s="2" t="s">
        <v>610</v>
      </c>
      <c r="C214" s="2" t="s">
        <v>308</v>
      </c>
      <c r="D214" s="2" t="s">
        <v>309</v>
      </c>
      <c r="E214" s="13">
        <v>18171</v>
      </c>
      <c r="F214" s="13">
        <v>18171</v>
      </c>
      <c r="G214" s="14">
        <v>43324</v>
      </c>
      <c r="H214" s="15">
        <v>4.3043981481479997E-2</v>
      </c>
      <c r="I214" s="14">
        <v>43324</v>
      </c>
      <c r="J214" s="15">
        <v>0.48866898148148002</v>
      </c>
      <c r="K214" s="13">
        <v>0</v>
      </c>
      <c r="L214" s="2" t="s">
        <v>64</v>
      </c>
      <c r="M214" s="2" t="s">
        <v>611</v>
      </c>
      <c r="N214" s="14">
        <v>43326</v>
      </c>
      <c r="O214" s="14">
        <v>43326</v>
      </c>
      <c r="P214" s="2" t="s">
        <v>78</v>
      </c>
      <c r="Q214" s="2" t="s">
        <v>6914</v>
      </c>
      <c r="R214" s="2" t="s">
        <v>80</v>
      </c>
      <c r="S214" s="14">
        <v>43326</v>
      </c>
      <c r="U214" s="2" t="s">
        <v>310</v>
      </c>
      <c r="V214" s="2" t="s">
        <v>69</v>
      </c>
      <c r="W214" s="2" t="s">
        <v>70</v>
      </c>
      <c r="X214" s="13">
        <v>0</v>
      </c>
      <c r="Y214" s="2" t="s">
        <v>71</v>
      </c>
      <c r="Z214" s="2" t="s">
        <v>72</v>
      </c>
      <c r="AA214" s="13">
        <v>18000</v>
      </c>
      <c r="AB214" s="2" t="s">
        <v>95</v>
      </c>
      <c r="AC214" s="2" t="s">
        <v>6772</v>
      </c>
      <c r="AD214" s="27"/>
      <c r="AL214" s="2" t="s">
        <v>5008</v>
      </c>
    </row>
    <row r="215" spans="1:38" hidden="1" x14ac:dyDescent="0.2">
      <c r="A215" s="2" t="s">
        <v>547</v>
      </c>
      <c r="B215" s="2" t="s">
        <v>612</v>
      </c>
      <c r="C215" s="2" t="s">
        <v>552</v>
      </c>
      <c r="D215" s="2" t="s">
        <v>553</v>
      </c>
      <c r="E215" s="13">
        <v>20000</v>
      </c>
      <c r="F215" s="13">
        <v>20000</v>
      </c>
      <c r="G215" s="14">
        <v>43324</v>
      </c>
      <c r="H215" s="15">
        <v>0.50950231481481001</v>
      </c>
      <c r="I215" s="14">
        <v>43324</v>
      </c>
      <c r="J215" s="15">
        <v>0.99998842592592996</v>
      </c>
      <c r="K215" s="13">
        <v>0</v>
      </c>
      <c r="L215" s="2" t="s">
        <v>64</v>
      </c>
      <c r="M215" s="2" t="s">
        <v>549</v>
      </c>
      <c r="N215" s="14">
        <v>43326</v>
      </c>
      <c r="O215" s="14">
        <v>43326</v>
      </c>
      <c r="P215" s="2" t="s">
        <v>78</v>
      </c>
      <c r="Q215" s="2" t="s">
        <v>98</v>
      </c>
      <c r="R215" s="2" t="s">
        <v>131</v>
      </c>
      <c r="S215" s="14"/>
      <c r="U215" s="2" t="s">
        <v>198</v>
      </c>
      <c r="V215" s="2" t="s">
        <v>554</v>
      </c>
      <c r="W215" s="2" t="s">
        <v>70</v>
      </c>
      <c r="X215" s="13">
        <v>0</v>
      </c>
      <c r="Y215" s="2" t="s">
        <v>71</v>
      </c>
      <c r="Z215" s="2" t="s">
        <v>72</v>
      </c>
      <c r="AA215" s="13">
        <v>20000</v>
      </c>
      <c r="AB215" s="2" t="s">
        <v>95</v>
      </c>
      <c r="AC215" s="2" t="s">
        <v>6772</v>
      </c>
      <c r="AD215" s="27"/>
      <c r="AL215" s="2" t="s">
        <v>5009</v>
      </c>
    </row>
    <row r="216" spans="1:38" hidden="1" x14ac:dyDescent="0.2">
      <c r="A216" s="2" t="s">
        <v>547</v>
      </c>
      <c r="B216" s="2" t="s">
        <v>613</v>
      </c>
      <c r="C216" s="2" t="s">
        <v>552</v>
      </c>
      <c r="D216" s="2" t="s">
        <v>553</v>
      </c>
      <c r="E216" s="13">
        <v>20000</v>
      </c>
      <c r="F216" s="13">
        <v>20000</v>
      </c>
      <c r="G216" s="14">
        <v>43325</v>
      </c>
      <c r="H216" s="15">
        <v>0.50950231481481001</v>
      </c>
      <c r="I216" s="14">
        <v>43325</v>
      </c>
      <c r="J216" s="15">
        <v>0.99998842592592996</v>
      </c>
      <c r="K216" s="13">
        <v>0</v>
      </c>
      <c r="L216" s="2" t="s">
        <v>64</v>
      </c>
      <c r="M216" s="2" t="s">
        <v>549</v>
      </c>
      <c r="N216" s="14">
        <v>43327</v>
      </c>
      <c r="O216" s="14">
        <v>43327</v>
      </c>
      <c r="P216" s="2" t="s">
        <v>78</v>
      </c>
      <c r="Q216" s="2" t="s">
        <v>6915</v>
      </c>
      <c r="R216" s="2" t="s">
        <v>80</v>
      </c>
      <c r="S216" s="14">
        <v>43333</v>
      </c>
      <c r="U216" s="2" t="s">
        <v>198</v>
      </c>
      <c r="V216" s="2" t="s">
        <v>554</v>
      </c>
      <c r="W216" s="2" t="s">
        <v>70</v>
      </c>
      <c r="X216" s="13">
        <v>0</v>
      </c>
      <c r="Y216" s="2" t="s">
        <v>71</v>
      </c>
      <c r="Z216" s="2" t="s">
        <v>72</v>
      </c>
      <c r="AA216" s="13">
        <v>20000</v>
      </c>
      <c r="AB216" s="2" t="s">
        <v>95</v>
      </c>
      <c r="AC216" s="2" t="s">
        <v>6772</v>
      </c>
      <c r="AD216" s="27"/>
      <c r="AL216" s="2" t="s">
        <v>5010</v>
      </c>
    </row>
    <row r="217" spans="1:38" hidden="1" x14ac:dyDescent="0.2">
      <c r="A217" s="2" t="s">
        <v>547</v>
      </c>
      <c r="B217" s="2" t="s">
        <v>614</v>
      </c>
      <c r="C217" s="2" t="s">
        <v>552</v>
      </c>
      <c r="D217" s="2" t="s">
        <v>553</v>
      </c>
      <c r="E217" s="13">
        <v>20000</v>
      </c>
      <c r="F217" s="13">
        <v>20000</v>
      </c>
      <c r="G217" s="14">
        <v>43326</v>
      </c>
      <c r="H217" s="15">
        <v>0.50950231481481001</v>
      </c>
      <c r="I217" s="14">
        <v>43326</v>
      </c>
      <c r="J217" s="15">
        <v>0.99998842592592996</v>
      </c>
      <c r="K217" s="13">
        <v>0</v>
      </c>
      <c r="L217" s="2" t="s">
        <v>64</v>
      </c>
      <c r="M217" s="2" t="s">
        <v>549</v>
      </c>
      <c r="N217" s="14">
        <v>43328</v>
      </c>
      <c r="O217" s="14">
        <v>43328</v>
      </c>
      <c r="P217" s="2" t="s">
        <v>78</v>
      </c>
      <c r="Q217" s="2" t="s">
        <v>601</v>
      </c>
      <c r="R217" s="2" t="s">
        <v>80</v>
      </c>
      <c r="S217" s="14">
        <v>43333</v>
      </c>
      <c r="U217" s="2" t="s">
        <v>198</v>
      </c>
      <c r="V217" s="2" t="s">
        <v>554</v>
      </c>
      <c r="W217" s="2" t="s">
        <v>70</v>
      </c>
      <c r="X217" s="13">
        <v>0</v>
      </c>
      <c r="Y217" s="2" t="s">
        <v>71</v>
      </c>
      <c r="Z217" s="2" t="s">
        <v>72</v>
      </c>
      <c r="AA217" s="13">
        <v>20000</v>
      </c>
      <c r="AB217" s="2" t="s">
        <v>95</v>
      </c>
      <c r="AC217" s="2" t="s">
        <v>6772</v>
      </c>
      <c r="AD217" s="27"/>
      <c r="AL217" s="2" t="s">
        <v>5011</v>
      </c>
    </row>
    <row r="218" spans="1:38" hidden="1" x14ac:dyDescent="0.2">
      <c r="A218" s="2" t="s">
        <v>547</v>
      </c>
      <c r="B218" s="2" t="s">
        <v>615</v>
      </c>
      <c r="C218" s="2" t="s">
        <v>552</v>
      </c>
      <c r="D218" s="2" t="s">
        <v>553</v>
      </c>
      <c r="E218" s="13">
        <v>20000</v>
      </c>
      <c r="F218" s="13">
        <v>20000</v>
      </c>
      <c r="G218" s="14">
        <v>43327</v>
      </c>
      <c r="H218" s="15">
        <v>0.50950231481481001</v>
      </c>
      <c r="I218" s="14">
        <v>43327</v>
      </c>
      <c r="J218" s="15">
        <v>0.99998842592592996</v>
      </c>
      <c r="K218" s="13">
        <v>0</v>
      </c>
      <c r="L218" s="2" t="s">
        <v>64</v>
      </c>
      <c r="M218" s="2" t="s">
        <v>549</v>
      </c>
      <c r="N218" s="14">
        <v>43329</v>
      </c>
      <c r="O218" s="14">
        <v>43329</v>
      </c>
      <c r="P218" s="2" t="s">
        <v>78</v>
      </c>
      <c r="Q218" s="2" t="s">
        <v>605</v>
      </c>
      <c r="R218" s="2" t="s">
        <v>80</v>
      </c>
      <c r="S218" s="14">
        <v>43333</v>
      </c>
      <c r="U218" s="2" t="s">
        <v>198</v>
      </c>
      <c r="V218" s="2" t="s">
        <v>554</v>
      </c>
      <c r="W218" s="2" t="s">
        <v>70</v>
      </c>
      <c r="X218" s="13">
        <v>0</v>
      </c>
      <c r="Y218" s="2" t="s">
        <v>71</v>
      </c>
      <c r="Z218" s="2" t="s">
        <v>72</v>
      </c>
      <c r="AA218" s="13">
        <v>20000</v>
      </c>
      <c r="AB218" s="2" t="s">
        <v>95</v>
      </c>
      <c r="AC218" s="2" t="s">
        <v>6772</v>
      </c>
      <c r="AD218" s="27"/>
      <c r="AL218" s="2" t="s">
        <v>5012</v>
      </c>
    </row>
    <row r="219" spans="1:38" hidden="1" x14ac:dyDescent="0.2">
      <c r="A219" s="2" t="s">
        <v>547</v>
      </c>
      <c r="B219" s="2" t="s">
        <v>616</v>
      </c>
      <c r="C219" s="2" t="s">
        <v>552</v>
      </c>
      <c r="D219" s="2" t="s">
        <v>553</v>
      </c>
      <c r="E219" s="13">
        <v>20190</v>
      </c>
      <c r="F219" s="13">
        <v>20190</v>
      </c>
      <c r="G219" s="14">
        <v>43328</v>
      </c>
      <c r="H219" s="15">
        <v>0.50484953703704005</v>
      </c>
      <c r="I219" s="14">
        <v>43328</v>
      </c>
      <c r="J219" s="15">
        <v>0.99998842592592996</v>
      </c>
      <c r="K219" s="13">
        <v>0</v>
      </c>
      <c r="L219" s="2" t="s">
        <v>64</v>
      </c>
      <c r="M219" s="2" t="s">
        <v>569</v>
      </c>
      <c r="N219" s="14">
        <v>43330</v>
      </c>
      <c r="O219" s="14">
        <v>43330</v>
      </c>
      <c r="P219" s="2" t="s">
        <v>78</v>
      </c>
      <c r="Q219" s="2" t="s">
        <v>607</v>
      </c>
      <c r="R219" s="2" t="s">
        <v>80</v>
      </c>
      <c r="S219" s="14">
        <v>43333</v>
      </c>
      <c r="U219" s="2" t="s">
        <v>198</v>
      </c>
      <c r="V219" s="2" t="s">
        <v>554</v>
      </c>
      <c r="W219" s="2" t="s">
        <v>70</v>
      </c>
      <c r="X219" s="13">
        <v>0</v>
      </c>
      <c r="Y219" s="2" t="s">
        <v>71</v>
      </c>
      <c r="Z219" s="2" t="s">
        <v>72</v>
      </c>
      <c r="AA219" s="13">
        <v>20000</v>
      </c>
      <c r="AB219" s="2" t="s">
        <v>95</v>
      </c>
      <c r="AC219" s="2" t="s">
        <v>6772</v>
      </c>
      <c r="AD219" s="27"/>
      <c r="AL219" s="2" t="s">
        <v>5013</v>
      </c>
    </row>
    <row r="220" spans="1:38" hidden="1" x14ac:dyDescent="0.2">
      <c r="A220" s="2" t="s">
        <v>547</v>
      </c>
      <c r="B220" s="2" t="s">
        <v>617</v>
      </c>
      <c r="C220" s="2" t="s">
        <v>127</v>
      </c>
      <c r="D220" s="2" t="s">
        <v>128</v>
      </c>
      <c r="E220" s="13">
        <v>20190</v>
      </c>
      <c r="F220" s="13">
        <v>20190</v>
      </c>
      <c r="G220" s="14">
        <v>43329</v>
      </c>
      <c r="H220" s="15">
        <v>0.36952546296296002</v>
      </c>
      <c r="I220" s="14">
        <v>43329</v>
      </c>
      <c r="J220" s="15">
        <v>0.86466435185184998</v>
      </c>
      <c r="K220" s="13">
        <v>0</v>
      </c>
      <c r="L220" s="2" t="s">
        <v>64</v>
      </c>
      <c r="M220" s="2" t="s">
        <v>569</v>
      </c>
      <c r="N220" s="14"/>
      <c r="O220" s="14">
        <v>43331</v>
      </c>
      <c r="P220" s="2" t="s">
        <v>78</v>
      </c>
      <c r="Q220" s="2" t="s">
        <v>6916</v>
      </c>
      <c r="R220" s="2" t="s">
        <v>80</v>
      </c>
      <c r="S220" s="14">
        <v>43333</v>
      </c>
      <c r="U220" s="2" t="s">
        <v>129</v>
      </c>
      <c r="V220" s="2" t="s">
        <v>69</v>
      </c>
      <c r="W220" s="2" t="s">
        <v>70</v>
      </c>
      <c r="X220" s="13">
        <v>1699</v>
      </c>
      <c r="Y220" s="2" t="s">
        <v>71</v>
      </c>
      <c r="Z220" s="2" t="s">
        <v>72</v>
      </c>
      <c r="AA220" s="13">
        <v>20190</v>
      </c>
      <c r="AB220" s="2" t="s">
        <v>107</v>
      </c>
      <c r="AC220" s="2" t="s">
        <v>6772</v>
      </c>
      <c r="AD220" s="27"/>
      <c r="AL220" s="2" t="s">
        <v>7193</v>
      </c>
    </row>
    <row r="221" spans="1:38" hidden="1" x14ac:dyDescent="0.2">
      <c r="A221" s="2" t="s">
        <v>547</v>
      </c>
      <c r="B221" s="2" t="s">
        <v>618</v>
      </c>
      <c r="C221" s="2" t="s">
        <v>552</v>
      </c>
      <c r="D221" s="2" t="s">
        <v>553</v>
      </c>
      <c r="E221" s="13">
        <v>20190</v>
      </c>
      <c r="F221" s="13">
        <v>20190</v>
      </c>
      <c r="G221" s="14">
        <v>43329</v>
      </c>
      <c r="H221" s="15">
        <v>0.50484953703704005</v>
      </c>
      <c r="I221" s="14">
        <v>43329</v>
      </c>
      <c r="J221" s="15">
        <v>0.99998842592592996</v>
      </c>
      <c r="K221" s="13">
        <v>0</v>
      </c>
      <c r="L221" s="2" t="s">
        <v>64</v>
      </c>
      <c r="M221" s="2" t="s">
        <v>569</v>
      </c>
      <c r="N221" s="14">
        <v>43331</v>
      </c>
      <c r="O221" s="14">
        <v>43331</v>
      </c>
      <c r="P221" s="2" t="s">
        <v>78</v>
      </c>
      <c r="Q221" s="2" t="s">
        <v>6917</v>
      </c>
      <c r="R221" s="2" t="s">
        <v>80</v>
      </c>
      <c r="S221" s="14">
        <v>43333</v>
      </c>
      <c r="U221" s="2" t="s">
        <v>198</v>
      </c>
      <c r="V221" s="2" t="s">
        <v>554</v>
      </c>
      <c r="W221" s="2" t="s">
        <v>70</v>
      </c>
      <c r="X221" s="13">
        <v>0</v>
      </c>
      <c r="Y221" s="2" t="s">
        <v>71</v>
      </c>
      <c r="Z221" s="2" t="s">
        <v>72</v>
      </c>
      <c r="AA221" s="13">
        <v>20000</v>
      </c>
      <c r="AB221" s="2" t="s">
        <v>95</v>
      </c>
      <c r="AC221" s="2" t="s">
        <v>6772</v>
      </c>
      <c r="AD221" s="27"/>
      <c r="AL221" s="2" t="s">
        <v>5014</v>
      </c>
    </row>
    <row r="222" spans="1:38" hidden="1" x14ac:dyDescent="0.2">
      <c r="A222" s="2" t="s">
        <v>547</v>
      </c>
      <c r="B222" s="2" t="s">
        <v>620</v>
      </c>
      <c r="C222" s="2" t="s">
        <v>308</v>
      </c>
      <c r="D222" s="2" t="s">
        <v>309</v>
      </c>
      <c r="E222" s="13">
        <v>20190</v>
      </c>
      <c r="F222" s="13">
        <v>20190</v>
      </c>
      <c r="G222" s="14">
        <v>43330</v>
      </c>
      <c r="H222" s="15">
        <v>0.50484953703704005</v>
      </c>
      <c r="I222" s="14">
        <v>43330</v>
      </c>
      <c r="J222" s="15">
        <v>0.99998842592592996</v>
      </c>
      <c r="K222" s="13">
        <v>0</v>
      </c>
      <c r="L222" s="2" t="s">
        <v>64</v>
      </c>
      <c r="M222" s="2" t="s">
        <v>569</v>
      </c>
      <c r="N222" s="14">
        <v>43332</v>
      </c>
      <c r="O222" s="14">
        <v>43332</v>
      </c>
      <c r="P222" s="2" t="s">
        <v>78</v>
      </c>
      <c r="Q222" s="2" t="s">
        <v>6905</v>
      </c>
      <c r="R222" s="2" t="s">
        <v>80</v>
      </c>
      <c r="S222" s="14">
        <v>43333</v>
      </c>
      <c r="U222" s="2" t="s">
        <v>310</v>
      </c>
      <c r="V222" s="2" t="s">
        <v>69</v>
      </c>
      <c r="W222" s="2" t="s">
        <v>70</v>
      </c>
      <c r="X222" s="13">
        <v>0</v>
      </c>
      <c r="Y222" s="2" t="s">
        <v>71</v>
      </c>
      <c r="Z222" s="2" t="s">
        <v>72</v>
      </c>
      <c r="AA222" s="13">
        <v>20000</v>
      </c>
      <c r="AB222" s="2" t="s">
        <v>95</v>
      </c>
      <c r="AC222" s="2" t="s">
        <v>6772</v>
      </c>
      <c r="AD222" s="27"/>
      <c r="AL222" s="2" t="s">
        <v>5015</v>
      </c>
    </row>
    <row r="223" spans="1:38" hidden="1" x14ac:dyDescent="0.2">
      <c r="A223" s="2" t="s">
        <v>547</v>
      </c>
      <c r="B223" s="2" t="s">
        <v>619</v>
      </c>
      <c r="C223" s="2" t="s">
        <v>552</v>
      </c>
      <c r="D223" s="2" t="s">
        <v>553</v>
      </c>
      <c r="E223" s="13">
        <v>20190</v>
      </c>
      <c r="F223" s="13">
        <v>20190</v>
      </c>
      <c r="G223" s="14">
        <v>43331</v>
      </c>
      <c r="H223" s="15">
        <v>0.50484953703704005</v>
      </c>
      <c r="I223" s="14">
        <v>43331</v>
      </c>
      <c r="J223" s="15">
        <v>0.99998842592592996</v>
      </c>
      <c r="K223" s="13">
        <v>0</v>
      </c>
      <c r="L223" s="2" t="s">
        <v>64</v>
      </c>
      <c r="M223" s="2" t="s">
        <v>569</v>
      </c>
      <c r="N223" s="14">
        <v>43333</v>
      </c>
      <c r="O223" s="14">
        <v>43333</v>
      </c>
      <c r="P223" s="2" t="s">
        <v>78</v>
      </c>
      <c r="Q223" s="2" t="s">
        <v>574</v>
      </c>
      <c r="R223" s="2" t="s">
        <v>93</v>
      </c>
      <c r="S223" s="14">
        <v>43334</v>
      </c>
      <c r="U223" s="2" t="s">
        <v>198</v>
      </c>
      <c r="V223" s="2" t="s">
        <v>554</v>
      </c>
      <c r="W223" s="2" t="s">
        <v>70</v>
      </c>
      <c r="X223" s="13">
        <v>0</v>
      </c>
      <c r="Y223" s="2" t="s">
        <v>71</v>
      </c>
      <c r="Z223" s="2" t="s">
        <v>72</v>
      </c>
      <c r="AA223" s="13">
        <v>20000</v>
      </c>
      <c r="AB223" s="2" t="s">
        <v>95</v>
      </c>
      <c r="AC223" s="2" t="s">
        <v>6772</v>
      </c>
      <c r="AD223" s="27"/>
      <c r="AL223" s="2" t="s">
        <v>5016</v>
      </c>
    </row>
    <row r="224" spans="1:38" hidden="1" x14ac:dyDescent="0.2">
      <c r="A224" s="2" t="s">
        <v>547</v>
      </c>
      <c r="B224" s="2" t="s">
        <v>4268</v>
      </c>
      <c r="C224" s="2" t="s">
        <v>552</v>
      </c>
      <c r="D224" s="2" t="s">
        <v>553</v>
      </c>
      <c r="E224" s="13">
        <v>20190</v>
      </c>
      <c r="F224" s="13">
        <v>20190</v>
      </c>
      <c r="G224" s="14">
        <v>43333</v>
      </c>
      <c r="H224" s="15">
        <v>0.50484953703704005</v>
      </c>
      <c r="I224" s="14">
        <v>43333</v>
      </c>
      <c r="J224" s="15">
        <v>0.99998842592592996</v>
      </c>
      <c r="K224" s="13">
        <v>0</v>
      </c>
      <c r="L224" s="2" t="s">
        <v>64</v>
      </c>
      <c r="M224" s="2" t="s">
        <v>569</v>
      </c>
      <c r="N224" s="14">
        <v>43335</v>
      </c>
      <c r="O224" s="14">
        <v>43335</v>
      </c>
      <c r="P224" s="2" t="s">
        <v>78</v>
      </c>
      <c r="Q224" s="2" t="s">
        <v>6918</v>
      </c>
      <c r="R224" s="2" t="s">
        <v>80</v>
      </c>
      <c r="S224" s="14">
        <v>43336</v>
      </c>
      <c r="U224" s="2" t="s">
        <v>198</v>
      </c>
      <c r="V224" s="2" t="s">
        <v>554</v>
      </c>
      <c r="W224" s="2" t="s">
        <v>70</v>
      </c>
      <c r="X224" s="13">
        <v>0</v>
      </c>
      <c r="Y224" s="2" t="s">
        <v>71</v>
      </c>
      <c r="Z224" s="2" t="s">
        <v>72</v>
      </c>
      <c r="AA224" s="13">
        <v>20000</v>
      </c>
      <c r="AB224" s="2" t="s">
        <v>95</v>
      </c>
      <c r="AC224" s="2" t="s">
        <v>6772</v>
      </c>
      <c r="AD224" s="27"/>
      <c r="AL224" s="2" t="s">
        <v>5017</v>
      </c>
    </row>
    <row r="225" spans="1:38" hidden="1" x14ac:dyDescent="0.2">
      <c r="A225" s="2" t="s">
        <v>547</v>
      </c>
      <c r="B225" s="2" t="s">
        <v>4269</v>
      </c>
      <c r="C225" s="2" t="s">
        <v>552</v>
      </c>
      <c r="D225" s="2" t="s">
        <v>553</v>
      </c>
      <c r="E225" s="13">
        <v>20190</v>
      </c>
      <c r="F225" s="13">
        <v>20190</v>
      </c>
      <c r="G225" s="14">
        <v>43334</v>
      </c>
      <c r="H225" s="15">
        <v>0.50484953703704005</v>
      </c>
      <c r="I225" s="14">
        <v>43334</v>
      </c>
      <c r="J225" s="15">
        <v>0.99998842592592996</v>
      </c>
      <c r="K225" s="13">
        <v>0</v>
      </c>
      <c r="L225" s="2" t="s">
        <v>64</v>
      </c>
      <c r="M225" s="2" t="s">
        <v>569</v>
      </c>
      <c r="N225" s="14">
        <v>43336</v>
      </c>
      <c r="O225" s="14">
        <v>43336</v>
      </c>
      <c r="P225" s="2" t="s">
        <v>78</v>
      </c>
      <c r="Q225" s="2" t="s">
        <v>98</v>
      </c>
      <c r="R225" s="2" t="s">
        <v>131</v>
      </c>
      <c r="S225" s="14"/>
      <c r="U225" s="2" t="s">
        <v>198</v>
      </c>
      <c r="V225" s="2" t="s">
        <v>554</v>
      </c>
      <c r="W225" s="2" t="s">
        <v>70</v>
      </c>
      <c r="X225" s="13">
        <v>0</v>
      </c>
      <c r="Y225" s="2" t="s">
        <v>71</v>
      </c>
      <c r="Z225" s="2" t="s">
        <v>72</v>
      </c>
      <c r="AA225" s="13">
        <v>20000</v>
      </c>
      <c r="AB225" s="2" t="s">
        <v>95</v>
      </c>
      <c r="AC225" s="2" t="s">
        <v>6772</v>
      </c>
      <c r="AD225" s="27"/>
      <c r="AL225" s="2" t="s">
        <v>5018</v>
      </c>
    </row>
    <row r="226" spans="1:38" hidden="1" x14ac:dyDescent="0.2">
      <c r="A226" s="2" t="s">
        <v>547</v>
      </c>
      <c r="B226" s="2" t="s">
        <v>4270</v>
      </c>
      <c r="C226" s="2" t="s">
        <v>552</v>
      </c>
      <c r="D226" s="2" t="s">
        <v>553</v>
      </c>
      <c r="E226" s="13">
        <v>20190</v>
      </c>
      <c r="F226" s="13">
        <v>20190</v>
      </c>
      <c r="G226" s="14">
        <v>43335</v>
      </c>
      <c r="H226" s="15">
        <v>0.50484953703704005</v>
      </c>
      <c r="I226" s="14">
        <v>43335</v>
      </c>
      <c r="J226" s="15">
        <v>0.99998842592592996</v>
      </c>
      <c r="K226" s="13">
        <v>0</v>
      </c>
      <c r="L226" s="2" t="s">
        <v>64</v>
      </c>
      <c r="M226" s="2" t="s">
        <v>569</v>
      </c>
      <c r="N226" s="14">
        <v>43337</v>
      </c>
      <c r="O226" s="14">
        <v>43337</v>
      </c>
      <c r="P226" s="2" t="s">
        <v>78</v>
      </c>
      <c r="Q226" s="2" t="s">
        <v>98</v>
      </c>
      <c r="R226" s="2" t="s">
        <v>131</v>
      </c>
      <c r="S226" s="14"/>
      <c r="U226" s="2" t="s">
        <v>198</v>
      </c>
      <c r="V226" s="2" t="s">
        <v>554</v>
      </c>
      <c r="W226" s="2" t="s">
        <v>70</v>
      </c>
      <c r="X226" s="13">
        <v>0</v>
      </c>
      <c r="Y226" s="2" t="s">
        <v>71</v>
      </c>
      <c r="Z226" s="2" t="s">
        <v>72</v>
      </c>
      <c r="AA226" s="13">
        <v>20000</v>
      </c>
      <c r="AB226" s="2" t="s">
        <v>95</v>
      </c>
      <c r="AC226" s="2" t="s">
        <v>6772</v>
      </c>
      <c r="AD226" s="27"/>
      <c r="AL226" s="2" t="s">
        <v>5019</v>
      </c>
    </row>
    <row r="227" spans="1:38" hidden="1" x14ac:dyDescent="0.2">
      <c r="A227" s="2" t="s">
        <v>547</v>
      </c>
      <c r="B227" s="2" t="s">
        <v>621</v>
      </c>
      <c r="C227" s="2" t="s">
        <v>308</v>
      </c>
      <c r="D227" s="2" t="s">
        <v>309</v>
      </c>
      <c r="E227" s="13">
        <v>20190</v>
      </c>
      <c r="F227" s="13">
        <v>20190</v>
      </c>
      <c r="G227" s="14">
        <v>43337</v>
      </c>
      <c r="H227" s="15">
        <v>0.85409722222221995</v>
      </c>
      <c r="I227" s="14">
        <v>43338</v>
      </c>
      <c r="J227" s="15">
        <v>0.34923611111111003</v>
      </c>
      <c r="K227" s="13">
        <v>0</v>
      </c>
      <c r="L227" s="2" t="s">
        <v>64</v>
      </c>
      <c r="M227" s="2" t="s">
        <v>569</v>
      </c>
      <c r="N227" s="14">
        <v>43340</v>
      </c>
      <c r="O227" s="14">
        <v>43340</v>
      </c>
      <c r="P227" s="2" t="s">
        <v>78</v>
      </c>
      <c r="Q227" s="2" t="s">
        <v>98</v>
      </c>
      <c r="R227" s="2" t="s">
        <v>131</v>
      </c>
      <c r="S227" s="14"/>
      <c r="U227" s="2" t="s">
        <v>310</v>
      </c>
      <c r="V227" s="2" t="s">
        <v>69</v>
      </c>
      <c r="W227" s="2" t="s">
        <v>70</v>
      </c>
      <c r="X227" s="13">
        <v>0</v>
      </c>
      <c r="Y227" s="2" t="s">
        <v>71</v>
      </c>
      <c r="Z227" s="2" t="s">
        <v>72</v>
      </c>
      <c r="AA227" s="13">
        <v>20000</v>
      </c>
      <c r="AB227" s="2" t="s">
        <v>95</v>
      </c>
      <c r="AC227" s="2" t="s">
        <v>6772</v>
      </c>
      <c r="AD227" s="27"/>
      <c r="AL227" s="2" t="s">
        <v>5020</v>
      </c>
    </row>
    <row r="228" spans="1:38" hidden="1" x14ac:dyDescent="0.2">
      <c r="A228" s="2" t="s">
        <v>547</v>
      </c>
      <c r="B228" s="2" t="s">
        <v>622</v>
      </c>
      <c r="C228" s="2" t="s">
        <v>127</v>
      </c>
      <c r="D228" s="2" t="s">
        <v>128</v>
      </c>
      <c r="E228" s="13">
        <v>20190</v>
      </c>
      <c r="F228" s="13">
        <v>20190</v>
      </c>
      <c r="G228" s="14">
        <v>43338</v>
      </c>
      <c r="H228" s="15">
        <v>0.37006944444444001</v>
      </c>
      <c r="I228" s="14">
        <v>43338</v>
      </c>
      <c r="J228" s="15">
        <v>0.86520833333333003</v>
      </c>
      <c r="K228" s="13">
        <v>0</v>
      </c>
      <c r="L228" s="2" t="s">
        <v>64</v>
      </c>
      <c r="M228" s="2" t="s">
        <v>569</v>
      </c>
      <c r="N228" s="14"/>
      <c r="O228" s="14">
        <v>43340</v>
      </c>
      <c r="P228" s="2" t="s">
        <v>78</v>
      </c>
      <c r="Q228" s="2" t="s">
        <v>98</v>
      </c>
      <c r="R228" s="2" t="s">
        <v>131</v>
      </c>
      <c r="S228" s="14"/>
      <c r="U228" s="2" t="s">
        <v>129</v>
      </c>
      <c r="V228" s="2" t="s">
        <v>69</v>
      </c>
      <c r="W228" s="2" t="s">
        <v>70</v>
      </c>
      <c r="X228" s="13">
        <v>1699</v>
      </c>
      <c r="Y228" s="2" t="s">
        <v>71</v>
      </c>
      <c r="Z228" s="2" t="s">
        <v>72</v>
      </c>
      <c r="AA228" s="13">
        <v>20190</v>
      </c>
      <c r="AB228" s="2" t="s">
        <v>107</v>
      </c>
      <c r="AC228" s="2" t="s">
        <v>6772</v>
      </c>
      <c r="AD228" s="27"/>
      <c r="AL228" s="2" t="s">
        <v>5021</v>
      </c>
    </row>
    <row r="229" spans="1:38" hidden="1" x14ac:dyDescent="0.2">
      <c r="A229" s="2" t="s">
        <v>547</v>
      </c>
      <c r="B229" s="2" t="s">
        <v>623</v>
      </c>
      <c r="C229" s="2" t="s">
        <v>127</v>
      </c>
      <c r="D229" s="2" t="s">
        <v>128</v>
      </c>
      <c r="E229" s="13">
        <v>20000</v>
      </c>
      <c r="F229" s="13">
        <v>20000</v>
      </c>
      <c r="G229" s="14">
        <v>43344</v>
      </c>
      <c r="H229" s="15">
        <v>0.41666666666667002</v>
      </c>
      <c r="I229" s="14">
        <v>43344</v>
      </c>
      <c r="J229" s="15">
        <v>0.90715277777778003</v>
      </c>
      <c r="K229" s="13">
        <v>0</v>
      </c>
      <c r="L229" s="2" t="s">
        <v>64</v>
      </c>
      <c r="M229" s="2" t="s">
        <v>549</v>
      </c>
      <c r="N229" s="14"/>
      <c r="O229" s="14">
        <v>43346</v>
      </c>
      <c r="P229" s="2" t="s">
        <v>78</v>
      </c>
      <c r="Q229" s="2" t="s">
        <v>98</v>
      </c>
      <c r="R229" s="2" t="s">
        <v>131</v>
      </c>
      <c r="S229" s="14"/>
      <c r="U229" s="2" t="s">
        <v>129</v>
      </c>
      <c r="V229" s="2" t="s">
        <v>69</v>
      </c>
      <c r="W229" s="2" t="s">
        <v>70</v>
      </c>
      <c r="X229" s="13">
        <v>1699</v>
      </c>
      <c r="Y229" s="2" t="s">
        <v>71</v>
      </c>
      <c r="Z229" s="2" t="s">
        <v>72</v>
      </c>
      <c r="AA229" s="13">
        <v>20000</v>
      </c>
      <c r="AB229" s="2" t="s">
        <v>73</v>
      </c>
      <c r="AC229" s="2" t="s">
        <v>6772</v>
      </c>
      <c r="AD229" s="27"/>
      <c r="AL229" s="2" t="s">
        <v>5022</v>
      </c>
    </row>
    <row r="230" spans="1:38" hidden="1" x14ac:dyDescent="0.2">
      <c r="A230" s="2" t="s">
        <v>547</v>
      </c>
      <c r="B230" s="2" t="s">
        <v>624</v>
      </c>
      <c r="C230" s="2" t="s">
        <v>308</v>
      </c>
      <c r="D230" s="2" t="s">
        <v>309</v>
      </c>
      <c r="E230" s="13">
        <v>20190</v>
      </c>
      <c r="F230" s="13">
        <v>20190</v>
      </c>
      <c r="G230" s="14">
        <v>43347</v>
      </c>
      <c r="H230" s="15">
        <v>0.55436342592593002</v>
      </c>
      <c r="I230" s="14">
        <v>43348</v>
      </c>
      <c r="J230" s="15">
        <v>4.9502314814810003E-2</v>
      </c>
      <c r="K230" s="13">
        <v>0</v>
      </c>
      <c r="L230" s="2" t="s">
        <v>64</v>
      </c>
      <c r="M230" s="2" t="s">
        <v>569</v>
      </c>
      <c r="N230" s="14">
        <v>43350</v>
      </c>
      <c r="O230" s="14">
        <v>43350</v>
      </c>
      <c r="P230" s="2" t="s">
        <v>78</v>
      </c>
      <c r="Q230" s="2" t="s">
        <v>98</v>
      </c>
      <c r="R230" s="2" t="s">
        <v>131</v>
      </c>
      <c r="S230" s="14"/>
      <c r="U230" s="2" t="s">
        <v>310</v>
      </c>
      <c r="V230" s="2" t="s">
        <v>69</v>
      </c>
      <c r="W230" s="2" t="s">
        <v>70</v>
      </c>
      <c r="X230" s="13">
        <v>0</v>
      </c>
      <c r="Y230" s="2" t="s">
        <v>71</v>
      </c>
      <c r="Z230" s="2" t="s">
        <v>72</v>
      </c>
      <c r="AA230" s="13">
        <v>20000</v>
      </c>
      <c r="AB230" s="2" t="s">
        <v>95</v>
      </c>
      <c r="AC230" s="2" t="s">
        <v>6772</v>
      </c>
      <c r="AD230" s="27"/>
      <c r="AL230" s="2" t="s">
        <v>5023</v>
      </c>
    </row>
    <row r="231" spans="1:38" hidden="1" x14ac:dyDescent="0.2">
      <c r="A231" s="2" t="s">
        <v>547</v>
      </c>
      <c r="B231" s="2" t="s">
        <v>625</v>
      </c>
      <c r="C231" s="2" t="s">
        <v>127</v>
      </c>
      <c r="D231" s="2" t="s">
        <v>128</v>
      </c>
      <c r="E231" s="13">
        <v>20000</v>
      </c>
      <c r="F231" s="13">
        <v>20000</v>
      </c>
      <c r="G231" s="14">
        <v>43350</v>
      </c>
      <c r="H231" s="15">
        <v>0.70833333333333004</v>
      </c>
      <c r="I231" s="14">
        <v>43351</v>
      </c>
      <c r="J231" s="15">
        <v>0.19881944444444</v>
      </c>
      <c r="K231" s="13">
        <v>0</v>
      </c>
      <c r="L231" s="2" t="s">
        <v>64</v>
      </c>
      <c r="M231" s="2" t="s">
        <v>549</v>
      </c>
      <c r="N231" s="14"/>
      <c r="O231" s="14">
        <v>43353</v>
      </c>
      <c r="P231" s="2" t="s">
        <v>78</v>
      </c>
      <c r="Q231" s="2" t="s">
        <v>98</v>
      </c>
      <c r="R231" s="2" t="s">
        <v>131</v>
      </c>
      <c r="S231" s="14"/>
      <c r="U231" s="2" t="s">
        <v>129</v>
      </c>
      <c r="V231" s="2" t="s">
        <v>69</v>
      </c>
      <c r="W231" s="2" t="s">
        <v>70</v>
      </c>
      <c r="X231" s="13">
        <v>1699</v>
      </c>
      <c r="Y231" s="2" t="s">
        <v>71</v>
      </c>
      <c r="Z231" s="2" t="s">
        <v>72</v>
      </c>
      <c r="AA231" s="13">
        <v>20000</v>
      </c>
      <c r="AB231" s="2" t="s">
        <v>73</v>
      </c>
      <c r="AC231" s="2" t="s">
        <v>6772</v>
      </c>
      <c r="AD231" s="27"/>
      <c r="AL231" s="2" t="s">
        <v>5024</v>
      </c>
    </row>
    <row r="232" spans="1:38" hidden="1" x14ac:dyDescent="0.2">
      <c r="A232" s="2" t="s">
        <v>547</v>
      </c>
      <c r="B232" s="2" t="s">
        <v>626</v>
      </c>
      <c r="C232" s="2" t="s">
        <v>308</v>
      </c>
      <c r="D232" s="2" t="s">
        <v>309</v>
      </c>
      <c r="E232" s="13">
        <v>20000</v>
      </c>
      <c r="F232" s="13">
        <v>20000</v>
      </c>
      <c r="G232" s="14">
        <v>43355</v>
      </c>
      <c r="H232" s="15">
        <v>0.50951388888889004</v>
      </c>
      <c r="I232" s="14">
        <v>43356</v>
      </c>
      <c r="J232" s="15">
        <v>0</v>
      </c>
      <c r="K232" s="13">
        <v>0</v>
      </c>
      <c r="L232" s="2" t="s">
        <v>64</v>
      </c>
      <c r="M232" s="2" t="s">
        <v>549</v>
      </c>
      <c r="N232" s="14">
        <v>43358</v>
      </c>
      <c r="O232" s="14">
        <v>43357</v>
      </c>
      <c r="P232" s="2" t="s">
        <v>78</v>
      </c>
      <c r="Q232" s="2" t="s">
        <v>98</v>
      </c>
      <c r="R232" s="2" t="s">
        <v>131</v>
      </c>
      <c r="S232" s="14"/>
      <c r="U232" s="2" t="s">
        <v>310</v>
      </c>
      <c r="V232" s="2" t="s">
        <v>69</v>
      </c>
      <c r="W232" s="2" t="s">
        <v>70</v>
      </c>
      <c r="X232" s="13">
        <v>0</v>
      </c>
      <c r="Y232" s="2" t="s">
        <v>71</v>
      </c>
      <c r="Z232" s="2" t="s">
        <v>72</v>
      </c>
      <c r="AA232" s="13">
        <v>20000</v>
      </c>
      <c r="AB232" s="2" t="s">
        <v>95</v>
      </c>
      <c r="AC232" s="2" t="s">
        <v>6772</v>
      </c>
      <c r="AD232" s="27"/>
      <c r="AL232" s="2" t="s">
        <v>5025</v>
      </c>
    </row>
    <row r="233" spans="1:38" hidden="1" x14ac:dyDescent="0.2">
      <c r="A233" s="2" t="s">
        <v>547</v>
      </c>
      <c r="B233" s="2" t="s">
        <v>4271</v>
      </c>
      <c r="C233" s="2" t="s">
        <v>308</v>
      </c>
      <c r="D233" s="2" t="s">
        <v>309</v>
      </c>
      <c r="E233" s="13">
        <v>20190</v>
      </c>
      <c r="F233" s="13">
        <v>20190</v>
      </c>
      <c r="G233" s="14">
        <v>43362</v>
      </c>
      <c r="H233" s="15">
        <v>0.50484953703704005</v>
      </c>
      <c r="I233" s="14">
        <v>43362</v>
      </c>
      <c r="J233" s="15">
        <v>0.99998842592592996</v>
      </c>
      <c r="K233" s="13">
        <v>0</v>
      </c>
      <c r="L233" s="2" t="s">
        <v>64</v>
      </c>
      <c r="M233" s="2" t="s">
        <v>569</v>
      </c>
      <c r="N233" s="14">
        <v>43364</v>
      </c>
      <c r="O233" s="14">
        <v>43364</v>
      </c>
      <c r="P233" s="2" t="s">
        <v>78</v>
      </c>
      <c r="Q233" s="2" t="s">
        <v>98</v>
      </c>
      <c r="R233" s="2" t="s">
        <v>131</v>
      </c>
      <c r="S233" s="14"/>
      <c r="U233" s="2" t="s">
        <v>310</v>
      </c>
      <c r="V233" s="2" t="s">
        <v>69</v>
      </c>
      <c r="W233" s="2" t="s">
        <v>70</v>
      </c>
      <c r="X233" s="13">
        <v>0</v>
      </c>
      <c r="Y233" s="2" t="s">
        <v>71</v>
      </c>
      <c r="Z233" s="2" t="s">
        <v>72</v>
      </c>
      <c r="AA233" s="13">
        <v>20000</v>
      </c>
      <c r="AB233" s="2" t="s">
        <v>95</v>
      </c>
      <c r="AC233" s="2" t="s">
        <v>6772</v>
      </c>
      <c r="AD233" s="27"/>
      <c r="AL233" s="2" t="s">
        <v>5026</v>
      </c>
    </row>
    <row r="234" spans="1:38" hidden="1" x14ac:dyDescent="0.2">
      <c r="A234" s="2" t="s">
        <v>627</v>
      </c>
      <c r="B234" s="2" t="s">
        <v>655</v>
      </c>
      <c r="C234" s="2" t="s">
        <v>652</v>
      </c>
      <c r="D234" s="2" t="s">
        <v>653</v>
      </c>
      <c r="E234" s="13">
        <v>4000</v>
      </c>
      <c r="F234" s="13">
        <v>5000</v>
      </c>
      <c r="G234" s="14">
        <v>43287</v>
      </c>
      <c r="H234" s="15">
        <v>5.1006944444439997E-2</v>
      </c>
      <c r="I234" s="14">
        <v>43287</v>
      </c>
      <c r="J234" s="15">
        <v>0.65312499999999996</v>
      </c>
      <c r="K234" s="13">
        <v>0</v>
      </c>
      <c r="L234" s="2" t="s">
        <v>64</v>
      </c>
      <c r="M234" s="2" t="s">
        <v>631</v>
      </c>
      <c r="N234" s="14">
        <v>43294</v>
      </c>
      <c r="O234" s="14">
        <v>43289</v>
      </c>
      <c r="P234" s="2" t="s">
        <v>91</v>
      </c>
      <c r="Q234" s="2" t="s">
        <v>656</v>
      </c>
      <c r="R234" s="2" t="s">
        <v>80</v>
      </c>
      <c r="S234" s="14">
        <v>43294</v>
      </c>
      <c r="T234" s="2" t="s">
        <v>6238</v>
      </c>
      <c r="U234" s="2" t="s">
        <v>162</v>
      </c>
      <c r="V234" s="2" t="s">
        <v>654</v>
      </c>
      <c r="W234" s="2" t="s">
        <v>70</v>
      </c>
      <c r="X234" s="13">
        <v>346</v>
      </c>
      <c r="Y234" s="2" t="s">
        <v>71</v>
      </c>
      <c r="Z234" s="2" t="s">
        <v>72</v>
      </c>
      <c r="AA234" s="13">
        <v>4000</v>
      </c>
      <c r="AB234" s="2" t="s">
        <v>107</v>
      </c>
      <c r="AC234" s="2" t="s">
        <v>6773</v>
      </c>
      <c r="AD234" s="27">
        <v>43256</v>
      </c>
      <c r="AL234" s="2" t="s">
        <v>5027</v>
      </c>
    </row>
    <row r="235" spans="1:38" hidden="1" x14ac:dyDescent="0.2">
      <c r="A235" s="2" t="s">
        <v>627</v>
      </c>
      <c r="B235" s="2" t="s">
        <v>651</v>
      </c>
      <c r="C235" s="2" t="s">
        <v>652</v>
      </c>
      <c r="D235" s="2" t="s">
        <v>653</v>
      </c>
      <c r="E235" s="13">
        <v>0</v>
      </c>
      <c r="F235" s="13">
        <v>5000</v>
      </c>
      <c r="G235" s="14">
        <v>43287</v>
      </c>
      <c r="H235" s="15">
        <v>0.63459490740740998</v>
      </c>
      <c r="I235" s="14">
        <v>43288</v>
      </c>
      <c r="J235" s="15">
        <v>0.23671296296295999</v>
      </c>
      <c r="K235" s="13">
        <v>0</v>
      </c>
      <c r="L235" s="2" t="s">
        <v>64</v>
      </c>
      <c r="M235" s="2" t="s">
        <v>631</v>
      </c>
      <c r="N235" s="14">
        <v>43294</v>
      </c>
      <c r="O235" s="14">
        <v>43290</v>
      </c>
      <c r="P235" s="2" t="s">
        <v>91</v>
      </c>
      <c r="Q235" s="2" t="s">
        <v>98</v>
      </c>
      <c r="R235" s="2" t="s">
        <v>131</v>
      </c>
      <c r="S235" s="14"/>
      <c r="T235" s="2" t="s">
        <v>6239</v>
      </c>
      <c r="U235" s="2" t="s">
        <v>162</v>
      </c>
      <c r="V235" s="2" t="s">
        <v>654</v>
      </c>
      <c r="W235" s="2" t="s">
        <v>70</v>
      </c>
      <c r="X235" s="13">
        <v>346</v>
      </c>
      <c r="Y235" s="2" t="s">
        <v>71</v>
      </c>
      <c r="Z235" s="2" t="s">
        <v>72</v>
      </c>
      <c r="AA235" s="13">
        <v>0</v>
      </c>
      <c r="AB235" s="2" t="s">
        <v>107</v>
      </c>
      <c r="AC235" s="2" t="s">
        <v>6773</v>
      </c>
      <c r="AD235" s="27">
        <v>43256</v>
      </c>
      <c r="AL235" s="2" t="s">
        <v>5028</v>
      </c>
    </row>
    <row r="236" spans="1:38" hidden="1" x14ac:dyDescent="0.2">
      <c r="A236" s="2" t="s">
        <v>627</v>
      </c>
      <c r="B236" s="2" t="s">
        <v>648</v>
      </c>
      <c r="C236" s="2" t="s">
        <v>649</v>
      </c>
      <c r="D236" s="2" t="s">
        <v>650</v>
      </c>
      <c r="E236" s="13">
        <v>2000</v>
      </c>
      <c r="F236" s="13">
        <v>2000</v>
      </c>
      <c r="G236" s="14">
        <v>43288</v>
      </c>
      <c r="H236" s="15">
        <v>0.30173611111110998</v>
      </c>
      <c r="I236" s="14">
        <v>43288</v>
      </c>
      <c r="J236" s="15">
        <v>0.54258101851852003</v>
      </c>
      <c r="K236" s="13">
        <v>20</v>
      </c>
      <c r="L236" s="2" t="s">
        <v>64</v>
      </c>
      <c r="M236" s="2" t="s">
        <v>644</v>
      </c>
      <c r="N236" s="14">
        <v>43293</v>
      </c>
      <c r="O236" s="14">
        <v>43290</v>
      </c>
      <c r="P236" s="2" t="s">
        <v>78</v>
      </c>
      <c r="Q236" s="2" t="s">
        <v>6919</v>
      </c>
      <c r="R236" s="2" t="s">
        <v>80</v>
      </c>
      <c r="S236" s="14">
        <v>43293</v>
      </c>
      <c r="T236" s="2" t="s">
        <v>6240</v>
      </c>
      <c r="U236" s="2" t="s">
        <v>640</v>
      </c>
      <c r="V236" s="2" t="s">
        <v>69</v>
      </c>
      <c r="W236" s="2" t="s">
        <v>70</v>
      </c>
      <c r="X236" s="13">
        <v>346</v>
      </c>
      <c r="Y236" s="2" t="s">
        <v>71</v>
      </c>
      <c r="Z236" s="2" t="s">
        <v>72</v>
      </c>
      <c r="AA236" s="13">
        <v>2000</v>
      </c>
      <c r="AB236" s="2" t="s">
        <v>107</v>
      </c>
      <c r="AC236" s="2" t="s">
        <v>6773</v>
      </c>
      <c r="AD236" s="27">
        <v>43258</v>
      </c>
      <c r="AL236" s="2" t="s">
        <v>5029</v>
      </c>
    </row>
    <row r="237" spans="1:38" hidden="1" x14ac:dyDescent="0.2">
      <c r="A237" s="2" t="s">
        <v>627</v>
      </c>
      <c r="B237" s="2" t="s">
        <v>635</v>
      </c>
      <c r="C237" s="2" t="s">
        <v>636</v>
      </c>
      <c r="D237" s="2" t="s">
        <v>637</v>
      </c>
      <c r="E237" s="16">
        <v>1067.0999999999999</v>
      </c>
      <c r="F237" s="16">
        <v>1067.0999999999999</v>
      </c>
      <c r="G237" s="14">
        <v>43288</v>
      </c>
      <c r="H237" s="15">
        <v>0.62563657407407003</v>
      </c>
      <c r="I237" s="14">
        <v>43288</v>
      </c>
      <c r="J237" s="15">
        <v>0.75414351851852002</v>
      </c>
      <c r="K237" s="13">
        <v>20</v>
      </c>
      <c r="L237" s="2" t="s">
        <v>64</v>
      </c>
      <c r="M237" s="2" t="s">
        <v>4272</v>
      </c>
      <c r="N237" s="14">
        <v>43291</v>
      </c>
      <c r="O237" s="14">
        <v>43290</v>
      </c>
      <c r="P237" s="2" t="s">
        <v>153</v>
      </c>
      <c r="Q237" s="2" t="s">
        <v>639</v>
      </c>
      <c r="R237" s="2" t="s">
        <v>80</v>
      </c>
      <c r="S237" s="14">
        <v>43291</v>
      </c>
      <c r="T237" s="2" t="s">
        <v>6241</v>
      </c>
      <c r="U237" s="2" t="s">
        <v>640</v>
      </c>
      <c r="V237" s="2" t="s">
        <v>155</v>
      </c>
      <c r="W237" s="2" t="s">
        <v>70</v>
      </c>
      <c r="X237" s="13">
        <v>346</v>
      </c>
      <c r="Y237" s="2" t="s">
        <v>71</v>
      </c>
      <c r="Z237" s="2" t="s">
        <v>72</v>
      </c>
      <c r="AA237" s="13">
        <v>1000</v>
      </c>
      <c r="AB237" s="2" t="s">
        <v>107</v>
      </c>
      <c r="AC237" s="2" t="s">
        <v>6773</v>
      </c>
      <c r="AD237" s="27">
        <v>43241</v>
      </c>
      <c r="AL237" s="2" t="s">
        <v>5030</v>
      </c>
    </row>
    <row r="238" spans="1:38" hidden="1" x14ac:dyDescent="0.2">
      <c r="A238" s="2" t="s">
        <v>627</v>
      </c>
      <c r="B238" s="2" t="s">
        <v>662</v>
      </c>
      <c r="C238" s="2" t="s">
        <v>663</v>
      </c>
      <c r="D238" s="2" t="s">
        <v>664</v>
      </c>
      <c r="E238" s="13">
        <v>600</v>
      </c>
      <c r="F238" s="13">
        <v>600</v>
      </c>
      <c r="G238" s="14">
        <v>43288</v>
      </c>
      <c r="H238" s="15">
        <v>0.83434027777777997</v>
      </c>
      <c r="I238" s="14">
        <v>43288</v>
      </c>
      <c r="J238" s="15">
        <v>0.90659722222221995</v>
      </c>
      <c r="K238" s="13">
        <v>20</v>
      </c>
      <c r="L238" s="2" t="s">
        <v>64</v>
      </c>
      <c r="M238" s="2" t="s">
        <v>4273</v>
      </c>
      <c r="N238" s="14">
        <v>43298</v>
      </c>
      <c r="O238" s="14">
        <v>43290</v>
      </c>
      <c r="P238" s="2" t="s">
        <v>666</v>
      </c>
      <c r="Q238" s="2" t="s">
        <v>6920</v>
      </c>
      <c r="R238" s="2" t="s">
        <v>80</v>
      </c>
      <c r="S238" s="14">
        <v>43298</v>
      </c>
      <c r="T238" s="2" t="s">
        <v>6242</v>
      </c>
      <c r="U238" s="2" t="s">
        <v>667</v>
      </c>
      <c r="V238" s="2" t="s">
        <v>668</v>
      </c>
      <c r="W238" s="2" t="s">
        <v>70</v>
      </c>
      <c r="X238" s="13">
        <v>346</v>
      </c>
      <c r="Y238" s="2" t="s">
        <v>71</v>
      </c>
      <c r="Z238" s="2" t="s">
        <v>72</v>
      </c>
      <c r="AA238" s="13">
        <v>600</v>
      </c>
      <c r="AB238" s="2" t="s">
        <v>107</v>
      </c>
      <c r="AC238" s="2" t="s">
        <v>6773</v>
      </c>
      <c r="AD238" s="27">
        <v>43272</v>
      </c>
      <c r="AI238" s="2" t="s">
        <v>6153</v>
      </c>
      <c r="AL238" s="2" t="s">
        <v>5031</v>
      </c>
    </row>
    <row r="239" spans="1:38" x14ac:dyDescent="0.2">
      <c r="A239" s="2" t="s">
        <v>627</v>
      </c>
      <c r="B239" s="2" t="s">
        <v>641</v>
      </c>
      <c r="C239" s="2" t="s">
        <v>642</v>
      </c>
      <c r="D239" s="2" t="s">
        <v>643</v>
      </c>
      <c r="E239" s="13">
        <v>2000</v>
      </c>
      <c r="F239" s="13">
        <v>2000</v>
      </c>
      <c r="G239" s="14">
        <v>43289</v>
      </c>
      <c r="H239" s="15">
        <v>4.2488425925930003E-2</v>
      </c>
      <c r="I239" s="14">
        <v>43289</v>
      </c>
      <c r="J239" s="15">
        <v>0.28333333333333</v>
      </c>
      <c r="K239" s="13">
        <v>20</v>
      </c>
      <c r="L239" s="2" t="s">
        <v>64</v>
      </c>
      <c r="M239" s="2" t="s">
        <v>644</v>
      </c>
      <c r="N239" s="14">
        <v>43291</v>
      </c>
      <c r="O239" s="14">
        <v>43291</v>
      </c>
      <c r="P239" s="2" t="s">
        <v>66</v>
      </c>
      <c r="Q239" s="2" t="s">
        <v>645</v>
      </c>
      <c r="R239" s="2" t="s">
        <v>80</v>
      </c>
      <c r="S239" s="14">
        <v>43291</v>
      </c>
      <c r="T239" s="2" t="s">
        <v>6243</v>
      </c>
      <c r="U239" s="2" t="s">
        <v>646</v>
      </c>
      <c r="V239" s="2" t="s">
        <v>647</v>
      </c>
      <c r="W239" s="2" t="s">
        <v>70</v>
      </c>
      <c r="X239" s="13">
        <v>346</v>
      </c>
      <c r="Y239" s="2" t="s">
        <v>71</v>
      </c>
      <c r="Z239" s="2" t="s">
        <v>72</v>
      </c>
      <c r="AA239" s="13">
        <v>2000</v>
      </c>
      <c r="AB239" s="2" t="s">
        <v>107</v>
      </c>
      <c r="AC239" s="2" t="s">
        <v>6773</v>
      </c>
      <c r="AD239" s="27">
        <v>43245</v>
      </c>
      <c r="AI239" s="2" t="s">
        <v>6153</v>
      </c>
      <c r="AL239" s="2" t="s">
        <v>5032</v>
      </c>
    </row>
    <row r="240" spans="1:38" x14ac:dyDescent="0.2">
      <c r="A240" s="2" t="s">
        <v>627</v>
      </c>
      <c r="B240" s="2" t="s">
        <v>4087</v>
      </c>
      <c r="C240" s="2" t="s">
        <v>4088</v>
      </c>
      <c r="D240" s="2" t="s">
        <v>4089</v>
      </c>
      <c r="E240" s="16">
        <v>565.65</v>
      </c>
      <c r="F240" s="16">
        <v>565.65</v>
      </c>
      <c r="G240" s="14">
        <v>43289</v>
      </c>
      <c r="H240" s="15">
        <v>0.75892361111110995</v>
      </c>
      <c r="I240" s="14">
        <v>43289</v>
      </c>
      <c r="J240" s="15">
        <v>0.82703703703704001</v>
      </c>
      <c r="K240" s="13">
        <v>20</v>
      </c>
      <c r="L240" s="2" t="s">
        <v>64</v>
      </c>
      <c r="M240" s="2" t="s">
        <v>4274</v>
      </c>
      <c r="N240" s="14">
        <v>43297</v>
      </c>
      <c r="O240" s="14">
        <v>43296</v>
      </c>
      <c r="P240" s="2" t="s">
        <v>4090</v>
      </c>
      <c r="Q240" s="2" t="s">
        <v>4091</v>
      </c>
      <c r="R240" s="2" t="s">
        <v>80</v>
      </c>
      <c r="S240" s="14">
        <v>43297</v>
      </c>
      <c r="T240" s="2" t="s">
        <v>6245</v>
      </c>
      <c r="U240" s="2" t="s">
        <v>4092</v>
      </c>
      <c r="V240" s="2" t="s">
        <v>4093</v>
      </c>
      <c r="W240" s="2" t="s">
        <v>683</v>
      </c>
      <c r="X240" s="13">
        <v>346</v>
      </c>
      <c r="Y240" s="2" t="s">
        <v>71</v>
      </c>
      <c r="Z240" s="2" t="s">
        <v>72</v>
      </c>
      <c r="AA240" s="13">
        <v>500</v>
      </c>
      <c r="AB240" s="2" t="s">
        <v>107</v>
      </c>
      <c r="AC240" s="2" t="s">
        <v>6773</v>
      </c>
      <c r="AD240" s="27">
        <v>43283</v>
      </c>
      <c r="AL240" s="2" t="s">
        <v>5033</v>
      </c>
    </row>
    <row r="241" spans="1:38" x14ac:dyDescent="0.2">
      <c r="A241" s="2" t="s">
        <v>627</v>
      </c>
      <c r="B241" s="2" t="s">
        <v>4275</v>
      </c>
      <c r="C241" s="2" t="s">
        <v>4276</v>
      </c>
      <c r="D241" s="2" t="s">
        <v>4277</v>
      </c>
      <c r="E241" s="16">
        <v>323.64</v>
      </c>
      <c r="F241" s="16">
        <v>323.64</v>
      </c>
      <c r="G241" s="14">
        <v>43289</v>
      </c>
      <c r="H241" s="15">
        <v>0.91666666666666996</v>
      </c>
      <c r="I241" s="14">
        <v>43289</v>
      </c>
      <c r="J241" s="15">
        <v>0.95563657407406999</v>
      </c>
      <c r="K241" s="13">
        <v>0</v>
      </c>
      <c r="L241" s="2" t="s">
        <v>64</v>
      </c>
      <c r="M241" s="2" t="s">
        <v>4278</v>
      </c>
      <c r="N241" s="14"/>
      <c r="O241" s="14">
        <v>43296</v>
      </c>
      <c r="P241" s="2" t="s">
        <v>4090</v>
      </c>
      <c r="Q241" s="2" t="s">
        <v>6921</v>
      </c>
      <c r="R241" s="2" t="s">
        <v>80</v>
      </c>
      <c r="S241" s="14">
        <v>43331</v>
      </c>
      <c r="T241" s="2" t="s">
        <v>6244</v>
      </c>
      <c r="U241" s="2" t="s">
        <v>4279</v>
      </c>
      <c r="V241" s="2" t="s">
        <v>4280</v>
      </c>
      <c r="W241" s="2" t="s">
        <v>683</v>
      </c>
      <c r="X241" s="13">
        <v>346</v>
      </c>
      <c r="Y241" s="2" t="s">
        <v>71</v>
      </c>
      <c r="Z241" s="2" t="s">
        <v>72</v>
      </c>
      <c r="AA241" s="13">
        <v>300</v>
      </c>
      <c r="AB241" s="2" t="s">
        <v>73</v>
      </c>
      <c r="AC241" s="2" t="s">
        <v>6773</v>
      </c>
      <c r="AD241" s="27">
        <v>43286</v>
      </c>
      <c r="AL241" s="2" t="s">
        <v>5034</v>
      </c>
    </row>
    <row r="242" spans="1:38" x14ac:dyDescent="0.2">
      <c r="A242" s="2" t="s">
        <v>627</v>
      </c>
      <c r="B242" s="2" t="s">
        <v>732</v>
      </c>
      <c r="C242" s="2" t="s">
        <v>698</v>
      </c>
      <c r="D242" s="2" t="s">
        <v>699</v>
      </c>
      <c r="E242" s="16">
        <v>1003.7</v>
      </c>
      <c r="F242" s="16">
        <v>1003.7</v>
      </c>
      <c r="G242" s="14">
        <v>43290</v>
      </c>
      <c r="H242" s="15">
        <v>2.0833333333330002E-2</v>
      </c>
      <c r="I242" s="14">
        <v>43290</v>
      </c>
      <c r="J242" s="15">
        <v>0.14170138888889</v>
      </c>
      <c r="K242" s="13">
        <v>20</v>
      </c>
      <c r="L242" s="2" t="s">
        <v>64</v>
      </c>
      <c r="M242" s="2" t="s">
        <v>733</v>
      </c>
      <c r="N242" s="14">
        <v>43308</v>
      </c>
      <c r="O242" s="14">
        <v>43297</v>
      </c>
      <c r="P242" s="2" t="s">
        <v>701</v>
      </c>
      <c r="Q242" s="2" t="s">
        <v>6922</v>
      </c>
      <c r="R242" s="2" t="s">
        <v>80</v>
      </c>
      <c r="S242" s="14">
        <v>43308</v>
      </c>
      <c r="T242" s="2" t="s">
        <v>6247</v>
      </c>
      <c r="U242" s="2" t="s">
        <v>703</v>
      </c>
      <c r="V242" s="2" t="s">
        <v>704</v>
      </c>
      <c r="W242" s="2" t="s">
        <v>683</v>
      </c>
      <c r="X242" s="13">
        <v>346</v>
      </c>
      <c r="Y242" s="2" t="s">
        <v>71</v>
      </c>
      <c r="Z242" s="2" t="s">
        <v>72</v>
      </c>
      <c r="AA242" s="13">
        <v>1000</v>
      </c>
      <c r="AB242" s="2" t="s">
        <v>107</v>
      </c>
      <c r="AC242" s="2" t="s">
        <v>6773</v>
      </c>
      <c r="AD242" s="27">
        <v>43280</v>
      </c>
      <c r="AL242" s="2" t="s">
        <v>5035</v>
      </c>
    </row>
    <row r="243" spans="1:38" x14ac:dyDescent="0.2">
      <c r="A243" s="2" t="s">
        <v>627</v>
      </c>
      <c r="B243" s="2" t="s">
        <v>684</v>
      </c>
      <c r="C243" s="2" t="s">
        <v>685</v>
      </c>
      <c r="D243" s="2" t="s">
        <v>686</v>
      </c>
      <c r="E243" s="16">
        <v>530.04999999999995</v>
      </c>
      <c r="F243" s="16">
        <v>530.04999999999995</v>
      </c>
      <c r="G243" s="14">
        <v>43290</v>
      </c>
      <c r="H243" s="15">
        <v>0.14583333333333334</v>
      </c>
      <c r="I243" s="14">
        <v>43290</v>
      </c>
      <c r="J243" s="15">
        <v>0.20902777777777778</v>
      </c>
      <c r="K243" s="13">
        <v>20</v>
      </c>
      <c r="L243" s="2" t="s">
        <v>64</v>
      </c>
      <c r="M243" s="2" t="s">
        <v>679</v>
      </c>
      <c r="N243" s="14">
        <v>43305</v>
      </c>
      <c r="O243" s="14">
        <v>43297</v>
      </c>
      <c r="P243" s="2" t="s">
        <v>91</v>
      </c>
      <c r="Q243" s="2" t="s">
        <v>687</v>
      </c>
      <c r="R243" s="2" t="s">
        <v>80</v>
      </c>
      <c r="S243" s="14">
        <v>43305</v>
      </c>
      <c r="T243" s="2" t="s">
        <v>6246</v>
      </c>
      <c r="U243" s="2" t="s">
        <v>681</v>
      </c>
      <c r="V243" s="2" t="s">
        <v>688</v>
      </c>
      <c r="W243" s="2" t="s">
        <v>683</v>
      </c>
      <c r="X243" s="13">
        <v>346</v>
      </c>
      <c r="Y243" s="2" t="s">
        <v>71</v>
      </c>
      <c r="Z243" s="2" t="s">
        <v>72</v>
      </c>
      <c r="AA243" s="13">
        <v>500</v>
      </c>
      <c r="AB243" s="2" t="s">
        <v>73</v>
      </c>
      <c r="AC243" s="2" t="s">
        <v>6773</v>
      </c>
      <c r="AD243" s="27">
        <v>43279</v>
      </c>
      <c r="AL243" s="2" t="s">
        <v>5036</v>
      </c>
    </row>
    <row r="244" spans="1:38" x14ac:dyDescent="0.2">
      <c r="A244" s="2" t="s">
        <v>627</v>
      </c>
      <c r="B244" s="2" t="s">
        <v>906</v>
      </c>
      <c r="C244" s="2" t="s">
        <v>698</v>
      </c>
      <c r="D244" s="2" t="s">
        <v>699</v>
      </c>
      <c r="E244" s="16">
        <v>6022.2</v>
      </c>
      <c r="F244" s="16">
        <v>6022.2</v>
      </c>
      <c r="G244" s="14">
        <v>43290</v>
      </c>
      <c r="H244" s="15">
        <v>0.34482638888888889</v>
      </c>
      <c r="I244" s="14">
        <v>43291</v>
      </c>
      <c r="J244" s="15">
        <v>6.9826388888888882E-2</v>
      </c>
      <c r="K244" s="13">
        <v>0</v>
      </c>
      <c r="L244" s="2" t="s">
        <v>64</v>
      </c>
      <c r="M244" s="2" t="s">
        <v>4281</v>
      </c>
      <c r="N244" s="14">
        <v>43292</v>
      </c>
      <c r="O244" s="14">
        <v>43298</v>
      </c>
      <c r="P244" s="2" t="s">
        <v>701</v>
      </c>
      <c r="Q244" s="2" t="s">
        <v>6923</v>
      </c>
      <c r="R244" s="2" t="s">
        <v>80</v>
      </c>
      <c r="S244" s="14">
        <v>43292</v>
      </c>
      <c r="T244" s="2" t="s">
        <v>6248</v>
      </c>
      <c r="U244" s="2" t="s">
        <v>703</v>
      </c>
      <c r="V244" s="2" t="s">
        <v>704</v>
      </c>
      <c r="W244" s="2" t="s">
        <v>683</v>
      </c>
      <c r="X244" s="13">
        <v>346</v>
      </c>
      <c r="Y244" s="2" t="s">
        <v>71</v>
      </c>
      <c r="Z244" s="2" t="s">
        <v>72</v>
      </c>
      <c r="AA244" s="13">
        <v>6000</v>
      </c>
      <c r="AB244" s="2" t="s">
        <v>107</v>
      </c>
      <c r="AC244" s="2" t="s">
        <v>6773</v>
      </c>
      <c r="AD244" s="27">
        <v>43270</v>
      </c>
      <c r="AL244" s="2" t="s">
        <v>5037</v>
      </c>
    </row>
    <row r="245" spans="1:38" x14ac:dyDescent="0.2">
      <c r="A245" s="2" t="s">
        <v>627</v>
      </c>
      <c r="B245" s="2" t="s">
        <v>705</v>
      </c>
      <c r="C245" s="2" t="s">
        <v>706</v>
      </c>
      <c r="D245" s="2" t="s">
        <v>707</v>
      </c>
      <c r="E245" s="16">
        <v>1041.9000000000001</v>
      </c>
      <c r="F245" s="16">
        <v>1041.9000000000001</v>
      </c>
      <c r="G245" s="14">
        <v>43291</v>
      </c>
      <c r="H245" s="15">
        <v>0.29166666666667002</v>
      </c>
      <c r="I245" s="14">
        <v>43291</v>
      </c>
      <c r="J245" s="15">
        <v>0.4171412037037</v>
      </c>
      <c r="K245" s="13">
        <v>0</v>
      </c>
      <c r="L245" s="2" t="s">
        <v>64</v>
      </c>
      <c r="M245" s="2" t="s">
        <v>692</v>
      </c>
      <c r="N245" s="14">
        <v>43306</v>
      </c>
      <c r="O245" s="14">
        <v>43298</v>
      </c>
      <c r="P245" s="2" t="s">
        <v>91</v>
      </c>
      <c r="Q245" s="2" t="s">
        <v>708</v>
      </c>
      <c r="R245" s="2" t="s">
        <v>80</v>
      </c>
      <c r="S245" s="14">
        <v>43306</v>
      </c>
      <c r="T245" s="2" t="s">
        <v>6251</v>
      </c>
      <c r="U245" s="2" t="s">
        <v>709</v>
      </c>
      <c r="V245" s="2" t="s">
        <v>710</v>
      </c>
      <c r="W245" s="2" t="s">
        <v>683</v>
      </c>
      <c r="X245" s="13">
        <v>346</v>
      </c>
      <c r="Y245" s="2" t="s">
        <v>71</v>
      </c>
      <c r="Z245" s="2" t="s">
        <v>72</v>
      </c>
      <c r="AA245" s="13">
        <v>1000</v>
      </c>
      <c r="AB245" s="2" t="s">
        <v>73</v>
      </c>
      <c r="AC245" s="2" t="s">
        <v>6773</v>
      </c>
      <c r="AD245" s="27">
        <v>43278</v>
      </c>
      <c r="AL245" s="2" t="s">
        <v>5038</v>
      </c>
    </row>
    <row r="246" spans="1:38" x14ac:dyDescent="0.2">
      <c r="A246" s="2" t="s">
        <v>627</v>
      </c>
      <c r="B246" s="2" t="s">
        <v>676</v>
      </c>
      <c r="C246" s="2" t="s">
        <v>677</v>
      </c>
      <c r="D246" s="2" t="s">
        <v>678</v>
      </c>
      <c r="E246" s="16">
        <v>530.04999999999995</v>
      </c>
      <c r="F246" s="16">
        <v>530.04999999999995</v>
      </c>
      <c r="G246" s="14">
        <v>43291</v>
      </c>
      <c r="H246" s="15">
        <v>0.54166666666666996</v>
      </c>
      <c r="I246" s="14">
        <v>43291</v>
      </c>
      <c r="J246" s="15">
        <v>0.60549768518518998</v>
      </c>
      <c r="K246" s="13">
        <v>20</v>
      </c>
      <c r="L246" s="2" t="s">
        <v>64</v>
      </c>
      <c r="M246" s="2" t="s">
        <v>679</v>
      </c>
      <c r="N246" s="14">
        <v>43306</v>
      </c>
      <c r="O246" s="14">
        <v>43298</v>
      </c>
      <c r="P246" s="2" t="s">
        <v>91</v>
      </c>
      <c r="Q246" s="2" t="s">
        <v>680</v>
      </c>
      <c r="R246" s="2" t="s">
        <v>80</v>
      </c>
      <c r="S246" s="14">
        <v>43306</v>
      </c>
      <c r="T246" s="2" t="s">
        <v>6250</v>
      </c>
      <c r="U246" s="2" t="s">
        <v>681</v>
      </c>
      <c r="V246" s="2" t="s">
        <v>682</v>
      </c>
      <c r="W246" s="2" t="s">
        <v>683</v>
      </c>
      <c r="X246" s="13">
        <v>346</v>
      </c>
      <c r="Y246" s="2" t="s">
        <v>71</v>
      </c>
      <c r="Z246" s="2" t="s">
        <v>72</v>
      </c>
      <c r="AA246" s="13">
        <v>500</v>
      </c>
      <c r="AB246" s="2" t="s">
        <v>73</v>
      </c>
      <c r="AC246" s="2" t="s">
        <v>6773</v>
      </c>
      <c r="AD246" s="27">
        <v>43279</v>
      </c>
      <c r="AL246" s="2" t="s">
        <v>5039</v>
      </c>
    </row>
    <row r="247" spans="1:38" x14ac:dyDescent="0.2">
      <c r="A247" s="2" t="s">
        <v>627</v>
      </c>
      <c r="B247" s="2" t="s">
        <v>689</v>
      </c>
      <c r="C247" s="2" t="s">
        <v>690</v>
      </c>
      <c r="D247" s="2" t="s">
        <v>691</v>
      </c>
      <c r="E247" s="16">
        <v>1041.9000000000001</v>
      </c>
      <c r="F247" s="16">
        <v>1041.9000000000001</v>
      </c>
      <c r="G247" s="14">
        <v>43291</v>
      </c>
      <c r="H247" s="15">
        <v>0.75</v>
      </c>
      <c r="I247" s="14">
        <v>43291</v>
      </c>
      <c r="J247" s="15">
        <v>0.87547453703704003</v>
      </c>
      <c r="K247" s="13">
        <v>20</v>
      </c>
      <c r="L247" s="2" t="s">
        <v>64</v>
      </c>
      <c r="M247" s="2" t="s">
        <v>692</v>
      </c>
      <c r="N247" s="14">
        <v>43306</v>
      </c>
      <c r="O247" s="14">
        <v>43298</v>
      </c>
      <c r="P247" s="2" t="s">
        <v>693</v>
      </c>
      <c r="Q247" s="2" t="s">
        <v>694</v>
      </c>
      <c r="R247" s="2" t="s">
        <v>80</v>
      </c>
      <c r="S247" s="14">
        <v>43306</v>
      </c>
      <c r="T247" s="2" t="s">
        <v>6249</v>
      </c>
      <c r="U247" s="2" t="s">
        <v>695</v>
      </c>
      <c r="V247" s="2" t="s">
        <v>696</v>
      </c>
      <c r="W247" s="2" t="s">
        <v>683</v>
      </c>
      <c r="X247" s="13">
        <v>346</v>
      </c>
      <c r="Y247" s="2" t="s">
        <v>71</v>
      </c>
      <c r="Z247" s="2" t="s">
        <v>72</v>
      </c>
      <c r="AA247" s="13">
        <v>1000</v>
      </c>
      <c r="AB247" s="2" t="s">
        <v>73</v>
      </c>
      <c r="AC247" s="2" t="s">
        <v>6773</v>
      </c>
      <c r="AD247" s="27">
        <v>43279</v>
      </c>
      <c r="AL247" s="2" t="s">
        <v>5040</v>
      </c>
    </row>
    <row r="248" spans="1:38" x14ac:dyDescent="0.2">
      <c r="A248" s="2" t="s">
        <v>627</v>
      </c>
      <c r="B248" s="2" t="s">
        <v>4282</v>
      </c>
      <c r="C248" s="2" t="s">
        <v>711</v>
      </c>
      <c r="D248" s="2" t="s">
        <v>712</v>
      </c>
      <c r="E248" s="16">
        <v>2083.8000000000002</v>
      </c>
      <c r="F248" s="16">
        <v>2083.8000000000002</v>
      </c>
      <c r="G248" s="14">
        <v>43292</v>
      </c>
      <c r="H248" s="15">
        <v>8.3333333333329998E-2</v>
      </c>
      <c r="I248" s="14">
        <v>43292</v>
      </c>
      <c r="J248" s="15">
        <v>0.33427083333333002</v>
      </c>
      <c r="K248" s="13">
        <v>0</v>
      </c>
      <c r="L248" s="2" t="s">
        <v>64</v>
      </c>
      <c r="M248" s="2" t="s">
        <v>713</v>
      </c>
      <c r="N248" s="14">
        <v>43305</v>
      </c>
      <c r="O248" s="14">
        <v>43299</v>
      </c>
      <c r="P248" s="2" t="s">
        <v>693</v>
      </c>
      <c r="Q248" s="2" t="s">
        <v>6924</v>
      </c>
      <c r="R248" s="2" t="s">
        <v>80</v>
      </c>
      <c r="S248" s="14">
        <v>43306</v>
      </c>
      <c r="T248" s="2" t="s">
        <v>6252</v>
      </c>
      <c r="U248" s="2" t="s">
        <v>714</v>
      </c>
      <c r="V248" s="2" t="s">
        <v>81</v>
      </c>
      <c r="W248" s="2" t="s">
        <v>683</v>
      </c>
      <c r="X248" s="13">
        <v>346</v>
      </c>
      <c r="Y248" s="2" t="s">
        <v>71</v>
      </c>
      <c r="Z248" s="2" t="s">
        <v>72</v>
      </c>
      <c r="AA248" s="13">
        <v>2000</v>
      </c>
      <c r="AB248" s="2" t="s">
        <v>73</v>
      </c>
      <c r="AC248" s="2" t="s">
        <v>6773</v>
      </c>
      <c r="AD248" s="27">
        <v>43284</v>
      </c>
      <c r="AL248" s="2" t="s">
        <v>5041</v>
      </c>
    </row>
    <row r="249" spans="1:38" x14ac:dyDescent="0.2">
      <c r="A249" s="2" t="s">
        <v>627</v>
      </c>
      <c r="B249" s="2" t="s">
        <v>715</v>
      </c>
      <c r="C249" s="2" t="s">
        <v>716</v>
      </c>
      <c r="D249" s="2" t="s">
        <v>717</v>
      </c>
      <c r="E249" s="13">
        <v>300</v>
      </c>
      <c r="F249" s="13">
        <v>300</v>
      </c>
      <c r="G249" s="14">
        <v>43292</v>
      </c>
      <c r="H249" s="15">
        <v>0.45833333333332998</v>
      </c>
      <c r="I249" s="14">
        <v>43292</v>
      </c>
      <c r="J249" s="15">
        <v>0.49445601851852</v>
      </c>
      <c r="K249" s="13">
        <v>20</v>
      </c>
      <c r="L249" s="2" t="s">
        <v>64</v>
      </c>
      <c r="M249" s="2" t="s">
        <v>718</v>
      </c>
      <c r="N249" s="14">
        <v>43301</v>
      </c>
      <c r="O249" s="14">
        <v>43294</v>
      </c>
      <c r="P249" s="2" t="s">
        <v>693</v>
      </c>
      <c r="Q249" s="2" t="s">
        <v>719</v>
      </c>
      <c r="R249" s="2" t="s">
        <v>80</v>
      </c>
      <c r="S249" s="14">
        <v>43301</v>
      </c>
      <c r="T249" s="2" t="s">
        <v>6253</v>
      </c>
      <c r="U249" s="2" t="s">
        <v>720</v>
      </c>
      <c r="V249" s="2" t="s">
        <v>81</v>
      </c>
      <c r="W249" s="2" t="s">
        <v>683</v>
      </c>
      <c r="X249" s="13">
        <v>346</v>
      </c>
      <c r="Y249" s="2" t="s">
        <v>71</v>
      </c>
      <c r="Z249" s="2" t="s">
        <v>72</v>
      </c>
      <c r="AA249" s="13">
        <v>300</v>
      </c>
      <c r="AB249" s="2" t="s">
        <v>73</v>
      </c>
      <c r="AC249" s="2" t="s">
        <v>6773</v>
      </c>
      <c r="AD249" s="27">
        <v>43273</v>
      </c>
      <c r="AL249" s="2" t="s">
        <v>5042</v>
      </c>
    </row>
    <row r="250" spans="1:38" x14ac:dyDescent="0.2">
      <c r="A250" s="2" t="s">
        <v>627</v>
      </c>
      <c r="B250" s="2" t="s">
        <v>726</v>
      </c>
      <c r="C250" s="2" t="s">
        <v>727</v>
      </c>
      <c r="D250" s="2" t="s">
        <v>728</v>
      </c>
      <c r="E250" s="16">
        <v>312.57</v>
      </c>
      <c r="F250" s="16">
        <v>312.57</v>
      </c>
      <c r="G250" s="14">
        <v>43292</v>
      </c>
      <c r="H250" s="15">
        <v>0.66666666666666996</v>
      </c>
      <c r="I250" s="14">
        <v>43292</v>
      </c>
      <c r="J250" s="15">
        <v>0.70430555555555996</v>
      </c>
      <c r="K250" s="13">
        <v>20</v>
      </c>
      <c r="L250" s="2" t="s">
        <v>64</v>
      </c>
      <c r="M250" s="2" t="s">
        <v>729</v>
      </c>
      <c r="N250" s="14">
        <v>43308</v>
      </c>
      <c r="O250" s="14">
        <v>43299</v>
      </c>
      <c r="P250" s="2" t="s">
        <v>693</v>
      </c>
      <c r="Q250" s="2" t="s">
        <v>730</v>
      </c>
      <c r="R250" s="2" t="s">
        <v>80</v>
      </c>
      <c r="S250" s="14">
        <v>43308</v>
      </c>
      <c r="T250" s="2" t="s">
        <v>6254</v>
      </c>
      <c r="U250" s="2" t="s">
        <v>731</v>
      </c>
      <c r="V250" s="2" t="s">
        <v>81</v>
      </c>
      <c r="W250" s="2" t="s">
        <v>683</v>
      </c>
      <c r="X250" s="13">
        <v>346</v>
      </c>
      <c r="Y250" s="2" t="s">
        <v>71</v>
      </c>
      <c r="Z250" s="2" t="s">
        <v>72</v>
      </c>
      <c r="AA250" s="13">
        <v>300</v>
      </c>
      <c r="AB250" s="2" t="s">
        <v>73</v>
      </c>
      <c r="AC250" s="2" t="s">
        <v>6773</v>
      </c>
      <c r="AD250" s="27">
        <v>43280</v>
      </c>
      <c r="AL250" s="2" t="s">
        <v>5043</v>
      </c>
    </row>
    <row r="251" spans="1:38" x14ac:dyDescent="0.2">
      <c r="A251" s="2" t="s">
        <v>627</v>
      </c>
      <c r="B251" s="2" t="s">
        <v>669</v>
      </c>
      <c r="C251" s="2" t="s">
        <v>636</v>
      </c>
      <c r="D251" s="2" t="s">
        <v>637</v>
      </c>
      <c r="E251" s="13">
        <v>2000</v>
      </c>
      <c r="F251" s="13">
        <v>2000</v>
      </c>
      <c r="G251" s="14">
        <v>43295</v>
      </c>
      <c r="H251" s="15">
        <v>0.29166666666667002</v>
      </c>
      <c r="I251" s="14">
        <v>43295</v>
      </c>
      <c r="J251" s="15">
        <v>0.53251157407407002</v>
      </c>
      <c r="K251" s="13">
        <v>20</v>
      </c>
      <c r="L251" s="2" t="s">
        <v>64</v>
      </c>
      <c r="M251" s="2" t="s">
        <v>644</v>
      </c>
      <c r="N251" s="14">
        <v>43298</v>
      </c>
      <c r="O251" s="14">
        <v>43297</v>
      </c>
      <c r="P251" s="2" t="s">
        <v>153</v>
      </c>
      <c r="Q251" s="2" t="s">
        <v>670</v>
      </c>
      <c r="R251" s="2" t="s">
        <v>80</v>
      </c>
      <c r="S251" s="14">
        <v>43298</v>
      </c>
      <c r="T251" s="2" t="s">
        <v>6259</v>
      </c>
      <c r="U251" s="2" t="s">
        <v>640</v>
      </c>
      <c r="V251" s="2" t="s">
        <v>155</v>
      </c>
      <c r="W251" s="2" t="s">
        <v>70</v>
      </c>
      <c r="X251" s="13">
        <v>346</v>
      </c>
      <c r="Y251" s="2" t="s">
        <v>71</v>
      </c>
      <c r="Z251" s="2" t="s">
        <v>72</v>
      </c>
      <c r="AA251" s="13">
        <v>2000</v>
      </c>
      <c r="AB251" s="2" t="s">
        <v>73</v>
      </c>
      <c r="AC251" s="2" t="s">
        <v>6773</v>
      </c>
      <c r="AD251" s="27">
        <v>43272</v>
      </c>
      <c r="AL251" s="2" t="s">
        <v>5044</v>
      </c>
    </row>
    <row r="252" spans="1:38" hidden="1" x14ac:dyDescent="0.2">
      <c r="A252" s="2" t="s">
        <v>627</v>
      </c>
      <c r="B252" s="2" t="s">
        <v>721</v>
      </c>
      <c r="C252" s="2" t="s">
        <v>722</v>
      </c>
      <c r="D252" s="2" t="s">
        <v>723</v>
      </c>
      <c r="E252" s="13">
        <v>1000</v>
      </c>
      <c r="F252" s="13">
        <v>1000</v>
      </c>
      <c r="G252" s="14">
        <v>43298</v>
      </c>
      <c r="H252" s="15">
        <v>0.87957175925926001</v>
      </c>
      <c r="I252" s="14">
        <v>43299</v>
      </c>
      <c r="J252" s="15">
        <v>0</v>
      </c>
      <c r="K252" s="13">
        <v>0</v>
      </c>
      <c r="L252" s="2" t="s">
        <v>64</v>
      </c>
      <c r="M252" s="2" t="s">
        <v>638</v>
      </c>
      <c r="N252" s="14">
        <v>43301</v>
      </c>
      <c r="O252" s="14">
        <v>43300</v>
      </c>
      <c r="P252" s="2" t="s">
        <v>153</v>
      </c>
      <c r="Q252" s="2" t="s">
        <v>724</v>
      </c>
      <c r="R252" s="2" t="s">
        <v>80</v>
      </c>
      <c r="S252" s="14">
        <v>43301</v>
      </c>
      <c r="T252" s="2" t="s">
        <v>6260</v>
      </c>
      <c r="U252" s="2" t="s">
        <v>198</v>
      </c>
      <c r="V252" s="2" t="s">
        <v>725</v>
      </c>
      <c r="W252" s="2" t="s">
        <v>70</v>
      </c>
      <c r="X252" s="13">
        <v>346</v>
      </c>
      <c r="Y252" s="2" t="s">
        <v>71</v>
      </c>
      <c r="Z252" s="2" t="s">
        <v>72</v>
      </c>
      <c r="AA252" s="13">
        <v>1000</v>
      </c>
      <c r="AB252" s="2" t="s">
        <v>73</v>
      </c>
      <c r="AC252" s="2" t="s">
        <v>6773</v>
      </c>
      <c r="AD252" s="27">
        <v>43259</v>
      </c>
      <c r="AL252" s="2" t="s">
        <v>5045</v>
      </c>
    </row>
    <row r="253" spans="1:38" hidden="1" x14ac:dyDescent="0.2">
      <c r="A253" s="2" t="s">
        <v>627</v>
      </c>
      <c r="B253" s="2" t="s">
        <v>4283</v>
      </c>
      <c r="C253" s="2" t="s">
        <v>698</v>
      </c>
      <c r="D253" s="2" t="s">
        <v>699</v>
      </c>
      <c r="E253" s="16">
        <v>10538.85</v>
      </c>
      <c r="F253" s="16">
        <v>10538.85</v>
      </c>
      <c r="G253" s="14">
        <v>43300</v>
      </c>
      <c r="H253" s="15">
        <v>5.1342592592589997E-2</v>
      </c>
      <c r="I253" s="14">
        <v>43301</v>
      </c>
      <c r="J253" s="15">
        <v>0.32047453703703999</v>
      </c>
      <c r="K253" s="13">
        <v>0</v>
      </c>
      <c r="L253" s="2" t="s">
        <v>64</v>
      </c>
      <c r="M253" s="2" t="s">
        <v>4284</v>
      </c>
      <c r="N253" s="14">
        <v>43314</v>
      </c>
      <c r="O253" s="14">
        <v>43308</v>
      </c>
      <c r="P253" s="2" t="s">
        <v>701</v>
      </c>
      <c r="Q253" s="2" t="s">
        <v>4285</v>
      </c>
      <c r="R253" s="2" t="s">
        <v>80</v>
      </c>
      <c r="S253" s="14">
        <v>43314</v>
      </c>
      <c r="T253" s="2" t="s">
        <v>6261</v>
      </c>
      <c r="U253" s="2" t="s">
        <v>703</v>
      </c>
      <c r="V253" s="2" t="s">
        <v>704</v>
      </c>
      <c r="W253" s="2" t="s">
        <v>683</v>
      </c>
      <c r="X253" s="13">
        <v>346</v>
      </c>
      <c r="Y253" s="2" t="s">
        <v>71</v>
      </c>
      <c r="Z253" s="2" t="s">
        <v>72</v>
      </c>
      <c r="AA253" s="13">
        <v>10500</v>
      </c>
      <c r="AB253" s="2" t="s">
        <v>73</v>
      </c>
      <c r="AC253" s="2" t="s">
        <v>6773</v>
      </c>
      <c r="AD253" s="27">
        <v>43286</v>
      </c>
      <c r="AL253" s="2" t="s">
        <v>5046</v>
      </c>
    </row>
    <row r="254" spans="1:38" hidden="1" x14ac:dyDescent="0.2">
      <c r="A254" s="2" t="s">
        <v>627</v>
      </c>
      <c r="B254" s="2" t="s">
        <v>734</v>
      </c>
      <c r="C254" s="2" t="s">
        <v>735</v>
      </c>
      <c r="D254" s="2" t="s">
        <v>736</v>
      </c>
      <c r="E254" s="16">
        <v>520.95000000000005</v>
      </c>
      <c r="F254" s="16">
        <v>520.95000000000005</v>
      </c>
      <c r="G254" s="14">
        <v>43301</v>
      </c>
      <c r="H254" s="15">
        <v>0.38297453703703999</v>
      </c>
      <c r="I254" s="14">
        <v>43301</v>
      </c>
      <c r="J254" s="15">
        <v>0.44570601851851999</v>
      </c>
      <c r="K254" s="13">
        <v>20</v>
      </c>
      <c r="L254" s="2" t="s">
        <v>64</v>
      </c>
      <c r="M254" s="2" t="s">
        <v>737</v>
      </c>
      <c r="N254" s="14">
        <v>43304</v>
      </c>
      <c r="O254" s="14">
        <v>43303</v>
      </c>
      <c r="P254" s="2" t="s">
        <v>153</v>
      </c>
      <c r="Q254" s="2" t="s">
        <v>738</v>
      </c>
      <c r="R254" s="2" t="s">
        <v>80</v>
      </c>
      <c r="S254" s="14">
        <v>43304</v>
      </c>
      <c r="T254" s="2" t="s">
        <v>6332</v>
      </c>
      <c r="U254" s="2" t="s">
        <v>739</v>
      </c>
      <c r="V254" s="2" t="s">
        <v>740</v>
      </c>
      <c r="W254" s="2" t="s">
        <v>70</v>
      </c>
      <c r="X254" s="13">
        <v>346</v>
      </c>
      <c r="Y254" s="2" t="s">
        <v>71</v>
      </c>
      <c r="Z254" s="2" t="s">
        <v>72</v>
      </c>
      <c r="AA254" s="13">
        <v>500</v>
      </c>
      <c r="AB254" s="2" t="s">
        <v>73</v>
      </c>
      <c r="AC254" s="2" t="s">
        <v>6773</v>
      </c>
      <c r="AD254" s="27">
        <v>43276</v>
      </c>
      <c r="AL254" s="2" t="s">
        <v>7194</v>
      </c>
    </row>
    <row r="255" spans="1:38" hidden="1" x14ac:dyDescent="0.2">
      <c r="A255" s="2" t="s">
        <v>627</v>
      </c>
      <c r="B255" s="2" t="s">
        <v>741</v>
      </c>
      <c r="C255" s="2" t="s">
        <v>742</v>
      </c>
      <c r="D255" s="2" t="s">
        <v>743</v>
      </c>
      <c r="E255" s="16">
        <v>2083.8000000000002</v>
      </c>
      <c r="F255" s="16">
        <v>2083.8000000000002</v>
      </c>
      <c r="G255" s="14">
        <v>43301</v>
      </c>
      <c r="H255" s="15">
        <v>0.46653935185185003</v>
      </c>
      <c r="I255" s="14">
        <v>43301</v>
      </c>
      <c r="J255" s="15">
        <v>0.71747685185184995</v>
      </c>
      <c r="K255" s="13">
        <v>20</v>
      </c>
      <c r="L255" s="2" t="s">
        <v>64</v>
      </c>
      <c r="M255" s="2" t="s">
        <v>713</v>
      </c>
      <c r="N255" s="14">
        <v>43304</v>
      </c>
      <c r="O255" s="14">
        <v>43303</v>
      </c>
      <c r="P255" s="2" t="s">
        <v>66</v>
      </c>
      <c r="Q255" s="2" t="s">
        <v>744</v>
      </c>
      <c r="R255" s="2" t="s">
        <v>80</v>
      </c>
      <c r="S255" s="14">
        <v>43304</v>
      </c>
      <c r="T255" s="2" t="s">
        <v>6255</v>
      </c>
      <c r="U255" s="2" t="s">
        <v>745</v>
      </c>
      <c r="V255" s="2" t="s">
        <v>69</v>
      </c>
      <c r="W255" s="2" t="s">
        <v>70</v>
      </c>
      <c r="X255" s="13">
        <v>346</v>
      </c>
      <c r="Y255" s="2" t="s">
        <v>71</v>
      </c>
      <c r="Z255" s="2" t="s">
        <v>72</v>
      </c>
      <c r="AA255" s="13">
        <v>2000</v>
      </c>
      <c r="AB255" s="2" t="s">
        <v>73</v>
      </c>
      <c r="AC255" s="2" t="s">
        <v>6773</v>
      </c>
      <c r="AD255" s="27">
        <v>43276</v>
      </c>
      <c r="AL255" s="2" t="s">
        <v>5047</v>
      </c>
    </row>
    <row r="256" spans="1:38" hidden="1" x14ac:dyDescent="0.2">
      <c r="A256" s="2" t="s">
        <v>627</v>
      </c>
      <c r="B256" s="2" t="s">
        <v>746</v>
      </c>
      <c r="C256" s="2" t="s">
        <v>747</v>
      </c>
      <c r="D256" s="2" t="s">
        <v>748</v>
      </c>
      <c r="E256" s="13">
        <v>1000</v>
      </c>
      <c r="F256" s="13">
        <v>1000</v>
      </c>
      <c r="G256" s="14">
        <v>43301</v>
      </c>
      <c r="H256" s="15">
        <v>0.73831018518518998</v>
      </c>
      <c r="I256" s="14">
        <v>43301</v>
      </c>
      <c r="J256" s="15">
        <v>0.85873842592592997</v>
      </c>
      <c r="K256" s="13">
        <v>20</v>
      </c>
      <c r="L256" s="2" t="s">
        <v>64</v>
      </c>
      <c r="M256" s="2" t="s">
        <v>638</v>
      </c>
      <c r="N256" s="14">
        <v>43304</v>
      </c>
      <c r="O256" s="14">
        <v>43303</v>
      </c>
      <c r="P256" s="2" t="s">
        <v>91</v>
      </c>
      <c r="Q256" s="2" t="s">
        <v>749</v>
      </c>
      <c r="R256" s="2" t="s">
        <v>80</v>
      </c>
      <c r="S256" s="14">
        <v>43304</v>
      </c>
      <c r="T256" s="2" t="s">
        <v>6257</v>
      </c>
      <c r="U256" s="2" t="s">
        <v>750</v>
      </c>
      <c r="V256" s="2" t="s">
        <v>242</v>
      </c>
      <c r="W256" s="2" t="s">
        <v>98</v>
      </c>
      <c r="X256" s="13">
        <v>346</v>
      </c>
      <c r="Y256" s="2" t="s">
        <v>71</v>
      </c>
      <c r="Z256" s="2" t="s">
        <v>72</v>
      </c>
      <c r="AA256" s="13">
        <v>1000</v>
      </c>
      <c r="AB256" s="2" t="s">
        <v>73</v>
      </c>
      <c r="AC256" s="2" t="s">
        <v>6773</v>
      </c>
      <c r="AD256" s="27">
        <v>43276</v>
      </c>
      <c r="AL256" s="2" t="s">
        <v>5048</v>
      </c>
    </row>
    <row r="257" spans="1:38" hidden="1" x14ac:dyDescent="0.2">
      <c r="A257" s="2" t="s">
        <v>627</v>
      </c>
      <c r="B257" s="2" t="s">
        <v>751</v>
      </c>
      <c r="C257" s="2" t="s">
        <v>752</v>
      </c>
      <c r="D257" s="2" t="s">
        <v>753</v>
      </c>
      <c r="E257" s="13">
        <v>1000</v>
      </c>
      <c r="F257" s="13">
        <v>1000</v>
      </c>
      <c r="G257" s="14">
        <v>43301</v>
      </c>
      <c r="H257" s="15">
        <v>0.87957175925926001</v>
      </c>
      <c r="I257" s="14">
        <v>43302</v>
      </c>
      <c r="J257" s="15">
        <v>0</v>
      </c>
      <c r="K257" s="13">
        <v>20</v>
      </c>
      <c r="L257" s="2" t="s">
        <v>64</v>
      </c>
      <c r="M257" s="2" t="s">
        <v>638</v>
      </c>
      <c r="N257" s="14">
        <v>43305</v>
      </c>
      <c r="O257" s="14">
        <v>43303</v>
      </c>
      <c r="P257" s="2" t="s">
        <v>78</v>
      </c>
      <c r="Q257" s="2" t="s">
        <v>754</v>
      </c>
      <c r="R257" s="2" t="s">
        <v>80</v>
      </c>
      <c r="S257" s="14">
        <v>43305</v>
      </c>
      <c r="T257" s="2" t="s">
        <v>6262</v>
      </c>
      <c r="U257" s="2" t="s">
        <v>755</v>
      </c>
      <c r="V257" s="2" t="s">
        <v>81</v>
      </c>
      <c r="W257" s="2" t="s">
        <v>70</v>
      </c>
      <c r="X257" s="13">
        <v>346</v>
      </c>
      <c r="Y257" s="2" t="s">
        <v>71</v>
      </c>
      <c r="Z257" s="2" t="s">
        <v>72</v>
      </c>
      <c r="AA257" s="13">
        <v>1000</v>
      </c>
      <c r="AB257" s="2" t="s">
        <v>73</v>
      </c>
      <c r="AC257" s="2" t="s">
        <v>6773</v>
      </c>
      <c r="AD257" s="27">
        <v>43264</v>
      </c>
      <c r="AL257" s="2" t="s">
        <v>5049</v>
      </c>
    </row>
    <row r="258" spans="1:38" hidden="1" x14ac:dyDescent="0.2">
      <c r="A258" s="2" t="s">
        <v>627</v>
      </c>
      <c r="B258" s="2" t="s">
        <v>756</v>
      </c>
      <c r="C258" s="2" t="s">
        <v>642</v>
      </c>
      <c r="D258" s="2" t="s">
        <v>643</v>
      </c>
      <c r="E258" s="16">
        <v>2083.8000000000002</v>
      </c>
      <c r="F258" s="16">
        <v>2083.8000000000002</v>
      </c>
      <c r="G258" s="14">
        <v>43302</v>
      </c>
      <c r="H258" s="15">
        <v>2.7650462962960001E-2</v>
      </c>
      <c r="I258" s="14">
        <v>43302</v>
      </c>
      <c r="J258" s="15">
        <v>0.27858796296296001</v>
      </c>
      <c r="K258" s="13">
        <v>20</v>
      </c>
      <c r="L258" s="2" t="s">
        <v>64</v>
      </c>
      <c r="M258" s="2" t="s">
        <v>713</v>
      </c>
      <c r="N258" s="14">
        <v>43340</v>
      </c>
      <c r="O258" s="14">
        <v>43304</v>
      </c>
      <c r="P258" s="2" t="s">
        <v>66</v>
      </c>
      <c r="Q258" s="2" t="s">
        <v>757</v>
      </c>
      <c r="R258" s="2" t="s">
        <v>80</v>
      </c>
      <c r="S258" s="14">
        <v>43340</v>
      </c>
      <c r="T258" s="2" t="s">
        <v>6263</v>
      </c>
      <c r="U258" s="2" t="s">
        <v>646</v>
      </c>
      <c r="V258" s="2" t="s">
        <v>647</v>
      </c>
      <c r="W258" s="2" t="s">
        <v>70</v>
      </c>
      <c r="X258" s="13">
        <v>346</v>
      </c>
      <c r="Y258" s="2" t="s">
        <v>71</v>
      </c>
      <c r="Z258" s="2" t="s">
        <v>72</v>
      </c>
      <c r="AA258" s="13">
        <v>2000</v>
      </c>
      <c r="AB258" s="2" t="s">
        <v>73</v>
      </c>
      <c r="AC258" s="2" t="s">
        <v>6773</v>
      </c>
      <c r="AD258" s="27">
        <v>43280</v>
      </c>
      <c r="AI258" s="2" t="s">
        <v>6153</v>
      </c>
      <c r="AL258" s="2" t="s">
        <v>5050</v>
      </c>
    </row>
    <row r="259" spans="1:38" hidden="1" x14ac:dyDescent="0.2">
      <c r="A259" s="2" t="s">
        <v>627</v>
      </c>
      <c r="B259" s="2" t="s">
        <v>758</v>
      </c>
      <c r="C259" s="2" t="s">
        <v>759</v>
      </c>
      <c r="D259" s="2" t="s">
        <v>760</v>
      </c>
      <c r="E259" s="16">
        <v>520.95000000000005</v>
      </c>
      <c r="F259" s="16">
        <v>520.95000000000005</v>
      </c>
      <c r="G259" s="14">
        <v>43302</v>
      </c>
      <c r="H259" s="15">
        <v>0.32025462962963003</v>
      </c>
      <c r="I259" s="14">
        <v>43302</v>
      </c>
      <c r="J259" s="15">
        <v>0.38298611111110997</v>
      </c>
      <c r="K259" s="13">
        <v>0</v>
      </c>
      <c r="L259" s="2" t="s">
        <v>64</v>
      </c>
      <c r="M259" s="2" t="s">
        <v>737</v>
      </c>
      <c r="N259" s="14">
        <v>43305</v>
      </c>
      <c r="O259" s="14">
        <v>43304</v>
      </c>
      <c r="P259" s="2" t="s">
        <v>78</v>
      </c>
      <c r="Q259" s="2" t="s">
        <v>761</v>
      </c>
      <c r="R259" s="2" t="s">
        <v>80</v>
      </c>
      <c r="S259" s="14">
        <v>43305</v>
      </c>
      <c r="T259" s="2" t="s">
        <v>6264</v>
      </c>
      <c r="U259" s="2" t="s">
        <v>762</v>
      </c>
      <c r="V259" s="2" t="s">
        <v>81</v>
      </c>
      <c r="W259" s="2" t="s">
        <v>70</v>
      </c>
      <c r="X259" s="13">
        <v>346</v>
      </c>
      <c r="Y259" s="2" t="s">
        <v>71</v>
      </c>
      <c r="Z259" s="2" t="s">
        <v>72</v>
      </c>
      <c r="AA259" s="13">
        <v>500</v>
      </c>
      <c r="AB259" s="2" t="s">
        <v>73</v>
      </c>
      <c r="AC259" s="2" t="s">
        <v>6773</v>
      </c>
      <c r="AD259" s="27">
        <v>43279</v>
      </c>
      <c r="AL259" s="2" t="s">
        <v>5051</v>
      </c>
    </row>
    <row r="260" spans="1:38" hidden="1" x14ac:dyDescent="0.2">
      <c r="A260" s="2" t="s">
        <v>627</v>
      </c>
      <c r="B260" s="2" t="s">
        <v>763</v>
      </c>
      <c r="C260" s="2" t="s">
        <v>764</v>
      </c>
      <c r="D260" s="2" t="s">
        <v>765</v>
      </c>
      <c r="E260" s="16">
        <v>520.95000000000005</v>
      </c>
      <c r="F260" s="16">
        <v>520.95000000000005</v>
      </c>
      <c r="G260" s="14">
        <v>43302</v>
      </c>
      <c r="H260" s="15">
        <v>0.40381944444444001</v>
      </c>
      <c r="I260" s="14">
        <v>43302</v>
      </c>
      <c r="J260" s="15">
        <v>0.46655092592593</v>
      </c>
      <c r="K260" s="13">
        <v>20</v>
      </c>
      <c r="L260" s="2" t="s">
        <v>64</v>
      </c>
      <c r="M260" s="2" t="s">
        <v>737</v>
      </c>
      <c r="N260" s="14">
        <v>43305</v>
      </c>
      <c r="O260" s="14">
        <v>43304</v>
      </c>
      <c r="P260" s="2" t="s">
        <v>91</v>
      </c>
      <c r="Q260" s="2" t="s">
        <v>766</v>
      </c>
      <c r="R260" s="2" t="s">
        <v>80</v>
      </c>
      <c r="S260" s="14">
        <v>43305</v>
      </c>
      <c r="T260" s="2" t="s">
        <v>6334</v>
      </c>
      <c r="U260" s="2" t="s">
        <v>249</v>
      </c>
      <c r="V260" s="2" t="s">
        <v>767</v>
      </c>
      <c r="W260" s="2" t="s">
        <v>70</v>
      </c>
      <c r="X260" s="13">
        <v>346</v>
      </c>
      <c r="Y260" s="2" t="s">
        <v>71</v>
      </c>
      <c r="Z260" s="2" t="s">
        <v>72</v>
      </c>
      <c r="AA260" s="13">
        <v>500</v>
      </c>
      <c r="AB260" s="2" t="s">
        <v>73</v>
      </c>
      <c r="AC260" s="2" t="s">
        <v>6773</v>
      </c>
      <c r="AD260" s="27">
        <v>43277</v>
      </c>
      <c r="AL260" s="2" t="s">
        <v>7195</v>
      </c>
    </row>
    <row r="261" spans="1:38" hidden="1" x14ac:dyDescent="0.2">
      <c r="A261" s="2" t="s">
        <v>627</v>
      </c>
      <c r="B261" s="2" t="s">
        <v>768</v>
      </c>
      <c r="C261" s="2" t="s">
        <v>769</v>
      </c>
      <c r="D261" s="2" t="s">
        <v>770</v>
      </c>
      <c r="E261" s="16">
        <v>2083.8000000000002</v>
      </c>
      <c r="F261" s="16">
        <v>2083.8000000000002</v>
      </c>
      <c r="G261" s="14">
        <v>43302</v>
      </c>
      <c r="H261" s="15">
        <v>0.48738425925925999</v>
      </c>
      <c r="I261" s="14">
        <v>43302</v>
      </c>
      <c r="J261" s="15">
        <v>0.73832175925926002</v>
      </c>
      <c r="K261" s="13">
        <v>20</v>
      </c>
      <c r="L261" s="2" t="s">
        <v>64</v>
      </c>
      <c r="M261" s="2" t="s">
        <v>713</v>
      </c>
      <c r="N261" s="14">
        <v>43305</v>
      </c>
      <c r="O261" s="14">
        <v>43304</v>
      </c>
      <c r="P261" s="2" t="s">
        <v>153</v>
      </c>
      <c r="Q261" s="2" t="s">
        <v>771</v>
      </c>
      <c r="R261" s="2" t="s">
        <v>80</v>
      </c>
      <c r="S261" s="14">
        <v>43305</v>
      </c>
      <c r="T261" s="2" t="s">
        <v>6258</v>
      </c>
      <c r="U261" s="2" t="s">
        <v>154</v>
      </c>
      <c r="V261" s="2" t="s">
        <v>772</v>
      </c>
      <c r="W261" s="2" t="s">
        <v>70</v>
      </c>
      <c r="X261" s="13">
        <v>346</v>
      </c>
      <c r="Y261" s="2" t="s">
        <v>71</v>
      </c>
      <c r="Z261" s="2" t="s">
        <v>72</v>
      </c>
      <c r="AA261" s="13">
        <v>2000</v>
      </c>
      <c r="AB261" s="2" t="s">
        <v>73</v>
      </c>
      <c r="AC261" s="2" t="s">
        <v>6773</v>
      </c>
      <c r="AD261" s="27">
        <v>43277</v>
      </c>
      <c r="AI261" s="2" t="s">
        <v>6153</v>
      </c>
      <c r="AL261" s="2" t="s">
        <v>5052</v>
      </c>
    </row>
    <row r="262" spans="1:38" hidden="1" x14ac:dyDescent="0.2">
      <c r="A262" s="2" t="s">
        <v>627</v>
      </c>
      <c r="B262" s="2" t="s">
        <v>773</v>
      </c>
      <c r="C262" s="2" t="s">
        <v>636</v>
      </c>
      <c r="D262" s="2" t="s">
        <v>637</v>
      </c>
      <c r="E262" s="13">
        <v>2000</v>
      </c>
      <c r="F262" s="13">
        <v>2000</v>
      </c>
      <c r="G262" s="14">
        <v>43302</v>
      </c>
      <c r="H262" s="15">
        <v>0.75915509259258995</v>
      </c>
      <c r="I262" s="14">
        <v>43303</v>
      </c>
      <c r="J262" s="15">
        <v>0</v>
      </c>
      <c r="K262" s="13">
        <v>20</v>
      </c>
      <c r="L262" s="2" t="s">
        <v>64</v>
      </c>
      <c r="M262" s="2" t="s">
        <v>644</v>
      </c>
      <c r="N262" s="14">
        <v>43305</v>
      </c>
      <c r="O262" s="14">
        <v>43304</v>
      </c>
      <c r="P262" s="2" t="s">
        <v>153</v>
      </c>
      <c r="Q262" s="2" t="s">
        <v>774</v>
      </c>
      <c r="R262" s="2" t="s">
        <v>80</v>
      </c>
      <c r="S262" s="14">
        <v>43305</v>
      </c>
      <c r="T262" s="2" t="s">
        <v>6265</v>
      </c>
      <c r="U262" s="2" t="s">
        <v>640</v>
      </c>
      <c r="V262" s="2" t="s">
        <v>155</v>
      </c>
      <c r="W262" s="2" t="s">
        <v>70</v>
      </c>
      <c r="X262" s="13">
        <v>346</v>
      </c>
      <c r="Y262" s="2" t="s">
        <v>71</v>
      </c>
      <c r="Z262" s="2" t="s">
        <v>72</v>
      </c>
      <c r="AA262" s="13">
        <v>2000</v>
      </c>
      <c r="AB262" s="2" t="s">
        <v>73</v>
      </c>
      <c r="AC262" s="2" t="s">
        <v>6773</v>
      </c>
      <c r="AD262" s="27">
        <v>43251</v>
      </c>
      <c r="AL262" s="2" t="s">
        <v>5053</v>
      </c>
    </row>
    <row r="263" spans="1:38" hidden="1" x14ac:dyDescent="0.2">
      <c r="A263" s="2" t="s">
        <v>627</v>
      </c>
      <c r="B263" s="2" t="s">
        <v>775</v>
      </c>
      <c r="C263" s="2" t="s">
        <v>776</v>
      </c>
      <c r="D263" s="2" t="s">
        <v>777</v>
      </c>
      <c r="E263" s="13">
        <v>1000</v>
      </c>
      <c r="F263" s="13">
        <v>1000</v>
      </c>
      <c r="G263" s="14">
        <v>43302</v>
      </c>
      <c r="H263" s="15">
        <v>0.87957175925926001</v>
      </c>
      <c r="I263" s="14">
        <v>43303</v>
      </c>
      <c r="J263" s="15">
        <v>0</v>
      </c>
      <c r="K263" s="13">
        <v>0</v>
      </c>
      <c r="L263" s="2" t="s">
        <v>64</v>
      </c>
      <c r="M263" s="2" t="s">
        <v>638</v>
      </c>
      <c r="N263" s="14">
        <v>43306</v>
      </c>
      <c r="O263" s="14">
        <v>43304</v>
      </c>
      <c r="P263" s="2" t="s">
        <v>666</v>
      </c>
      <c r="Q263" s="2" t="s">
        <v>778</v>
      </c>
      <c r="R263" s="2" t="s">
        <v>80</v>
      </c>
      <c r="S263" s="14">
        <v>43306</v>
      </c>
      <c r="T263" s="2" t="s">
        <v>6266</v>
      </c>
      <c r="U263" s="2" t="s">
        <v>215</v>
      </c>
      <c r="V263" s="2" t="s">
        <v>779</v>
      </c>
      <c r="W263" s="2" t="s">
        <v>70</v>
      </c>
      <c r="X263" s="13">
        <v>346</v>
      </c>
      <c r="Y263" s="2" t="s">
        <v>71</v>
      </c>
      <c r="Z263" s="2" t="s">
        <v>72</v>
      </c>
      <c r="AA263" s="13">
        <v>1000</v>
      </c>
      <c r="AB263" s="2" t="s">
        <v>73</v>
      </c>
      <c r="AC263" s="2" t="s">
        <v>6773</v>
      </c>
      <c r="AD263" s="27">
        <v>43264</v>
      </c>
      <c r="AI263" s="2" t="s">
        <v>6153</v>
      </c>
      <c r="AL263" s="2" t="s">
        <v>5054</v>
      </c>
    </row>
    <row r="264" spans="1:38" hidden="1" x14ac:dyDescent="0.2">
      <c r="A264" s="2" t="s">
        <v>627</v>
      </c>
      <c r="B264" s="2" t="s">
        <v>780</v>
      </c>
      <c r="C264" s="2" t="s">
        <v>781</v>
      </c>
      <c r="D264" s="2" t="s">
        <v>782</v>
      </c>
      <c r="E264" s="13">
        <v>1000</v>
      </c>
      <c r="F264" s="13">
        <v>1000</v>
      </c>
      <c r="G264" s="14">
        <v>43302</v>
      </c>
      <c r="H264" s="15">
        <v>0.87957175925926001</v>
      </c>
      <c r="I264" s="14">
        <v>43303</v>
      </c>
      <c r="J264" s="15">
        <v>0</v>
      </c>
      <c r="K264" s="13">
        <v>0</v>
      </c>
      <c r="L264" s="2" t="s">
        <v>64</v>
      </c>
      <c r="M264" s="2" t="s">
        <v>638</v>
      </c>
      <c r="N264" s="14">
        <v>43306</v>
      </c>
      <c r="O264" s="14">
        <v>43304</v>
      </c>
      <c r="P264" s="2" t="s">
        <v>783</v>
      </c>
      <c r="Q264" s="2" t="s">
        <v>784</v>
      </c>
      <c r="R264" s="2" t="s">
        <v>80</v>
      </c>
      <c r="S264" s="14">
        <v>43306</v>
      </c>
      <c r="T264" s="2" t="s">
        <v>6267</v>
      </c>
      <c r="U264" s="2" t="s">
        <v>215</v>
      </c>
      <c r="V264" s="2" t="s">
        <v>785</v>
      </c>
      <c r="W264" s="2" t="s">
        <v>70</v>
      </c>
      <c r="X264" s="13">
        <v>346</v>
      </c>
      <c r="Y264" s="2" t="s">
        <v>71</v>
      </c>
      <c r="Z264" s="2" t="s">
        <v>72</v>
      </c>
      <c r="AA264" s="13">
        <v>1000</v>
      </c>
      <c r="AB264" s="2" t="s">
        <v>73</v>
      </c>
      <c r="AC264" s="2" t="s">
        <v>6773</v>
      </c>
      <c r="AD264" s="27">
        <v>43265</v>
      </c>
      <c r="AI264" s="2" t="s">
        <v>6153</v>
      </c>
      <c r="AL264" s="2" t="s">
        <v>5055</v>
      </c>
    </row>
    <row r="265" spans="1:38" hidden="1" x14ac:dyDescent="0.2">
      <c r="A265" s="2" t="s">
        <v>627</v>
      </c>
      <c r="B265" s="2" t="s">
        <v>807</v>
      </c>
      <c r="C265" s="2" t="s">
        <v>808</v>
      </c>
      <c r="D265" s="2" t="s">
        <v>809</v>
      </c>
      <c r="E265" s="13">
        <v>1500</v>
      </c>
      <c r="F265" s="13">
        <v>1500</v>
      </c>
      <c r="G265" s="14">
        <v>43303</v>
      </c>
      <c r="H265" s="15">
        <v>0.125</v>
      </c>
      <c r="I265" s="14">
        <v>43303</v>
      </c>
      <c r="J265" s="15">
        <v>0.30563657407407002</v>
      </c>
      <c r="K265" s="13">
        <v>0</v>
      </c>
      <c r="L265" s="2" t="s">
        <v>64</v>
      </c>
      <c r="M265" s="2" t="s">
        <v>810</v>
      </c>
      <c r="N265" s="14">
        <v>43307</v>
      </c>
      <c r="O265" s="14">
        <v>43305</v>
      </c>
      <c r="P265" s="2" t="s">
        <v>78</v>
      </c>
      <c r="Q265" s="2" t="s">
        <v>811</v>
      </c>
      <c r="R265" s="2" t="s">
        <v>80</v>
      </c>
      <c r="S265" s="14">
        <v>43307</v>
      </c>
      <c r="T265" s="2" t="s">
        <v>6268</v>
      </c>
      <c r="U265" s="2" t="s">
        <v>812</v>
      </c>
      <c r="V265" s="2" t="s">
        <v>81</v>
      </c>
      <c r="W265" s="2" t="s">
        <v>70</v>
      </c>
      <c r="X265" s="13">
        <v>346</v>
      </c>
      <c r="Y265" s="2" t="s">
        <v>71</v>
      </c>
      <c r="Z265" s="2" t="s">
        <v>72</v>
      </c>
      <c r="AA265" s="13">
        <v>1500</v>
      </c>
      <c r="AB265" s="2" t="s">
        <v>73</v>
      </c>
      <c r="AC265" s="2" t="s">
        <v>6773</v>
      </c>
      <c r="AD265" s="27">
        <v>43273</v>
      </c>
      <c r="AL265" s="2" t="s">
        <v>5056</v>
      </c>
    </row>
    <row r="266" spans="1:38" hidden="1" x14ac:dyDescent="0.2">
      <c r="A266" s="2" t="s">
        <v>627</v>
      </c>
      <c r="B266" s="2" t="s">
        <v>786</v>
      </c>
      <c r="C266" s="2" t="s">
        <v>787</v>
      </c>
      <c r="D266" s="2" t="s">
        <v>788</v>
      </c>
      <c r="E266" s="16">
        <v>1004.7</v>
      </c>
      <c r="F266" s="16">
        <v>1004.7</v>
      </c>
      <c r="G266" s="14">
        <v>43303</v>
      </c>
      <c r="H266" s="15">
        <v>0.67524305555555997</v>
      </c>
      <c r="I266" s="14">
        <v>43303</v>
      </c>
      <c r="J266" s="15">
        <v>0.79623842592592997</v>
      </c>
      <c r="K266" s="13">
        <v>20</v>
      </c>
      <c r="L266" s="2" t="s">
        <v>64</v>
      </c>
      <c r="M266" s="2" t="s">
        <v>789</v>
      </c>
      <c r="N266" s="14">
        <v>43311</v>
      </c>
      <c r="O266" s="14">
        <v>43310</v>
      </c>
      <c r="P266" s="2" t="s">
        <v>693</v>
      </c>
      <c r="Q266" s="2" t="s">
        <v>790</v>
      </c>
      <c r="R266" s="2" t="s">
        <v>80</v>
      </c>
      <c r="S266" s="14">
        <v>43311</v>
      </c>
      <c r="T266" s="2" t="s">
        <v>6269</v>
      </c>
      <c r="U266" s="2" t="s">
        <v>695</v>
      </c>
      <c r="V266" s="2" t="s">
        <v>81</v>
      </c>
      <c r="W266" s="2" t="s">
        <v>683</v>
      </c>
      <c r="X266" s="13">
        <v>346</v>
      </c>
      <c r="Y266" s="2" t="s">
        <v>71</v>
      </c>
      <c r="Z266" s="2" t="s">
        <v>72</v>
      </c>
      <c r="AA266" s="13">
        <v>1000</v>
      </c>
      <c r="AB266" s="2" t="s">
        <v>73</v>
      </c>
      <c r="AC266" s="2" t="s">
        <v>6773</v>
      </c>
      <c r="AD266" s="27">
        <v>43283</v>
      </c>
      <c r="AL266" s="2" t="s">
        <v>5057</v>
      </c>
    </row>
    <row r="267" spans="1:38" hidden="1" x14ac:dyDescent="0.2">
      <c r="A267" s="2" t="s">
        <v>627</v>
      </c>
      <c r="B267" s="2" t="s">
        <v>791</v>
      </c>
      <c r="C267" s="2" t="s">
        <v>792</v>
      </c>
      <c r="D267" s="2" t="s">
        <v>793</v>
      </c>
      <c r="E267" s="13">
        <v>1000</v>
      </c>
      <c r="F267" s="13">
        <v>1000</v>
      </c>
      <c r="G267" s="14">
        <v>43303</v>
      </c>
      <c r="H267" s="15">
        <v>0.87957175925926001</v>
      </c>
      <c r="I267" s="14">
        <v>43304</v>
      </c>
      <c r="J267" s="15">
        <v>0</v>
      </c>
      <c r="K267" s="13">
        <v>0</v>
      </c>
      <c r="L267" s="2" t="s">
        <v>64</v>
      </c>
      <c r="M267" s="2" t="s">
        <v>638</v>
      </c>
      <c r="N267" s="14">
        <v>43306</v>
      </c>
      <c r="O267" s="14">
        <v>43305</v>
      </c>
      <c r="P267" s="2" t="s">
        <v>153</v>
      </c>
      <c r="Q267" s="2" t="s">
        <v>794</v>
      </c>
      <c r="R267" s="2" t="s">
        <v>80</v>
      </c>
      <c r="S267" s="14">
        <v>43306</v>
      </c>
      <c r="T267" s="2" t="s">
        <v>6270</v>
      </c>
      <c r="U267" s="2" t="s">
        <v>215</v>
      </c>
      <c r="V267" s="2" t="s">
        <v>795</v>
      </c>
      <c r="W267" s="2" t="s">
        <v>70</v>
      </c>
      <c r="X267" s="13">
        <v>346</v>
      </c>
      <c r="Y267" s="2" t="s">
        <v>71</v>
      </c>
      <c r="Z267" s="2" t="s">
        <v>72</v>
      </c>
      <c r="AA267" s="13">
        <v>1000</v>
      </c>
      <c r="AB267" s="2" t="s">
        <v>73</v>
      </c>
      <c r="AC267" s="2" t="s">
        <v>6773</v>
      </c>
      <c r="AD267" s="27">
        <v>43264</v>
      </c>
      <c r="AL267" s="2" t="s">
        <v>5058</v>
      </c>
    </row>
    <row r="268" spans="1:38" hidden="1" x14ac:dyDescent="0.2">
      <c r="A268" s="2" t="s">
        <v>627</v>
      </c>
      <c r="B268" s="2" t="s">
        <v>796</v>
      </c>
      <c r="C268" s="2" t="s">
        <v>797</v>
      </c>
      <c r="D268" s="2" t="s">
        <v>798</v>
      </c>
      <c r="E268" s="16">
        <v>1302.375</v>
      </c>
      <c r="F268" s="16">
        <v>1302.375</v>
      </c>
      <c r="G268" s="14">
        <v>43304</v>
      </c>
      <c r="H268" s="15">
        <v>0.22865740740741</v>
      </c>
      <c r="I268" s="14">
        <v>43304</v>
      </c>
      <c r="J268" s="15">
        <v>0.38549768518519001</v>
      </c>
      <c r="K268" s="13">
        <v>0</v>
      </c>
      <c r="L268" s="2" t="s">
        <v>64</v>
      </c>
      <c r="M268" s="2" t="s">
        <v>799</v>
      </c>
      <c r="N268" s="14"/>
      <c r="O268" s="14">
        <v>43306</v>
      </c>
      <c r="P268" s="2" t="s">
        <v>91</v>
      </c>
      <c r="Q268" s="2" t="s">
        <v>800</v>
      </c>
      <c r="R268" s="2" t="s">
        <v>80</v>
      </c>
      <c r="S268" s="14">
        <v>43357</v>
      </c>
      <c r="U268" s="2" t="s">
        <v>198</v>
      </c>
      <c r="V268" s="2" t="s">
        <v>801</v>
      </c>
      <c r="W268" s="2" t="s">
        <v>70</v>
      </c>
      <c r="X268" s="13">
        <v>0</v>
      </c>
      <c r="Y268" s="2" t="s">
        <v>71</v>
      </c>
      <c r="Z268" s="2" t="s">
        <v>72</v>
      </c>
      <c r="AA268" s="13">
        <v>1250</v>
      </c>
      <c r="AB268" s="2" t="s">
        <v>95</v>
      </c>
      <c r="AC268" s="2" t="s">
        <v>6773</v>
      </c>
      <c r="AD268" s="27"/>
      <c r="AI268" s="2" t="s">
        <v>6153</v>
      </c>
      <c r="AL268" s="2" t="s">
        <v>5059</v>
      </c>
    </row>
    <row r="269" spans="1:38" hidden="1" x14ac:dyDescent="0.2">
      <c r="A269" s="2" t="s">
        <v>627</v>
      </c>
      <c r="B269" s="2" t="s">
        <v>802</v>
      </c>
      <c r="C269" s="2" t="s">
        <v>803</v>
      </c>
      <c r="D269" s="2" t="s">
        <v>804</v>
      </c>
      <c r="E269" s="16">
        <v>2083.8000000000002</v>
      </c>
      <c r="F269" s="16">
        <v>2083.8000000000002</v>
      </c>
      <c r="G269" s="14">
        <v>43304</v>
      </c>
      <c r="H269" s="15">
        <v>0.40633101851851999</v>
      </c>
      <c r="I269" s="14">
        <v>43304</v>
      </c>
      <c r="J269" s="15">
        <v>0.65726851851851997</v>
      </c>
      <c r="K269" s="13">
        <v>20</v>
      </c>
      <c r="L269" s="2" t="s">
        <v>64</v>
      </c>
      <c r="M269" s="2" t="s">
        <v>713</v>
      </c>
      <c r="N269" s="14">
        <v>43307</v>
      </c>
      <c r="O269" s="14">
        <v>43306</v>
      </c>
      <c r="P269" s="2" t="s">
        <v>91</v>
      </c>
      <c r="Q269" s="2" t="s">
        <v>805</v>
      </c>
      <c r="R269" s="2" t="s">
        <v>80</v>
      </c>
      <c r="S269" s="14">
        <v>43307</v>
      </c>
      <c r="T269" s="2" t="s">
        <v>6271</v>
      </c>
      <c r="U269" s="2" t="s">
        <v>241</v>
      </c>
      <c r="V269" s="2" t="s">
        <v>806</v>
      </c>
      <c r="W269" s="2" t="s">
        <v>70</v>
      </c>
      <c r="X269" s="13">
        <v>346</v>
      </c>
      <c r="Y269" s="2" t="s">
        <v>71</v>
      </c>
      <c r="Z269" s="2" t="s">
        <v>72</v>
      </c>
      <c r="AA269" s="13">
        <v>2000</v>
      </c>
      <c r="AB269" s="2" t="s">
        <v>73</v>
      </c>
      <c r="AC269" s="2" t="s">
        <v>6773</v>
      </c>
      <c r="AD269" s="27">
        <v>43279</v>
      </c>
      <c r="AL269" s="2" t="s">
        <v>5060</v>
      </c>
    </row>
    <row r="270" spans="1:38" hidden="1" x14ac:dyDescent="0.2">
      <c r="A270" s="2" t="s">
        <v>627</v>
      </c>
      <c r="B270" s="2" t="s">
        <v>697</v>
      </c>
      <c r="C270" s="2" t="s">
        <v>698</v>
      </c>
      <c r="D270" s="2" t="s">
        <v>699</v>
      </c>
      <c r="E270" s="13">
        <v>10037</v>
      </c>
      <c r="F270" s="13">
        <v>10037</v>
      </c>
      <c r="G270" s="14">
        <v>43304</v>
      </c>
      <c r="H270" s="15">
        <v>0.66666666666666996</v>
      </c>
      <c r="I270" s="14">
        <v>43305</v>
      </c>
      <c r="J270" s="15">
        <v>0.87535879629629998</v>
      </c>
      <c r="K270" s="13">
        <v>0</v>
      </c>
      <c r="L270" s="2" t="s">
        <v>64</v>
      </c>
      <c r="M270" s="2" t="s">
        <v>700</v>
      </c>
      <c r="N270" s="14">
        <v>43312</v>
      </c>
      <c r="O270" s="14">
        <v>43312</v>
      </c>
      <c r="P270" s="2" t="s">
        <v>701</v>
      </c>
      <c r="Q270" s="2" t="s">
        <v>702</v>
      </c>
      <c r="R270" s="2" t="s">
        <v>80</v>
      </c>
      <c r="S270" s="14">
        <v>43312</v>
      </c>
      <c r="T270" s="2" t="s">
        <v>6272</v>
      </c>
      <c r="U270" s="2" t="s">
        <v>703</v>
      </c>
      <c r="V270" s="2" t="s">
        <v>704</v>
      </c>
      <c r="W270" s="2" t="s">
        <v>683</v>
      </c>
      <c r="X270" s="13">
        <v>346</v>
      </c>
      <c r="Y270" s="2" t="s">
        <v>71</v>
      </c>
      <c r="Z270" s="2" t="s">
        <v>72</v>
      </c>
      <c r="AA270" s="13">
        <v>10000</v>
      </c>
      <c r="AB270" s="2" t="s">
        <v>73</v>
      </c>
      <c r="AC270" s="2" t="s">
        <v>6773</v>
      </c>
      <c r="AD270" s="27">
        <v>43279</v>
      </c>
      <c r="AL270" s="2" t="s">
        <v>5061</v>
      </c>
    </row>
    <row r="271" spans="1:38" hidden="1" x14ac:dyDescent="0.2">
      <c r="A271" s="2" t="s">
        <v>627</v>
      </c>
      <c r="B271" s="2" t="s">
        <v>813</v>
      </c>
      <c r="C271" s="2" t="s">
        <v>814</v>
      </c>
      <c r="D271" s="2" t="s">
        <v>815</v>
      </c>
      <c r="E271" s="13">
        <v>1000</v>
      </c>
      <c r="F271" s="13">
        <v>1000</v>
      </c>
      <c r="G271" s="14">
        <v>43304</v>
      </c>
      <c r="H271" s="15">
        <v>0.87957175925926001</v>
      </c>
      <c r="I271" s="14">
        <v>43305</v>
      </c>
      <c r="J271" s="15">
        <v>0</v>
      </c>
      <c r="K271" s="13">
        <v>0</v>
      </c>
      <c r="L271" s="2" t="s">
        <v>64</v>
      </c>
      <c r="M271" s="2" t="s">
        <v>638</v>
      </c>
      <c r="N271" s="14">
        <v>43307</v>
      </c>
      <c r="O271" s="14">
        <v>43306</v>
      </c>
      <c r="P271" s="2" t="s">
        <v>78</v>
      </c>
      <c r="Q271" s="2" t="s">
        <v>816</v>
      </c>
      <c r="R271" s="2" t="s">
        <v>80</v>
      </c>
      <c r="S271" s="14">
        <v>43307</v>
      </c>
      <c r="T271" s="2" t="s">
        <v>6273</v>
      </c>
      <c r="U271" s="2" t="s">
        <v>249</v>
      </c>
      <c r="V271" s="2" t="s">
        <v>179</v>
      </c>
      <c r="W271" s="2" t="s">
        <v>70</v>
      </c>
      <c r="X271" s="13">
        <v>346</v>
      </c>
      <c r="Y271" s="2" t="s">
        <v>71</v>
      </c>
      <c r="Z271" s="2" t="s">
        <v>72</v>
      </c>
      <c r="AA271" s="13">
        <v>1000</v>
      </c>
      <c r="AB271" s="2" t="s">
        <v>73</v>
      </c>
      <c r="AC271" s="2" t="s">
        <v>6773</v>
      </c>
      <c r="AD271" s="27">
        <v>43249</v>
      </c>
      <c r="AL271" s="2" t="s">
        <v>5062</v>
      </c>
    </row>
    <row r="272" spans="1:38" hidden="1" x14ac:dyDescent="0.2">
      <c r="A272" s="2" t="s">
        <v>627</v>
      </c>
      <c r="B272" s="2" t="s">
        <v>817</v>
      </c>
      <c r="C272" s="2" t="s">
        <v>716</v>
      </c>
      <c r="D272" s="2" t="s">
        <v>717</v>
      </c>
      <c r="E272" s="16">
        <v>1072.5999999999999</v>
      </c>
      <c r="F272" s="16">
        <v>1072.5999999999999</v>
      </c>
      <c r="G272" s="14">
        <v>43305</v>
      </c>
      <c r="H272" s="15">
        <v>0.47358796296296002</v>
      </c>
      <c r="I272" s="14">
        <v>43305</v>
      </c>
      <c r="J272" s="15">
        <v>0.60275462962963</v>
      </c>
      <c r="K272" s="13">
        <v>0</v>
      </c>
      <c r="L272" s="2" t="s">
        <v>64</v>
      </c>
      <c r="M272" s="2" t="s">
        <v>818</v>
      </c>
      <c r="N272" s="14">
        <v>43308</v>
      </c>
      <c r="O272" s="14">
        <v>43307</v>
      </c>
      <c r="P272" s="2" t="s">
        <v>693</v>
      </c>
      <c r="Q272" s="2" t="s">
        <v>819</v>
      </c>
      <c r="R272" s="2" t="s">
        <v>80</v>
      </c>
      <c r="S272" s="14">
        <v>43308</v>
      </c>
      <c r="T272" s="2" t="s">
        <v>6274</v>
      </c>
      <c r="U272" s="2" t="s">
        <v>720</v>
      </c>
      <c r="V272" s="2" t="s">
        <v>81</v>
      </c>
      <c r="W272" s="2" t="s">
        <v>683</v>
      </c>
      <c r="X272" s="13">
        <v>346</v>
      </c>
      <c r="Y272" s="2" t="s">
        <v>71</v>
      </c>
      <c r="Z272" s="2" t="s">
        <v>72</v>
      </c>
      <c r="AA272" s="13">
        <v>1000</v>
      </c>
      <c r="AB272" s="2" t="s">
        <v>73</v>
      </c>
      <c r="AC272" s="2" t="s">
        <v>6773</v>
      </c>
      <c r="AD272" s="27">
        <v>43280</v>
      </c>
      <c r="AL272" s="2" t="s">
        <v>5063</v>
      </c>
    </row>
    <row r="273" spans="1:38" hidden="1" x14ac:dyDescent="0.2">
      <c r="A273" s="2" t="s">
        <v>627</v>
      </c>
      <c r="B273" s="2" t="s">
        <v>820</v>
      </c>
      <c r="C273" s="2" t="s">
        <v>821</v>
      </c>
      <c r="D273" s="2" t="s">
        <v>822</v>
      </c>
      <c r="E273" s="16">
        <v>3125.7</v>
      </c>
      <c r="F273" s="16">
        <v>3125.7</v>
      </c>
      <c r="G273" s="14">
        <v>43305</v>
      </c>
      <c r="H273" s="15">
        <v>0.62358796296296004</v>
      </c>
      <c r="I273" s="14">
        <v>43306</v>
      </c>
      <c r="J273" s="15">
        <v>0</v>
      </c>
      <c r="K273" s="13">
        <v>20</v>
      </c>
      <c r="L273" s="2" t="s">
        <v>64</v>
      </c>
      <c r="M273" s="2" t="s">
        <v>823</v>
      </c>
      <c r="N273" s="14">
        <v>43308</v>
      </c>
      <c r="O273" s="14">
        <v>43307</v>
      </c>
      <c r="P273" s="2" t="s">
        <v>91</v>
      </c>
      <c r="Q273" s="2" t="s">
        <v>824</v>
      </c>
      <c r="R273" s="2" t="s">
        <v>80</v>
      </c>
      <c r="S273" s="14">
        <v>43308</v>
      </c>
      <c r="T273" s="2" t="s">
        <v>6275</v>
      </c>
      <c r="U273" s="2" t="s">
        <v>825</v>
      </c>
      <c r="V273" s="2" t="s">
        <v>81</v>
      </c>
      <c r="W273" s="2" t="s">
        <v>70</v>
      </c>
      <c r="X273" s="13">
        <v>346</v>
      </c>
      <c r="Y273" s="2" t="s">
        <v>71</v>
      </c>
      <c r="Z273" s="2" t="s">
        <v>72</v>
      </c>
      <c r="AA273" s="13">
        <v>3000</v>
      </c>
      <c r="AB273" s="2" t="s">
        <v>73</v>
      </c>
      <c r="AC273" s="2" t="s">
        <v>6773</v>
      </c>
      <c r="AD273" s="27">
        <v>43280</v>
      </c>
      <c r="AL273" s="2" t="s">
        <v>5064</v>
      </c>
    </row>
    <row r="274" spans="1:38" hidden="1" x14ac:dyDescent="0.2">
      <c r="A274" s="2" t="s">
        <v>627</v>
      </c>
      <c r="B274" s="2" t="s">
        <v>4286</v>
      </c>
      <c r="C274" s="2" t="s">
        <v>4287</v>
      </c>
      <c r="D274" s="2" t="s">
        <v>4288</v>
      </c>
      <c r="E274" s="16">
        <v>530.04999999999995</v>
      </c>
      <c r="F274" s="16">
        <v>530.04999999999995</v>
      </c>
      <c r="G274" s="14">
        <v>43306</v>
      </c>
      <c r="H274" s="15">
        <v>4.0335648148150001E-2</v>
      </c>
      <c r="I274" s="14">
        <v>43306</v>
      </c>
      <c r="J274" s="15">
        <v>0.10416666666667</v>
      </c>
      <c r="K274" s="13">
        <v>20</v>
      </c>
      <c r="L274" s="2" t="s">
        <v>64</v>
      </c>
      <c r="M274" s="2" t="s">
        <v>679</v>
      </c>
      <c r="N274" s="14">
        <v>43314</v>
      </c>
      <c r="O274" s="14">
        <v>43313</v>
      </c>
      <c r="P274" s="2" t="s">
        <v>4090</v>
      </c>
      <c r="Q274" s="2" t="s">
        <v>4289</v>
      </c>
      <c r="R274" s="2" t="s">
        <v>80</v>
      </c>
      <c r="S274" s="14">
        <v>43314</v>
      </c>
      <c r="T274" s="2" t="s">
        <v>6276</v>
      </c>
      <c r="U274" s="2" t="s">
        <v>681</v>
      </c>
      <c r="V274" s="2" t="s">
        <v>4290</v>
      </c>
      <c r="W274" s="2" t="s">
        <v>683</v>
      </c>
      <c r="X274" s="13">
        <v>346</v>
      </c>
      <c r="Y274" s="2" t="s">
        <v>71</v>
      </c>
      <c r="Z274" s="2" t="s">
        <v>72</v>
      </c>
      <c r="AA274" s="13">
        <v>500</v>
      </c>
      <c r="AB274" s="2" t="s">
        <v>73</v>
      </c>
      <c r="AC274" s="2" t="s">
        <v>6773</v>
      </c>
      <c r="AD274" s="27">
        <v>43286</v>
      </c>
      <c r="AL274" s="2" t="s">
        <v>5065</v>
      </c>
    </row>
    <row r="275" spans="1:38" hidden="1" x14ac:dyDescent="0.2">
      <c r="A275" s="2" t="s">
        <v>627</v>
      </c>
      <c r="B275" s="2" t="s">
        <v>863</v>
      </c>
      <c r="C275" s="2" t="s">
        <v>814</v>
      </c>
      <c r="D275" s="2" t="s">
        <v>815</v>
      </c>
      <c r="E275" s="13">
        <v>2000</v>
      </c>
      <c r="F275" s="13">
        <v>2000</v>
      </c>
      <c r="G275" s="14">
        <v>43306</v>
      </c>
      <c r="H275" s="15">
        <v>0.16666666666666999</v>
      </c>
      <c r="I275" s="14">
        <v>43306</v>
      </c>
      <c r="J275" s="15">
        <v>0.40751157407407002</v>
      </c>
      <c r="K275" s="13">
        <v>20</v>
      </c>
      <c r="L275" s="2" t="s">
        <v>64</v>
      </c>
      <c r="M275" s="2" t="s">
        <v>644</v>
      </c>
      <c r="N275" s="14">
        <v>43315</v>
      </c>
      <c r="O275" s="14">
        <v>43308</v>
      </c>
      <c r="P275" s="2" t="s">
        <v>78</v>
      </c>
      <c r="Q275" s="2" t="s">
        <v>864</v>
      </c>
      <c r="R275" s="2" t="s">
        <v>80</v>
      </c>
      <c r="S275" s="14">
        <v>43315</v>
      </c>
      <c r="T275" s="2" t="s">
        <v>6277</v>
      </c>
      <c r="U275" s="2" t="s">
        <v>249</v>
      </c>
      <c r="V275" s="2" t="s">
        <v>179</v>
      </c>
      <c r="W275" s="2" t="s">
        <v>70</v>
      </c>
      <c r="X275" s="13">
        <v>346</v>
      </c>
      <c r="Y275" s="2" t="s">
        <v>71</v>
      </c>
      <c r="Z275" s="2" t="s">
        <v>72</v>
      </c>
      <c r="AA275" s="13">
        <v>2000</v>
      </c>
      <c r="AB275" s="2" t="s">
        <v>73</v>
      </c>
      <c r="AC275" s="2" t="s">
        <v>6773</v>
      </c>
      <c r="AD275" s="27">
        <v>43208</v>
      </c>
      <c r="AL275" s="2" t="s">
        <v>5066</v>
      </c>
    </row>
    <row r="276" spans="1:38" hidden="1" x14ac:dyDescent="0.2">
      <c r="A276" s="2" t="s">
        <v>627</v>
      </c>
      <c r="B276" s="2" t="s">
        <v>4291</v>
      </c>
      <c r="C276" s="2" t="s">
        <v>4292</v>
      </c>
      <c r="D276" s="2" t="s">
        <v>4293</v>
      </c>
      <c r="E276" s="13">
        <v>10000</v>
      </c>
      <c r="F276" s="13">
        <v>10000</v>
      </c>
      <c r="G276" s="14">
        <v>43306</v>
      </c>
      <c r="H276" s="15">
        <v>0.53408564814814996</v>
      </c>
      <c r="I276" s="14">
        <v>43307</v>
      </c>
      <c r="J276" s="15">
        <v>0.73832175925926002</v>
      </c>
      <c r="K276" s="13">
        <v>20</v>
      </c>
      <c r="L276" s="2" t="s">
        <v>64</v>
      </c>
      <c r="M276" s="2" t="s">
        <v>899</v>
      </c>
      <c r="N276" s="14">
        <v>43311</v>
      </c>
      <c r="O276" s="14">
        <v>43309</v>
      </c>
      <c r="P276" s="2" t="s">
        <v>91</v>
      </c>
      <c r="Q276" s="2" t="s">
        <v>4294</v>
      </c>
      <c r="R276" s="2" t="s">
        <v>80</v>
      </c>
      <c r="S276" s="14">
        <v>43311</v>
      </c>
      <c r="T276" s="2" t="s">
        <v>6278</v>
      </c>
      <c r="U276" s="2" t="s">
        <v>178</v>
      </c>
      <c r="V276" s="2" t="s">
        <v>4295</v>
      </c>
      <c r="W276" s="2" t="s">
        <v>98</v>
      </c>
      <c r="X276" s="13">
        <v>346</v>
      </c>
      <c r="Y276" s="2" t="s">
        <v>71</v>
      </c>
      <c r="Z276" s="2" t="s">
        <v>72</v>
      </c>
      <c r="AA276" s="13">
        <v>10000</v>
      </c>
      <c r="AB276" s="2" t="s">
        <v>73</v>
      </c>
      <c r="AC276" s="2" t="s">
        <v>6773</v>
      </c>
      <c r="AD276" s="27">
        <v>43285</v>
      </c>
      <c r="AL276" s="2" t="s">
        <v>5067</v>
      </c>
    </row>
    <row r="277" spans="1:38" hidden="1" x14ac:dyDescent="0.2">
      <c r="A277" s="2" t="s">
        <v>627</v>
      </c>
      <c r="B277" s="2" t="s">
        <v>826</v>
      </c>
      <c r="C277" s="2" t="s">
        <v>759</v>
      </c>
      <c r="D277" s="2" t="s">
        <v>760</v>
      </c>
      <c r="E277" s="13">
        <v>2000</v>
      </c>
      <c r="F277" s="13">
        <v>2000</v>
      </c>
      <c r="G277" s="14">
        <v>43307</v>
      </c>
      <c r="H277" s="15">
        <v>0.75915509259258995</v>
      </c>
      <c r="I277" s="14">
        <v>43308</v>
      </c>
      <c r="J277" s="15">
        <v>0</v>
      </c>
      <c r="K277" s="13">
        <v>20</v>
      </c>
      <c r="L277" s="2" t="s">
        <v>64</v>
      </c>
      <c r="M277" s="2" t="s">
        <v>644</v>
      </c>
      <c r="N277" s="14">
        <v>43311</v>
      </c>
      <c r="O277" s="14">
        <v>43309</v>
      </c>
      <c r="P277" s="2" t="s">
        <v>78</v>
      </c>
      <c r="Q277" s="2" t="s">
        <v>827</v>
      </c>
      <c r="R277" s="2" t="s">
        <v>80</v>
      </c>
      <c r="S277" s="14">
        <v>43311</v>
      </c>
      <c r="T277" s="2" t="s">
        <v>6279</v>
      </c>
      <c r="U277" s="2" t="s">
        <v>762</v>
      </c>
      <c r="V277" s="2" t="s">
        <v>81</v>
      </c>
      <c r="W277" s="2" t="s">
        <v>70</v>
      </c>
      <c r="X277" s="13">
        <v>346</v>
      </c>
      <c r="Y277" s="2" t="s">
        <v>71</v>
      </c>
      <c r="Z277" s="2" t="s">
        <v>72</v>
      </c>
      <c r="AA277" s="13">
        <v>2000</v>
      </c>
      <c r="AB277" s="2" t="s">
        <v>73</v>
      </c>
      <c r="AC277" s="2" t="s">
        <v>6773</v>
      </c>
      <c r="AD277" s="27">
        <v>43243</v>
      </c>
      <c r="AL277" s="2" t="s">
        <v>5068</v>
      </c>
    </row>
    <row r="278" spans="1:38" hidden="1" x14ac:dyDescent="0.2">
      <c r="A278" s="2" t="s">
        <v>627</v>
      </c>
      <c r="B278" s="2" t="s">
        <v>4296</v>
      </c>
      <c r="C278" s="2" t="s">
        <v>4297</v>
      </c>
      <c r="D278" s="2" t="s">
        <v>4298</v>
      </c>
      <c r="E278" s="16">
        <v>2083.8000000000002</v>
      </c>
      <c r="F278" s="16">
        <v>2083.8000000000002</v>
      </c>
      <c r="G278" s="14">
        <v>43308</v>
      </c>
      <c r="H278" s="15">
        <v>0.21561342592593</v>
      </c>
      <c r="I278" s="14">
        <v>43308</v>
      </c>
      <c r="J278" s="15">
        <v>0.46655092592593</v>
      </c>
      <c r="K278" s="13">
        <v>20</v>
      </c>
      <c r="L278" s="2" t="s">
        <v>64</v>
      </c>
      <c r="M278" s="2" t="s">
        <v>713</v>
      </c>
      <c r="N278" s="14">
        <v>43312</v>
      </c>
      <c r="O278" s="14">
        <v>43310</v>
      </c>
      <c r="P278" s="2" t="s">
        <v>4299</v>
      </c>
      <c r="Q278" s="2" t="s">
        <v>4300</v>
      </c>
      <c r="R278" s="2" t="s">
        <v>80</v>
      </c>
      <c r="S278" s="14">
        <v>43312</v>
      </c>
      <c r="T278" s="2" t="s">
        <v>6280</v>
      </c>
      <c r="U278" s="2" t="s">
        <v>714</v>
      </c>
      <c r="V278" s="2" t="s">
        <v>4301</v>
      </c>
      <c r="W278" s="2" t="s">
        <v>683</v>
      </c>
      <c r="X278" s="13">
        <v>346</v>
      </c>
      <c r="Y278" s="2" t="s">
        <v>71</v>
      </c>
      <c r="Z278" s="2" t="s">
        <v>72</v>
      </c>
      <c r="AA278" s="13">
        <v>2000</v>
      </c>
      <c r="AB278" s="2" t="s">
        <v>73</v>
      </c>
      <c r="AC278" s="2" t="s">
        <v>6773</v>
      </c>
      <c r="AD278" s="27">
        <v>43284</v>
      </c>
      <c r="AL278" s="2" t="s">
        <v>5069</v>
      </c>
    </row>
    <row r="279" spans="1:38" hidden="1" x14ac:dyDescent="0.2">
      <c r="A279" s="2" t="s">
        <v>627</v>
      </c>
      <c r="B279" s="2" t="s">
        <v>828</v>
      </c>
      <c r="C279" s="2" t="s">
        <v>829</v>
      </c>
      <c r="D279" s="2" t="s">
        <v>830</v>
      </c>
      <c r="E279" s="16">
        <v>2083.8000000000002</v>
      </c>
      <c r="F279" s="16">
        <v>2083.8000000000002</v>
      </c>
      <c r="G279" s="14">
        <v>43308</v>
      </c>
      <c r="H279" s="15">
        <v>0.48738425925925999</v>
      </c>
      <c r="I279" s="14">
        <v>43308</v>
      </c>
      <c r="J279" s="15">
        <v>0.73832175925926002</v>
      </c>
      <c r="K279" s="13">
        <v>0</v>
      </c>
      <c r="L279" s="2" t="s">
        <v>64</v>
      </c>
      <c r="M279" s="2" t="s">
        <v>713</v>
      </c>
      <c r="N279" s="14">
        <v>43320</v>
      </c>
      <c r="O279" s="14">
        <v>43315</v>
      </c>
      <c r="P279" s="2" t="s">
        <v>91</v>
      </c>
      <c r="Q279" s="2" t="s">
        <v>98</v>
      </c>
      <c r="R279" s="2" t="s">
        <v>131</v>
      </c>
      <c r="S279" s="14"/>
      <c r="T279" s="2" t="s">
        <v>6281</v>
      </c>
      <c r="U279" s="2" t="s">
        <v>831</v>
      </c>
      <c r="V279" s="2" t="s">
        <v>155</v>
      </c>
      <c r="W279" s="2" t="s">
        <v>70</v>
      </c>
      <c r="X279" s="13">
        <v>346</v>
      </c>
      <c r="Y279" s="2" t="s">
        <v>71</v>
      </c>
      <c r="Z279" s="2" t="s">
        <v>72</v>
      </c>
      <c r="AA279" s="13">
        <v>2000</v>
      </c>
      <c r="AB279" s="2" t="s">
        <v>73</v>
      </c>
      <c r="AC279" s="2" t="s">
        <v>6773</v>
      </c>
      <c r="AD279" s="27">
        <v>43278</v>
      </c>
      <c r="AL279" s="2" t="s">
        <v>5070</v>
      </c>
    </row>
    <row r="280" spans="1:38" hidden="1" x14ac:dyDescent="0.2">
      <c r="A280" s="2" t="s">
        <v>627</v>
      </c>
      <c r="B280" s="2" t="s">
        <v>4302</v>
      </c>
      <c r="C280" s="2" t="s">
        <v>559</v>
      </c>
      <c r="D280" s="2" t="s">
        <v>560</v>
      </c>
      <c r="E280" s="16">
        <v>1041.9000000000001</v>
      </c>
      <c r="F280" s="16">
        <v>1041.9000000000001</v>
      </c>
      <c r="G280" s="14">
        <v>43308</v>
      </c>
      <c r="H280" s="15">
        <v>0.81783564814815002</v>
      </c>
      <c r="I280" s="14">
        <v>43308</v>
      </c>
      <c r="J280" s="15">
        <v>0.94331018518519005</v>
      </c>
      <c r="K280" s="13">
        <v>20</v>
      </c>
      <c r="L280" s="2" t="s">
        <v>64</v>
      </c>
      <c r="M280" s="2" t="s">
        <v>692</v>
      </c>
      <c r="N280" s="14">
        <v>43312</v>
      </c>
      <c r="O280" s="14">
        <v>43310</v>
      </c>
      <c r="P280" s="2" t="s">
        <v>78</v>
      </c>
      <c r="Q280" s="2" t="s">
        <v>4303</v>
      </c>
      <c r="R280" s="2" t="s">
        <v>80</v>
      </c>
      <c r="S280" s="14">
        <v>43312</v>
      </c>
      <c r="T280" s="2" t="s">
        <v>6282</v>
      </c>
      <c r="U280" s="2" t="s">
        <v>562</v>
      </c>
      <c r="V280" s="2" t="s">
        <v>69</v>
      </c>
      <c r="W280" s="2" t="s">
        <v>70</v>
      </c>
      <c r="X280" s="13">
        <v>346</v>
      </c>
      <c r="Y280" s="2" t="s">
        <v>71</v>
      </c>
      <c r="Z280" s="2" t="s">
        <v>72</v>
      </c>
      <c r="AA280" s="13">
        <v>1000</v>
      </c>
      <c r="AB280" s="2" t="s">
        <v>73</v>
      </c>
      <c r="AC280" s="2" t="s">
        <v>6773</v>
      </c>
      <c r="AD280" s="27">
        <v>43284</v>
      </c>
      <c r="AL280" s="2" t="s">
        <v>5071</v>
      </c>
    </row>
    <row r="281" spans="1:38" hidden="1" x14ac:dyDescent="0.2">
      <c r="A281" s="2" t="s">
        <v>627</v>
      </c>
      <c r="B281" s="2" t="s">
        <v>832</v>
      </c>
      <c r="C281" s="2" t="s">
        <v>833</v>
      </c>
      <c r="D281" s="2" t="s">
        <v>834</v>
      </c>
      <c r="E281" s="13">
        <v>1000</v>
      </c>
      <c r="F281" s="13">
        <v>1000</v>
      </c>
      <c r="G281" s="14">
        <v>43308</v>
      </c>
      <c r="H281" s="15">
        <v>0.96414351851851998</v>
      </c>
      <c r="I281" s="14">
        <v>43309</v>
      </c>
      <c r="J281" s="15">
        <v>8.4571759259259999E-2</v>
      </c>
      <c r="K281" s="13">
        <v>20</v>
      </c>
      <c r="L281" s="2" t="s">
        <v>64</v>
      </c>
      <c r="M281" s="2" t="s">
        <v>638</v>
      </c>
      <c r="N281" s="14">
        <v>43312</v>
      </c>
      <c r="O281" s="14">
        <v>43311</v>
      </c>
      <c r="P281" s="2" t="s">
        <v>78</v>
      </c>
      <c r="Q281" s="2" t="s">
        <v>835</v>
      </c>
      <c r="R281" s="2" t="s">
        <v>80</v>
      </c>
      <c r="S281" s="14">
        <v>43312</v>
      </c>
      <c r="T281" s="2" t="s">
        <v>6283</v>
      </c>
      <c r="U281" s="2" t="s">
        <v>241</v>
      </c>
      <c r="V281" s="2" t="s">
        <v>69</v>
      </c>
      <c r="W281" s="2" t="s">
        <v>70</v>
      </c>
      <c r="X281" s="13">
        <v>346</v>
      </c>
      <c r="Y281" s="2" t="s">
        <v>71</v>
      </c>
      <c r="Z281" s="2" t="s">
        <v>72</v>
      </c>
      <c r="AA281" s="13">
        <v>1000</v>
      </c>
      <c r="AB281" s="2" t="s">
        <v>73</v>
      </c>
      <c r="AC281" s="2" t="s">
        <v>6773</v>
      </c>
      <c r="AD281" s="27">
        <v>43265</v>
      </c>
      <c r="AL281" s="2" t="s">
        <v>5072</v>
      </c>
    </row>
    <row r="282" spans="1:38" hidden="1" x14ac:dyDescent="0.2">
      <c r="A282" s="2" t="s">
        <v>627</v>
      </c>
      <c r="B282" s="2" t="s">
        <v>836</v>
      </c>
      <c r="C282" s="2" t="s">
        <v>690</v>
      </c>
      <c r="D282" s="2" t="s">
        <v>691</v>
      </c>
      <c r="E282" s="13">
        <v>6000</v>
      </c>
      <c r="F282" s="13">
        <v>6000</v>
      </c>
      <c r="G282" s="14">
        <v>43309</v>
      </c>
      <c r="H282" s="15">
        <v>0.27745370370369998</v>
      </c>
      <c r="I282" s="14">
        <v>43310</v>
      </c>
      <c r="J282" s="15">
        <v>0</v>
      </c>
      <c r="K282" s="13">
        <v>0</v>
      </c>
      <c r="L282" s="2" t="s">
        <v>64</v>
      </c>
      <c r="M282" s="2" t="s">
        <v>837</v>
      </c>
      <c r="N282" s="14">
        <v>43319</v>
      </c>
      <c r="O282" s="14">
        <v>43316</v>
      </c>
      <c r="P282" s="2" t="s">
        <v>693</v>
      </c>
      <c r="Q282" s="2" t="s">
        <v>838</v>
      </c>
      <c r="R282" s="2" t="s">
        <v>80</v>
      </c>
      <c r="S282" s="14">
        <v>43319</v>
      </c>
      <c r="T282" s="2" t="s">
        <v>6284</v>
      </c>
      <c r="U282" s="2" t="s">
        <v>695</v>
      </c>
      <c r="V282" s="2" t="s">
        <v>696</v>
      </c>
      <c r="W282" s="2" t="s">
        <v>683</v>
      </c>
      <c r="X282" s="13">
        <v>346</v>
      </c>
      <c r="Y282" s="2" t="s">
        <v>71</v>
      </c>
      <c r="Z282" s="2" t="s">
        <v>72</v>
      </c>
      <c r="AA282" s="13">
        <v>6000</v>
      </c>
      <c r="AB282" s="2" t="s">
        <v>73</v>
      </c>
      <c r="AC282" s="2" t="s">
        <v>6773</v>
      </c>
      <c r="AD282" s="27">
        <v>43256</v>
      </c>
      <c r="AL282" s="2" t="s">
        <v>5073</v>
      </c>
    </row>
    <row r="283" spans="1:38" hidden="1" x14ac:dyDescent="0.2">
      <c r="A283" s="2" t="s">
        <v>627</v>
      </c>
      <c r="B283" s="2" t="s">
        <v>839</v>
      </c>
      <c r="C283" s="2" t="s">
        <v>652</v>
      </c>
      <c r="D283" s="2" t="s">
        <v>653</v>
      </c>
      <c r="E283" s="13">
        <v>5000</v>
      </c>
      <c r="F283" s="13">
        <v>5000</v>
      </c>
      <c r="G283" s="14">
        <v>43310</v>
      </c>
      <c r="H283" s="15">
        <v>0.39788194444444003</v>
      </c>
      <c r="I283" s="14">
        <v>43311</v>
      </c>
      <c r="J283" s="15">
        <v>0</v>
      </c>
      <c r="K283" s="13">
        <v>0</v>
      </c>
      <c r="L283" s="2" t="s">
        <v>64</v>
      </c>
      <c r="M283" s="2" t="s">
        <v>631</v>
      </c>
      <c r="N283" s="14">
        <v>43315</v>
      </c>
      <c r="O283" s="14">
        <v>43312</v>
      </c>
      <c r="P283" s="2" t="s">
        <v>91</v>
      </c>
      <c r="Q283" s="2" t="s">
        <v>840</v>
      </c>
      <c r="R283" s="2" t="s">
        <v>80</v>
      </c>
      <c r="S283" s="14">
        <v>43315</v>
      </c>
      <c r="T283" s="2" t="s">
        <v>6285</v>
      </c>
      <c r="U283" s="2" t="s">
        <v>162</v>
      </c>
      <c r="V283" s="2" t="s">
        <v>654</v>
      </c>
      <c r="W283" s="2" t="s">
        <v>70</v>
      </c>
      <c r="X283" s="13">
        <v>346</v>
      </c>
      <c r="Y283" s="2" t="s">
        <v>71</v>
      </c>
      <c r="Z283" s="2" t="s">
        <v>72</v>
      </c>
      <c r="AA283" s="13">
        <v>5000</v>
      </c>
      <c r="AB283" s="2" t="s">
        <v>73</v>
      </c>
      <c r="AC283" s="2" t="s">
        <v>6773</v>
      </c>
      <c r="AD283" s="27">
        <v>43256</v>
      </c>
      <c r="AL283" s="2" t="s">
        <v>5074</v>
      </c>
    </row>
    <row r="284" spans="1:38" hidden="1" x14ac:dyDescent="0.2">
      <c r="A284" s="2" t="s">
        <v>627</v>
      </c>
      <c r="B284" s="2" t="s">
        <v>4304</v>
      </c>
      <c r="C284" s="2" t="s">
        <v>833</v>
      </c>
      <c r="D284" s="2" t="s">
        <v>834</v>
      </c>
      <c r="E284" s="16">
        <v>520.95000000000005</v>
      </c>
      <c r="F284" s="16">
        <v>520.95000000000005</v>
      </c>
      <c r="G284" s="14">
        <v>43311</v>
      </c>
      <c r="H284" s="15">
        <v>0.93726851851852</v>
      </c>
      <c r="I284" s="14">
        <v>43312</v>
      </c>
      <c r="J284" s="15">
        <v>0</v>
      </c>
      <c r="K284" s="13">
        <v>0</v>
      </c>
      <c r="L284" s="2" t="s">
        <v>64</v>
      </c>
      <c r="M284" s="2" t="s">
        <v>737</v>
      </c>
      <c r="N284" s="14">
        <v>43314</v>
      </c>
      <c r="O284" s="14">
        <v>43313</v>
      </c>
      <c r="P284" s="2" t="s">
        <v>78</v>
      </c>
      <c r="Q284" s="2" t="s">
        <v>4305</v>
      </c>
      <c r="R284" s="2" t="s">
        <v>80</v>
      </c>
      <c r="S284" s="14">
        <v>43314</v>
      </c>
      <c r="T284" s="2" t="s">
        <v>6286</v>
      </c>
      <c r="U284" s="2" t="s">
        <v>241</v>
      </c>
      <c r="V284" s="2" t="s">
        <v>69</v>
      </c>
      <c r="W284" s="2" t="s">
        <v>70</v>
      </c>
      <c r="X284" s="13">
        <v>346</v>
      </c>
      <c r="Y284" s="2" t="s">
        <v>71</v>
      </c>
      <c r="Z284" s="2" t="s">
        <v>72</v>
      </c>
      <c r="AA284" s="13">
        <v>500</v>
      </c>
      <c r="AB284" s="2" t="s">
        <v>73</v>
      </c>
      <c r="AC284" s="2" t="s">
        <v>6773</v>
      </c>
      <c r="AD284" s="27">
        <v>43286</v>
      </c>
      <c r="AL284" s="2" t="s">
        <v>5075</v>
      </c>
    </row>
    <row r="285" spans="1:38" hidden="1" x14ac:dyDescent="0.2">
      <c r="A285" s="2" t="s">
        <v>627</v>
      </c>
      <c r="B285" s="2" t="s">
        <v>4306</v>
      </c>
      <c r="C285" s="2" t="s">
        <v>814</v>
      </c>
      <c r="D285" s="2" t="s">
        <v>815</v>
      </c>
      <c r="E285" s="16">
        <v>520.95000000000005</v>
      </c>
      <c r="F285" s="16">
        <v>520.95000000000005</v>
      </c>
      <c r="G285" s="14">
        <v>43312</v>
      </c>
      <c r="H285" s="15">
        <v>0.93726851851852</v>
      </c>
      <c r="I285" s="14">
        <v>43313</v>
      </c>
      <c r="J285" s="15">
        <v>0</v>
      </c>
      <c r="K285" s="13">
        <v>20</v>
      </c>
      <c r="L285" s="2" t="s">
        <v>64</v>
      </c>
      <c r="M285" s="2" t="s">
        <v>737</v>
      </c>
      <c r="N285" s="14">
        <v>43315</v>
      </c>
      <c r="O285" s="14">
        <v>43314</v>
      </c>
      <c r="P285" s="2" t="s">
        <v>78</v>
      </c>
      <c r="Q285" s="2" t="s">
        <v>4307</v>
      </c>
      <c r="R285" s="2" t="s">
        <v>80</v>
      </c>
      <c r="S285" s="14">
        <v>43315</v>
      </c>
      <c r="T285" s="2" t="s">
        <v>6287</v>
      </c>
      <c r="U285" s="2" t="s">
        <v>249</v>
      </c>
      <c r="V285" s="2" t="s">
        <v>179</v>
      </c>
      <c r="W285" s="2" t="s">
        <v>70</v>
      </c>
      <c r="X285" s="13">
        <v>346</v>
      </c>
      <c r="Y285" s="2" t="s">
        <v>71</v>
      </c>
      <c r="Z285" s="2" t="s">
        <v>72</v>
      </c>
      <c r="AA285" s="13">
        <v>500</v>
      </c>
      <c r="AB285" s="2" t="s">
        <v>73</v>
      </c>
      <c r="AC285" s="2" t="s">
        <v>6773</v>
      </c>
      <c r="AD285" s="27">
        <v>43287</v>
      </c>
      <c r="AL285" s="2" t="s">
        <v>5076</v>
      </c>
    </row>
    <row r="286" spans="1:38" hidden="1" x14ac:dyDescent="0.2">
      <c r="A286" s="2" t="s">
        <v>627</v>
      </c>
      <c r="B286" s="2" t="s">
        <v>841</v>
      </c>
      <c r="C286" s="2" t="s">
        <v>842</v>
      </c>
      <c r="D286" s="2" t="s">
        <v>843</v>
      </c>
      <c r="E286" s="16">
        <v>5209.5</v>
      </c>
      <c r="F286" s="16">
        <v>5209.5</v>
      </c>
      <c r="G286" s="14">
        <v>43315</v>
      </c>
      <c r="H286" s="15">
        <v>9.4803240740739994E-2</v>
      </c>
      <c r="I286" s="14">
        <v>43315</v>
      </c>
      <c r="J286" s="15">
        <v>0.72215277777777998</v>
      </c>
      <c r="K286" s="13">
        <v>20</v>
      </c>
      <c r="L286" s="2" t="s">
        <v>64</v>
      </c>
      <c r="M286" s="2" t="s">
        <v>844</v>
      </c>
      <c r="N286" s="14">
        <v>43318</v>
      </c>
      <c r="O286" s="14">
        <v>43317</v>
      </c>
      <c r="P286" s="2" t="s">
        <v>153</v>
      </c>
      <c r="Q286" s="2" t="s">
        <v>845</v>
      </c>
      <c r="R286" s="2" t="s">
        <v>80</v>
      </c>
      <c r="S286" s="14">
        <v>43318</v>
      </c>
      <c r="T286" s="2" t="s">
        <v>6288</v>
      </c>
      <c r="U286" s="2" t="s">
        <v>846</v>
      </c>
      <c r="V286" s="2" t="s">
        <v>847</v>
      </c>
      <c r="W286" s="2" t="s">
        <v>70</v>
      </c>
      <c r="X286" s="13">
        <v>346</v>
      </c>
      <c r="Y286" s="2" t="s">
        <v>71</v>
      </c>
      <c r="Z286" s="2" t="s">
        <v>72</v>
      </c>
      <c r="AA286" s="13">
        <v>5000</v>
      </c>
      <c r="AB286" s="2" t="s">
        <v>73</v>
      </c>
      <c r="AC286" s="2" t="s">
        <v>6773</v>
      </c>
      <c r="AD286" s="27">
        <v>43283</v>
      </c>
      <c r="AL286" s="2" t="s">
        <v>5077</v>
      </c>
    </row>
    <row r="287" spans="1:38" hidden="1" x14ac:dyDescent="0.2">
      <c r="A287" s="2" t="s">
        <v>627</v>
      </c>
      <c r="B287" s="2" t="s">
        <v>848</v>
      </c>
      <c r="C287" s="2" t="s">
        <v>649</v>
      </c>
      <c r="D287" s="2" t="s">
        <v>650</v>
      </c>
      <c r="E287" s="16">
        <v>2134.1999999999998</v>
      </c>
      <c r="F287" s="16">
        <v>2134.1999999999998</v>
      </c>
      <c r="G287" s="14">
        <v>43315</v>
      </c>
      <c r="H287" s="15">
        <v>0.74298611111111001</v>
      </c>
      <c r="I287" s="14">
        <v>43316</v>
      </c>
      <c r="J287" s="15">
        <v>0</v>
      </c>
      <c r="K287" s="13">
        <v>20</v>
      </c>
      <c r="L287" s="2" t="s">
        <v>64</v>
      </c>
      <c r="M287" s="2" t="s">
        <v>849</v>
      </c>
      <c r="N287" s="14">
        <v>43318</v>
      </c>
      <c r="O287" s="14">
        <v>43317</v>
      </c>
      <c r="P287" s="2" t="s">
        <v>78</v>
      </c>
      <c r="Q287" s="2" t="s">
        <v>850</v>
      </c>
      <c r="R287" s="2" t="s">
        <v>80</v>
      </c>
      <c r="S287" s="14">
        <v>43318</v>
      </c>
      <c r="T287" s="2" t="s">
        <v>6289</v>
      </c>
      <c r="U287" s="2" t="s">
        <v>640</v>
      </c>
      <c r="V287" s="2" t="s">
        <v>69</v>
      </c>
      <c r="W287" s="2" t="s">
        <v>70</v>
      </c>
      <c r="X287" s="13">
        <v>346</v>
      </c>
      <c r="Y287" s="2" t="s">
        <v>71</v>
      </c>
      <c r="Z287" s="2" t="s">
        <v>72</v>
      </c>
      <c r="AA287" s="13">
        <v>2000</v>
      </c>
      <c r="AB287" s="2" t="s">
        <v>73</v>
      </c>
      <c r="AC287" s="2" t="s">
        <v>6773</v>
      </c>
      <c r="AD287" s="27">
        <v>43277</v>
      </c>
      <c r="AL287" s="2" t="s">
        <v>5078</v>
      </c>
    </row>
    <row r="288" spans="1:38" hidden="1" x14ac:dyDescent="0.2">
      <c r="A288" s="2" t="s">
        <v>627</v>
      </c>
      <c r="B288" s="2" t="s">
        <v>851</v>
      </c>
      <c r="C288" s="2" t="s">
        <v>852</v>
      </c>
      <c r="D288" s="2" t="s">
        <v>853</v>
      </c>
      <c r="E288" s="13">
        <v>2000</v>
      </c>
      <c r="F288" s="13">
        <v>2000</v>
      </c>
      <c r="G288" s="14">
        <v>43316</v>
      </c>
      <c r="H288" s="15">
        <v>0.1362037037037</v>
      </c>
      <c r="I288" s="14">
        <v>43316</v>
      </c>
      <c r="J288" s="15">
        <v>0.37704861111110999</v>
      </c>
      <c r="K288" s="13">
        <v>20</v>
      </c>
      <c r="L288" s="2" t="s">
        <v>64</v>
      </c>
      <c r="M288" s="2" t="s">
        <v>644</v>
      </c>
      <c r="N288" s="14">
        <v>43320</v>
      </c>
      <c r="O288" s="14">
        <v>43318</v>
      </c>
      <c r="P288" s="2" t="s">
        <v>230</v>
      </c>
      <c r="Q288" s="2" t="s">
        <v>854</v>
      </c>
      <c r="R288" s="2" t="s">
        <v>80</v>
      </c>
      <c r="S288" s="14">
        <v>43320</v>
      </c>
      <c r="T288" s="2" t="s">
        <v>6290</v>
      </c>
      <c r="U288" s="2" t="s">
        <v>106</v>
      </c>
      <c r="V288" s="2" t="s">
        <v>155</v>
      </c>
      <c r="W288" s="2" t="s">
        <v>70</v>
      </c>
      <c r="X288" s="13">
        <v>346</v>
      </c>
      <c r="Y288" s="2" t="s">
        <v>71</v>
      </c>
      <c r="Z288" s="2" t="s">
        <v>72</v>
      </c>
      <c r="AA288" s="13">
        <v>2000</v>
      </c>
      <c r="AB288" s="2" t="s">
        <v>73</v>
      </c>
      <c r="AC288" s="2" t="s">
        <v>6773</v>
      </c>
      <c r="AD288" s="27">
        <v>43271</v>
      </c>
      <c r="AL288" s="2" t="s">
        <v>5079</v>
      </c>
    </row>
    <row r="289" spans="1:38" hidden="1" x14ac:dyDescent="0.2">
      <c r="A289" s="2" t="s">
        <v>627</v>
      </c>
      <c r="B289" s="2" t="s">
        <v>855</v>
      </c>
      <c r="C289" s="2" t="s">
        <v>652</v>
      </c>
      <c r="D289" s="2" t="s">
        <v>653</v>
      </c>
      <c r="E289" s="13">
        <v>5000</v>
      </c>
      <c r="F289" s="13">
        <v>5000</v>
      </c>
      <c r="G289" s="14">
        <v>43316</v>
      </c>
      <c r="H289" s="15">
        <v>0.39788194444444003</v>
      </c>
      <c r="I289" s="14">
        <v>43317</v>
      </c>
      <c r="J289" s="15">
        <v>0</v>
      </c>
      <c r="K289" s="13">
        <v>0</v>
      </c>
      <c r="L289" s="2" t="s">
        <v>64</v>
      </c>
      <c r="M289" s="2" t="s">
        <v>631</v>
      </c>
      <c r="N289" s="14">
        <v>43320</v>
      </c>
      <c r="O289" s="14">
        <v>43318</v>
      </c>
      <c r="P289" s="2" t="s">
        <v>91</v>
      </c>
      <c r="Q289" s="2" t="s">
        <v>856</v>
      </c>
      <c r="R289" s="2" t="s">
        <v>80</v>
      </c>
      <c r="S289" s="14">
        <v>43320</v>
      </c>
      <c r="T289" s="2" t="s">
        <v>6291</v>
      </c>
      <c r="U289" s="2" t="s">
        <v>162</v>
      </c>
      <c r="V289" s="2" t="s">
        <v>654</v>
      </c>
      <c r="W289" s="2" t="s">
        <v>70</v>
      </c>
      <c r="X289" s="13">
        <v>346</v>
      </c>
      <c r="Y289" s="2" t="s">
        <v>71</v>
      </c>
      <c r="Z289" s="2" t="s">
        <v>72</v>
      </c>
      <c r="AA289" s="13">
        <v>5000</v>
      </c>
      <c r="AB289" s="2" t="s">
        <v>73</v>
      </c>
      <c r="AC289" s="2" t="s">
        <v>6773</v>
      </c>
      <c r="AD289" s="27">
        <v>43256</v>
      </c>
      <c r="AL289" s="2" t="s">
        <v>5080</v>
      </c>
    </row>
    <row r="290" spans="1:38" hidden="1" x14ac:dyDescent="0.2">
      <c r="A290" s="2" t="s">
        <v>627</v>
      </c>
      <c r="B290" s="2" t="s">
        <v>857</v>
      </c>
      <c r="C290" s="2" t="s">
        <v>677</v>
      </c>
      <c r="D290" s="2" t="s">
        <v>678</v>
      </c>
      <c r="E290" s="13">
        <v>5000</v>
      </c>
      <c r="F290" s="13">
        <v>5000</v>
      </c>
      <c r="G290" s="14">
        <v>43317</v>
      </c>
      <c r="H290" s="15">
        <v>0.42416666666667002</v>
      </c>
      <c r="I290" s="14">
        <v>43318</v>
      </c>
      <c r="J290" s="15">
        <v>2.6284722222219999E-2</v>
      </c>
      <c r="K290" s="13">
        <v>0</v>
      </c>
      <c r="L290" s="2" t="s">
        <v>64</v>
      </c>
      <c r="M290" s="2" t="s">
        <v>631</v>
      </c>
      <c r="N290" s="14">
        <v>43326</v>
      </c>
      <c r="O290" s="14">
        <v>43325</v>
      </c>
      <c r="P290" s="2" t="s">
        <v>91</v>
      </c>
      <c r="Q290" s="2" t="s">
        <v>858</v>
      </c>
      <c r="R290" s="2" t="s">
        <v>93</v>
      </c>
      <c r="S290" s="14">
        <v>43326</v>
      </c>
      <c r="T290" s="2" t="s">
        <v>6292</v>
      </c>
      <c r="U290" s="2" t="s">
        <v>681</v>
      </c>
      <c r="V290" s="2" t="s">
        <v>682</v>
      </c>
      <c r="W290" s="2" t="s">
        <v>683</v>
      </c>
      <c r="X290" s="13">
        <v>346</v>
      </c>
      <c r="Y290" s="2" t="s">
        <v>71</v>
      </c>
      <c r="Z290" s="2" t="s">
        <v>72</v>
      </c>
      <c r="AA290" s="13">
        <v>5000</v>
      </c>
      <c r="AB290" s="2" t="s">
        <v>73</v>
      </c>
      <c r="AC290" s="2" t="s">
        <v>6773</v>
      </c>
      <c r="AD290" s="27">
        <v>43167</v>
      </c>
      <c r="AL290" s="2" t="s">
        <v>5081</v>
      </c>
    </row>
    <row r="291" spans="1:38" hidden="1" x14ac:dyDescent="0.2">
      <c r="A291" s="2" t="s">
        <v>627</v>
      </c>
      <c r="B291" s="2" t="s">
        <v>671</v>
      </c>
      <c r="C291" s="2" t="s">
        <v>672</v>
      </c>
      <c r="D291" s="2" t="s">
        <v>673</v>
      </c>
      <c r="E291" s="13">
        <v>6475</v>
      </c>
      <c r="F291" s="13">
        <v>6475</v>
      </c>
      <c r="G291" s="14">
        <v>43321</v>
      </c>
      <c r="H291" s="15">
        <v>0.125</v>
      </c>
      <c r="I291" s="14">
        <v>43321</v>
      </c>
      <c r="J291" s="15">
        <v>0.90474537037036995</v>
      </c>
      <c r="K291" s="13">
        <v>20</v>
      </c>
      <c r="L291" s="2" t="s">
        <v>64</v>
      </c>
      <c r="M291" s="2" t="s">
        <v>674</v>
      </c>
      <c r="N291" s="14">
        <v>43325</v>
      </c>
      <c r="O291" s="14">
        <v>43323</v>
      </c>
      <c r="P291" s="2" t="s">
        <v>208</v>
      </c>
      <c r="Q291" s="2" t="s">
        <v>675</v>
      </c>
      <c r="R291" s="2" t="s">
        <v>80</v>
      </c>
      <c r="S291" s="14">
        <v>43325</v>
      </c>
      <c r="T291" s="2" t="s">
        <v>6293</v>
      </c>
      <c r="U291" s="2" t="s">
        <v>640</v>
      </c>
      <c r="V291" s="2" t="s">
        <v>163</v>
      </c>
      <c r="W291" s="2" t="s">
        <v>70</v>
      </c>
      <c r="X291" s="13">
        <v>346</v>
      </c>
      <c r="Y291" s="2" t="s">
        <v>71</v>
      </c>
      <c r="Z291" s="2" t="s">
        <v>72</v>
      </c>
      <c r="AA291" s="13">
        <v>6475</v>
      </c>
      <c r="AB291" s="2" t="s">
        <v>73</v>
      </c>
      <c r="AC291" s="2" t="s">
        <v>6773</v>
      </c>
      <c r="AD291" s="27">
        <v>43250</v>
      </c>
      <c r="AL291" s="2" t="s">
        <v>5082</v>
      </c>
    </row>
    <row r="292" spans="1:38" hidden="1" x14ac:dyDescent="0.2">
      <c r="A292" s="2" t="s">
        <v>627</v>
      </c>
      <c r="B292" s="2" t="s">
        <v>859</v>
      </c>
      <c r="C292" s="2" t="s">
        <v>759</v>
      </c>
      <c r="D292" s="2" t="s">
        <v>760</v>
      </c>
      <c r="E292" s="16">
        <v>2083.8000000000002</v>
      </c>
      <c r="F292" s="16">
        <v>2083.8000000000002</v>
      </c>
      <c r="G292" s="14">
        <v>43322</v>
      </c>
      <c r="H292" s="15">
        <v>0.15368055555556001</v>
      </c>
      <c r="I292" s="14">
        <v>43322</v>
      </c>
      <c r="J292" s="15">
        <v>0.40461805555556002</v>
      </c>
      <c r="K292" s="13">
        <v>20</v>
      </c>
      <c r="L292" s="2" t="s">
        <v>64</v>
      </c>
      <c r="M292" s="2" t="s">
        <v>713</v>
      </c>
      <c r="N292" s="14">
        <v>43325</v>
      </c>
      <c r="O292" s="14">
        <v>43324</v>
      </c>
      <c r="P292" s="2" t="s">
        <v>78</v>
      </c>
      <c r="Q292" s="2" t="s">
        <v>860</v>
      </c>
      <c r="R292" s="2" t="s">
        <v>80</v>
      </c>
      <c r="S292" s="14">
        <v>43325</v>
      </c>
      <c r="U292" s="2" t="s">
        <v>762</v>
      </c>
      <c r="V292" s="2" t="s">
        <v>81</v>
      </c>
      <c r="W292" s="2" t="s">
        <v>70</v>
      </c>
      <c r="X292" s="13">
        <v>346</v>
      </c>
      <c r="Y292" s="2" t="s">
        <v>71</v>
      </c>
      <c r="Z292" s="2" t="s">
        <v>72</v>
      </c>
      <c r="AA292" s="13">
        <v>2000</v>
      </c>
      <c r="AB292" s="2" t="s">
        <v>73</v>
      </c>
      <c r="AC292" s="2" t="s">
        <v>6773</v>
      </c>
      <c r="AD292" s="27"/>
      <c r="AL292" s="2" t="s">
        <v>7196</v>
      </c>
    </row>
    <row r="293" spans="1:38" hidden="1" x14ac:dyDescent="0.2">
      <c r="A293" s="2" t="s">
        <v>627</v>
      </c>
      <c r="B293" s="2" t="s">
        <v>861</v>
      </c>
      <c r="C293" s="2" t="s">
        <v>685</v>
      </c>
      <c r="D293" s="2" t="s">
        <v>686</v>
      </c>
      <c r="E293" s="13">
        <v>6000</v>
      </c>
      <c r="F293" s="13">
        <v>6000</v>
      </c>
      <c r="G293" s="14">
        <v>43322</v>
      </c>
      <c r="H293" s="15">
        <v>0.42545138888889</v>
      </c>
      <c r="I293" s="14">
        <v>43323</v>
      </c>
      <c r="J293" s="15">
        <v>0.14799768518518999</v>
      </c>
      <c r="K293" s="13">
        <v>0</v>
      </c>
      <c r="L293" s="2" t="s">
        <v>64</v>
      </c>
      <c r="M293" s="2" t="s">
        <v>837</v>
      </c>
      <c r="N293" s="14">
        <v>43332</v>
      </c>
      <c r="O293" s="14">
        <v>43330</v>
      </c>
      <c r="P293" s="2" t="s">
        <v>91</v>
      </c>
      <c r="Q293" s="2" t="s">
        <v>862</v>
      </c>
      <c r="R293" s="2" t="s">
        <v>93</v>
      </c>
      <c r="S293" s="14">
        <v>43332</v>
      </c>
      <c r="U293" s="2" t="s">
        <v>681</v>
      </c>
      <c r="V293" s="2" t="s">
        <v>688</v>
      </c>
      <c r="W293" s="2" t="s">
        <v>683</v>
      </c>
      <c r="X293" s="13">
        <v>346</v>
      </c>
      <c r="Y293" s="2" t="s">
        <v>71</v>
      </c>
      <c r="Z293" s="2" t="s">
        <v>72</v>
      </c>
      <c r="AA293" s="13">
        <v>6000</v>
      </c>
      <c r="AB293" s="2" t="s">
        <v>73</v>
      </c>
      <c r="AC293" s="2" t="s">
        <v>6773</v>
      </c>
      <c r="AD293" s="27"/>
      <c r="AL293" s="2" t="s">
        <v>7197</v>
      </c>
    </row>
    <row r="294" spans="1:38" hidden="1" x14ac:dyDescent="0.2">
      <c r="A294" s="2" t="s">
        <v>627</v>
      </c>
      <c r="B294" s="2" t="s">
        <v>865</v>
      </c>
      <c r="C294" s="2" t="s">
        <v>629</v>
      </c>
      <c r="D294" s="2" t="s">
        <v>630</v>
      </c>
      <c r="E294" s="16">
        <v>5209.5</v>
      </c>
      <c r="F294" s="16">
        <v>5209.5</v>
      </c>
      <c r="G294" s="14">
        <v>43323</v>
      </c>
      <c r="H294" s="15">
        <v>0.37265046296296001</v>
      </c>
      <c r="I294" s="14">
        <v>43324</v>
      </c>
      <c r="J294" s="15">
        <v>0</v>
      </c>
      <c r="K294" s="13">
        <v>0</v>
      </c>
      <c r="L294" s="2" t="s">
        <v>64</v>
      </c>
      <c r="M294" s="2" t="s">
        <v>844</v>
      </c>
      <c r="N294" s="14">
        <v>43326</v>
      </c>
      <c r="O294" s="14">
        <v>43325</v>
      </c>
      <c r="P294" s="2" t="s">
        <v>632</v>
      </c>
      <c r="Q294" s="2" t="s">
        <v>866</v>
      </c>
      <c r="R294" s="2" t="s">
        <v>80</v>
      </c>
      <c r="S294" s="14">
        <v>43326</v>
      </c>
      <c r="U294" s="2" t="s">
        <v>168</v>
      </c>
      <c r="V294" s="2" t="s">
        <v>634</v>
      </c>
      <c r="W294" s="2" t="s">
        <v>70</v>
      </c>
      <c r="X294" s="13">
        <v>346</v>
      </c>
      <c r="Y294" s="2" t="s">
        <v>71</v>
      </c>
      <c r="Z294" s="2" t="s">
        <v>72</v>
      </c>
      <c r="AA294" s="13">
        <v>5000</v>
      </c>
      <c r="AB294" s="2" t="s">
        <v>73</v>
      </c>
      <c r="AC294" s="2" t="s">
        <v>6773</v>
      </c>
      <c r="AD294" s="27"/>
      <c r="AL294" s="2" t="s">
        <v>7198</v>
      </c>
    </row>
    <row r="295" spans="1:38" hidden="1" x14ac:dyDescent="0.2">
      <c r="A295" s="2" t="s">
        <v>627</v>
      </c>
      <c r="B295" s="2" t="s">
        <v>867</v>
      </c>
      <c r="C295" s="2" t="s">
        <v>868</v>
      </c>
      <c r="D295" s="2" t="s">
        <v>869</v>
      </c>
      <c r="E295" s="16">
        <v>5209.5</v>
      </c>
      <c r="F295" s="16">
        <v>5209.5</v>
      </c>
      <c r="G295" s="14">
        <v>43324</v>
      </c>
      <c r="H295" s="15">
        <v>0.37265046296296001</v>
      </c>
      <c r="I295" s="14">
        <v>43325</v>
      </c>
      <c r="J295" s="15">
        <v>0</v>
      </c>
      <c r="K295" s="13">
        <v>0</v>
      </c>
      <c r="L295" s="2" t="s">
        <v>64</v>
      </c>
      <c r="M295" s="2" t="s">
        <v>844</v>
      </c>
      <c r="N295" s="14"/>
      <c r="O295" s="14">
        <v>43326</v>
      </c>
      <c r="P295" s="2" t="s">
        <v>870</v>
      </c>
      <c r="Q295" s="2" t="s">
        <v>871</v>
      </c>
      <c r="R295" s="2" t="s">
        <v>80</v>
      </c>
      <c r="S295" s="14">
        <v>43328</v>
      </c>
      <c r="U295" s="2" t="s">
        <v>812</v>
      </c>
      <c r="V295" s="2" t="s">
        <v>872</v>
      </c>
      <c r="W295" s="2" t="s">
        <v>70</v>
      </c>
      <c r="X295" s="13">
        <v>0</v>
      </c>
      <c r="Y295" s="2" t="s">
        <v>71</v>
      </c>
      <c r="Z295" s="2" t="s">
        <v>72</v>
      </c>
      <c r="AA295" s="13">
        <v>5000</v>
      </c>
      <c r="AB295" s="2" t="s">
        <v>95</v>
      </c>
      <c r="AC295" s="2" t="s">
        <v>6773</v>
      </c>
      <c r="AD295" s="27"/>
      <c r="AL295" s="2" t="s">
        <v>5083</v>
      </c>
    </row>
    <row r="296" spans="1:38" hidden="1" x14ac:dyDescent="0.2">
      <c r="A296" s="2" t="s">
        <v>627</v>
      </c>
      <c r="B296" s="2" t="s">
        <v>4308</v>
      </c>
      <c r="C296" s="2" t="s">
        <v>663</v>
      </c>
      <c r="D296" s="2" t="s">
        <v>664</v>
      </c>
      <c r="E296" s="16">
        <v>520.95000000000005</v>
      </c>
      <c r="F296" s="16">
        <v>520.95000000000005</v>
      </c>
      <c r="G296" s="14">
        <v>43329</v>
      </c>
      <c r="H296" s="15">
        <v>0.85370370370369997</v>
      </c>
      <c r="I296" s="14">
        <v>43329</v>
      </c>
      <c r="J296" s="15">
        <v>0.91643518518518996</v>
      </c>
      <c r="K296" s="13">
        <v>20</v>
      </c>
      <c r="L296" s="2" t="s">
        <v>64</v>
      </c>
      <c r="M296" s="2" t="s">
        <v>737</v>
      </c>
      <c r="N296" s="14">
        <v>43332</v>
      </c>
      <c r="O296" s="14">
        <v>43331</v>
      </c>
      <c r="P296" s="2" t="s">
        <v>666</v>
      </c>
      <c r="Q296" s="2" t="s">
        <v>4309</v>
      </c>
      <c r="R296" s="2" t="s">
        <v>80</v>
      </c>
      <c r="S296" s="14">
        <v>43332</v>
      </c>
      <c r="U296" s="2" t="s">
        <v>667</v>
      </c>
      <c r="V296" s="2" t="s">
        <v>668</v>
      </c>
      <c r="W296" s="2" t="s">
        <v>70</v>
      </c>
      <c r="X296" s="13">
        <v>346</v>
      </c>
      <c r="Y296" s="2" t="s">
        <v>71</v>
      </c>
      <c r="Z296" s="2" t="s">
        <v>72</v>
      </c>
      <c r="AA296" s="13">
        <v>500</v>
      </c>
      <c r="AB296" s="2" t="s">
        <v>73</v>
      </c>
      <c r="AC296" s="2" t="s">
        <v>6773</v>
      </c>
      <c r="AD296" s="27"/>
      <c r="AI296" s="2" t="s">
        <v>6153</v>
      </c>
      <c r="AL296" s="2" t="s">
        <v>7199</v>
      </c>
    </row>
    <row r="297" spans="1:38" hidden="1" x14ac:dyDescent="0.2">
      <c r="A297" s="2" t="s">
        <v>627</v>
      </c>
      <c r="B297" s="2" t="s">
        <v>873</v>
      </c>
      <c r="C297" s="2" t="s">
        <v>874</v>
      </c>
      <c r="D297" s="2" t="s">
        <v>875</v>
      </c>
      <c r="E297" s="16">
        <v>520.95000000000005</v>
      </c>
      <c r="F297" s="16">
        <v>520.95000000000005</v>
      </c>
      <c r="G297" s="14">
        <v>43329</v>
      </c>
      <c r="H297" s="15">
        <v>0.93726851851852</v>
      </c>
      <c r="I297" s="14">
        <v>43330</v>
      </c>
      <c r="J297" s="15">
        <v>0</v>
      </c>
      <c r="K297" s="13">
        <v>20</v>
      </c>
      <c r="L297" s="2" t="s">
        <v>64</v>
      </c>
      <c r="M297" s="2" t="s">
        <v>737</v>
      </c>
      <c r="N297" s="14">
        <v>43332</v>
      </c>
      <c r="O297" s="14">
        <v>43331</v>
      </c>
      <c r="P297" s="2" t="s">
        <v>91</v>
      </c>
      <c r="Q297" s="2" t="s">
        <v>876</v>
      </c>
      <c r="R297" s="2" t="s">
        <v>80</v>
      </c>
      <c r="S297" s="14">
        <v>43332</v>
      </c>
      <c r="U297" s="2" t="s">
        <v>877</v>
      </c>
      <c r="V297" s="2" t="s">
        <v>155</v>
      </c>
      <c r="W297" s="2" t="s">
        <v>70</v>
      </c>
      <c r="X297" s="13">
        <v>346</v>
      </c>
      <c r="Y297" s="2" t="s">
        <v>71</v>
      </c>
      <c r="Z297" s="2" t="s">
        <v>72</v>
      </c>
      <c r="AA297" s="13">
        <v>500</v>
      </c>
      <c r="AB297" s="2" t="s">
        <v>73</v>
      </c>
      <c r="AD297" s="27"/>
      <c r="AL297" s="2" t="s">
        <v>4780</v>
      </c>
    </row>
    <row r="298" spans="1:38" hidden="1" x14ac:dyDescent="0.2">
      <c r="A298" s="2" t="s">
        <v>627</v>
      </c>
      <c r="B298" s="2" t="s">
        <v>4310</v>
      </c>
      <c r="C298" s="2" t="s">
        <v>711</v>
      </c>
      <c r="D298" s="2" t="s">
        <v>712</v>
      </c>
      <c r="E298" s="16">
        <v>1041.9000000000001</v>
      </c>
      <c r="F298" s="16">
        <v>1041.9000000000001</v>
      </c>
      <c r="G298" s="14">
        <v>43340</v>
      </c>
      <c r="H298" s="15">
        <v>0.87452546296295997</v>
      </c>
      <c r="I298" s="14">
        <v>43341</v>
      </c>
      <c r="J298" s="15">
        <v>0</v>
      </c>
      <c r="K298" s="13">
        <v>20</v>
      </c>
      <c r="L298" s="2" t="s">
        <v>64</v>
      </c>
      <c r="M298" s="2" t="s">
        <v>692</v>
      </c>
      <c r="N298" s="14">
        <v>43348</v>
      </c>
      <c r="O298" s="14">
        <v>43347</v>
      </c>
      <c r="P298" s="2" t="s">
        <v>693</v>
      </c>
      <c r="Q298" s="2" t="s">
        <v>4311</v>
      </c>
      <c r="R298" s="2" t="s">
        <v>80</v>
      </c>
      <c r="S298" s="14">
        <v>43348</v>
      </c>
      <c r="U298" s="2" t="s">
        <v>714</v>
      </c>
      <c r="V298" s="2" t="s">
        <v>81</v>
      </c>
      <c r="W298" s="2" t="s">
        <v>683</v>
      </c>
      <c r="X298" s="13">
        <v>346</v>
      </c>
      <c r="Y298" s="2" t="s">
        <v>71</v>
      </c>
      <c r="Z298" s="2" t="s">
        <v>72</v>
      </c>
      <c r="AA298" s="13">
        <v>1000</v>
      </c>
      <c r="AB298" s="2" t="s">
        <v>73</v>
      </c>
      <c r="AC298" s="2" t="s">
        <v>6773</v>
      </c>
      <c r="AD298" s="27"/>
      <c r="AL298" s="2" t="s">
        <v>5084</v>
      </c>
    </row>
    <row r="299" spans="1:38" hidden="1" x14ac:dyDescent="0.2">
      <c r="A299" s="2" t="s">
        <v>627</v>
      </c>
      <c r="B299" s="2" t="s">
        <v>878</v>
      </c>
      <c r="C299" s="2" t="s">
        <v>879</v>
      </c>
      <c r="D299" s="2" t="s">
        <v>880</v>
      </c>
      <c r="E299" s="13">
        <v>2000</v>
      </c>
      <c r="F299" s="13">
        <v>2000</v>
      </c>
      <c r="G299" s="14">
        <v>43341</v>
      </c>
      <c r="H299" s="15">
        <v>0.35811342592592998</v>
      </c>
      <c r="I299" s="14">
        <v>43341</v>
      </c>
      <c r="J299" s="15">
        <v>0.59895833333333004</v>
      </c>
      <c r="K299" s="13">
        <v>20</v>
      </c>
      <c r="L299" s="2" t="s">
        <v>64</v>
      </c>
      <c r="M299" s="2" t="s">
        <v>644</v>
      </c>
      <c r="N299" s="14">
        <v>43343</v>
      </c>
      <c r="O299" s="14">
        <v>43343</v>
      </c>
      <c r="P299" s="2" t="s">
        <v>91</v>
      </c>
      <c r="Q299" s="2" t="s">
        <v>881</v>
      </c>
      <c r="R299" s="2" t="s">
        <v>80</v>
      </c>
      <c r="S299" s="14">
        <v>43343</v>
      </c>
      <c r="U299" s="2" t="s">
        <v>882</v>
      </c>
      <c r="V299" s="2" t="s">
        <v>69</v>
      </c>
      <c r="W299" s="2" t="s">
        <v>70</v>
      </c>
      <c r="X299" s="13">
        <v>346</v>
      </c>
      <c r="Y299" s="2" t="s">
        <v>71</v>
      </c>
      <c r="Z299" s="2" t="s">
        <v>72</v>
      </c>
      <c r="AA299" s="13">
        <v>2000</v>
      </c>
      <c r="AB299" s="2" t="s">
        <v>73</v>
      </c>
      <c r="AC299" s="2" t="s">
        <v>6773</v>
      </c>
      <c r="AD299" s="27"/>
      <c r="AL299" s="2" t="s">
        <v>7200</v>
      </c>
    </row>
    <row r="300" spans="1:38" hidden="1" x14ac:dyDescent="0.2">
      <c r="A300" s="2" t="s">
        <v>627</v>
      </c>
      <c r="B300" s="2" t="s">
        <v>4312</v>
      </c>
      <c r="C300" s="2" t="s">
        <v>884</v>
      </c>
      <c r="D300" s="2" t="s">
        <v>885</v>
      </c>
      <c r="E300" s="16">
        <v>522.85</v>
      </c>
      <c r="F300" s="16">
        <v>522.85</v>
      </c>
      <c r="G300" s="14">
        <v>43351</v>
      </c>
      <c r="H300" s="15">
        <v>0.35347222222222002</v>
      </c>
      <c r="I300" s="14">
        <v>43351</v>
      </c>
      <c r="J300" s="15">
        <v>0.41643518518519002</v>
      </c>
      <c r="K300" s="13">
        <v>20</v>
      </c>
      <c r="L300" s="2" t="s">
        <v>64</v>
      </c>
      <c r="M300" s="2" t="s">
        <v>4313</v>
      </c>
      <c r="N300" s="14">
        <v>43354</v>
      </c>
      <c r="O300" s="14">
        <v>43353</v>
      </c>
      <c r="P300" s="2" t="s">
        <v>78</v>
      </c>
      <c r="Q300" s="2" t="s">
        <v>4314</v>
      </c>
      <c r="R300" s="2" t="s">
        <v>80</v>
      </c>
      <c r="S300" s="14">
        <v>43354</v>
      </c>
      <c r="U300" s="2" t="s">
        <v>887</v>
      </c>
      <c r="V300" s="2" t="s">
        <v>69</v>
      </c>
      <c r="W300" s="2" t="s">
        <v>70</v>
      </c>
      <c r="X300" s="13">
        <v>346</v>
      </c>
      <c r="Y300" s="2" t="s">
        <v>71</v>
      </c>
      <c r="Z300" s="2" t="s">
        <v>72</v>
      </c>
      <c r="AA300" s="13">
        <v>500</v>
      </c>
      <c r="AB300" s="2" t="s">
        <v>73</v>
      </c>
      <c r="AC300" s="2" t="s">
        <v>6773</v>
      </c>
      <c r="AD300" s="27"/>
      <c r="AL300" s="2" t="s">
        <v>5085</v>
      </c>
    </row>
    <row r="301" spans="1:38" hidden="1" x14ac:dyDescent="0.2">
      <c r="A301" s="2" t="s">
        <v>627</v>
      </c>
      <c r="B301" s="2" t="s">
        <v>883</v>
      </c>
      <c r="C301" s="2" t="s">
        <v>884</v>
      </c>
      <c r="D301" s="2" t="s">
        <v>885</v>
      </c>
      <c r="E301" s="13">
        <v>500</v>
      </c>
      <c r="F301" s="13">
        <v>500</v>
      </c>
      <c r="G301" s="14">
        <v>43351</v>
      </c>
      <c r="H301" s="15">
        <v>0.43726851851852</v>
      </c>
      <c r="I301" s="14">
        <v>43351</v>
      </c>
      <c r="J301" s="15">
        <v>0.49747685185184998</v>
      </c>
      <c r="K301" s="13">
        <v>20</v>
      </c>
      <c r="L301" s="2" t="s">
        <v>64</v>
      </c>
      <c r="M301" s="2" t="s">
        <v>665</v>
      </c>
      <c r="N301" s="14">
        <v>43354</v>
      </c>
      <c r="O301" s="14">
        <v>43353</v>
      </c>
      <c r="P301" s="2" t="s">
        <v>78</v>
      </c>
      <c r="Q301" s="2" t="s">
        <v>886</v>
      </c>
      <c r="R301" s="2" t="s">
        <v>80</v>
      </c>
      <c r="S301" s="14">
        <v>43354</v>
      </c>
      <c r="U301" s="2" t="s">
        <v>887</v>
      </c>
      <c r="V301" s="2" t="s">
        <v>69</v>
      </c>
      <c r="W301" s="2" t="s">
        <v>70</v>
      </c>
      <c r="X301" s="13">
        <v>346</v>
      </c>
      <c r="Y301" s="2" t="s">
        <v>71</v>
      </c>
      <c r="Z301" s="2" t="s">
        <v>72</v>
      </c>
      <c r="AA301" s="13">
        <v>500</v>
      </c>
      <c r="AB301" s="2" t="s">
        <v>73</v>
      </c>
      <c r="AC301" s="2" t="s">
        <v>6773</v>
      </c>
      <c r="AD301" s="27"/>
      <c r="AL301" s="2" t="s">
        <v>5086</v>
      </c>
    </row>
    <row r="302" spans="1:38" hidden="1" x14ac:dyDescent="0.2">
      <c r="A302" s="2" t="s">
        <v>627</v>
      </c>
      <c r="B302" s="2" t="s">
        <v>888</v>
      </c>
      <c r="C302" s="2" t="s">
        <v>347</v>
      </c>
      <c r="D302" s="2" t="s">
        <v>348</v>
      </c>
      <c r="E302" s="13">
        <v>4000</v>
      </c>
      <c r="F302" s="13">
        <v>4000</v>
      </c>
      <c r="G302" s="14">
        <v>43351</v>
      </c>
      <c r="H302" s="15">
        <v>0.51831018518519001</v>
      </c>
      <c r="I302" s="14">
        <v>43352</v>
      </c>
      <c r="J302" s="15">
        <v>0</v>
      </c>
      <c r="K302" s="13">
        <v>0</v>
      </c>
      <c r="L302" s="2" t="s">
        <v>64</v>
      </c>
      <c r="M302" s="2" t="s">
        <v>889</v>
      </c>
      <c r="N302" s="14">
        <v>43371</v>
      </c>
      <c r="O302" s="14">
        <v>43360</v>
      </c>
      <c r="P302" s="2" t="s">
        <v>91</v>
      </c>
      <c r="Q302" s="2" t="s">
        <v>349</v>
      </c>
      <c r="R302" s="2" t="s">
        <v>93</v>
      </c>
      <c r="S302" s="14">
        <v>43371</v>
      </c>
      <c r="U302" s="2" t="s">
        <v>94</v>
      </c>
      <c r="V302" s="2" t="s">
        <v>350</v>
      </c>
      <c r="W302" s="2" t="s">
        <v>70</v>
      </c>
      <c r="X302" s="13">
        <v>346</v>
      </c>
      <c r="Y302" s="2" t="s">
        <v>71</v>
      </c>
      <c r="Z302" s="2" t="s">
        <v>72</v>
      </c>
      <c r="AA302" s="13">
        <v>4000</v>
      </c>
      <c r="AB302" s="2" t="s">
        <v>73</v>
      </c>
      <c r="AC302" s="2" t="s">
        <v>6773</v>
      </c>
      <c r="AD302" s="27"/>
      <c r="AL302" s="2" t="s">
        <v>5087</v>
      </c>
    </row>
    <row r="303" spans="1:38" hidden="1" x14ac:dyDescent="0.2">
      <c r="A303" s="2" t="s">
        <v>627</v>
      </c>
      <c r="B303" s="2" t="s">
        <v>890</v>
      </c>
      <c r="C303" s="2" t="s">
        <v>891</v>
      </c>
      <c r="D303" s="2" t="s">
        <v>892</v>
      </c>
      <c r="E303" s="13">
        <v>20000</v>
      </c>
      <c r="F303" s="13">
        <v>20000</v>
      </c>
      <c r="G303" s="14">
        <v>43352</v>
      </c>
      <c r="H303" s="15">
        <v>0.59152777777777998</v>
      </c>
      <c r="I303" s="14">
        <v>43355</v>
      </c>
      <c r="J303" s="15">
        <v>0</v>
      </c>
      <c r="K303" s="13">
        <v>0</v>
      </c>
      <c r="L303" s="2" t="s">
        <v>64</v>
      </c>
      <c r="M303" s="2" t="s">
        <v>893</v>
      </c>
      <c r="N303" s="14">
        <v>43370</v>
      </c>
      <c r="O303" s="14">
        <v>43356</v>
      </c>
      <c r="P303" s="2" t="s">
        <v>91</v>
      </c>
      <c r="Q303" s="2" t="s">
        <v>894</v>
      </c>
      <c r="R303" s="2" t="s">
        <v>80</v>
      </c>
      <c r="S303" s="14">
        <v>43370</v>
      </c>
      <c r="U303" s="2" t="s">
        <v>750</v>
      </c>
      <c r="V303" s="2" t="s">
        <v>895</v>
      </c>
      <c r="W303" s="2" t="s">
        <v>70</v>
      </c>
      <c r="X303" s="13">
        <v>346</v>
      </c>
      <c r="Y303" s="2" t="s">
        <v>71</v>
      </c>
      <c r="Z303" s="2" t="s">
        <v>72</v>
      </c>
      <c r="AA303" s="13">
        <v>20000</v>
      </c>
      <c r="AB303" s="2" t="s">
        <v>73</v>
      </c>
      <c r="AC303" s="2" t="s">
        <v>6773</v>
      </c>
      <c r="AD303" s="27"/>
      <c r="AL303" s="2" t="s">
        <v>5088</v>
      </c>
    </row>
    <row r="304" spans="1:38" hidden="1" x14ac:dyDescent="0.2">
      <c r="A304" s="2" t="s">
        <v>627</v>
      </c>
      <c r="B304" s="2" t="s">
        <v>896</v>
      </c>
      <c r="C304" s="2" t="s">
        <v>891</v>
      </c>
      <c r="D304" s="2" t="s">
        <v>892</v>
      </c>
      <c r="E304" s="13">
        <v>20000</v>
      </c>
      <c r="F304" s="13">
        <v>20000</v>
      </c>
      <c r="G304" s="14">
        <v>43354</v>
      </c>
      <c r="H304" s="15">
        <v>0.59152777777777998</v>
      </c>
      <c r="I304" s="14">
        <v>43357</v>
      </c>
      <c r="J304" s="15">
        <v>0</v>
      </c>
      <c r="K304" s="13">
        <v>0</v>
      </c>
      <c r="L304" s="2" t="s">
        <v>64</v>
      </c>
      <c r="M304" s="2" t="s">
        <v>893</v>
      </c>
      <c r="N304" s="14">
        <v>43370</v>
      </c>
      <c r="O304" s="14">
        <v>43358</v>
      </c>
      <c r="P304" s="2" t="s">
        <v>91</v>
      </c>
      <c r="Q304" s="2" t="s">
        <v>897</v>
      </c>
      <c r="R304" s="2" t="s">
        <v>80</v>
      </c>
      <c r="S304" s="14">
        <v>43370</v>
      </c>
      <c r="U304" s="2" t="s">
        <v>750</v>
      </c>
      <c r="V304" s="2" t="s">
        <v>895</v>
      </c>
      <c r="W304" s="2" t="s">
        <v>70</v>
      </c>
      <c r="X304" s="13">
        <v>346</v>
      </c>
      <c r="Y304" s="2" t="s">
        <v>71</v>
      </c>
      <c r="Z304" s="2" t="s">
        <v>72</v>
      </c>
      <c r="AA304" s="13">
        <v>20000</v>
      </c>
      <c r="AB304" s="2" t="s">
        <v>73</v>
      </c>
      <c r="AC304" s="2" t="s">
        <v>6773</v>
      </c>
      <c r="AD304" s="27"/>
      <c r="AL304" s="2" t="s">
        <v>5089</v>
      </c>
    </row>
    <row r="305" spans="1:38" hidden="1" x14ac:dyDescent="0.2">
      <c r="A305" s="2" t="s">
        <v>627</v>
      </c>
      <c r="B305" s="2" t="s">
        <v>898</v>
      </c>
      <c r="C305" s="2" t="s">
        <v>891</v>
      </c>
      <c r="D305" s="2" t="s">
        <v>892</v>
      </c>
      <c r="E305" s="13">
        <v>10000</v>
      </c>
      <c r="F305" s="13">
        <v>10000</v>
      </c>
      <c r="G305" s="14">
        <v>43363</v>
      </c>
      <c r="H305" s="15">
        <v>0.79576388888889005</v>
      </c>
      <c r="I305" s="14">
        <v>43365</v>
      </c>
      <c r="J305" s="15">
        <v>0</v>
      </c>
      <c r="K305" s="13">
        <v>0</v>
      </c>
      <c r="L305" s="2" t="s">
        <v>64</v>
      </c>
      <c r="M305" s="2" t="s">
        <v>899</v>
      </c>
      <c r="N305" s="14">
        <v>43370</v>
      </c>
      <c r="O305" s="14">
        <v>43366</v>
      </c>
      <c r="P305" s="2" t="s">
        <v>91</v>
      </c>
      <c r="Q305" s="2" t="s">
        <v>894</v>
      </c>
      <c r="R305" s="2" t="s">
        <v>93</v>
      </c>
      <c r="S305" s="14">
        <v>43370</v>
      </c>
      <c r="U305" s="2" t="s">
        <v>750</v>
      </c>
      <c r="V305" s="2" t="s">
        <v>895</v>
      </c>
      <c r="W305" s="2" t="s">
        <v>70</v>
      </c>
      <c r="X305" s="13">
        <v>346</v>
      </c>
      <c r="Y305" s="2" t="s">
        <v>71</v>
      </c>
      <c r="Z305" s="2" t="s">
        <v>72</v>
      </c>
      <c r="AA305" s="13">
        <v>10000</v>
      </c>
      <c r="AB305" s="2" t="s">
        <v>73</v>
      </c>
      <c r="AC305" s="2" t="s">
        <v>6773</v>
      </c>
      <c r="AD305" s="27"/>
      <c r="AL305" s="2" t="s">
        <v>5090</v>
      </c>
    </row>
    <row r="306" spans="1:38" hidden="1" x14ac:dyDescent="0.2">
      <c r="A306" s="2" t="s">
        <v>627</v>
      </c>
      <c r="B306" s="2" t="s">
        <v>900</v>
      </c>
      <c r="C306" s="2" t="s">
        <v>891</v>
      </c>
      <c r="D306" s="2" t="s">
        <v>892</v>
      </c>
      <c r="E306" s="13">
        <v>20000</v>
      </c>
      <c r="F306" s="13">
        <v>20000</v>
      </c>
      <c r="G306" s="14">
        <v>43365</v>
      </c>
      <c r="H306" s="15">
        <v>0.59152777777777998</v>
      </c>
      <c r="I306" s="14">
        <v>43368</v>
      </c>
      <c r="J306" s="15">
        <v>0</v>
      </c>
      <c r="K306" s="13">
        <v>0</v>
      </c>
      <c r="L306" s="2" t="s">
        <v>64</v>
      </c>
      <c r="M306" s="2" t="s">
        <v>893</v>
      </c>
      <c r="N306" s="14">
        <v>43370</v>
      </c>
      <c r="O306" s="14">
        <v>43369</v>
      </c>
      <c r="P306" s="2" t="s">
        <v>91</v>
      </c>
      <c r="Q306" s="2" t="s">
        <v>901</v>
      </c>
      <c r="R306" s="2" t="s">
        <v>80</v>
      </c>
      <c r="S306" s="14">
        <v>43370</v>
      </c>
      <c r="U306" s="2" t="s">
        <v>750</v>
      </c>
      <c r="V306" s="2" t="s">
        <v>895</v>
      </c>
      <c r="W306" s="2" t="s">
        <v>70</v>
      </c>
      <c r="X306" s="13">
        <v>346</v>
      </c>
      <c r="Y306" s="2" t="s">
        <v>71</v>
      </c>
      <c r="Z306" s="2" t="s">
        <v>72</v>
      </c>
      <c r="AA306" s="13">
        <v>20000</v>
      </c>
      <c r="AB306" s="2" t="s">
        <v>73</v>
      </c>
      <c r="AC306" s="2" t="s">
        <v>6773</v>
      </c>
      <c r="AD306" s="27"/>
      <c r="AL306" s="2" t="s">
        <v>5091</v>
      </c>
    </row>
    <row r="307" spans="1:38" hidden="1" x14ac:dyDescent="0.2">
      <c r="A307" s="2" t="s">
        <v>902</v>
      </c>
      <c r="B307" s="2" t="s">
        <v>170</v>
      </c>
      <c r="C307" s="2" t="s">
        <v>171</v>
      </c>
      <c r="D307" s="2" t="s">
        <v>172</v>
      </c>
      <c r="E307" s="13">
        <v>1000</v>
      </c>
      <c r="F307" s="13">
        <v>5000</v>
      </c>
      <c r="G307" s="14">
        <v>43287</v>
      </c>
      <c r="H307" s="15">
        <v>0.42347222222221997</v>
      </c>
      <c r="I307" s="14">
        <v>43287</v>
      </c>
      <c r="J307" s="15">
        <v>0.92068287037037</v>
      </c>
      <c r="K307" s="13">
        <v>0</v>
      </c>
      <c r="L307" s="2" t="s">
        <v>64</v>
      </c>
      <c r="M307" s="2" t="s">
        <v>954</v>
      </c>
      <c r="N307" s="14">
        <v>43294</v>
      </c>
      <c r="O307" s="14">
        <v>43289</v>
      </c>
      <c r="P307" s="2" t="s">
        <v>78</v>
      </c>
      <c r="Q307" s="2" t="s">
        <v>174</v>
      </c>
      <c r="R307" s="2" t="s">
        <v>80</v>
      </c>
      <c r="S307" s="14">
        <v>43294</v>
      </c>
      <c r="T307" s="2" t="s">
        <v>6294</v>
      </c>
      <c r="U307" s="2" t="s">
        <v>162</v>
      </c>
      <c r="V307" s="2" t="s">
        <v>81</v>
      </c>
      <c r="W307" s="2" t="s">
        <v>70</v>
      </c>
      <c r="X307" s="13">
        <v>419</v>
      </c>
      <c r="Y307" s="2" t="s">
        <v>71</v>
      </c>
      <c r="Z307" s="2" t="s">
        <v>72</v>
      </c>
      <c r="AA307" s="13">
        <v>1000</v>
      </c>
      <c r="AB307" s="2" t="s">
        <v>107</v>
      </c>
      <c r="AC307" s="2" t="s">
        <v>6772</v>
      </c>
      <c r="AD307" s="27">
        <v>43243</v>
      </c>
      <c r="AL307" s="2" t="s">
        <v>5092</v>
      </c>
    </row>
    <row r="308" spans="1:38" hidden="1" x14ac:dyDescent="0.2">
      <c r="A308" s="2" t="s">
        <v>902</v>
      </c>
      <c r="B308" s="2" t="s">
        <v>907</v>
      </c>
      <c r="C308" s="2" t="s">
        <v>908</v>
      </c>
      <c r="D308" s="2" t="s">
        <v>909</v>
      </c>
      <c r="E308" s="16">
        <v>2055.9749999999999</v>
      </c>
      <c r="F308" s="16">
        <v>2055.9749999999999</v>
      </c>
      <c r="G308" s="14">
        <v>43287</v>
      </c>
      <c r="H308" s="15">
        <v>0.94151620370370004</v>
      </c>
      <c r="I308" s="14">
        <v>43288</v>
      </c>
      <c r="J308" s="15">
        <v>0.14597222222222</v>
      </c>
      <c r="K308" s="13">
        <v>20</v>
      </c>
      <c r="L308" s="2" t="s">
        <v>64</v>
      </c>
      <c r="M308" s="2" t="s">
        <v>4315</v>
      </c>
      <c r="N308" s="14">
        <v>43292</v>
      </c>
      <c r="O308" s="14">
        <v>43290</v>
      </c>
      <c r="P308" s="2" t="s">
        <v>91</v>
      </c>
      <c r="Q308" s="2" t="s">
        <v>6925</v>
      </c>
      <c r="R308" s="2" t="s">
        <v>80</v>
      </c>
      <c r="S308" s="14">
        <v>43292</v>
      </c>
      <c r="T308" s="2" t="s">
        <v>6295</v>
      </c>
      <c r="U308" s="2" t="s">
        <v>667</v>
      </c>
      <c r="V308" s="2" t="s">
        <v>910</v>
      </c>
      <c r="W308" s="2" t="s">
        <v>70</v>
      </c>
      <c r="X308" s="13">
        <v>419</v>
      </c>
      <c r="Y308" s="2" t="s">
        <v>71</v>
      </c>
      <c r="Z308" s="2" t="s">
        <v>72</v>
      </c>
      <c r="AA308" s="13">
        <v>1975</v>
      </c>
      <c r="AB308" s="2" t="s">
        <v>107</v>
      </c>
      <c r="AC308" s="2" t="s">
        <v>6773</v>
      </c>
      <c r="AD308" s="27">
        <v>43256</v>
      </c>
      <c r="AL308" s="2" t="s">
        <v>5093</v>
      </c>
    </row>
    <row r="309" spans="1:38" hidden="1" x14ac:dyDescent="0.2">
      <c r="A309" s="2" t="s">
        <v>902</v>
      </c>
      <c r="B309" s="2" t="s">
        <v>657</v>
      </c>
      <c r="C309" s="2" t="s">
        <v>658</v>
      </c>
      <c r="D309" s="2" t="s">
        <v>659</v>
      </c>
      <c r="E309" s="16">
        <v>1041.9000000000001</v>
      </c>
      <c r="F309" s="16">
        <v>1041.9000000000001</v>
      </c>
      <c r="G309" s="14">
        <v>43288</v>
      </c>
      <c r="H309" s="15">
        <v>0.16680555555556001</v>
      </c>
      <c r="I309" s="14">
        <v>43288</v>
      </c>
      <c r="J309" s="15">
        <v>0.27041666666667002</v>
      </c>
      <c r="K309" s="13">
        <v>20</v>
      </c>
      <c r="L309" s="2" t="s">
        <v>64</v>
      </c>
      <c r="M309" s="2" t="s">
        <v>4316</v>
      </c>
      <c r="N309" s="14">
        <v>43298</v>
      </c>
      <c r="O309" s="14">
        <v>43290</v>
      </c>
      <c r="P309" s="2" t="s">
        <v>191</v>
      </c>
      <c r="Q309" s="2" t="s">
        <v>660</v>
      </c>
      <c r="R309" s="2" t="s">
        <v>80</v>
      </c>
      <c r="S309" s="14">
        <v>43298</v>
      </c>
      <c r="T309" s="2" t="s">
        <v>6296</v>
      </c>
      <c r="U309" s="2" t="s">
        <v>168</v>
      </c>
      <c r="V309" s="2" t="s">
        <v>661</v>
      </c>
      <c r="W309" s="2" t="s">
        <v>70</v>
      </c>
      <c r="X309" s="13">
        <v>419</v>
      </c>
      <c r="Y309" s="2" t="s">
        <v>71</v>
      </c>
      <c r="Z309" s="2" t="s">
        <v>72</v>
      </c>
      <c r="AA309" s="13">
        <v>1000</v>
      </c>
      <c r="AB309" s="2" t="s">
        <v>107</v>
      </c>
      <c r="AC309" s="2" t="s">
        <v>6773</v>
      </c>
      <c r="AD309" s="27">
        <v>43258</v>
      </c>
      <c r="AL309" s="2" t="s">
        <v>5094</v>
      </c>
    </row>
    <row r="310" spans="1:38" hidden="1" x14ac:dyDescent="0.2">
      <c r="A310" s="2" t="s">
        <v>902</v>
      </c>
      <c r="B310" s="2" t="s">
        <v>628</v>
      </c>
      <c r="C310" s="2" t="s">
        <v>629</v>
      </c>
      <c r="D310" s="2" t="s">
        <v>630</v>
      </c>
      <c r="E310" s="16">
        <v>5209.5</v>
      </c>
      <c r="F310" s="16">
        <v>5209.5</v>
      </c>
      <c r="G310" s="14">
        <v>43288</v>
      </c>
      <c r="H310" s="15">
        <v>0.29125000000000001</v>
      </c>
      <c r="I310" s="14">
        <v>43288</v>
      </c>
      <c r="J310" s="15">
        <v>0.80929398148148002</v>
      </c>
      <c r="K310" s="13">
        <v>0</v>
      </c>
      <c r="L310" s="2" t="s">
        <v>64</v>
      </c>
      <c r="M310" s="2" t="s">
        <v>4317</v>
      </c>
      <c r="N310" s="14">
        <v>43291</v>
      </c>
      <c r="O310" s="14">
        <v>43290</v>
      </c>
      <c r="P310" s="2" t="s">
        <v>632</v>
      </c>
      <c r="Q310" s="2" t="s">
        <v>633</v>
      </c>
      <c r="R310" s="2" t="s">
        <v>80</v>
      </c>
      <c r="S310" s="14">
        <v>43291</v>
      </c>
      <c r="T310" s="2" t="s">
        <v>6297</v>
      </c>
      <c r="U310" s="2" t="s">
        <v>168</v>
      </c>
      <c r="V310" s="2" t="s">
        <v>634</v>
      </c>
      <c r="W310" s="2" t="s">
        <v>70</v>
      </c>
      <c r="X310" s="13">
        <v>419</v>
      </c>
      <c r="Y310" s="2" t="s">
        <v>71</v>
      </c>
      <c r="Z310" s="2" t="s">
        <v>72</v>
      </c>
      <c r="AA310" s="13">
        <v>5000</v>
      </c>
      <c r="AB310" s="2" t="s">
        <v>107</v>
      </c>
      <c r="AC310" s="2" t="s">
        <v>6773</v>
      </c>
      <c r="AD310" s="27">
        <v>43179</v>
      </c>
      <c r="AL310" s="2" t="s">
        <v>5095</v>
      </c>
    </row>
    <row r="311" spans="1:38" hidden="1" x14ac:dyDescent="0.2">
      <c r="A311" s="2" t="s">
        <v>902</v>
      </c>
      <c r="B311" s="2" t="s">
        <v>921</v>
      </c>
      <c r="C311" s="2" t="s">
        <v>922</v>
      </c>
      <c r="D311" s="2" t="s">
        <v>923</v>
      </c>
      <c r="E311" s="13">
        <v>1041</v>
      </c>
      <c r="F311" s="13">
        <v>1041</v>
      </c>
      <c r="G311" s="14">
        <v>43288</v>
      </c>
      <c r="H311" s="15">
        <v>0.85096064814814998</v>
      </c>
      <c r="I311" s="14">
        <v>43288</v>
      </c>
      <c r="J311" s="15">
        <v>0.95447916666666999</v>
      </c>
      <c r="K311" s="13">
        <v>20</v>
      </c>
      <c r="L311" s="2" t="s">
        <v>64</v>
      </c>
      <c r="M311" s="2" t="s">
        <v>932</v>
      </c>
      <c r="N311" s="14">
        <v>43300</v>
      </c>
      <c r="O311" s="14">
        <v>43290</v>
      </c>
      <c r="P311" s="2" t="s">
        <v>208</v>
      </c>
      <c r="Q311" s="2" t="s">
        <v>924</v>
      </c>
      <c r="R311" s="2" t="s">
        <v>80</v>
      </c>
      <c r="S311" s="14">
        <v>43300</v>
      </c>
      <c r="T311" s="2" t="s">
        <v>6298</v>
      </c>
      <c r="U311" s="2" t="s">
        <v>241</v>
      </c>
      <c r="V311" s="2" t="s">
        <v>163</v>
      </c>
      <c r="W311" s="2" t="s">
        <v>70</v>
      </c>
      <c r="X311" s="13">
        <v>419</v>
      </c>
      <c r="Y311" s="2" t="s">
        <v>71</v>
      </c>
      <c r="Z311" s="2" t="s">
        <v>72</v>
      </c>
      <c r="AA311" s="13">
        <v>1000</v>
      </c>
      <c r="AB311" s="2" t="s">
        <v>107</v>
      </c>
      <c r="AC311" s="2" t="s">
        <v>6773</v>
      </c>
      <c r="AD311" s="27">
        <v>43273</v>
      </c>
      <c r="AL311" s="2" t="s">
        <v>5096</v>
      </c>
    </row>
    <row r="312" spans="1:38" hidden="1" x14ac:dyDescent="0.2">
      <c r="A312" s="2" t="s">
        <v>902</v>
      </c>
      <c r="B312" s="2" t="s">
        <v>903</v>
      </c>
      <c r="C312" s="2" t="s">
        <v>904</v>
      </c>
      <c r="D312" s="2" t="s">
        <v>905</v>
      </c>
      <c r="E312" s="13">
        <v>5205</v>
      </c>
      <c r="F312" s="13">
        <v>5205</v>
      </c>
      <c r="G312" s="14">
        <v>43288</v>
      </c>
      <c r="H312" s="15">
        <v>0.97531250000000003</v>
      </c>
      <c r="I312" s="14">
        <v>43289</v>
      </c>
      <c r="J312" s="15">
        <v>0.49290509259259002</v>
      </c>
      <c r="K312" s="13">
        <v>20</v>
      </c>
      <c r="L312" s="2" t="s">
        <v>64</v>
      </c>
      <c r="M312" s="2" t="s">
        <v>1794</v>
      </c>
      <c r="N312" s="14">
        <v>43297</v>
      </c>
      <c r="O312" s="14">
        <v>43296</v>
      </c>
      <c r="P312" s="2" t="s">
        <v>91</v>
      </c>
      <c r="Q312" s="2" t="s">
        <v>98</v>
      </c>
      <c r="R312" s="2" t="s">
        <v>131</v>
      </c>
      <c r="S312" s="14"/>
      <c r="T312" s="2" t="s">
        <v>6299</v>
      </c>
      <c r="U312" s="2" t="s">
        <v>68</v>
      </c>
      <c r="V312" s="2" t="s">
        <v>163</v>
      </c>
      <c r="W312" s="2" t="s">
        <v>70</v>
      </c>
      <c r="X312" s="13">
        <v>419</v>
      </c>
      <c r="Y312" s="2" t="s">
        <v>71</v>
      </c>
      <c r="Z312" s="2" t="s">
        <v>72</v>
      </c>
      <c r="AA312" s="13">
        <v>5000</v>
      </c>
      <c r="AB312" s="2" t="s">
        <v>107</v>
      </c>
      <c r="AC312" s="2" t="s">
        <v>6773</v>
      </c>
      <c r="AD312" s="27">
        <v>43280</v>
      </c>
      <c r="AL312" s="2" t="s">
        <v>5097</v>
      </c>
    </row>
    <row r="313" spans="1:38" x14ac:dyDescent="0.2">
      <c r="A313" s="2" t="s">
        <v>902</v>
      </c>
      <c r="B313" s="2" t="s">
        <v>929</v>
      </c>
      <c r="C313" s="2" t="s">
        <v>930</v>
      </c>
      <c r="D313" s="2" t="s">
        <v>931</v>
      </c>
      <c r="E313" s="13">
        <v>1041</v>
      </c>
      <c r="F313" s="13">
        <v>1041</v>
      </c>
      <c r="G313" s="14">
        <v>43289</v>
      </c>
      <c r="H313" s="15">
        <v>0.51373842592593</v>
      </c>
      <c r="I313" s="14">
        <v>43289</v>
      </c>
      <c r="J313" s="15">
        <v>0.61725694444444001</v>
      </c>
      <c r="K313" s="13">
        <v>0</v>
      </c>
      <c r="L313" s="2" t="s">
        <v>64</v>
      </c>
      <c r="M313" s="2" t="s">
        <v>932</v>
      </c>
      <c r="N313" s="14">
        <v>43304</v>
      </c>
      <c r="O313" s="14">
        <v>43291</v>
      </c>
      <c r="P313" s="2" t="s">
        <v>933</v>
      </c>
      <c r="Q313" s="2" t="s">
        <v>934</v>
      </c>
      <c r="R313" s="2" t="s">
        <v>80</v>
      </c>
      <c r="S313" s="14">
        <v>43304</v>
      </c>
      <c r="T313" s="2" t="s">
        <v>6300</v>
      </c>
      <c r="U313" s="2" t="s">
        <v>935</v>
      </c>
      <c r="V313" s="2" t="s">
        <v>936</v>
      </c>
      <c r="W313" s="2" t="s">
        <v>70</v>
      </c>
      <c r="X313" s="13">
        <v>419</v>
      </c>
      <c r="Y313" s="2" t="s">
        <v>71</v>
      </c>
      <c r="Z313" s="2" t="s">
        <v>72</v>
      </c>
      <c r="AA313" s="13">
        <v>1000</v>
      </c>
      <c r="AB313" s="2" t="s">
        <v>73</v>
      </c>
      <c r="AC313" s="2" t="s">
        <v>6773</v>
      </c>
      <c r="AD313" s="27">
        <v>43278</v>
      </c>
      <c r="AL313" s="2" t="s">
        <v>5098</v>
      </c>
    </row>
    <row r="314" spans="1:38" x14ac:dyDescent="0.2">
      <c r="A314" s="2" t="s">
        <v>902</v>
      </c>
      <c r="B314" s="2" t="s">
        <v>911</v>
      </c>
      <c r="C314" s="2" t="s">
        <v>912</v>
      </c>
      <c r="D314" s="2" t="s">
        <v>913</v>
      </c>
      <c r="E314" s="13">
        <v>10410</v>
      </c>
      <c r="F314" s="13">
        <v>10410</v>
      </c>
      <c r="G314" s="14">
        <v>43289</v>
      </c>
      <c r="H314" s="15">
        <v>0.63809027777778005</v>
      </c>
      <c r="I314" s="14">
        <v>43290</v>
      </c>
      <c r="J314" s="15">
        <v>0.67329861111111</v>
      </c>
      <c r="K314" s="13">
        <v>0</v>
      </c>
      <c r="L314" s="2" t="s">
        <v>64</v>
      </c>
      <c r="M314" s="2" t="s">
        <v>914</v>
      </c>
      <c r="N314" s="14">
        <v>43295</v>
      </c>
      <c r="O314" s="14">
        <v>43297</v>
      </c>
      <c r="P314" s="2" t="s">
        <v>78</v>
      </c>
      <c r="Q314" s="2" t="s">
        <v>915</v>
      </c>
      <c r="R314" s="2" t="s">
        <v>80</v>
      </c>
      <c r="S314" s="14">
        <v>43301</v>
      </c>
      <c r="T314" s="2" t="s">
        <v>6301</v>
      </c>
      <c r="U314" s="2" t="s">
        <v>916</v>
      </c>
      <c r="V314" s="2" t="s">
        <v>917</v>
      </c>
      <c r="W314" s="2" t="s">
        <v>420</v>
      </c>
      <c r="X314" s="13">
        <v>419</v>
      </c>
      <c r="Y314" s="2" t="s">
        <v>71</v>
      </c>
      <c r="Z314" s="2" t="s">
        <v>72</v>
      </c>
      <c r="AA314" s="13">
        <v>10000</v>
      </c>
      <c r="AB314" s="2" t="s">
        <v>107</v>
      </c>
      <c r="AC314" s="2" t="s">
        <v>6773</v>
      </c>
      <c r="AD314" s="27">
        <v>43283</v>
      </c>
      <c r="AL314" s="2" t="s">
        <v>5099</v>
      </c>
    </row>
    <row r="315" spans="1:38" x14ac:dyDescent="0.2">
      <c r="A315" s="2" t="s">
        <v>902</v>
      </c>
      <c r="B315" s="2" t="s">
        <v>918</v>
      </c>
      <c r="C315" s="2" t="s">
        <v>912</v>
      </c>
      <c r="D315" s="2" t="s">
        <v>913</v>
      </c>
      <c r="E315" s="13">
        <v>10410</v>
      </c>
      <c r="F315" s="13">
        <v>10410</v>
      </c>
      <c r="G315" s="14">
        <v>43290</v>
      </c>
      <c r="H315" s="15">
        <v>0.69413194444444004</v>
      </c>
      <c r="I315" s="14">
        <v>43291</v>
      </c>
      <c r="J315" s="15">
        <v>0.72934027777777999</v>
      </c>
      <c r="K315" s="13">
        <v>0</v>
      </c>
      <c r="L315" s="2" t="s">
        <v>64</v>
      </c>
      <c r="M315" s="2" t="s">
        <v>914</v>
      </c>
      <c r="N315" s="14">
        <v>43296</v>
      </c>
      <c r="O315" s="14">
        <v>43298</v>
      </c>
      <c r="P315" s="2" t="s">
        <v>78</v>
      </c>
      <c r="Q315" s="2" t="s">
        <v>919</v>
      </c>
      <c r="R315" s="2" t="s">
        <v>80</v>
      </c>
      <c r="S315" s="14">
        <v>43304</v>
      </c>
      <c r="T315" s="2" t="s">
        <v>6302</v>
      </c>
      <c r="U315" s="2" t="s">
        <v>916</v>
      </c>
      <c r="V315" s="2" t="s">
        <v>917</v>
      </c>
      <c r="W315" s="2" t="s">
        <v>420</v>
      </c>
      <c r="X315" s="13">
        <v>419</v>
      </c>
      <c r="Y315" s="2" t="s">
        <v>71</v>
      </c>
      <c r="Z315" s="2" t="s">
        <v>72</v>
      </c>
      <c r="AA315" s="13">
        <v>10000</v>
      </c>
      <c r="AB315" s="2" t="s">
        <v>107</v>
      </c>
      <c r="AC315" s="2" t="s">
        <v>6773</v>
      </c>
      <c r="AD315" s="27">
        <v>43283</v>
      </c>
      <c r="AL315" s="2" t="s">
        <v>5100</v>
      </c>
    </row>
    <row r="316" spans="1:38" x14ac:dyDescent="0.2">
      <c r="A316" s="2" t="s">
        <v>902</v>
      </c>
      <c r="B316" s="2" t="s">
        <v>4318</v>
      </c>
      <c r="C316" s="2" t="s">
        <v>912</v>
      </c>
      <c r="D316" s="2" t="s">
        <v>913</v>
      </c>
      <c r="E316" s="13">
        <v>10410</v>
      </c>
      <c r="F316" s="13">
        <v>10410</v>
      </c>
      <c r="G316" s="14">
        <v>43291</v>
      </c>
      <c r="H316" s="15">
        <v>0.75017361111111003</v>
      </c>
      <c r="I316" s="14">
        <v>43292</v>
      </c>
      <c r="J316" s="15">
        <v>0.78538194444443998</v>
      </c>
      <c r="K316" s="13">
        <v>0</v>
      </c>
      <c r="L316" s="2" t="s">
        <v>64</v>
      </c>
      <c r="M316" s="2" t="s">
        <v>914</v>
      </c>
      <c r="N316" s="14">
        <v>43301</v>
      </c>
      <c r="O316" s="14">
        <v>43299</v>
      </c>
      <c r="P316" s="2" t="s">
        <v>78</v>
      </c>
      <c r="Q316" s="2" t="s">
        <v>920</v>
      </c>
      <c r="R316" s="2" t="s">
        <v>80</v>
      </c>
      <c r="S316" s="14">
        <v>43304</v>
      </c>
      <c r="T316" s="2" t="s">
        <v>6303</v>
      </c>
      <c r="U316" s="2" t="s">
        <v>916</v>
      </c>
      <c r="V316" s="2" t="s">
        <v>917</v>
      </c>
      <c r="W316" s="2" t="s">
        <v>420</v>
      </c>
      <c r="X316" s="13">
        <v>419</v>
      </c>
      <c r="Y316" s="2" t="s">
        <v>71</v>
      </c>
      <c r="Z316" s="2" t="s">
        <v>72</v>
      </c>
      <c r="AA316" s="13">
        <v>10000</v>
      </c>
      <c r="AB316" s="2" t="s">
        <v>73</v>
      </c>
      <c r="AC316" s="2" t="s">
        <v>6773</v>
      </c>
      <c r="AD316" s="27">
        <v>43284</v>
      </c>
      <c r="AL316" s="2" t="s">
        <v>5101</v>
      </c>
    </row>
    <row r="317" spans="1:38" x14ac:dyDescent="0.2">
      <c r="A317" s="2" t="s">
        <v>902</v>
      </c>
      <c r="B317" s="2" t="s">
        <v>4319</v>
      </c>
      <c r="C317" s="2" t="s">
        <v>912</v>
      </c>
      <c r="D317" s="2" t="s">
        <v>913</v>
      </c>
      <c r="E317" s="13">
        <v>10410</v>
      </c>
      <c r="F317" s="13">
        <v>10410</v>
      </c>
      <c r="G317" s="14">
        <v>43292</v>
      </c>
      <c r="H317" s="15">
        <v>0.80621527777778002</v>
      </c>
      <c r="I317" s="14">
        <v>43293</v>
      </c>
      <c r="J317" s="15">
        <v>0.84142361111110997</v>
      </c>
      <c r="K317" s="13">
        <v>0</v>
      </c>
      <c r="L317" s="2" t="s">
        <v>64</v>
      </c>
      <c r="M317" s="2" t="s">
        <v>914</v>
      </c>
      <c r="N317" s="14">
        <v>43298</v>
      </c>
      <c r="O317" s="14">
        <v>43300</v>
      </c>
      <c r="P317" s="2" t="s">
        <v>78</v>
      </c>
      <c r="Q317" s="2" t="s">
        <v>6926</v>
      </c>
      <c r="R317" s="2" t="s">
        <v>80</v>
      </c>
      <c r="S317" s="14">
        <v>43304</v>
      </c>
      <c r="T317" s="2" t="s">
        <v>6304</v>
      </c>
      <c r="U317" s="2" t="s">
        <v>916</v>
      </c>
      <c r="V317" s="2" t="s">
        <v>917</v>
      </c>
      <c r="W317" s="2" t="s">
        <v>420</v>
      </c>
      <c r="X317" s="13">
        <v>419</v>
      </c>
      <c r="Y317" s="2" t="s">
        <v>71</v>
      </c>
      <c r="Z317" s="2" t="s">
        <v>72</v>
      </c>
      <c r="AA317" s="13">
        <v>10000</v>
      </c>
      <c r="AB317" s="2" t="s">
        <v>73</v>
      </c>
      <c r="AC317" s="2" t="s">
        <v>6773</v>
      </c>
      <c r="AD317" s="27">
        <v>43284</v>
      </c>
      <c r="AL317" s="2" t="s">
        <v>5102</v>
      </c>
    </row>
    <row r="318" spans="1:38" hidden="1" x14ac:dyDescent="0.2">
      <c r="A318" s="2" t="s">
        <v>902</v>
      </c>
      <c r="B318" s="2" t="s">
        <v>925</v>
      </c>
      <c r="C318" s="2" t="s">
        <v>912</v>
      </c>
      <c r="D318" s="2" t="s">
        <v>913</v>
      </c>
      <c r="E318" s="13">
        <v>10410</v>
      </c>
      <c r="F318" s="13">
        <v>10410</v>
      </c>
      <c r="G318" s="14">
        <v>43298</v>
      </c>
      <c r="H318" s="15">
        <v>4.1666666666670002E-2</v>
      </c>
      <c r="I318" s="14">
        <v>43299</v>
      </c>
      <c r="J318" s="15">
        <v>7.6874999999999999E-2</v>
      </c>
      <c r="K318" s="13">
        <v>0</v>
      </c>
      <c r="L318" s="2" t="s">
        <v>64</v>
      </c>
      <c r="M318" s="2" t="s">
        <v>914</v>
      </c>
      <c r="N318" s="14">
        <v>43306</v>
      </c>
      <c r="O318" s="14">
        <v>43306</v>
      </c>
      <c r="P318" s="2" t="s">
        <v>78</v>
      </c>
      <c r="Q318" s="2" t="s">
        <v>926</v>
      </c>
      <c r="R318" s="2" t="s">
        <v>80</v>
      </c>
      <c r="S318" s="14">
        <v>43305</v>
      </c>
      <c r="U318" s="2" t="s">
        <v>916</v>
      </c>
      <c r="V318" s="2" t="s">
        <v>917</v>
      </c>
      <c r="W318" s="2" t="s">
        <v>420</v>
      </c>
      <c r="X318" s="13">
        <v>0</v>
      </c>
      <c r="Y318" s="2" t="s">
        <v>71</v>
      </c>
      <c r="Z318" s="2" t="s">
        <v>72</v>
      </c>
      <c r="AA318" s="13">
        <v>10000</v>
      </c>
      <c r="AB318" s="2" t="s">
        <v>95</v>
      </c>
      <c r="AC318" s="2" t="s">
        <v>6773</v>
      </c>
      <c r="AD318" s="27"/>
      <c r="AL318" s="2" t="s">
        <v>5103</v>
      </c>
    </row>
    <row r="319" spans="1:38" hidden="1" x14ac:dyDescent="0.2">
      <c r="A319" s="2" t="s">
        <v>902</v>
      </c>
      <c r="B319" s="2" t="s">
        <v>927</v>
      </c>
      <c r="C319" s="2" t="s">
        <v>912</v>
      </c>
      <c r="D319" s="2" t="s">
        <v>913</v>
      </c>
      <c r="E319" s="13">
        <v>10410</v>
      </c>
      <c r="F319" s="13">
        <v>10410</v>
      </c>
      <c r="G319" s="14">
        <v>43300</v>
      </c>
      <c r="H319" s="15">
        <v>4.1666666666670002E-2</v>
      </c>
      <c r="I319" s="14">
        <v>43301</v>
      </c>
      <c r="J319" s="15">
        <v>7.6874999999999999E-2</v>
      </c>
      <c r="K319" s="13">
        <v>0</v>
      </c>
      <c r="L319" s="2" t="s">
        <v>64</v>
      </c>
      <c r="M319" s="2" t="s">
        <v>914</v>
      </c>
      <c r="N319" s="14">
        <v>43298</v>
      </c>
      <c r="O319" s="14">
        <v>43308</v>
      </c>
      <c r="P319" s="2" t="s">
        <v>78</v>
      </c>
      <c r="Q319" s="2" t="s">
        <v>928</v>
      </c>
      <c r="R319" s="2" t="s">
        <v>80</v>
      </c>
      <c r="S319" s="14">
        <v>43306</v>
      </c>
      <c r="U319" s="2" t="s">
        <v>916</v>
      </c>
      <c r="V319" s="2" t="s">
        <v>917</v>
      </c>
      <c r="W319" s="2" t="s">
        <v>420</v>
      </c>
      <c r="X319" s="13">
        <v>0</v>
      </c>
      <c r="Y319" s="2" t="s">
        <v>71</v>
      </c>
      <c r="Z319" s="2" t="s">
        <v>72</v>
      </c>
      <c r="AA319" s="13">
        <v>10000</v>
      </c>
      <c r="AB319" s="2" t="s">
        <v>95</v>
      </c>
      <c r="AC319" s="2" t="s">
        <v>6773</v>
      </c>
      <c r="AD319" s="27"/>
      <c r="AL319" s="2" t="s">
        <v>5104</v>
      </c>
    </row>
    <row r="320" spans="1:38" hidden="1" x14ac:dyDescent="0.2">
      <c r="A320" s="2" t="s">
        <v>902</v>
      </c>
      <c r="B320" s="2" t="s">
        <v>937</v>
      </c>
      <c r="C320" s="2" t="s">
        <v>217</v>
      </c>
      <c r="D320" s="2" t="s">
        <v>218</v>
      </c>
      <c r="E320" s="16">
        <v>2108.0250000000001</v>
      </c>
      <c r="F320" s="16">
        <v>2108.0250000000001</v>
      </c>
      <c r="G320" s="14">
        <v>43301</v>
      </c>
      <c r="H320" s="15">
        <v>0.82660879629630002</v>
      </c>
      <c r="I320" s="14">
        <v>43302</v>
      </c>
      <c r="J320" s="15">
        <v>3.6238425925929997E-2</v>
      </c>
      <c r="K320" s="13">
        <v>20</v>
      </c>
      <c r="L320" s="2" t="s">
        <v>64</v>
      </c>
      <c r="M320" s="2" t="s">
        <v>6927</v>
      </c>
      <c r="N320" s="14">
        <v>43304</v>
      </c>
      <c r="O320" s="14">
        <v>43304</v>
      </c>
      <c r="P320" s="2" t="s">
        <v>78</v>
      </c>
      <c r="Q320" s="2" t="s">
        <v>938</v>
      </c>
      <c r="R320" s="2" t="s">
        <v>80</v>
      </c>
      <c r="S320" s="14">
        <v>43304</v>
      </c>
      <c r="T320" s="2" t="s">
        <v>6256</v>
      </c>
      <c r="U320" s="2" t="s">
        <v>220</v>
      </c>
      <c r="V320" s="2" t="s">
        <v>221</v>
      </c>
      <c r="W320" s="2" t="s">
        <v>70</v>
      </c>
      <c r="X320" s="13">
        <v>419</v>
      </c>
      <c r="Y320" s="2" t="s">
        <v>71</v>
      </c>
      <c r="Z320" s="2" t="s">
        <v>72</v>
      </c>
      <c r="AA320" s="13">
        <v>2025</v>
      </c>
      <c r="AB320" s="2" t="s">
        <v>73</v>
      </c>
      <c r="AC320" s="2" t="s">
        <v>6773</v>
      </c>
      <c r="AD320" s="27">
        <v>43278</v>
      </c>
      <c r="AL320" s="2" t="s">
        <v>7201</v>
      </c>
    </row>
    <row r="321" spans="1:38" hidden="1" x14ac:dyDescent="0.2">
      <c r="A321" s="2" t="s">
        <v>902</v>
      </c>
      <c r="B321" s="2" t="s">
        <v>939</v>
      </c>
      <c r="C321" s="2" t="s">
        <v>912</v>
      </c>
      <c r="D321" s="2" t="s">
        <v>913</v>
      </c>
      <c r="E321" s="13">
        <v>10410</v>
      </c>
      <c r="F321" s="13">
        <v>10410</v>
      </c>
      <c r="G321" s="14">
        <v>43303</v>
      </c>
      <c r="H321" s="15">
        <v>5.1354166666669997E-2</v>
      </c>
      <c r="I321" s="14">
        <v>43304</v>
      </c>
      <c r="J321" s="15">
        <v>8.6562500000000001E-2</v>
      </c>
      <c r="K321" s="13">
        <v>0</v>
      </c>
      <c r="L321" s="2" t="s">
        <v>64</v>
      </c>
      <c r="M321" s="2" t="s">
        <v>914</v>
      </c>
      <c r="N321" s="14"/>
      <c r="O321" s="14">
        <v>43311</v>
      </c>
      <c r="P321" s="2" t="s">
        <v>78</v>
      </c>
      <c r="Q321" s="2" t="s">
        <v>940</v>
      </c>
      <c r="R321" s="2" t="s">
        <v>80</v>
      </c>
      <c r="S321" s="14">
        <v>43307</v>
      </c>
      <c r="U321" s="2" t="s">
        <v>916</v>
      </c>
      <c r="V321" s="2" t="s">
        <v>917</v>
      </c>
      <c r="W321" s="2" t="s">
        <v>420</v>
      </c>
      <c r="X321" s="13">
        <v>0</v>
      </c>
      <c r="Y321" s="2" t="s">
        <v>71</v>
      </c>
      <c r="Z321" s="2" t="s">
        <v>72</v>
      </c>
      <c r="AA321" s="13">
        <v>10000</v>
      </c>
      <c r="AB321" s="2" t="s">
        <v>95</v>
      </c>
      <c r="AC321" s="2" t="s">
        <v>6773</v>
      </c>
      <c r="AD321" s="27"/>
      <c r="AL321" s="2" t="s">
        <v>5105</v>
      </c>
    </row>
    <row r="322" spans="1:38" hidden="1" x14ac:dyDescent="0.2">
      <c r="A322" s="2" t="s">
        <v>902</v>
      </c>
      <c r="B322" s="2" t="s">
        <v>941</v>
      </c>
      <c r="C322" s="2" t="s">
        <v>912</v>
      </c>
      <c r="D322" s="2" t="s">
        <v>913</v>
      </c>
      <c r="E322" s="13">
        <v>10410</v>
      </c>
      <c r="F322" s="13">
        <v>10410</v>
      </c>
      <c r="G322" s="14">
        <v>43304</v>
      </c>
      <c r="H322" s="15">
        <v>0.20833333333333001</v>
      </c>
      <c r="I322" s="14">
        <v>43305</v>
      </c>
      <c r="J322" s="15">
        <v>0.24354166666666999</v>
      </c>
      <c r="K322" s="13">
        <v>0</v>
      </c>
      <c r="L322" s="2" t="s">
        <v>64</v>
      </c>
      <c r="M322" s="2" t="s">
        <v>914</v>
      </c>
      <c r="N322" s="14">
        <v>43312</v>
      </c>
      <c r="O322" s="14">
        <v>43312</v>
      </c>
      <c r="P322" s="2" t="s">
        <v>78</v>
      </c>
      <c r="Q322" s="2" t="s">
        <v>942</v>
      </c>
      <c r="R322" s="2" t="s">
        <v>80</v>
      </c>
      <c r="S322" s="14">
        <v>43308</v>
      </c>
      <c r="U322" s="2" t="s">
        <v>916</v>
      </c>
      <c r="V322" s="2" t="s">
        <v>917</v>
      </c>
      <c r="W322" s="2" t="s">
        <v>420</v>
      </c>
      <c r="X322" s="13">
        <v>0</v>
      </c>
      <c r="Y322" s="2" t="s">
        <v>71</v>
      </c>
      <c r="Z322" s="2" t="s">
        <v>72</v>
      </c>
      <c r="AA322" s="13">
        <v>10000</v>
      </c>
      <c r="AB322" s="2" t="s">
        <v>95</v>
      </c>
      <c r="AC322" s="2" t="s">
        <v>6773</v>
      </c>
      <c r="AD322" s="27"/>
      <c r="AL322" s="2" t="s">
        <v>5106</v>
      </c>
    </row>
    <row r="323" spans="1:38" hidden="1" x14ac:dyDescent="0.2">
      <c r="A323" s="2" t="s">
        <v>902</v>
      </c>
      <c r="B323" s="2" t="s">
        <v>4320</v>
      </c>
      <c r="C323" s="2" t="s">
        <v>271</v>
      </c>
      <c r="D323" s="2" t="s">
        <v>272</v>
      </c>
      <c r="E323" s="16">
        <v>1002.4</v>
      </c>
      <c r="F323" s="16">
        <v>1002.4</v>
      </c>
      <c r="G323" s="14">
        <v>43305</v>
      </c>
      <c r="H323" s="15">
        <v>0.73217592592592995</v>
      </c>
      <c r="I323" s="14">
        <v>43305</v>
      </c>
      <c r="J323" s="15">
        <v>0.83186342592592999</v>
      </c>
      <c r="K323" s="13">
        <v>20</v>
      </c>
      <c r="L323" s="2" t="s">
        <v>64</v>
      </c>
      <c r="M323" s="2" t="s">
        <v>4321</v>
      </c>
      <c r="N323" s="14">
        <v>43315</v>
      </c>
      <c r="O323" s="14">
        <v>43312</v>
      </c>
      <c r="P323" s="2" t="s">
        <v>91</v>
      </c>
      <c r="Q323" s="2" t="s">
        <v>4322</v>
      </c>
      <c r="R323" s="2" t="s">
        <v>80</v>
      </c>
      <c r="S323" s="14">
        <v>43315</v>
      </c>
      <c r="T323" s="2" t="s">
        <v>6305</v>
      </c>
      <c r="U323" s="2" t="s">
        <v>178</v>
      </c>
      <c r="V323" s="2" t="s">
        <v>274</v>
      </c>
      <c r="W323" s="2" t="s">
        <v>70</v>
      </c>
      <c r="X323" s="13">
        <v>419</v>
      </c>
      <c r="Y323" s="2" t="s">
        <v>71</v>
      </c>
      <c r="Z323" s="2" t="s">
        <v>72</v>
      </c>
      <c r="AA323" s="13">
        <v>1000</v>
      </c>
      <c r="AB323" s="2" t="s">
        <v>73</v>
      </c>
      <c r="AC323" s="2" t="s">
        <v>6773</v>
      </c>
      <c r="AD323" s="27">
        <v>43287</v>
      </c>
      <c r="AL323" s="2" t="s">
        <v>5107</v>
      </c>
    </row>
    <row r="324" spans="1:38" hidden="1" x14ac:dyDescent="0.2">
      <c r="A324" s="2" t="s">
        <v>902</v>
      </c>
      <c r="B324" s="2" t="s">
        <v>943</v>
      </c>
      <c r="C324" s="2" t="s">
        <v>912</v>
      </c>
      <c r="D324" s="2" t="s">
        <v>913</v>
      </c>
      <c r="E324" s="13">
        <v>10410</v>
      </c>
      <c r="F324" s="13">
        <v>10410</v>
      </c>
      <c r="G324" s="14">
        <v>43305</v>
      </c>
      <c r="H324" s="15">
        <v>0.85269675925926003</v>
      </c>
      <c r="I324" s="14">
        <v>43306</v>
      </c>
      <c r="J324" s="15">
        <v>0.88790509259258998</v>
      </c>
      <c r="K324" s="13">
        <v>0</v>
      </c>
      <c r="L324" s="2" t="s">
        <v>64</v>
      </c>
      <c r="M324" s="2" t="s">
        <v>914</v>
      </c>
      <c r="N324" s="14">
        <v>43313</v>
      </c>
      <c r="O324" s="14">
        <v>43317</v>
      </c>
      <c r="P324" s="2" t="s">
        <v>78</v>
      </c>
      <c r="Q324" s="2" t="s">
        <v>944</v>
      </c>
      <c r="R324" s="2" t="s">
        <v>80</v>
      </c>
      <c r="S324" s="14">
        <v>43318</v>
      </c>
      <c r="U324" s="2" t="s">
        <v>916</v>
      </c>
      <c r="V324" s="2" t="s">
        <v>917</v>
      </c>
      <c r="W324" s="2" t="s">
        <v>420</v>
      </c>
      <c r="X324" s="13">
        <v>0</v>
      </c>
      <c r="Y324" s="2" t="s">
        <v>71</v>
      </c>
      <c r="Z324" s="2" t="s">
        <v>72</v>
      </c>
      <c r="AA324" s="13">
        <v>10000</v>
      </c>
      <c r="AB324" s="2" t="s">
        <v>95</v>
      </c>
      <c r="AC324" s="2" t="s">
        <v>6773</v>
      </c>
      <c r="AD324" s="27"/>
      <c r="AL324" s="2" t="s">
        <v>5108</v>
      </c>
    </row>
    <row r="325" spans="1:38" hidden="1" x14ac:dyDescent="0.2">
      <c r="A325" s="2" t="s">
        <v>902</v>
      </c>
      <c r="B325" s="2" t="s">
        <v>945</v>
      </c>
      <c r="C325" s="2" t="s">
        <v>912</v>
      </c>
      <c r="D325" s="2" t="s">
        <v>913</v>
      </c>
      <c r="E325" s="13">
        <v>10410</v>
      </c>
      <c r="F325" s="13">
        <v>10410</v>
      </c>
      <c r="G325" s="14">
        <v>43306</v>
      </c>
      <c r="H325" s="15">
        <v>0.90873842592593002</v>
      </c>
      <c r="I325" s="14">
        <v>43307</v>
      </c>
      <c r="J325" s="15">
        <v>0.94394675925925997</v>
      </c>
      <c r="K325" s="13">
        <v>0</v>
      </c>
      <c r="L325" s="2" t="s">
        <v>64</v>
      </c>
      <c r="M325" s="2" t="s">
        <v>914</v>
      </c>
      <c r="N325" s="14">
        <v>43314</v>
      </c>
      <c r="O325" s="14">
        <v>43316</v>
      </c>
      <c r="P325" s="2" t="s">
        <v>78</v>
      </c>
      <c r="Q325" s="2" t="s">
        <v>946</v>
      </c>
      <c r="R325" s="2" t="s">
        <v>80</v>
      </c>
      <c r="S325" s="14">
        <v>43315</v>
      </c>
      <c r="U325" s="2" t="s">
        <v>916</v>
      </c>
      <c r="V325" s="2" t="s">
        <v>917</v>
      </c>
      <c r="W325" s="2" t="s">
        <v>420</v>
      </c>
      <c r="X325" s="13">
        <v>0</v>
      </c>
      <c r="Y325" s="2" t="s">
        <v>71</v>
      </c>
      <c r="Z325" s="2" t="s">
        <v>72</v>
      </c>
      <c r="AA325" s="13">
        <v>10000</v>
      </c>
      <c r="AB325" s="2" t="s">
        <v>95</v>
      </c>
      <c r="AC325" s="2" t="s">
        <v>6773</v>
      </c>
      <c r="AD325" s="27"/>
      <c r="AL325" s="2" t="s">
        <v>5109</v>
      </c>
    </row>
    <row r="326" spans="1:38" hidden="1" x14ac:dyDescent="0.2">
      <c r="A326" s="2" t="s">
        <v>902</v>
      </c>
      <c r="B326" s="2" t="s">
        <v>947</v>
      </c>
      <c r="C326" s="2" t="s">
        <v>912</v>
      </c>
      <c r="D326" s="2" t="s">
        <v>913</v>
      </c>
      <c r="E326" s="13">
        <v>10410</v>
      </c>
      <c r="F326" s="13">
        <v>10410</v>
      </c>
      <c r="G326" s="14">
        <v>43307</v>
      </c>
      <c r="H326" s="15">
        <v>0.96478009259259001</v>
      </c>
      <c r="I326" s="14">
        <v>43308</v>
      </c>
      <c r="J326" s="15">
        <v>0.99998842592592996</v>
      </c>
      <c r="K326" s="13">
        <v>0</v>
      </c>
      <c r="L326" s="2" t="s">
        <v>64</v>
      </c>
      <c r="M326" s="2" t="s">
        <v>914</v>
      </c>
      <c r="N326" s="14">
        <v>43315</v>
      </c>
      <c r="O326" s="14">
        <v>43315</v>
      </c>
      <c r="P326" s="2" t="s">
        <v>78</v>
      </c>
      <c r="Q326" s="2" t="s">
        <v>948</v>
      </c>
      <c r="R326" s="2" t="s">
        <v>80</v>
      </c>
      <c r="S326" s="14">
        <v>43314</v>
      </c>
      <c r="U326" s="2" t="s">
        <v>916</v>
      </c>
      <c r="V326" s="2" t="s">
        <v>917</v>
      </c>
      <c r="W326" s="2" t="s">
        <v>420</v>
      </c>
      <c r="X326" s="13">
        <v>0</v>
      </c>
      <c r="Y326" s="2" t="s">
        <v>71</v>
      </c>
      <c r="Z326" s="2" t="s">
        <v>72</v>
      </c>
      <c r="AA326" s="13">
        <v>10000</v>
      </c>
      <c r="AB326" s="2" t="s">
        <v>95</v>
      </c>
      <c r="AC326" s="2" t="s">
        <v>6773</v>
      </c>
      <c r="AD326" s="27"/>
      <c r="AL326" s="2" t="s">
        <v>5110</v>
      </c>
    </row>
    <row r="327" spans="1:38" hidden="1" x14ac:dyDescent="0.2">
      <c r="A327" s="2" t="s">
        <v>902</v>
      </c>
      <c r="B327" s="2" t="s">
        <v>4323</v>
      </c>
      <c r="C327" s="2" t="s">
        <v>201</v>
      </c>
      <c r="D327" s="2" t="s">
        <v>202</v>
      </c>
      <c r="E327" s="13">
        <v>2082</v>
      </c>
      <c r="F327" s="13">
        <v>2082</v>
      </c>
      <c r="G327" s="14">
        <v>43309</v>
      </c>
      <c r="H327" s="15">
        <v>0.79296296296295998</v>
      </c>
      <c r="I327" s="14">
        <v>43310</v>
      </c>
      <c r="J327" s="15">
        <v>0</v>
      </c>
      <c r="K327" s="13">
        <v>0</v>
      </c>
      <c r="L327" s="2" t="s">
        <v>64</v>
      </c>
      <c r="M327" s="2" t="s">
        <v>4324</v>
      </c>
      <c r="N327" s="14">
        <v>43312</v>
      </c>
      <c r="O327" s="14">
        <v>43311</v>
      </c>
      <c r="P327" s="2" t="s">
        <v>91</v>
      </c>
      <c r="Q327" s="2" t="s">
        <v>4325</v>
      </c>
      <c r="R327" s="2" t="s">
        <v>80</v>
      </c>
      <c r="S327" s="14">
        <v>43312</v>
      </c>
      <c r="T327" s="2" t="s">
        <v>6306</v>
      </c>
      <c r="U327" s="2" t="s">
        <v>204</v>
      </c>
      <c r="V327" s="2" t="s">
        <v>179</v>
      </c>
      <c r="W327" s="2" t="s">
        <v>70</v>
      </c>
      <c r="X327" s="13">
        <v>419</v>
      </c>
      <c r="Y327" s="2" t="s">
        <v>71</v>
      </c>
      <c r="Z327" s="2" t="s">
        <v>72</v>
      </c>
      <c r="AA327" s="13">
        <v>2000</v>
      </c>
      <c r="AB327" s="2" t="s">
        <v>73</v>
      </c>
      <c r="AC327" s="2" t="s">
        <v>6773</v>
      </c>
      <c r="AD327" s="27">
        <v>43284</v>
      </c>
      <c r="AL327" s="2" t="s">
        <v>5111</v>
      </c>
    </row>
    <row r="328" spans="1:38" hidden="1" x14ac:dyDescent="0.2">
      <c r="A328" s="2" t="s">
        <v>902</v>
      </c>
      <c r="B328" s="2" t="s">
        <v>949</v>
      </c>
      <c r="C328" s="2" t="s">
        <v>912</v>
      </c>
      <c r="D328" s="2" t="s">
        <v>913</v>
      </c>
      <c r="E328" s="13">
        <v>10410</v>
      </c>
      <c r="F328" s="13">
        <v>10410</v>
      </c>
      <c r="G328" s="14">
        <v>43310</v>
      </c>
      <c r="H328" s="15">
        <v>0.96478009259259001</v>
      </c>
      <c r="I328" s="14">
        <v>43311</v>
      </c>
      <c r="J328" s="15">
        <v>0.99998842592592996</v>
      </c>
      <c r="K328" s="13">
        <v>0</v>
      </c>
      <c r="L328" s="2" t="s">
        <v>64</v>
      </c>
      <c r="M328" s="2" t="s">
        <v>914</v>
      </c>
      <c r="N328" s="14">
        <v>43318</v>
      </c>
      <c r="O328" s="14">
        <v>43318</v>
      </c>
      <c r="P328" s="2" t="s">
        <v>78</v>
      </c>
      <c r="Q328" s="2" t="s">
        <v>950</v>
      </c>
      <c r="R328" s="2" t="s">
        <v>80</v>
      </c>
      <c r="S328" s="14">
        <v>43318</v>
      </c>
      <c r="U328" s="2" t="s">
        <v>916</v>
      </c>
      <c r="V328" s="2" t="s">
        <v>917</v>
      </c>
      <c r="W328" s="2" t="s">
        <v>420</v>
      </c>
      <c r="X328" s="13">
        <v>0</v>
      </c>
      <c r="Y328" s="2" t="s">
        <v>71</v>
      </c>
      <c r="Z328" s="2" t="s">
        <v>72</v>
      </c>
      <c r="AA328" s="13">
        <v>10000</v>
      </c>
      <c r="AB328" s="2" t="s">
        <v>95</v>
      </c>
      <c r="AC328" s="2" t="s">
        <v>6773</v>
      </c>
      <c r="AD328" s="27"/>
      <c r="AL328" s="2" t="s">
        <v>5112</v>
      </c>
    </row>
    <row r="329" spans="1:38" hidden="1" x14ac:dyDescent="0.2">
      <c r="A329" s="2" t="s">
        <v>902</v>
      </c>
      <c r="B329" s="2" t="s">
        <v>951</v>
      </c>
      <c r="C329" s="2" t="s">
        <v>912</v>
      </c>
      <c r="D329" s="2" t="s">
        <v>913</v>
      </c>
      <c r="E329" s="13">
        <v>10410</v>
      </c>
      <c r="F329" s="13">
        <v>10410</v>
      </c>
      <c r="G329" s="14">
        <v>43312</v>
      </c>
      <c r="H329" s="15">
        <v>0.42591435185185</v>
      </c>
      <c r="I329" s="14">
        <v>43313</v>
      </c>
      <c r="J329" s="15">
        <v>0.46112268518519001</v>
      </c>
      <c r="K329" s="13">
        <v>0</v>
      </c>
      <c r="L329" s="2" t="s">
        <v>64</v>
      </c>
      <c r="M329" s="2" t="s">
        <v>914</v>
      </c>
      <c r="N329" s="14">
        <v>43320</v>
      </c>
      <c r="O329" s="14">
        <v>43325</v>
      </c>
      <c r="P329" s="2" t="s">
        <v>78</v>
      </c>
      <c r="Q329" s="2" t="s">
        <v>952</v>
      </c>
      <c r="R329" s="2" t="s">
        <v>80</v>
      </c>
      <c r="S329" s="14">
        <v>43326</v>
      </c>
      <c r="U329" s="2" t="s">
        <v>916</v>
      </c>
      <c r="V329" s="2" t="s">
        <v>917</v>
      </c>
      <c r="W329" s="2" t="s">
        <v>420</v>
      </c>
      <c r="X329" s="13">
        <v>0</v>
      </c>
      <c r="Y329" s="2" t="s">
        <v>71</v>
      </c>
      <c r="Z329" s="2" t="s">
        <v>72</v>
      </c>
      <c r="AA329" s="13">
        <v>10000</v>
      </c>
      <c r="AB329" s="2" t="s">
        <v>95</v>
      </c>
      <c r="AC329" s="2" t="s">
        <v>6773</v>
      </c>
      <c r="AD329" s="27"/>
      <c r="AL329" s="2" t="s">
        <v>5113</v>
      </c>
    </row>
    <row r="330" spans="1:38" hidden="1" x14ac:dyDescent="0.2">
      <c r="A330" s="2" t="s">
        <v>902</v>
      </c>
      <c r="B330" s="2" t="s">
        <v>953</v>
      </c>
      <c r="C330" s="2" t="s">
        <v>842</v>
      </c>
      <c r="D330" s="2" t="s">
        <v>843</v>
      </c>
      <c r="E330" s="13">
        <v>5000</v>
      </c>
      <c r="F330" s="13">
        <v>5000</v>
      </c>
      <c r="G330" s="14">
        <v>43313</v>
      </c>
      <c r="H330" s="15">
        <v>0.50278935185185003</v>
      </c>
      <c r="I330" s="14">
        <v>43314</v>
      </c>
      <c r="J330" s="15">
        <v>0</v>
      </c>
      <c r="K330" s="13">
        <v>20</v>
      </c>
      <c r="L330" s="2" t="s">
        <v>64</v>
      </c>
      <c r="M330" s="2" t="s">
        <v>954</v>
      </c>
      <c r="N330" s="14">
        <v>43319</v>
      </c>
      <c r="O330" s="14">
        <v>43315</v>
      </c>
      <c r="P330" s="2" t="s">
        <v>153</v>
      </c>
      <c r="Q330" s="2" t="s">
        <v>955</v>
      </c>
      <c r="R330" s="2" t="s">
        <v>80</v>
      </c>
      <c r="S330" s="14">
        <v>43319</v>
      </c>
      <c r="T330" s="2" t="s">
        <v>6307</v>
      </c>
      <c r="U330" s="2" t="s">
        <v>846</v>
      </c>
      <c r="V330" s="2" t="s">
        <v>847</v>
      </c>
      <c r="W330" s="2" t="s">
        <v>70</v>
      </c>
      <c r="X330" s="13">
        <v>419</v>
      </c>
      <c r="Y330" s="2" t="s">
        <v>71</v>
      </c>
      <c r="Z330" s="2" t="s">
        <v>72</v>
      </c>
      <c r="AA330" s="13">
        <v>5000</v>
      </c>
      <c r="AB330" s="2" t="s">
        <v>73</v>
      </c>
      <c r="AC330" s="2" t="s">
        <v>6773</v>
      </c>
      <c r="AD330" s="27">
        <v>43179</v>
      </c>
      <c r="AL330" s="2" t="s">
        <v>5114</v>
      </c>
    </row>
    <row r="331" spans="1:38" hidden="1" x14ac:dyDescent="0.2">
      <c r="A331" s="2" t="s">
        <v>902</v>
      </c>
      <c r="B331" s="2" t="s">
        <v>956</v>
      </c>
      <c r="C331" s="2" t="s">
        <v>912</v>
      </c>
      <c r="D331" s="2" t="s">
        <v>913</v>
      </c>
      <c r="E331" s="13">
        <v>10410</v>
      </c>
      <c r="F331" s="13">
        <v>10410</v>
      </c>
      <c r="G331" s="14">
        <v>43314</v>
      </c>
      <c r="H331" s="15">
        <v>0.90873842592593002</v>
      </c>
      <c r="I331" s="14">
        <v>43315</v>
      </c>
      <c r="J331" s="15">
        <v>0.94394675925925997</v>
      </c>
      <c r="K331" s="13">
        <v>0</v>
      </c>
      <c r="L331" s="2" t="s">
        <v>64</v>
      </c>
      <c r="M331" s="2" t="s">
        <v>914</v>
      </c>
      <c r="N331" s="14">
        <v>43287</v>
      </c>
      <c r="O331" s="14">
        <v>43324</v>
      </c>
      <c r="P331" s="2" t="s">
        <v>78</v>
      </c>
      <c r="Q331" s="2" t="s">
        <v>957</v>
      </c>
      <c r="R331" s="2" t="s">
        <v>80</v>
      </c>
      <c r="S331" s="14">
        <v>43319</v>
      </c>
      <c r="U331" s="2" t="s">
        <v>916</v>
      </c>
      <c r="V331" s="2" t="s">
        <v>917</v>
      </c>
      <c r="W331" s="2" t="s">
        <v>420</v>
      </c>
      <c r="X331" s="13">
        <v>0</v>
      </c>
      <c r="Y331" s="2" t="s">
        <v>71</v>
      </c>
      <c r="Z331" s="2" t="s">
        <v>72</v>
      </c>
      <c r="AA331" s="13">
        <v>10000</v>
      </c>
      <c r="AB331" s="2" t="s">
        <v>95</v>
      </c>
      <c r="AC331" s="2" t="s">
        <v>6773</v>
      </c>
      <c r="AD331" s="27"/>
      <c r="AL331" s="2" t="s">
        <v>5115</v>
      </c>
    </row>
    <row r="332" spans="1:38" hidden="1" x14ac:dyDescent="0.2">
      <c r="A332" s="2" t="s">
        <v>902</v>
      </c>
      <c r="B332" s="2" t="s">
        <v>958</v>
      </c>
      <c r="C332" s="2" t="s">
        <v>912</v>
      </c>
      <c r="D332" s="2" t="s">
        <v>913</v>
      </c>
      <c r="E332" s="13">
        <v>10410</v>
      </c>
      <c r="F332" s="13">
        <v>10410</v>
      </c>
      <c r="G332" s="14">
        <v>43315</v>
      </c>
      <c r="H332" s="15">
        <v>0.96478009259259001</v>
      </c>
      <c r="I332" s="14">
        <v>43316</v>
      </c>
      <c r="J332" s="15">
        <v>0.99998842592592996</v>
      </c>
      <c r="K332" s="13">
        <v>0</v>
      </c>
      <c r="L332" s="2" t="s">
        <v>64</v>
      </c>
      <c r="M332" s="2" t="s">
        <v>914</v>
      </c>
      <c r="N332" s="14">
        <v>43288</v>
      </c>
      <c r="O332" s="14">
        <v>43323</v>
      </c>
      <c r="P332" s="2" t="s">
        <v>78</v>
      </c>
      <c r="Q332" s="2" t="s">
        <v>959</v>
      </c>
      <c r="R332" s="2" t="s">
        <v>80</v>
      </c>
      <c r="S332" s="14">
        <v>43318</v>
      </c>
      <c r="U332" s="2" t="s">
        <v>916</v>
      </c>
      <c r="V332" s="2" t="s">
        <v>917</v>
      </c>
      <c r="W332" s="2" t="s">
        <v>420</v>
      </c>
      <c r="X332" s="13">
        <v>0</v>
      </c>
      <c r="Y332" s="2" t="s">
        <v>71</v>
      </c>
      <c r="Z332" s="2" t="s">
        <v>72</v>
      </c>
      <c r="AA332" s="13">
        <v>10000</v>
      </c>
      <c r="AB332" s="2" t="s">
        <v>95</v>
      </c>
      <c r="AC332" s="2" t="s">
        <v>6773</v>
      </c>
      <c r="AD332" s="27"/>
      <c r="AL332" s="2" t="s">
        <v>5116</v>
      </c>
    </row>
    <row r="333" spans="1:38" hidden="1" x14ac:dyDescent="0.2">
      <c r="A333" s="2" t="s">
        <v>902</v>
      </c>
      <c r="B333" s="2" t="s">
        <v>960</v>
      </c>
      <c r="C333" s="2" t="s">
        <v>912</v>
      </c>
      <c r="D333" s="2" t="s">
        <v>913</v>
      </c>
      <c r="E333" s="13">
        <v>10410</v>
      </c>
      <c r="F333" s="13">
        <v>10410</v>
      </c>
      <c r="G333" s="14">
        <v>43317</v>
      </c>
      <c r="H333" s="15">
        <v>0.99531250000000004</v>
      </c>
      <c r="I333" s="14">
        <v>43319</v>
      </c>
      <c r="J333" s="15">
        <v>3.052083333333E-2</v>
      </c>
      <c r="K333" s="13">
        <v>0</v>
      </c>
      <c r="L333" s="2" t="s">
        <v>64</v>
      </c>
      <c r="M333" s="2" t="s">
        <v>914</v>
      </c>
      <c r="N333" s="14">
        <v>43326</v>
      </c>
      <c r="O333" s="14">
        <v>43326</v>
      </c>
      <c r="P333" s="2" t="s">
        <v>78</v>
      </c>
      <c r="Q333" s="2" t="s">
        <v>961</v>
      </c>
      <c r="R333" s="2" t="s">
        <v>80</v>
      </c>
      <c r="S333" s="14">
        <v>43327</v>
      </c>
      <c r="U333" s="2" t="s">
        <v>916</v>
      </c>
      <c r="V333" s="2" t="s">
        <v>917</v>
      </c>
      <c r="W333" s="2" t="s">
        <v>420</v>
      </c>
      <c r="X333" s="13">
        <v>0</v>
      </c>
      <c r="Y333" s="2" t="s">
        <v>71</v>
      </c>
      <c r="Z333" s="2" t="s">
        <v>72</v>
      </c>
      <c r="AA333" s="13">
        <v>10000</v>
      </c>
      <c r="AB333" s="2" t="s">
        <v>95</v>
      </c>
      <c r="AC333" s="2" t="s">
        <v>6773</v>
      </c>
      <c r="AD333" s="27"/>
      <c r="AL333" s="2" t="s">
        <v>5117</v>
      </c>
    </row>
    <row r="334" spans="1:38" hidden="1" x14ac:dyDescent="0.2">
      <c r="A334" s="2" t="s">
        <v>902</v>
      </c>
      <c r="B334" s="2" t="s">
        <v>962</v>
      </c>
      <c r="C334" s="2" t="s">
        <v>912</v>
      </c>
      <c r="D334" s="2" t="s">
        <v>913</v>
      </c>
      <c r="E334" s="13">
        <v>10410</v>
      </c>
      <c r="F334" s="13">
        <v>10410</v>
      </c>
      <c r="G334" s="14">
        <v>43323</v>
      </c>
      <c r="H334" s="15">
        <v>0.90873842592593002</v>
      </c>
      <c r="I334" s="14">
        <v>43324</v>
      </c>
      <c r="J334" s="15">
        <v>0.94394675925925997</v>
      </c>
      <c r="K334" s="13">
        <v>0</v>
      </c>
      <c r="L334" s="2" t="s">
        <v>64</v>
      </c>
      <c r="M334" s="2" t="s">
        <v>914</v>
      </c>
      <c r="N334" s="14">
        <v>43331</v>
      </c>
      <c r="O334" s="14">
        <v>43333</v>
      </c>
      <c r="P334" s="2" t="s">
        <v>78</v>
      </c>
      <c r="Q334" s="2" t="s">
        <v>963</v>
      </c>
      <c r="R334" s="2" t="s">
        <v>80</v>
      </c>
      <c r="S334" s="14">
        <v>43334</v>
      </c>
      <c r="U334" s="2" t="s">
        <v>916</v>
      </c>
      <c r="V334" s="2" t="s">
        <v>917</v>
      </c>
      <c r="W334" s="2" t="s">
        <v>420</v>
      </c>
      <c r="X334" s="13">
        <v>0</v>
      </c>
      <c r="Y334" s="2" t="s">
        <v>71</v>
      </c>
      <c r="Z334" s="2" t="s">
        <v>72</v>
      </c>
      <c r="AA334" s="13">
        <v>10000</v>
      </c>
      <c r="AB334" s="2" t="s">
        <v>95</v>
      </c>
      <c r="AC334" s="2" t="s">
        <v>6773</v>
      </c>
      <c r="AD334" s="27"/>
      <c r="AL334" s="2" t="s">
        <v>5118</v>
      </c>
    </row>
    <row r="335" spans="1:38" hidden="1" x14ac:dyDescent="0.2">
      <c r="A335" s="2" t="s">
        <v>902</v>
      </c>
      <c r="B335" s="2" t="s">
        <v>964</v>
      </c>
      <c r="C335" s="2" t="s">
        <v>912</v>
      </c>
      <c r="D335" s="2" t="s">
        <v>913</v>
      </c>
      <c r="E335" s="13">
        <v>10410</v>
      </c>
      <c r="F335" s="13">
        <v>10410</v>
      </c>
      <c r="G335" s="14">
        <v>43324</v>
      </c>
      <c r="H335" s="15">
        <v>0.96478009259259001</v>
      </c>
      <c r="I335" s="14">
        <v>43325</v>
      </c>
      <c r="J335" s="15">
        <v>0.99998842592592996</v>
      </c>
      <c r="K335" s="13">
        <v>0</v>
      </c>
      <c r="L335" s="2" t="s">
        <v>64</v>
      </c>
      <c r="M335" s="2" t="s">
        <v>914</v>
      </c>
      <c r="N335" s="14">
        <v>43332</v>
      </c>
      <c r="O335" s="14">
        <v>43332</v>
      </c>
      <c r="P335" s="2" t="s">
        <v>78</v>
      </c>
      <c r="Q335" s="2" t="s">
        <v>965</v>
      </c>
      <c r="R335" s="2" t="s">
        <v>80</v>
      </c>
      <c r="S335" s="14">
        <v>43333</v>
      </c>
      <c r="U335" s="2" t="s">
        <v>916</v>
      </c>
      <c r="V335" s="2" t="s">
        <v>917</v>
      </c>
      <c r="W335" s="2" t="s">
        <v>420</v>
      </c>
      <c r="X335" s="13">
        <v>0</v>
      </c>
      <c r="Y335" s="2" t="s">
        <v>71</v>
      </c>
      <c r="Z335" s="2" t="s">
        <v>72</v>
      </c>
      <c r="AA335" s="13">
        <v>10000</v>
      </c>
      <c r="AB335" s="2" t="s">
        <v>95</v>
      </c>
      <c r="AC335" s="2" t="s">
        <v>6773</v>
      </c>
      <c r="AD335" s="27"/>
      <c r="AL335" s="2" t="s">
        <v>5119</v>
      </c>
    </row>
    <row r="336" spans="1:38" hidden="1" x14ac:dyDescent="0.2">
      <c r="A336" s="2" t="s">
        <v>902</v>
      </c>
      <c r="B336" s="2" t="s">
        <v>966</v>
      </c>
      <c r="C336" s="2" t="s">
        <v>967</v>
      </c>
      <c r="D336" s="2" t="s">
        <v>968</v>
      </c>
      <c r="E336" s="13">
        <v>3000</v>
      </c>
      <c r="F336" s="13">
        <v>3000</v>
      </c>
      <c r="G336" s="14">
        <v>43331</v>
      </c>
      <c r="H336" s="15">
        <v>0.70166666666666999</v>
      </c>
      <c r="I336" s="14">
        <v>43332</v>
      </c>
      <c r="J336" s="15">
        <v>0</v>
      </c>
      <c r="K336" s="13">
        <v>0</v>
      </c>
      <c r="L336" s="2" t="s">
        <v>64</v>
      </c>
      <c r="M336" s="2" t="s">
        <v>969</v>
      </c>
      <c r="N336" s="14"/>
      <c r="O336" s="14">
        <v>43338</v>
      </c>
      <c r="P336" s="2" t="s">
        <v>970</v>
      </c>
      <c r="Q336" s="2" t="s">
        <v>6928</v>
      </c>
      <c r="R336" s="2" t="s">
        <v>80</v>
      </c>
      <c r="S336" s="14">
        <v>43276</v>
      </c>
      <c r="U336" s="2" t="s">
        <v>971</v>
      </c>
      <c r="V336" s="2" t="s">
        <v>163</v>
      </c>
      <c r="W336" s="2" t="s">
        <v>683</v>
      </c>
      <c r="X336" s="13">
        <v>0</v>
      </c>
      <c r="Y336" s="2" t="s">
        <v>71</v>
      </c>
      <c r="Z336" s="2" t="s">
        <v>72</v>
      </c>
      <c r="AA336" s="13">
        <v>3000</v>
      </c>
      <c r="AB336" s="2" t="s">
        <v>95</v>
      </c>
      <c r="AC336" s="2" t="s">
        <v>6773</v>
      </c>
      <c r="AD336" s="27"/>
      <c r="AL336" s="2" t="s">
        <v>7202</v>
      </c>
    </row>
    <row r="337" spans="1:38" hidden="1" x14ac:dyDescent="0.2">
      <c r="A337" s="2" t="s">
        <v>902</v>
      </c>
      <c r="B337" s="2" t="s">
        <v>972</v>
      </c>
      <c r="C337" s="2" t="s">
        <v>973</v>
      </c>
      <c r="D337" s="2" t="s">
        <v>974</v>
      </c>
      <c r="E337" s="13">
        <v>4000</v>
      </c>
      <c r="F337" s="13">
        <v>4000</v>
      </c>
      <c r="G337" s="14">
        <v>43337</v>
      </c>
      <c r="H337" s="15">
        <v>0.42300925925925997</v>
      </c>
      <c r="I337" s="14">
        <v>43337</v>
      </c>
      <c r="J337" s="15">
        <v>0.82078703703704003</v>
      </c>
      <c r="K337" s="13">
        <v>0</v>
      </c>
      <c r="L337" s="2" t="s">
        <v>64</v>
      </c>
      <c r="M337" s="2" t="s">
        <v>975</v>
      </c>
      <c r="N337" s="14">
        <v>43346</v>
      </c>
      <c r="O337" s="14">
        <v>43344</v>
      </c>
      <c r="P337" s="2" t="s">
        <v>91</v>
      </c>
      <c r="Q337" s="2" t="s">
        <v>976</v>
      </c>
      <c r="R337" s="2" t="s">
        <v>80</v>
      </c>
      <c r="S337" s="14">
        <v>43346</v>
      </c>
      <c r="U337" s="2" t="s">
        <v>977</v>
      </c>
      <c r="V337" s="2" t="s">
        <v>978</v>
      </c>
      <c r="W337" s="2" t="s">
        <v>683</v>
      </c>
      <c r="X337" s="13">
        <v>419</v>
      </c>
      <c r="Y337" s="2" t="s">
        <v>71</v>
      </c>
      <c r="Z337" s="2" t="s">
        <v>72</v>
      </c>
      <c r="AA337" s="13">
        <v>4000</v>
      </c>
      <c r="AB337" s="2" t="s">
        <v>73</v>
      </c>
      <c r="AC337" s="2" t="s">
        <v>6773</v>
      </c>
      <c r="AD337" s="27"/>
      <c r="AL337" s="2" t="s">
        <v>7203</v>
      </c>
    </row>
    <row r="338" spans="1:38" hidden="1" x14ac:dyDescent="0.2">
      <c r="A338" s="2" t="s">
        <v>902</v>
      </c>
      <c r="B338" s="2" t="s">
        <v>979</v>
      </c>
      <c r="C338" s="2" t="s">
        <v>842</v>
      </c>
      <c r="D338" s="2" t="s">
        <v>843</v>
      </c>
      <c r="E338" s="13">
        <v>5000</v>
      </c>
      <c r="F338" s="13">
        <v>5000</v>
      </c>
      <c r="G338" s="14">
        <v>43345</v>
      </c>
      <c r="H338" s="15">
        <v>0.50278935185185003</v>
      </c>
      <c r="I338" s="14">
        <v>43346</v>
      </c>
      <c r="J338" s="15">
        <v>0</v>
      </c>
      <c r="K338" s="13">
        <v>20</v>
      </c>
      <c r="L338" s="2" t="s">
        <v>64</v>
      </c>
      <c r="M338" s="2" t="s">
        <v>954</v>
      </c>
      <c r="N338" s="14">
        <v>43348</v>
      </c>
      <c r="O338" s="14">
        <v>43347</v>
      </c>
      <c r="P338" s="2" t="s">
        <v>153</v>
      </c>
      <c r="Q338" s="2" t="s">
        <v>980</v>
      </c>
      <c r="R338" s="2" t="s">
        <v>80</v>
      </c>
      <c r="S338" s="14">
        <v>43348</v>
      </c>
      <c r="U338" s="2" t="s">
        <v>846</v>
      </c>
      <c r="V338" s="2" t="s">
        <v>847</v>
      </c>
      <c r="W338" s="2" t="s">
        <v>70</v>
      </c>
      <c r="X338" s="13">
        <v>419</v>
      </c>
      <c r="Y338" s="2" t="s">
        <v>71</v>
      </c>
      <c r="Z338" s="2" t="s">
        <v>72</v>
      </c>
      <c r="AA338" s="13">
        <v>5000</v>
      </c>
      <c r="AB338" s="2" t="s">
        <v>73</v>
      </c>
      <c r="AC338" s="2" t="s">
        <v>6773</v>
      </c>
      <c r="AD338" s="27"/>
      <c r="AL338" s="2" t="s">
        <v>5120</v>
      </c>
    </row>
    <row r="339" spans="1:38" hidden="1" x14ac:dyDescent="0.2">
      <c r="A339" s="2" t="s">
        <v>902</v>
      </c>
      <c r="B339" s="2" t="s">
        <v>981</v>
      </c>
      <c r="C339" s="2" t="s">
        <v>908</v>
      </c>
      <c r="D339" s="2" t="s">
        <v>909</v>
      </c>
      <c r="E339" s="13">
        <v>500</v>
      </c>
      <c r="F339" s="13">
        <v>500</v>
      </c>
      <c r="G339" s="14">
        <v>43351</v>
      </c>
      <c r="H339" s="15">
        <v>0.95027777777778</v>
      </c>
      <c r="I339" s="14">
        <v>43352</v>
      </c>
      <c r="J339" s="15">
        <v>0</v>
      </c>
      <c r="K339" s="13">
        <v>20</v>
      </c>
      <c r="L339" s="2" t="s">
        <v>64</v>
      </c>
      <c r="M339" s="2" t="s">
        <v>982</v>
      </c>
      <c r="N339" s="14">
        <v>43354</v>
      </c>
      <c r="O339" s="14">
        <v>43353</v>
      </c>
      <c r="P339" s="2" t="s">
        <v>91</v>
      </c>
      <c r="Q339" s="2" t="s">
        <v>983</v>
      </c>
      <c r="R339" s="2" t="s">
        <v>80</v>
      </c>
      <c r="S339" s="14">
        <v>43354</v>
      </c>
      <c r="U339" s="2" t="s">
        <v>667</v>
      </c>
      <c r="V339" s="2" t="s">
        <v>910</v>
      </c>
      <c r="W339" s="2" t="s">
        <v>70</v>
      </c>
      <c r="X339" s="13">
        <v>419</v>
      </c>
      <c r="Y339" s="2" t="s">
        <v>71</v>
      </c>
      <c r="Z339" s="2" t="s">
        <v>72</v>
      </c>
      <c r="AA339" s="13">
        <v>500</v>
      </c>
      <c r="AB339" s="2" t="s">
        <v>73</v>
      </c>
      <c r="AC339" s="2" t="s">
        <v>6773</v>
      </c>
      <c r="AD339" s="27"/>
      <c r="AL339" s="2" t="s">
        <v>5121</v>
      </c>
    </row>
    <row r="340" spans="1:38" hidden="1" x14ac:dyDescent="0.2">
      <c r="A340" s="2" t="s">
        <v>902</v>
      </c>
      <c r="B340" s="2" t="s">
        <v>984</v>
      </c>
      <c r="C340" s="2" t="s">
        <v>912</v>
      </c>
      <c r="D340" s="2" t="s">
        <v>913</v>
      </c>
      <c r="E340" s="13">
        <v>10410</v>
      </c>
      <c r="F340" s="13">
        <v>10410</v>
      </c>
      <c r="G340" s="14">
        <v>43357</v>
      </c>
      <c r="H340" s="15">
        <v>0.79665509259259004</v>
      </c>
      <c r="I340" s="14">
        <v>43358</v>
      </c>
      <c r="J340" s="15">
        <v>0.83186342592592999</v>
      </c>
      <c r="K340" s="13">
        <v>0</v>
      </c>
      <c r="L340" s="2" t="s">
        <v>64</v>
      </c>
      <c r="M340" s="2" t="s">
        <v>914</v>
      </c>
      <c r="N340" s="14">
        <v>43365</v>
      </c>
      <c r="O340" s="14">
        <v>43373</v>
      </c>
      <c r="P340" s="2" t="s">
        <v>78</v>
      </c>
      <c r="Q340" s="2" t="s">
        <v>985</v>
      </c>
      <c r="R340" s="2" t="s">
        <v>80</v>
      </c>
      <c r="S340" s="14">
        <v>43377</v>
      </c>
      <c r="U340" s="2" t="s">
        <v>916</v>
      </c>
      <c r="V340" s="2" t="s">
        <v>917</v>
      </c>
      <c r="W340" s="2" t="s">
        <v>420</v>
      </c>
      <c r="X340" s="13">
        <v>0</v>
      </c>
      <c r="Y340" s="2" t="s">
        <v>71</v>
      </c>
      <c r="Z340" s="2" t="s">
        <v>72</v>
      </c>
      <c r="AA340" s="13">
        <v>10000</v>
      </c>
      <c r="AB340" s="2" t="s">
        <v>95</v>
      </c>
      <c r="AC340" s="2" t="s">
        <v>6773</v>
      </c>
      <c r="AD340" s="27"/>
      <c r="AL340" s="2" t="s">
        <v>5122</v>
      </c>
    </row>
    <row r="341" spans="1:38" hidden="1" x14ac:dyDescent="0.2">
      <c r="A341" s="2" t="s">
        <v>902</v>
      </c>
      <c r="B341" s="2" t="s">
        <v>986</v>
      </c>
      <c r="C341" s="2" t="s">
        <v>912</v>
      </c>
      <c r="D341" s="2" t="s">
        <v>913</v>
      </c>
      <c r="E341" s="13">
        <v>10410</v>
      </c>
      <c r="F341" s="13">
        <v>10410</v>
      </c>
      <c r="G341" s="14">
        <v>43358</v>
      </c>
      <c r="H341" s="15">
        <v>0.85269675925926003</v>
      </c>
      <c r="I341" s="14">
        <v>43359</v>
      </c>
      <c r="J341" s="15">
        <v>0.88790509259258998</v>
      </c>
      <c r="K341" s="13">
        <v>0</v>
      </c>
      <c r="L341" s="2" t="s">
        <v>64</v>
      </c>
      <c r="M341" s="2" t="s">
        <v>914</v>
      </c>
      <c r="N341" s="14">
        <v>43366</v>
      </c>
      <c r="O341" s="14">
        <v>43371</v>
      </c>
      <c r="P341" s="2" t="s">
        <v>78</v>
      </c>
      <c r="Q341" s="2" t="s">
        <v>987</v>
      </c>
      <c r="R341" s="2" t="s">
        <v>80</v>
      </c>
      <c r="S341" s="14">
        <v>43377</v>
      </c>
      <c r="U341" s="2" t="s">
        <v>916</v>
      </c>
      <c r="V341" s="2" t="s">
        <v>917</v>
      </c>
      <c r="W341" s="2" t="s">
        <v>420</v>
      </c>
      <c r="X341" s="13">
        <v>0</v>
      </c>
      <c r="Y341" s="2" t="s">
        <v>71</v>
      </c>
      <c r="Z341" s="2" t="s">
        <v>72</v>
      </c>
      <c r="AA341" s="13">
        <v>10000</v>
      </c>
      <c r="AB341" s="2" t="s">
        <v>95</v>
      </c>
      <c r="AC341" s="2" t="s">
        <v>6773</v>
      </c>
      <c r="AD341" s="27"/>
      <c r="AL341" s="2" t="s">
        <v>5123</v>
      </c>
    </row>
    <row r="342" spans="1:38" hidden="1" x14ac:dyDescent="0.2">
      <c r="A342" s="2" t="s">
        <v>902</v>
      </c>
      <c r="B342" s="2" t="s">
        <v>988</v>
      </c>
      <c r="C342" s="2" t="s">
        <v>912</v>
      </c>
      <c r="D342" s="2" t="s">
        <v>913</v>
      </c>
      <c r="E342" s="13">
        <v>10410</v>
      </c>
      <c r="F342" s="13">
        <v>10410</v>
      </c>
      <c r="G342" s="14">
        <v>43359</v>
      </c>
      <c r="H342" s="15">
        <v>0.90873842592593002</v>
      </c>
      <c r="I342" s="14">
        <v>43360</v>
      </c>
      <c r="J342" s="15">
        <v>0.94394675925925997</v>
      </c>
      <c r="K342" s="13">
        <v>0</v>
      </c>
      <c r="L342" s="2" t="s">
        <v>64</v>
      </c>
      <c r="M342" s="2" t="s">
        <v>914</v>
      </c>
      <c r="N342" s="14">
        <v>43367</v>
      </c>
      <c r="O342" s="14">
        <v>43369</v>
      </c>
      <c r="P342" s="2" t="s">
        <v>78</v>
      </c>
      <c r="Q342" s="2" t="s">
        <v>989</v>
      </c>
      <c r="R342" s="2" t="s">
        <v>80</v>
      </c>
      <c r="S342" s="14">
        <v>43370</v>
      </c>
      <c r="U342" s="2" t="s">
        <v>916</v>
      </c>
      <c r="V342" s="2" t="s">
        <v>917</v>
      </c>
      <c r="W342" s="2" t="s">
        <v>420</v>
      </c>
      <c r="X342" s="13">
        <v>0</v>
      </c>
      <c r="Y342" s="2" t="s">
        <v>71</v>
      </c>
      <c r="Z342" s="2" t="s">
        <v>72</v>
      </c>
      <c r="AA342" s="13">
        <v>10000</v>
      </c>
      <c r="AB342" s="2" t="s">
        <v>95</v>
      </c>
      <c r="AC342" s="2" t="s">
        <v>6773</v>
      </c>
      <c r="AD342" s="27"/>
      <c r="AL342" s="2" t="s">
        <v>5124</v>
      </c>
    </row>
    <row r="343" spans="1:38" hidden="1" x14ac:dyDescent="0.2">
      <c r="A343" s="2" t="s">
        <v>902</v>
      </c>
      <c r="B343" s="2" t="s">
        <v>990</v>
      </c>
      <c r="C343" s="2" t="s">
        <v>912</v>
      </c>
      <c r="D343" s="2" t="s">
        <v>913</v>
      </c>
      <c r="E343" s="13">
        <v>10410</v>
      </c>
      <c r="F343" s="13">
        <v>10410</v>
      </c>
      <c r="G343" s="14">
        <v>43360</v>
      </c>
      <c r="H343" s="15">
        <v>0.96478009259259001</v>
      </c>
      <c r="I343" s="14">
        <v>43361</v>
      </c>
      <c r="J343" s="15">
        <v>0.99998842592592996</v>
      </c>
      <c r="K343" s="13">
        <v>0</v>
      </c>
      <c r="L343" s="2" t="s">
        <v>64</v>
      </c>
      <c r="M343" s="2" t="s">
        <v>914</v>
      </c>
      <c r="N343" s="14">
        <v>43368</v>
      </c>
      <c r="O343" s="14">
        <v>43368</v>
      </c>
      <c r="P343" s="2" t="s">
        <v>78</v>
      </c>
      <c r="Q343" s="2" t="s">
        <v>991</v>
      </c>
      <c r="R343" s="2" t="s">
        <v>80</v>
      </c>
      <c r="S343" s="14">
        <v>43369</v>
      </c>
      <c r="U343" s="2" t="s">
        <v>916</v>
      </c>
      <c r="V343" s="2" t="s">
        <v>917</v>
      </c>
      <c r="W343" s="2" t="s">
        <v>420</v>
      </c>
      <c r="X343" s="13">
        <v>0</v>
      </c>
      <c r="Y343" s="2" t="s">
        <v>71</v>
      </c>
      <c r="Z343" s="2" t="s">
        <v>72</v>
      </c>
      <c r="AA343" s="13">
        <v>10000</v>
      </c>
      <c r="AB343" s="2" t="s">
        <v>95</v>
      </c>
      <c r="AC343" s="2" t="s">
        <v>6773</v>
      </c>
      <c r="AD343" s="27"/>
      <c r="AL343" s="2" t="s">
        <v>5125</v>
      </c>
    </row>
    <row r="344" spans="1:38" hidden="1" x14ac:dyDescent="0.2">
      <c r="A344" s="2" t="s">
        <v>902</v>
      </c>
      <c r="B344" s="2" t="s">
        <v>992</v>
      </c>
      <c r="C344" s="2" t="s">
        <v>912</v>
      </c>
      <c r="D344" s="2" t="s">
        <v>913</v>
      </c>
      <c r="E344" s="13">
        <v>10410</v>
      </c>
      <c r="F344" s="13">
        <v>10410</v>
      </c>
      <c r="G344" s="14">
        <v>43362</v>
      </c>
      <c r="H344" s="15">
        <v>0.96478009259259001</v>
      </c>
      <c r="I344" s="14">
        <v>43363</v>
      </c>
      <c r="J344" s="15">
        <v>0.99998842592592996</v>
      </c>
      <c r="K344" s="13">
        <v>0</v>
      </c>
      <c r="L344" s="2" t="s">
        <v>64</v>
      </c>
      <c r="M344" s="2" t="s">
        <v>914</v>
      </c>
      <c r="N344" s="14">
        <v>43370</v>
      </c>
      <c r="O344" s="14">
        <v>43370</v>
      </c>
      <c r="P344" s="2" t="s">
        <v>78</v>
      </c>
      <c r="Q344" s="2" t="s">
        <v>993</v>
      </c>
      <c r="R344" s="2" t="s">
        <v>80</v>
      </c>
      <c r="S344" s="14">
        <v>43371</v>
      </c>
      <c r="U344" s="2" t="s">
        <v>916</v>
      </c>
      <c r="V344" s="2" t="s">
        <v>917</v>
      </c>
      <c r="W344" s="2" t="s">
        <v>420</v>
      </c>
      <c r="X344" s="13">
        <v>0</v>
      </c>
      <c r="Y344" s="2" t="s">
        <v>71</v>
      </c>
      <c r="Z344" s="2" t="s">
        <v>72</v>
      </c>
      <c r="AA344" s="13">
        <v>10000</v>
      </c>
      <c r="AB344" s="2" t="s">
        <v>95</v>
      </c>
      <c r="AC344" s="2" t="s">
        <v>6773</v>
      </c>
      <c r="AD344" s="27"/>
      <c r="AL344" s="2" t="s">
        <v>5126</v>
      </c>
    </row>
    <row r="345" spans="1:38" hidden="1" x14ac:dyDescent="0.2">
      <c r="A345" s="2" t="s">
        <v>902</v>
      </c>
      <c r="B345" s="2" t="s">
        <v>994</v>
      </c>
      <c r="C345" s="2" t="s">
        <v>912</v>
      </c>
      <c r="D345" s="2" t="s">
        <v>913</v>
      </c>
      <c r="E345" s="13">
        <v>10410</v>
      </c>
      <c r="F345" s="13">
        <v>10410</v>
      </c>
      <c r="G345" s="14">
        <v>43364</v>
      </c>
      <c r="H345" s="15">
        <v>0.96478009259259001</v>
      </c>
      <c r="I345" s="14">
        <v>43365</v>
      </c>
      <c r="J345" s="15">
        <v>0.99998842592592996</v>
      </c>
      <c r="K345" s="13">
        <v>0</v>
      </c>
      <c r="L345" s="2" t="s">
        <v>64</v>
      </c>
      <c r="M345" s="2" t="s">
        <v>914</v>
      </c>
      <c r="N345" s="14">
        <v>43372</v>
      </c>
      <c r="O345" s="14">
        <v>43372</v>
      </c>
      <c r="P345" s="2" t="s">
        <v>78</v>
      </c>
      <c r="Q345" s="2" t="s">
        <v>995</v>
      </c>
      <c r="R345" s="2" t="s">
        <v>80</v>
      </c>
      <c r="S345" s="14">
        <v>43377</v>
      </c>
      <c r="U345" s="2" t="s">
        <v>916</v>
      </c>
      <c r="V345" s="2" t="s">
        <v>917</v>
      </c>
      <c r="W345" s="2" t="s">
        <v>420</v>
      </c>
      <c r="X345" s="13">
        <v>0</v>
      </c>
      <c r="Y345" s="2" t="s">
        <v>71</v>
      </c>
      <c r="Z345" s="2" t="s">
        <v>72</v>
      </c>
      <c r="AA345" s="13">
        <v>10000</v>
      </c>
      <c r="AB345" s="2" t="s">
        <v>95</v>
      </c>
      <c r="AC345" s="2" t="s">
        <v>6773</v>
      </c>
      <c r="AD345" s="27"/>
      <c r="AL345" s="2" t="s">
        <v>5127</v>
      </c>
    </row>
    <row r="346" spans="1:38" hidden="1" x14ac:dyDescent="0.2">
      <c r="A346" s="2" t="s">
        <v>996</v>
      </c>
      <c r="B346" s="2" t="s">
        <v>1029</v>
      </c>
      <c r="C346" s="2" t="s">
        <v>1030</v>
      </c>
      <c r="D346" s="2" t="s">
        <v>1031</v>
      </c>
      <c r="E346" s="13">
        <v>25</v>
      </c>
      <c r="F346" s="13">
        <v>500</v>
      </c>
      <c r="G346" s="14">
        <v>43287</v>
      </c>
      <c r="H346" s="15">
        <v>0.11884259259259</v>
      </c>
      <c r="I346" s="14">
        <v>43287</v>
      </c>
      <c r="J346" s="15">
        <v>0.31174768518519003</v>
      </c>
      <c r="K346" s="13">
        <v>20</v>
      </c>
      <c r="L346" s="2" t="s">
        <v>64</v>
      </c>
      <c r="M346" s="2" t="s">
        <v>1032</v>
      </c>
      <c r="N346" s="14">
        <v>43301</v>
      </c>
      <c r="O346" s="14">
        <v>43294</v>
      </c>
      <c r="P346" s="2" t="s">
        <v>91</v>
      </c>
      <c r="Q346" s="2" t="s">
        <v>1033</v>
      </c>
      <c r="R346" s="2" t="s">
        <v>80</v>
      </c>
      <c r="S346" s="14">
        <v>43301</v>
      </c>
      <c r="T346" s="2" t="s">
        <v>6308</v>
      </c>
      <c r="U346" s="2" t="s">
        <v>235</v>
      </c>
      <c r="V346" s="2" t="s">
        <v>1034</v>
      </c>
      <c r="W346" s="2" t="s">
        <v>70</v>
      </c>
      <c r="X346" s="13">
        <v>108</v>
      </c>
      <c r="Y346" s="2" t="s">
        <v>71</v>
      </c>
      <c r="Z346" s="2" t="s">
        <v>72</v>
      </c>
      <c r="AA346" s="13">
        <v>25</v>
      </c>
      <c r="AB346" s="2" t="s">
        <v>107</v>
      </c>
      <c r="AC346" s="2" t="s">
        <v>6773</v>
      </c>
      <c r="AD346" s="27">
        <v>43249</v>
      </c>
      <c r="AI346" s="2" t="s">
        <v>6153</v>
      </c>
      <c r="AL346" s="2" t="s">
        <v>5128</v>
      </c>
    </row>
    <row r="347" spans="1:38" hidden="1" x14ac:dyDescent="0.2">
      <c r="A347" s="2" t="s">
        <v>996</v>
      </c>
      <c r="B347" s="2" t="s">
        <v>1004</v>
      </c>
      <c r="C347" s="2" t="s">
        <v>814</v>
      </c>
      <c r="D347" s="2" t="s">
        <v>815</v>
      </c>
      <c r="E347" s="16">
        <v>537.9</v>
      </c>
      <c r="F347" s="16">
        <v>537.9</v>
      </c>
      <c r="G347" s="14">
        <v>43287</v>
      </c>
      <c r="H347" s="15">
        <v>0.39835648148148001</v>
      </c>
      <c r="I347" s="14">
        <v>43287</v>
      </c>
      <c r="J347" s="15">
        <v>0.60587962962963005</v>
      </c>
      <c r="K347" s="13">
        <v>0</v>
      </c>
      <c r="L347" s="2" t="s">
        <v>64</v>
      </c>
      <c r="M347" s="2" t="s">
        <v>1005</v>
      </c>
      <c r="N347" s="14">
        <v>43290</v>
      </c>
      <c r="O347" s="14">
        <v>43289</v>
      </c>
      <c r="P347" s="2" t="s">
        <v>78</v>
      </c>
      <c r="Q347" s="2" t="s">
        <v>1006</v>
      </c>
      <c r="R347" s="2" t="s">
        <v>80</v>
      </c>
      <c r="S347" s="14">
        <v>43290</v>
      </c>
      <c r="T347" s="2" t="s">
        <v>6309</v>
      </c>
      <c r="U347" s="2" t="s">
        <v>249</v>
      </c>
      <c r="V347" s="2" t="s">
        <v>179</v>
      </c>
      <c r="W347" s="2" t="s">
        <v>70</v>
      </c>
      <c r="X347" s="13">
        <v>108</v>
      </c>
      <c r="Y347" s="2" t="s">
        <v>71</v>
      </c>
      <c r="Z347" s="2" t="s">
        <v>72</v>
      </c>
      <c r="AA347" s="13">
        <v>500</v>
      </c>
      <c r="AB347" s="2" t="s">
        <v>107</v>
      </c>
      <c r="AC347" s="2" t="s">
        <v>6773</v>
      </c>
      <c r="AD347" s="27">
        <v>43224</v>
      </c>
      <c r="AL347" s="2" t="s">
        <v>5129</v>
      </c>
    </row>
    <row r="348" spans="1:38" hidden="1" x14ac:dyDescent="0.2">
      <c r="A348" s="2" t="s">
        <v>996</v>
      </c>
      <c r="B348" s="2" t="s">
        <v>1060</v>
      </c>
      <c r="C348" s="2" t="s">
        <v>1061</v>
      </c>
      <c r="D348" s="2" t="s">
        <v>1062</v>
      </c>
      <c r="E348" s="13">
        <v>100</v>
      </c>
      <c r="F348" s="13">
        <v>100</v>
      </c>
      <c r="G348" s="14">
        <v>43287</v>
      </c>
      <c r="H348" s="15">
        <v>0.67432870370370002</v>
      </c>
      <c r="I348" s="14">
        <v>43287</v>
      </c>
      <c r="J348" s="15">
        <v>0.71291666666666997</v>
      </c>
      <c r="K348" s="13">
        <v>0</v>
      </c>
      <c r="L348" s="2" t="s">
        <v>64</v>
      </c>
      <c r="M348" s="2" t="s">
        <v>4326</v>
      </c>
      <c r="N348" s="14">
        <v>43300</v>
      </c>
      <c r="O348" s="14">
        <v>43289</v>
      </c>
      <c r="P348" s="2" t="s">
        <v>153</v>
      </c>
      <c r="Q348" s="2" t="s">
        <v>6929</v>
      </c>
      <c r="R348" s="2" t="s">
        <v>80</v>
      </c>
      <c r="S348" s="14">
        <v>43300</v>
      </c>
      <c r="T348" s="2" t="s">
        <v>6310</v>
      </c>
      <c r="U348" s="2" t="s">
        <v>310</v>
      </c>
      <c r="V348" s="2" t="s">
        <v>1063</v>
      </c>
      <c r="W348" s="2" t="s">
        <v>70</v>
      </c>
      <c r="X348" s="13">
        <v>108</v>
      </c>
      <c r="Y348" s="2" t="s">
        <v>71</v>
      </c>
      <c r="Z348" s="2" t="s">
        <v>72</v>
      </c>
      <c r="AA348" s="13">
        <v>50</v>
      </c>
      <c r="AB348" s="2" t="s">
        <v>107</v>
      </c>
      <c r="AC348" s="2" t="s">
        <v>6773</v>
      </c>
      <c r="AD348" s="27">
        <v>43277</v>
      </c>
      <c r="AL348" s="2" t="s">
        <v>5130</v>
      </c>
    </row>
    <row r="349" spans="1:38" hidden="1" x14ac:dyDescent="0.2">
      <c r="A349" s="2" t="s">
        <v>996</v>
      </c>
      <c r="B349" s="2" t="s">
        <v>1022</v>
      </c>
      <c r="C349" s="2" t="s">
        <v>1023</v>
      </c>
      <c r="D349" s="2" t="s">
        <v>1024</v>
      </c>
      <c r="E349" s="13">
        <v>100</v>
      </c>
      <c r="F349" s="13">
        <v>100</v>
      </c>
      <c r="G349" s="14">
        <v>43287</v>
      </c>
      <c r="H349" s="15">
        <v>0.84085648148147996</v>
      </c>
      <c r="I349" s="14">
        <v>43287</v>
      </c>
      <c r="J349" s="15">
        <v>0.87944444444444003</v>
      </c>
      <c r="K349" s="13">
        <v>25</v>
      </c>
      <c r="L349" s="2" t="s">
        <v>64</v>
      </c>
      <c r="M349" s="2" t="s">
        <v>4326</v>
      </c>
      <c r="N349" s="14">
        <v>43292</v>
      </c>
      <c r="O349" s="14">
        <v>43289</v>
      </c>
      <c r="P349" s="2" t="s">
        <v>91</v>
      </c>
      <c r="Q349" s="2" t="s">
        <v>6930</v>
      </c>
      <c r="R349" s="2" t="s">
        <v>80</v>
      </c>
      <c r="S349" s="14">
        <v>43292</v>
      </c>
      <c r="T349" s="2" t="s">
        <v>6311</v>
      </c>
      <c r="U349" s="2" t="s">
        <v>1025</v>
      </c>
      <c r="V349" s="2" t="s">
        <v>155</v>
      </c>
      <c r="W349" s="2" t="s">
        <v>70</v>
      </c>
      <c r="X349" s="13">
        <v>108</v>
      </c>
      <c r="Y349" s="2" t="s">
        <v>71</v>
      </c>
      <c r="Z349" s="2" t="s">
        <v>72</v>
      </c>
      <c r="AA349" s="13">
        <v>50</v>
      </c>
      <c r="AB349" s="2" t="s">
        <v>107</v>
      </c>
      <c r="AC349" s="2" t="s">
        <v>6773</v>
      </c>
      <c r="AD349" s="27">
        <v>43280</v>
      </c>
      <c r="AL349" s="2" t="s">
        <v>5131</v>
      </c>
    </row>
    <row r="350" spans="1:38" hidden="1" x14ac:dyDescent="0.2">
      <c r="A350" s="2" t="s">
        <v>996</v>
      </c>
      <c r="B350" s="2" t="s">
        <v>1064</v>
      </c>
      <c r="C350" s="2" t="s">
        <v>1065</v>
      </c>
      <c r="D350" s="2" t="s">
        <v>1066</v>
      </c>
      <c r="E350" s="16">
        <v>134.47499999999999</v>
      </c>
      <c r="F350" s="16">
        <v>134.47499999999999</v>
      </c>
      <c r="G350" s="14">
        <v>43288</v>
      </c>
      <c r="H350" s="15">
        <v>2.0833333333330002E-2</v>
      </c>
      <c r="I350" s="14">
        <v>43288</v>
      </c>
      <c r="J350" s="15">
        <v>7.2719907407409995E-2</v>
      </c>
      <c r="K350" s="13">
        <v>0</v>
      </c>
      <c r="L350" s="2" t="s">
        <v>64</v>
      </c>
      <c r="M350" s="2" t="s">
        <v>4327</v>
      </c>
      <c r="N350" s="14">
        <v>43299</v>
      </c>
      <c r="O350" s="14">
        <v>43290</v>
      </c>
      <c r="P350" s="2" t="s">
        <v>91</v>
      </c>
      <c r="Q350" s="2" t="s">
        <v>6931</v>
      </c>
      <c r="R350" s="2" t="s">
        <v>80</v>
      </c>
      <c r="S350" s="14">
        <v>43299</v>
      </c>
      <c r="T350" s="2" t="s">
        <v>6315</v>
      </c>
      <c r="U350" s="2" t="s">
        <v>882</v>
      </c>
      <c r="V350" s="2" t="s">
        <v>163</v>
      </c>
      <c r="W350" s="2" t="s">
        <v>70</v>
      </c>
      <c r="X350" s="13">
        <v>108</v>
      </c>
      <c r="Y350" s="2" t="s">
        <v>71</v>
      </c>
      <c r="Z350" s="2" t="s">
        <v>72</v>
      </c>
      <c r="AA350" s="13">
        <v>125</v>
      </c>
      <c r="AB350" s="2" t="s">
        <v>107</v>
      </c>
      <c r="AC350" s="2" t="s">
        <v>6773</v>
      </c>
      <c r="AD350" s="27">
        <v>43271</v>
      </c>
      <c r="AL350" s="2" t="s">
        <v>5132</v>
      </c>
    </row>
    <row r="351" spans="1:38" hidden="1" x14ac:dyDescent="0.2">
      <c r="A351" s="2" t="s">
        <v>996</v>
      </c>
      <c r="B351" s="2" t="s">
        <v>1035</v>
      </c>
      <c r="C351" s="2" t="s">
        <v>1036</v>
      </c>
      <c r="D351" s="2" t="s">
        <v>1037</v>
      </c>
      <c r="E351" s="16">
        <v>326.85000000000002</v>
      </c>
      <c r="F351" s="16">
        <v>326.85000000000002</v>
      </c>
      <c r="G351" s="14">
        <v>43288</v>
      </c>
      <c r="H351" s="15">
        <v>9.3553240740740007E-2</v>
      </c>
      <c r="I351" s="14">
        <v>43288</v>
      </c>
      <c r="J351" s="15">
        <v>0.21965277777778</v>
      </c>
      <c r="K351" s="13">
        <v>0</v>
      </c>
      <c r="L351" s="2" t="s">
        <v>64</v>
      </c>
      <c r="M351" s="2" t="s">
        <v>4328</v>
      </c>
      <c r="N351" s="14">
        <v>43294</v>
      </c>
      <c r="O351" s="14">
        <v>43290</v>
      </c>
      <c r="P351" s="2" t="s">
        <v>191</v>
      </c>
      <c r="Q351" s="2" t="s">
        <v>6932</v>
      </c>
      <c r="R351" s="2" t="s">
        <v>80</v>
      </c>
      <c r="S351" s="14">
        <v>43294</v>
      </c>
      <c r="T351" s="2" t="s">
        <v>6316</v>
      </c>
      <c r="U351" s="2" t="s">
        <v>1038</v>
      </c>
      <c r="V351" s="2" t="s">
        <v>1039</v>
      </c>
      <c r="W351" s="2" t="s">
        <v>70</v>
      </c>
      <c r="X351" s="13">
        <v>108</v>
      </c>
      <c r="Y351" s="2" t="s">
        <v>71</v>
      </c>
      <c r="Z351" s="2" t="s">
        <v>72</v>
      </c>
      <c r="AA351" s="13">
        <v>300</v>
      </c>
      <c r="AB351" s="2" t="s">
        <v>107</v>
      </c>
      <c r="AC351" s="2" t="s">
        <v>6773</v>
      </c>
      <c r="AD351" s="27">
        <v>43266</v>
      </c>
      <c r="AI351" s="2" t="s">
        <v>6153</v>
      </c>
      <c r="AL351" s="2" t="s">
        <v>5133</v>
      </c>
    </row>
    <row r="352" spans="1:38" hidden="1" x14ac:dyDescent="0.2">
      <c r="A352" s="2" t="s">
        <v>996</v>
      </c>
      <c r="B352" s="2" t="s">
        <v>6933</v>
      </c>
      <c r="C352" s="2" t="s">
        <v>6934</v>
      </c>
      <c r="D352" s="2" t="s">
        <v>6935</v>
      </c>
      <c r="E352" s="13">
        <v>100</v>
      </c>
      <c r="F352" s="13">
        <v>100</v>
      </c>
      <c r="G352" s="14">
        <v>43288</v>
      </c>
      <c r="H352" s="15">
        <v>0.24048611111111001</v>
      </c>
      <c r="I352" s="14">
        <v>43288</v>
      </c>
      <c r="J352" s="15">
        <v>0.27905092592593</v>
      </c>
      <c r="K352" s="13">
        <v>25</v>
      </c>
      <c r="L352" s="2" t="s">
        <v>64</v>
      </c>
      <c r="M352" s="2" t="s">
        <v>4329</v>
      </c>
      <c r="N352" s="14">
        <v>43290</v>
      </c>
      <c r="O352" s="14">
        <v>43290</v>
      </c>
      <c r="P352" s="2" t="s">
        <v>91</v>
      </c>
      <c r="Q352" s="2" t="s">
        <v>6936</v>
      </c>
      <c r="R352" s="2" t="s">
        <v>80</v>
      </c>
      <c r="S352" s="14">
        <v>43290</v>
      </c>
      <c r="T352" s="2" t="s">
        <v>7114</v>
      </c>
      <c r="U352" s="2" t="s">
        <v>235</v>
      </c>
      <c r="V352" s="2" t="s">
        <v>274</v>
      </c>
      <c r="W352" s="2" t="s">
        <v>98</v>
      </c>
      <c r="X352" s="13">
        <v>108</v>
      </c>
      <c r="Y352" s="2" t="s">
        <v>71</v>
      </c>
      <c r="Z352" s="2" t="s">
        <v>72</v>
      </c>
      <c r="AA352" s="13">
        <v>25</v>
      </c>
      <c r="AB352" s="2" t="s">
        <v>107</v>
      </c>
      <c r="AC352" s="2" t="s">
        <v>6773</v>
      </c>
      <c r="AD352" s="27">
        <v>43276</v>
      </c>
      <c r="AL352" s="2" t="s">
        <v>7204</v>
      </c>
    </row>
    <row r="353" spans="1:38" hidden="1" x14ac:dyDescent="0.2">
      <c r="A353" s="2" t="s">
        <v>996</v>
      </c>
      <c r="B353" s="2" t="s">
        <v>1026</v>
      </c>
      <c r="C353" s="2" t="s">
        <v>1027</v>
      </c>
      <c r="D353" s="2" t="s">
        <v>1028</v>
      </c>
      <c r="E353" s="13">
        <v>100</v>
      </c>
      <c r="F353" s="13">
        <v>100</v>
      </c>
      <c r="G353" s="14">
        <v>43288</v>
      </c>
      <c r="H353" s="15">
        <v>0.29988425925925999</v>
      </c>
      <c r="I353" s="14">
        <v>43288</v>
      </c>
      <c r="J353" s="15">
        <v>0.33847222222222001</v>
      </c>
      <c r="K353" s="13">
        <v>25</v>
      </c>
      <c r="L353" s="2" t="s">
        <v>64</v>
      </c>
      <c r="M353" s="2" t="s">
        <v>4326</v>
      </c>
      <c r="N353" s="14">
        <v>43292</v>
      </c>
      <c r="O353" s="14">
        <v>43290</v>
      </c>
      <c r="P353" s="2" t="s">
        <v>208</v>
      </c>
      <c r="Q353" s="2" t="s">
        <v>6937</v>
      </c>
      <c r="R353" s="2" t="s">
        <v>80</v>
      </c>
      <c r="S353" s="14">
        <v>43292</v>
      </c>
      <c r="T353" s="2" t="s">
        <v>6317</v>
      </c>
      <c r="U353" s="2" t="s">
        <v>215</v>
      </c>
      <c r="V353" s="2" t="s">
        <v>163</v>
      </c>
      <c r="W353" s="2" t="s">
        <v>70</v>
      </c>
      <c r="X353" s="13">
        <v>108</v>
      </c>
      <c r="Y353" s="2" t="s">
        <v>71</v>
      </c>
      <c r="Z353" s="2" t="s">
        <v>72</v>
      </c>
      <c r="AA353" s="13">
        <v>50</v>
      </c>
      <c r="AB353" s="2" t="s">
        <v>107</v>
      </c>
      <c r="AC353" s="2" t="s">
        <v>6773</v>
      </c>
      <c r="AD353" s="27">
        <v>43280</v>
      </c>
      <c r="AL353" s="2" t="s">
        <v>5134</v>
      </c>
    </row>
    <row r="354" spans="1:38" hidden="1" x14ac:dyDescent="0.2">
      <c r="A354" s="2" t="s">
        <v>996</v>
      </c>
      <c r="B354" s="2" t="s">
        <v>4330</v>
      </c>
      <c r="C354" s="2" t="s">
        <v>4331</v>
      </c>
      <c r="D354" s="2" t="s">
        <v>4332</v>
      </c>
      <c r="E354" s="16">
        <v>26.895</v>
      </c>
      <c r="F354" s="16">
        <v>26.895</v>
      </c>
      <c r="G354" s="14">
        <v>43288</v>
      </c>
      <c r="H354" s="15">
        <v>0.54166666666666996</v>
      </c>
      <c r="I354" s="14">
        <v>43288</v>
      </c>
      <c r="J354" s="15">
        <v>0.55204861111111003</v>
      </c>
      <c r="K354" s="13">
        <v>25</v>
      </c>
      <c r="L354" s="2" t="s">
        <v>64</v>
      </c>
      <c r="M354" s="2" t="s">
        <v>1053</v>
      </c>
      <c r="N354" s="14">
        <v>43298</v>
      </c>
      <c r="O354" s="14">
        <v>43290</v>
      </c>
      <c r="P354" s="2" t="s">
        <v>208</v>
      </c>
      <c r="Q354" s="2" t="s">
        <v>6938</v>
      </c>
      <c r="R354" s="2" t="s">
        <v>80</v>
      </c>
      <c r="S354" s="14">
        <v>43298</v>
      </c>
      <c r="T354" s="2" t="s">
        <v>6313</v>
      </c>
      <c r="U354" s="2" t="s">
        <v>198</v>
      </c>
      <c r="V354" s="2" t="s">
        <v>163</v>
      </c>
      <c r="W354" s="2" t="s">
        <v>70</v>
      </c>
      <c r="X354" s="13">
        <v>108</v>
      </c>
      <c r="Y354" s="2" t="s">
        <v>71</v>
      </c>
      <c r="Z354" s="2" t="s">
        <v>72</v>
      </c>
      <c r="AA354" s="13">
        <v>25</v>
      </c>
      <c r="AB354" s="2" t="s">
        <v>73</v>
      </c>
      <c r="AC354" s="2" t="s">
        <v>6773</v>
      </c>
      <c r="AD354" s="27">
        <v>43286</v>
      </c>
      <c r="AL354" s="2" t="s">
        <v>7205</v>
      </c>
    </row>
    <row r="355" spans="1:38" hidden="1" x14ac:dyDescent="0.2">
      <c r="A355" s="2" t="s">
        <v>996</v>
      </c>
      <c r="B355" s="2" t="s">
        <v>4333</v>
      </c>
      <c r="C355" s="2" t="s">
        <v>4334</v>
      </c>
      <c r="D355" s="2" t="s">
        <v>4335</v>
      </c>
      <c r="E355" s="16">
        <v>26.895</v>
      </c>
      <c r="F355" s="16">
        <v>26.895</v>
      </c>
      <c r="G355" s="14">
        <v>43288</v>
      </c>
      <c r="H355" s="15">
        <v>0.58333333333333004</v>
      </c>
      <c r="I355" s="14">
        <v>43288</v>
      </c>
      <c r="J355" s="15">
        <v>0.59371527777777999</v>
      </c>
      <c r="K355" s="13">
        <v>25</v>
      </c>
      <c r="L355" s="2" t="s">
        <v>64</v>
      </c>
      <c r="M355" s="2" t="s">
        <v>1053</v>
      </c>
      <c r="N355" s="14">
        <v>43297</v>
      </c>
      <c r="O355" s="14">
        <v>43290</v>
      </c>
      <c r="P355" s="2" t="s">
        <v>230</v>
      </c>
      <c r="Q355" s="2" t="s">
        <v>6939</v>
      </c>
      <c r="R355" s="2" t="s">
        <v>80</v>
      </c>
      <c r="S355" s="14">
        <v>43297</v>
      </c>
      <c r="T355" s="2" t="s">
        <v>6314</v>
      </c>
      <c r="U355" s="2" t="s">
        <v>94</v>
      </c>
      <c r="V355" s="2" t="s">
        <v>163</v>
      </c>
      <c r="W355" s="2" t="s">
        <v>98</v>
      </c>
      <c r="X355" s="13">
        <v>108</v>
      </c>
      <c r="Y355" s="2" t="s">
        <v>71</v>
      </c>
      <c r="Z355" s="2" t="s">
        <v>72</v>
      </c>
      <c r="AA355" s="13">
        <v>25</v>
      </c>
      <c r="AB355" s="2" t="s">
        <v>73</v>
      </c>
      <c r="AC355" s="2" t="s">
        <v>6773</v>
      </c>
      <c r="AD355" s="27">
        <v>43284</v>
      </c>
      <c r="AL355" s="2" t="s">
        <v>7206</v>
      </c>
    </row>
    <row r="356" spans="1:38" hidden="1" x14ac:dyDescent="0.2">
      <c r="A356" s="2" t="s">
        <v>996</v>
      </c>
      <c r="B356" s="2" t="s">
        <v>4336</v>
      </c>
      <c r="C356" s="2" t="s">
        <v>4337</v>
      </c>
      <c r="D356" s="2" t="s">
        <v>4338</v>
      </c>
      <c r="E356" s="13">
        <v>25</v>
      </c>
      <c r="F356" s="13">
        <v>25</v>
      </c>
      <c r="G356" s="14">
        <v>43288</v>
      </c>
      <c r="H356" s="15">
        <v>0.70833333333333004</v>
      </c>
      <c r="I356" s="14">
        <v>43288</v>
      </c>
      <c r="J356" s="15">
        <v>0.71797453703703995</v>
      </c>
      <c r="K356" s="13">
        <v>0</v>
      </c>
      <c r="L356" s="2" t="s">
        <v>64</v>
      </c>
      <c r="M356" s="2" t="s">
        <v>6940</v>
      </c>
      <c r="N356" s="14"/>
      <c r="O356" s="14">
        <v>43290</v>
      </c>
      <c r="P356" s="2" t="s">
        <v>91</v>
      </c>
      <c r="Q356" s="2" t="s">
        <v>6941</v>
      </c>
      <c r="R356" s="2" t="s">
        <v>80</v>
      </c>
      <c r="S356" s="14">
        <v>43298</v>
      </c>
      <c r="T356" s="2" t="s">
        <v>6312</v>
      </c>
      <c r="U356" s="2" t="s">
        <v>4339</v>
      </c>
      <c r="V356" s="2" t="s">
        <v>1044</v>
      </c>
      <c r="W356" s="2" t="s">
        <v>70</v>
      </c>
      <c r="X356" s="13">
        <v>108</v>
      </c>
      <c r="Y356" s="2" t="s">
        <v>71</v>
      </c>
      <c r="Z356" s="2" t="s">
        <v>72</v>
      </c>
      <c r="AA356" s="13">
        <v>25</v>
      </c>
      <c r="AB356" s="2" t="s">
        <v>73</v>
      </c>
      <c r="AC356" s="2" t="s">
        <v>6773</v>
      </c>
      <c r="AD356" s="27">
        <v>43287</v>
      </c>
      <c r="AL356" s="2" t="s">
        <v>7207</v>
      </c>
    </row>
    <row r="357" spans="1:38" x14ac:dyDescent="0.2">
      <c r="A357" s="2" t="s">
        <v>996</v>
      </c>
      <c r="B357" s="2" t="s">
        <v>1079</v>
      </c>
      <c r="C357" s="2" t="s">
        <v>1080</v>
      </c>
      <c r="D357" s="2" t="s">
        <v>1081</v>
      </c>
      <c r="E357" s="16">
        <v>107.58</v>
      </c>
      <c r="F357" s="16">
        <v>107.58</v>
      </c>
      <c r="G357" s="14">
        <v>43289</v>
      </c>
      <c r="H357" s="15">
        <v>8.3333333333329998E-2</v>
      </c>
      <c r="I357" s="14">
        <v>43289</v>
      </c>
      <c r="J357" s="15">
        <v>0.12483796296296</v>
      </c>
      <c r="K357" s="13">
        <v>0</v>
      </c>
      <c r="L357" s="2" t="s">
        <v>64</v>
      </c>
      <c r="M357" s="2" t="s">
        <v>4340</v>
      </c>
      <c r="N357" s="14">
        <v>43301</v>
      </c>
      <c r="O357" s="14">
        <v>43291</v>
      </c>
      <c r="P357" s="2" t="s">
        <v>1082</v>
      </c>
      <c r="Q357" s="2" t="s">
        <v>1083</v>
      </c>
      <c r="R357" s="2" t="s">
        <v>80</v>
      </c>
      <c r="S357" s="14">
        <v>43301</v>
      </c>
      <c r="T357" s="2" t="s">
        <v>6318</v>
      </c>
      <c r="U357" s="2" t="s">
        <v>1012</v>
      </c>
      <c r="V357" s="2" t="s">
        <v>1084</v>
      </c>
      <c r="W357" s="2" t="s">
        <v>70</v>
      </c>
      <c r="X357" s="13">
        <v>108</v>
      </c>
      <c r="Y357" s="2" t="s">
        <v>71</v>
      </c>
      <c r="Z357" s="2" t="s">
        <v>72</v>
      </c>
      <c r="AA357" s="13">
        <v>100</v>
      </c>
      <c r="AB357" s="2" t="s">
        <v>107</v>
      </c>
      <c r="AC357" s="2" t="s">
        <v>6773</v>
      </c>
      <c r="AD357" s="27">
        <v>43244</v>
      </c>
      <c r="AL357" s="2" t="s">
        <v>5135</v>
      </c>
    </row>
    <row r="358" spans="1:38" x14ac:dyDescent="0.2">
      <c r="A358" s="2" t="s">
        <v>996</v>
      </c>
      <c r="B358" s="2" t="s">
        <v>1072</v>
      </c>
      <c r="C358" s="2" t="s">
        <v>1073</v>
      </c>
      <c r="D358" s="2" t="s">
        <v>1074</v>
      </c>
      <c r="E358" s="16">
        <v>215.16</v>
      </c>
      <c r="F358" s="16">
        <v>215.16</v>
      </c>
      <c r="G358" s="14">
        <v>43289</v>
      </c>
      <c r="H358" s="15">
        <v>0.16650462962963</v>
      </c>
      <c r="I358" s="14">
        <v>43289</v>
      </c>
      <c r="J358" s="15">
        <v>0.24951388888889001</v>
      </c>
      <c r="K358" s="13">
        <v>0</v>
      </c>
      <c r="L358" s="2" t="s">
        <v>64</v>
      </c>
      <c r="M358" s="2" t="s">
        <v>1019</v>
      </c>
      <c r="N358" s="14">
        <v>43301</v>
      </c>
      <c r="O358" s="14">
        <v>43291</v>
      </c>
      <c r="P358" s="2" t="s">
        <v>1076</v>
      </c>
      <c r="Q358" s="2" t="s">
        <v>1077</v>
      </c>
      <c r="R358" s="2" t="s">
        <v>80</v>
      </c>
      <c r="S358" s="14">
        <v>43301</v>
      </c>
      <c r="T358" s="2" t="s">
        <v>6319</v>
      </c>
      <c r="U358" s="2" t="s">
        <v>1044</v>
      </c>
      <c r="V358" s="2" t="s">
        <v>1078</v>
      </c>
      <c r="W358" s="2" t="s">
        <v>70</v>
      </c>
      <c r="X358" s="13">
        <v>108</v>
      </c>
      <c r="Y358" s="2" t="s">
        <v>71</v>
      </c>
      <c r="Z358" s="2" t="s">
        <v>72</v>
      </c>
      <c r="AA358" s="13">
        <v>200</v>
      </c>
      <c r="AB358" s="2" t="s">
        <v>107</v>
      </c>
      <c r="AC358" s="2" t="s">
        <v>6773</v>
      </c>
      <c r="AD358" s="27">
        <v>43244</v>
      </c>
      <c r="AI358" s="2" t="s">
        <v>6153</v>
      </c>
      <c r="AL358" s="2" t="s">
        <v>5136</v>
      </c>
    </row>
    <row r="359" spans="1:38" x14ac:dyDescent="0.2">
      <c r="A359" s="2" t="s">
        <v>996</v>
      </c>
      <c r="B359" s="2" t="s">
        <v>1067</v>
      </c>
      <c r="C359" s="2" t="s">
        <v>1068</v>
      </c>
      <c r="D359" s="2" t="s">
        <v>1069</v>
      </c>
      <c r="E359" s="16">
        <v>1075.8</v>
      </c>
      <c r="F359" s="16">
        <v>1075.8</v>
      </c>
      <c r="G359" s="14">
        <v>43289</v>
      </c>
      <c r="H359" s="15">
        <v>0.29118055555555999</v>
      </c>
      <c r="I359" s="14">
        <v>43289</v>
      </c>
      <c r="J359" s="15">
        <v>0.70622685185184997</v>
      </c>
      <c r="K359" s="13">
        <v>0</v>
      </c>
      <c r="L359" s="2" t="s">
        <v>64</v>
      </c>
      <c r="M359" s="2" t="s">
        <v>4341</v>
      </c>
      <c r="N359" s="14">
        <v>43301</v>
      </c>
      <c r="O359" s="14">
        <v>43291</v>
      </c>
      <c r="P359" s="2" t="s">
        <v>1070</v>
      </c>
      <c r="Q359" s="2" t="s">
        <v>6942</v>
      </c>
      <c r="R359" s="2" t="s">
        <v>80</v>
      </c>
      <c r="S359" s="14">
        <v>43301</v>
      </c>
      <c r="T359" s="2" t="s">
        <v>6320</v>
      </c>
      <c r="U359" s="2" t="s">
        <v>1044</v>
      </c>
      <c r="V359" s="2" t="s">
        <v>1071</v>
      </c>
      <c r="W359" s="2" t="s">
        <v>70</v>
      </c>
      <c r="X359" s="13">
        <v>108</v>
      </c>
      <c r="Y359" s="2" t="s">
        <v>71</v>
      </c>
      <c r="Z359" s="2" t="s">
        <v>72</v>
      </c>
      <c r="AA359" s="13">
        <v>1000</v>
      </c>
      <c r="AB359" s="2" t="s">
        <v>107</v>
      </c>
      <c r="AC359" s="2" t="s">
        <v>6773</v>
      </c>
      <c r="AD359" s="27">
        <v>43227</v>
      </c>
      <c r="AI359" s="2" t="s">
        <v>6153</v>
      </c>
      <c r="AL359" s="2" t="s">
        <v>5137</v>
      </c>
    </row>
    <row r="360" spans="1:38" x14ac:dyDescent="0.2">
      <c r="A360" s="2" t="s">
        <v>996</v>
      </c>
      <c r="B360" s="2" t="s">
        <v>1007</v>
      </c>
      <c r="C360" s="2" t="s">
        <v>1008</v>
      </c>
      <c r="D360" s="2" t="s">
        <v>1009</v>
      </c>
      <c r="E360" s="16">
        <v>161.37</v>
      </c>
      <c r="F360" s="16">
        <v>161.37</v>
      </c>
      <c r="G360" s="14">
        <v>43289</v>
      </c>
      <c r="H360" s="15">
        <v>0.74789351851852004</v>
      </c>
      <c r="I360" s="14">
        <v>43289</v>
      </c>
      <c r="J360" s="15">
        <v>0.81015046296296001</v>
      </c>
      <c r="K360" s="13">
        <v>0</v>
      </c>
      <c r="L360" s="2" t="s">
        <v>64</v>
      </c>
      <c r="M360" s="2" t="s">
        <v>1010</v>
      </c>
      <c r="N360" s="14">
        <v>43291</v>
      </c>
      <c r="O360" s="14">
        <v>43291</v>
      </c>
      <c r="P360" s="2" t="s">
        <v>1011</v>
      </c>
      <c r="Q360" s="2" t="s">
        <v>6943</v>
      </c>
      <c r="R360" s="2" t="s">
        <v>80</v>
      </c>
      <c r="S360" s="14">
        <v>43291</v>
      </c>
      <c r="T360" s="2" t="s">
        <v>6321</v>
      </c>
      <c r="U360" s="2" t="s">
        <v>1012</v>
      </c>
      <c r="V360" s="2" t="s">
        <v>1013</v>
      </c>
      <c r="W360" s="2" t="s">
        <v>70</v>
      </c>
      <c r="X360" s="13">
        <v>108</v>
      </c>
      <c r="Y360" s="2" t="s">
        <v>71</v>
      </c>
      <c r="Z360" s="2" t="s">
        <v>72</v>
      </c>
      <c r="AA360" s="13">
        <v>150</v>
      </c>
      <c r="AB360" s="2" t="s">
        <v>107</v>
      </c>
      <c r="AC360" s="2" t="s">
        <v>6773</v>
      </c>
      <c r="AD360" s="27">
        <v>43223</v>
      </c>
      <c r="AL360" s="2" t="s">
        <v>5138</v>
      </c>
    </row>
    <row r="361" spans="1:38" x14ac:dyDescent="0.2">
      <c r="A361" s="2" t="s">
        <v>996</v>
      </c>
      <c r="B361" s="2" t="s">
        <v>1016</v>
      </c>
      <c r="C361" s="2" t="s">
        <v>1017</v>
      </c>
      <c r="D361" s="2" t="s">
        <v>1018</v>
      </c>
      <c r="E361" s="16">
        <v>215.16</v>
      </c>
      <c r="F361" s="16">
        <v>215.16</v>
      </c>
      <c r="G361" s="14">
        <v>43290</v>
      </c>
      <c r="H361" s="15">
        <v>0.28240740740740999</v>
      </c>
      <c r="I361" s="14">
        <v>43290</v>
      </c>
      <c r="J361" s="15">
        <v>0.36541666666667</v>
      </c>
      <c r="K361" s="13">
        <v>0</v>
      </c>
      <c r="L361" s="2" t="s">
        <v>64</v>
      </c>
      <c r="M361" s="2" t="s">
        <v>1019</v>
      </c>
      <c r="N361" s="14">
        <v>43291</v>
      </c>
      <c r="O361" s="14">
        <v>43292</v>
      </c>
      <c r="P361" s="2" t="s">
        <v>1020</v>
      </c>
      <c r="Q361" s="2" t="s">
        <v>6944</v>
      </c>
      <c r="R361" s="2" t="s">
        <v>80</v>
      </c>
      <c r="S361" s="14">
        <v>43291</v>
      </c>
      <c r="T361" s="2" t="s">
        <v>6322</v>
      </c>
      <c r="U361" s="2" t="s">
        <v>1012</v>
      </c>
      <c r="V361" s="2" t="s">
        <v>1021</v>
      </c>
      <c r="W361" s="2" t="s">
        <v>70</v>
      </c>
      <c r="X361" s="13">
        <v>108</v>
      </c>
      <c r="Y361" s="2" t="s">
        <v>71</v>
      </c>
      <c r="Z361" s="2" t="s">
        <v>72</v>
      </c>
      <c r="AA361" s="13">
        <v>200</v>
      </c>
      <c r="AB361" s="2" t="s">
        <v>107</v>
      </c>
      <c r="AC361" s="2" t="s">
        <v>6773</v>
      </c>
      <c r="AD361" s="27">
        <v>43223</v>
      </c>
      <c r="AL361" s="2" t="s">
        <v>5139</v>
      </c>
    </row>
    <row r="362" spans="1:38" x14ac:dyDescent="0.2">
      <c r="A362" s="2" t="s">
        <v>996</v>
      </c>
      <c r="B362" s="2" t="s">
        <v>1085</v>
      </c>
      <c r="C362" s="2" t="s">
        <v>1017</v>
      </c>
      <c r="D362" s="2" t="s">
        <v>1018</v>
      </c>
      <c r="E362" s="13">
        <v>150</v>
      </c>
      <c r="F362" s="13">
        <v>150</v>
      </c>
      <c r="G362" s="14">
        <v>43290</v>
      </c>
      <c r="H362" s="15">
        <v>0.59300925925925996</v>
      </c>
      <c r="I362" s="14">
        <v>43290</v>
      </c>
      <c r="J362" s="15">
        <v>0.65087962962962997</v>
      </c>
      <c r="K362" s="13">
        <v>0</v>
      </c>
      <c r="L362" s="2" t="s">
        <v>64</v>
      </c>
      <c r="M362" s="2" t="s">
        <v>4342</v>
      </c>
      <c r="N362" s="14">
        <v>43301</v>
      </c>
      <c r="O362" s="14">
        <v>43292</v>
      </c>
      <c r="P362" s="2" t="s">
        <v>1020</v>
      </c>
      <c r="Q362" s="2" t="s">
        <v>6945</v>
      </c>
      <c r="R362" s="2" t="s">
        <v>80</v>
      </c>
      <c r="S362" s="14">
        <v>43301</v>
      </c>
      <c r="T362" s="2" t="s">
        <v>6323</v>
      </c>
      <c r="U362" s="2" t="s">
        <v>1012</v>
      </c>
      <c r="V362" s="2" t="s">
        <v>1021</v>
      </c>
      <c r="W362" s="2" t="s">
        <v>70</v>
      </c>
      <c r="X362" s="13">
        <v>108</v>
      </c>
      <c r="Y362" s="2" t="s">
        <v>71</v>
      </c>
      <c r="Z362" s="2" t="s">
        <v>72</v>
      </c>
      <c r="AA362" s="13">
        <v>100</v>
      </c>
      <c r="AB362" s="2" t="s">
        <v>107</v>
      </c>
      <c r="AC362" s="2" t="s">
        <v>6773</v>
      </c>
      <c r="AD362" s="27">
        <v>43244</v>
      </c>
      <c r="AL362" s="2" t="s">
        <v>5140</v>
      </c>
    </row>
    <row r="363" spans="1:38" x14ac:dyDescent="0.2">
      <c r="A363" s="2" t="s">
        <v>996</v>
      </c>
      <c r="B363" s="2" t="s">
        <v>1086</v>
      </c>
      <c r="C363" s="2" t="s">
        <v>1087</v>
      </c>
      <c r="D363" s="2" t="s">
        <v>1088</v>
      </c>
      <c r="E363" s="16">
        <v>2151.6</v>
      </c>
      <c r="F363" s="16">
        <v>2151.6</v>
      </c>
      <c r="G363" s="14">
        <v>43291</v>
      </c>
      <c r="H363" s="15">
        <v>4.1666666666670002E-2</v>
      </c>
      <c r="I363" s="14">
        <v>43291</v>
      </c>
      <c r="J363" s="15">
        <v>0.87175925925926001</v>
      </c>
      <c r="K363" s="13">
        <v>0</v>
      </c>
      <c r="L363" s="2" t="s">
        <v>64</v>
      </c>
      <c r="M363" s="2" t="s">
        <v>4343</v>
      </c>
      <c r="N363" s="14">
        <v>43301</v>
      </c>
      <c r="O363" s="14">
        <v>43293</v>
      </c>
      <c r="P363" s="2" t="s">
        <v>1070</v>
      </c>
      <c r="Q363" s="2" t="s">
        <v>1090</v>
      </c>
      <c r="R363" s="2" t="s">
        <v>80</v>
      </c>
      <c r="S363" s="14">
        <v>43301</v>
      </c>
      <c r="T363" s="2" t="s">
        <v>6326</v>
      </c>
      <c r="U363" s="2" t="s">
        <v>1044</v>
      </c>
      <c r="V363" s="2" t="s">
        <v>1091</v>
      </c>
      <c r="W363" s="2" t="s">
        <v>70</v>
      </c>
      <c r="X363" s="13">
        <v>108</v>
      </c>
      <c r="Y363" s="2" t="s">
        <v>71</v>
      </c>
      <c r="Z363" s="2" t="s">
        <v>72</v>
      </c>
      <c r="AA363" s="13">
        <v>2000</v>
      </c>
      <c r="AB363" s="2" t="s">
        <v>107</v>
      </c>
      <c r="AC363" s="2" t="s">
        <v>6773</v>
      </c>
      <c r="AD363" s="27">
        <v>43228</v>
      </c>
      <c r="AL363" s="2" t="s">
        <v>5141</v>
      </c>
    </row>
    <row r="364" spans="1:38" x14ac:dyDescent="0.2">
      <c r="A364" s="2" t="s">
        <v>996</v>
      </c>
      <c r="B364" s="2" t="s">
        <v>1040</v>
      </c>
      <c r="C364" s="2" t="s">
        <v>1041</v>
      </c>
      <c r="D364" s="2" t="s">
        <v>1042</v>
      </c>
      <c r="E364" s="13">
        <v>1000</v>
      </c>
      <c r="F364" s="13">
        <v>1000</v>
      </c>
      <c r="G364" s="14">
        <v>43292</v>
      </c>
      <c r="H364" s="15">
        <v>0.16203703703704</v>
      </c>
      <c r="I364" s="14">
        <v>43292</v>
      </c>
      <c r="J364" s="15">
        <v>0.54783564814815</v>
      </c>
      <c r="K364" s="13">
        <v>20</v>
      </c>
      <c r="L364" s="2" t="s">
        <v>64</v>
      </c>
      <c r="M364" s="2" t="s">
        <v>1015</v>
      </c>
      <c r="N364" s="14">
        <v>43300</v>
      </c>
      <c r="O364" s="14">
        <v>43299</v>
      </c>
      <c r="P364" s="2" t="s">
        <v>91</v>
      </c>
      <c r="Q364" s="2" t="s">
        <v>1043</v>
      </c>
      <c r="R364" s="2" t="s">
        <v>80</v>
      </c>
      <c r="S364" s="14">
        <v>43300</v>
      </c>
      <c r="T364" s="2" t="s">
        <v>6325</v>
      </c>
      <c r="U364" s="2" t="s">
        <v>1044</v>
      </c>
      <c r="V364" s="2" t="s">
        <v>1045</v>
      </c>
      <c r="W364" s="2" t="s">
        <v>70</v>
      </c>
      <c r="X364" s="13">
        <v>108</v>
      </c>
      <c r="Y364" s="2" t="s">
        <v>71</v>
      </c>
      <c r="Z364" s="2" t="s">
        <v>72</v>
      </c>
      <c r="AA364" s="13">
        <v>1000</v>
      </c>
      <c r="AB364" s="2" t="s">
        <v>73</v>
      </c>
      <c r="AC364" s="2" t="s">
        <v>6773</v>
      </c>
      <c r="AD364" s="27">
        <v>43273</v>
      </c>
      <c r="AL364" s="2" t="s">
        <v>7208</v>
      </c>
    </row>
    <row r="365" spans="1:38" x14ac:dyDescent="0.2">
      <c r="A365" s="2" t="s">
        <v>996</v>
      </c>
      <c r="B365" s="2" t="s">
        <v>997</v>
      </c>
      <c r="C365" s="2" t="s">
        <v>998</v>
      </c>
      <c r="D365" s="2" t="s">
        <v>999</v>
      </c>
      <c r="E365" s="13">
        <v>300</v>
      </c>
      <c r="F365" s="13">
        <v>300</v>
      </c>
      <c r="G365" s="14">
        <v>43292</v>
      </c>
      <c r="H365" s="15">
        <v>0.56866898148148004</v>
      </c>
      <c r="I365" s="14">
        <v>43292</v>
      </c>
      <c r="J365" s="15">
        <v>0.68440972222221996</v>
      </c>
      <c r="K365" s="13">
        <v>20</v>
      </c>
      <c r="L365" s="2" t="s">
        <v>64</v>
      </c>
      <c r="M365" s="2" t="s">
        <v>1000</v>
      </c>
      <c r="N365" s="14">
        <v>43290</v>
      </c>
      <c r="O365" s="14">
        <v>43294</v>
      </c>
      <c r="P365" s="2" t="s">
        <v>91</v>
      </c>
      <c r="Q365" s="2" t="s">
        <v>1001</v>
      </c>
      <c r="R365" s="2" t="s">
        <v>80</v>
      </c>
      <c r="S365" s="14">
        <v>43290</v>
      </c>
      <c r="T365" s="2" t="s">
        <v>6327</v>
      </c>
      <c r="U365" s="2" t="s">
        <v>1002</v>
      </c>
      <c r="V365" s="2" t="s">
        <v>1003</v>
      </c>
      <c r="W365" s="2" t="s">
        <v>70</v>
      </c>
      <c r="X365" s="13">
        <v>108</v>
      </c>
      <c r="Y365" s="2" t="s">
        <v>71</v>
      </c>
      <c r="Z365" s="2" t="s">
        <v>72</v>
      </c>
      <c r="AA365" s="13">
        <v>300</v>
      </c>
      <c r="AB365" s="2" t="s">
        <v>107</v>
      </c>
      <c r="AC365" s="2" t="s">
        <v>6773</v>
      </c>
      <c r="AD365" s="27">
        <v>43262</v>
      </c>
      <c r="AL365" s="2" t="s">
        <v>5142</v>
      </c>
    </row>
    <row r="366" spans="1:38" x14ac:dyDescent="0.2">
      <c r="A366" s="2" t="s">
        <v>996</v>
      </c>
      <c r="B366" s="2" t="s">
        <v>1092</v>
      </c>
      <c r="C366" s="2" t="s">
        <v>1093</v>
      </c>
      <c r="D366" s="2" t="s">
        <v>1094</v>
      </c>
      <c r="E366" s="13">
        <v>100</v>
      </c>
      <c r="F366" s="13">
        <v>100</v>
      </c>
      <c r="G366" s="14">
        <v>43292</v>
      </c>
      <c r="H366" s="15">
        <v>0.70524305555555999</v>
      </c>
      <c r="I366" s="14">
        <v>43292</v>
      </c>
      <c r="J366" s="15">
        <v>0.74381944444444004</v>
      </c>
      <c r="K366" s="13">
        <v>0</v>
      </c>
      <c r="L366" s="2" t="s">
        <v>64</v>
      </c>
      <c r="M366" s="2" t="s">
        <v>1049</v>
      </c>
      <c r="N366" s="14">
        <v>43300</v>
      </c>
      <c r="O366" s="14">
        <v>43294</v>
      </c>
      <c r="P366" s="2" t="s">
        <v>91</v>
      </c>
      <c r="Q366" s="2" t="s">
        <v>1095</v>
      </c>
      <c r="R366" s="2" t="s">
        <v>80</v>
      </c>
      <c r="S366" s="14">
        <v>43300</v>
      </c>
      <c r="T366" s="2" t="s">
        <v>6324</v>
      </c>
      <c r="U366" s="2" t="s">
        <v>1044</v>
      </c>
      <c r="V366" s="2" t="s">
        <v>1052</v>
      </c>
      <c r="W366" s="2" t="s">
        <v>70</v>
      </c>
      <c r="X366" s="13">
        <v>108</v>
      </c>
      <c r="Y366" s="2" t="s">
        <v>71</v>
      </c>
      <c r="Z366" s="2" t="s">
        <v>72</v>
      </c>
      <c r="AA366" s="13">
        <v>100</v>
      </c>
      <c r="AB366" s="2" t="s">
        <v>73</v>
      </c>
      <c r="AC366" s="2" t="s">
        <v>6773</v>
      </c>
      <c r="AD366" s="27">
        <v>43194</v>
      </c>
      <c r="AL366" s="2" t="s">
        <v>7209</v>
      </c>
    </row>
    <row r="367" spans="1:38" x14ac:dyDescent="0.2">
      <c r="A367" s="2" t="s">
        <v>996</v>
      </c>
      <c r="B367" s="2" t="s">
        <v>4344</v>
      </c>
      <c r="C367" s="2" t="s">
        <v>4345</v>
      </c>
      <c r="D367" s="2" t="s">
        <v>4346</v>
      </c>
      <c r="E367" s="16">
        <v>26.895</v>
      </c>
      <c r="F367" s="16">
        <v>26.895</v>
      </c>
      <c r="G367" s="14">
        <v>43292</v>
      </c>
      <c r="H367" s="15">
        <v>0.83333333333333004</v>
      </c>
      <c r="I367" s="14">
        <v>43292</v>
      </c>
      <c r="J367" s="15">
        <v>0.84371527777777999</v>
      </c>
      <c r="K367" s="13">
        <v>25</v>
      </c>
      <c r="L367" s="2" t="s">
        <v>64</v>
      </c>
      <c r="M367" s="2" t="s">
        <v>1053</v>
      </c>
      <c r="N367" s="14">
        <v>43299</v>
      </c>
      <c r="O367" s="14">
        <v>43294</v>
      </c>
      <c r="P367" s="2" t="s">
        <v>91</v>
      </c>
      <c r="Q367" s="2" t="s">
        <v>4347</v>
      </c>
      <c r="R367" s="2" t="s">
        <v>80</v>
      </c>
      <c r="S367" s="14">
        <v>43299</v>
      </c>
      <c r="T367" s="2" t="s">
        <v>6330</v>
      </c>
      <c r="U367" s="2" t="s">
        <v>4348</v>
      </c>
      <c r="V367" s="2" t="s">
        <v>1003</v>
      </c>
      <c r="W367" s="2" t="s">
        <v>70</v>
      </c>
      <c r="X367" s="13">
        <v>108</v>
      </c>
      <c r="Y367" s="2" t="s">
        <v>71</v>
      </c>
      <c r="Z367" s="2" t="s">
        <v>72</v>
      </c>
      <c r="AA367" s="13">
        <v>25</v>
      </c>
      <c r="AB367" s="2" t="s">
        <v>73</v>
      </c>
      <c r="AC367" s="2" t="s">
        <v>6773</v>
      </c>
      <c r="AD367" s="27">
        <v>43284</v>
      </c>
      <c r="AL367" s="2" t="s">
        <v>5143</v>
      </c>
    </row>
    <row r="368" spans="1:38" x14ac:dyDescent="0.2">
      <c r="A368" s="2" t="s">
        <v>996</v>
      </c>
      <c r="B368" s="2" t="s">
        <v>4349</v>
      </c>
      <c r="C368" s="2" t="s">
        <v>271</v>
      </c>
      <c r="D368" s="2" t="s">
        <v>272</v>
      </c>
      <c r="E368" s="16">
        <v>53.79</v>
      </c>
      <c r="F368" s="16">
        <v>53.79</v>
      </c>
      <c r="G368" s="14">
        <v>43292</v>
      </c>
      <c r="H368" s="15">
        <v>0.87508101851852005</v>
      </c>
      <c r="I368" s="14">
        <v>43292</v>
      </c>
      <c r="J368" s="15">
        <v>0.89583333333333004</v>
      </c>
      <c r="K368" s="13">
        <v>2</v>
      </c>
      <c r="L368" s="2" t="s">
        <v>64</v>
      </c>
      <c r="M368" s="2" t="s">
        <v>1014</v>
      </c>
      <c r="N368" s="14">
        <v>43278</v>
      </c>
      <c r="O368" s="14">
        <v>43301</v>
      </c>
      <c r="P368" s="2" t="s">
        <v>91</v>
      </c>
      <c r="Q368" s="2" t="s">
        <v>4350</v>
      </c>
      <c r="R368" s="2" t="s">
        <v>80</v>
      </c>
      <c r="S368" s="14">
        <v>43278</v>
      </c>
      <c r="U368" s="2" t="s">
        <v>178</v>
      </c>
      <c r="V368" s="2" t="s">
        <v>274</v>
      </c>
      <c r="W368" s="2" t="s">
        <v>70</v>
      </c>
      <c r="X368" s="13">
        <v>0</v>
      </c>
      <c r="Y368" s="2" t="s">
        <v>71</v>
      </c>
      <c r="Z368" s="2" t="s">
        <v>72</v>
      </c>
      <c r="AA368" s="13">
        <v>50</v>
      </c>
      <c r="AB368" s="2" t="s">
        <v>281</v>
      </c>
      <c r="AC368" s="2" t="s">
        <v>6773</v>
      </c>
      <c r="AD368" s="27"/>
      <c r="AL368" s="2" t="s">
        <v>5144</v>
      </c>
    </row>
    <row r="369" spans="1:38" x14ac:dyDescent="0.2">
      <c r="A369" s="2" t="s">
        <v>996</v>
      </c>
      <c r="B369" s="2" t="s">
        <v>1864</v>
      </c>
      <c r="C369" s="2" t="s">
        <v>1571</v>
      </c>
      <c r="D369" s="2" t="s">
        <v>1572</v>
      </c>
      <c r="E369" s="16">
        <v>537.9</v>
      </c>
      <c r="F369" s="16">
        <v>537.9</v>
      </c>
      <c r="G369" s="14">
        <v>43292</v>
      </c>
      <c r="H369" s="15">
        <v>0.91666666666666996</v>
      </c>
      <c r="I369" s="14">
        <v>43293</v>
      </c>
      <c r="J369" s="15">
        <v>0.12418981481481001</v>
      </c>
      <c r="K369" s="13">
        <v>0</v>
      </c>
      <c r="L369" s="2" t="s">
        <v>64</v>
      </c>
      <c r="M369" s="2" t="s">
        <v>1005</v>
      </c>
      <c r="N369" s="14">
        <v>43293</v>
      </c>
      <c r="O369" s="14">
        <v>43295</v>
      </c>
      <c r="P369" s="2" t="s">
        <v>91</v>
      </c>
      <c r="Q369" s="2" t="s">
        <v>1865</v>
      </c>
      <c r="R369" s="2" t="s">
        <v>80</v>
      </c>
      <c r="S369" s="14">
        <v>43293</v>
      </c>
      <c r="T369" s="2" t="s">
        <v>6329</v>
      </c>
      <c r="U369" s="2" t="s">
        <v>516</v>
      </c>
      <c r="V369" s="2" t="s">
        <v>1575</v>
      </c>
      <c r="W369" s="2" t="s">
        <v>70</v>
      </c>
      <c r="X369" s="13">
        <v>108</v>
      </c>
      <c r="Y369" s="2" t="s">
        <v>71</v>
      </c>
      <c r="Z369" s="2" t="s">
        <v>72</v>
      </c>
      <c r="AA369" s="13">
        <v>500</v>
      </c>
      <c r="AB369" s="2" t="s">
        <v>73</v>
      </c>
      <c r="AC369" s="2" t="s">
        <v>6773</v>
      </c>
      <c r="AD369" s="27">
        <v>43265</v>
      </c>
      <c r="AI369" s="2" t="s">
        <v>6153</v>
      </c>
      <c r="AL369" s="2" t="s">
        <v>5145</v>
      </c>
    </row>
    <row r="370" spans="1:38" x14ac:dyDescent="0.2">
      <c r="A370" s="2" t="s">
        <v>996</v>
      </c>
      <c r="B370" s="2" t="s">
        <v>1570</v>
      </c>
      <c r="C370" s="2" t="s">
        <v>1571</v>
      </c>
      <c r="D370" s="2" t="s">
        <v>1572</v>
      </c>
      <c r="E370" s="16">
        <v>2151.6</v>
      </c>
      <c r="F370" s="16">
        <v>2151.6</v>
      </c>
      <c r="G370" s="14">
        <v>43293</v>
      </c>
      <c r="H370" s="15">
        <v>8.3333333333329998E-2</v>
      </c>
      <c r="I370" s="14">
        <v>43293</v>
      </c>
      <c r="J370" s="15">
        <v>0.91342592592592997</v>
      </c>
      <c r="K370" s="13">
        <v>0</v>
      </c>
      <c r="L370" s="2" t="s">
        <v>64</v>
      </c>
      <c r="M370" s="2" t="s">
        <v>4343</v>
      </c>
      <c r="N370" s="14">
        <v>43297</v>
      </c>
      <c r="O370" s="14">
        <v>43295</v>
      </c>
      <c r="P370" s="2" t="s">
        <v>91</v>
      </c>
      <c r="Q370" s="2" t="s">
        <v>1574</v>
      </c>
      <c r="R370" s="2" t="s">
        <v>80</v>
      </c>
      <c r="S370" s="14">
        <v>43297</v>
      </c>
      <c r="T370" s="2" t="s">
        <v>6328</v>
      </c>
      <c r="U370" s="2" t="s">
        <v>516</v>
      </c>
      <c r="V370" s="2" t="s">
        <v>1575</v>
      </c>
      <c r="W370" s="2" t="s">
        <v>70</v>
      </c>
      <c r="X370" s="13">
        <v>108</v>
      </c>
      <c r="Y370" s="2" t="s">
        <v>71</v>
      </c>
      <c r="Z370" s="2" t="s">
        <v>72</v>
      </c>
      <c r="AA370" s="13">
        <v>2000</v>
      </c>
      <c r="AB370" s="2" t="s">
        <v>73</v>
      </c>
      <c r="AC370" s="2" t="s">
        <v>6773</v>
      </c>
      <c r="AD370" s="27">
        <v>43257</v>
      </c>
      <c r="AI370" s="2" t="s">
        <v>6153</v>
      </c>
      <c r="AL370" s="2" t="s">
        <v>5146</v>
      </c>
    </row>
    <row r="371" spans="1:38" x14ac:dyDescent="0.2">
      <c r="A371" s="2" t="s">
        <v>996</v>
      </c>
      <c r="B371" s="2" t="s">
        <v>1968</v>
      </c>
      <c r="C371" s="2" t="s">
        <v>1969</v>
      </c>
      <c r="D371" s="2" t="s">
        <v>1970</v>
      </c>
      <c r="E371" s="13">
        <v>2000</v>
      </c>
      <c r="F371" s="13">
        <v>2000</v>
      </c>
      <c r="G371" s="14">
        <v>43293</v>
      </c>
      <c r="H371" s="15">
        <v>0.84393518518518995</v>
      </c>
      <c r="I371" s="14">
        <v>43294</v>
      </c>
      <c r="J371" s="15">
        <v>0.61554398148148004</v>
      </c>
      <c r="K371" s="13">
        <v>20</v>
      </c>
      <c r="L371" s="2" t="s">
        <v>64</v>
      </c>
      <c r="M371" s="2" t="s">
        <v>1089</v>
      </c>
      <c r="N371" s="14">
        <v>43301</v>
      </c>
      <c r="O371" s="14">
        <v>43296</v>
      </c>
      <c r="P371" s="2" t="s">
        <v>1971</v>
      </c>
      <c r="Q371" s="2" t="s">
        <v>1972</v>
      </c>
      <c r="R371" s="2" t="s">
        <v>80</v>
      </c>
      <c r="S371" s="14">
        <v>43300</v>
      </c>
      <c r="T371" s="2" t="s">
        <v>6331</v>
      </c>
      <c r="U371" s="2" t="s">
        <v>1273</v>
      </c>
      <c r="V371" s="2" t="s">
        <v>1973</v>
      </c>
      <c r="W371" s="2" t="s">
        <v>70</v>
      </c>
      <c r="X371" s="13">
        <v>108</v>
      </c>
      <c r="Y371" s="2" t="s">
        <v>71</v>
      </c>
      <c r="Z371" s="2" t="s">
        <v>72</v>
      </c>
      <c r="AA371" s="13">
        <v>2000</v>
      </c>
      <c r="AB371" s="2" t="s">
        <v>73</v>
      </c>
      <c r="AC371" s="2" t="s">
        <v>6773</v>
      </c>
      <c r="AD371" s="27">
        <v>43259</v>
      </c>
      <c r="AI371" s="2" t="s">
        <v>6153</v>
      </c>
      <c r="AL371" s="2" t="s">
        <v>5147</v>
      </c>
    </row>
    <row r="372" spans="1:38" x14ac:dyDescent="0.2">
      <c r="A372" s="2" t="s">
        <v>996</v>
      </c>
      <c r="B372" s="2" t="s">
        <v>4351</v>
      </c>
      <c r="C372" s="2" t="s">
        <v>227</v>
      </c>
      <c r="D372" s="2" t="s">
        <v>228</v>
      </c>
      <c r="E372" s="16">
        <v>550.25</v>
      </c>
      <c r="F372" s="16">
        <v>550.25</v>
      </c>
      <c r="G372" s="14">
        <v>43295</v>
      </c>
      <c r="H372" s="15">
        <v>0.5</v>
      </c>
      <c r="I372" s="14">
        <v>43295</v>
      </c>
      <c r="J372" s="15">
        <v>0.71229166666666999</v>
      </c>
      <c r="K372" s="13">
        <v>20</v>
      </c>
      <c r="L372" s="2" t="s">
        <v>64</v>
      </c>
      <c r="M372" s="2" t="s">
        <v>4352</v>
      </c>
      <c r="N372" s="14">
        <v>43301</v>
      </c>
      <c r="O372" s="14">
        <v>43302</v>
      </c>
      <c r="P372" s="2" t="s">
        <v>91</v>
      </c>
      <c r="Q372" s="2" t="s">
        <v>4353</v>
      </c>
      <c r="R372" s="2" t="s">
        <v>80</v>
      </c>
      <c r="S372" s="14">
        <v>43301</v>
      </c>
      <c r="T372" s="2" t="s">
        <v>6333</v>
      </c>
      <c r="U372" s="2" t="s">
        <v>68</v>
      </c>
      <c r="V372" s="2" t="s">
        <v>155</v>
      </c>
      <c r="W372" s="2" t="s">
        <v>70</v>
      </c>
      <c r="X372" s="13">
        <v>108</v>
      </c>
      <c r="Y372" s="2" t="s">
        <v>71</v>
      </c>
      <c r="Z372" s="2" t="s">
        <v>72</v>
      </c>
      <c r="AA372" s="13">
        <v>500</v>
      </c>
      <c r="AB372" s="2" t="s">
        <v>73</v>
      </c>
      <c r="AC372" s="2" t="s">
        <v>6773</v>
      </c>
      <c r="AD372" s="27">
        <v>43285</v>
      </c>
      <c r="AL372" s="2" t="s">
        <v>5148</v>
      </c>
    </row>
    <row r="373" spans="1:38" hidden="1" x14ac:dyDescent="0.2">
      <c r="A373" s="2" t="s">
        <v>996</v>
      </c>
      <c r="B373" s="2" t="s">
        <v>1054</v>
      </c>
      <c r="C373" s="2" t="s">
        <v>1055</v>
      </c>
      <c r="D373" s="2" t="s">
        <v>1056</v>
      </c>
      <c r="E373" s="13">
        <v>100</v>
      </c>
      <c r="F373" s="13">
        <v>100</v>
      </c>
      <c r="G373" s="14">
        <v>43296</v>
      </c>
      <c r="H373" s="15">
        <v>2.4687500000000001E-2</v>
      </c>
      <c r="I373" s="14">
        <v>43296</v>
      </c>
      <c r="J373" s="15">
        <v>6.3263888888889994E-2</v>
      </c>
      <c r="K373" s="13">
        <v>20</v>
      </c>
      <c r="L373" s="2" t="s">
        <v>64</v>
      </c>
      <c r="M373" s="2" t="s">
        <v>1049</v>
      </c>
      <c r="N373" s="14">
        <v>43298</v>
      </c>
      <c r="O373" s="14">
        <v>43298</v>
      </c>
      <c r="P373" s="2" t="s">
        <v>1057</v>
      </c>
      <c r="Q373" s="2" t="s">
        <v>1058</v>
      </c>
      <c r="R373" s="2" t="s">
        <v>80</v>
      </c>
      <c r="S373" s="14">
        <v>43298</v>
      </c>
      <c r="T373" s="2" t="s">
        <v>6335</v>
      </c>
      <c r="U373" s="2" t="s">
        <v>762</v>
      </c>
      <c r="V373" s="2" t="s">
        <v>1059</v>
      </c>
      <c r="W373" s="2" t="s">
        <v>70</v>
      </c>
      <c r="X373" s="13">
        <v>108</v>
      </c>
      <c r="Y373" s="2" t="s">
        <v>71</v>
      </c>
      <c r="Z373" s="2" t="s">
        <v>72</v>
      </c>
      <c r="AA373" s="13">
        <v>100</v>
      </c>
      <c r="AB373" s="2" t="s">
        <v>73</v>
      </c>
      <c r="AC373" s="2" t="s">
        <v>6773</v>
      </c>
      <c r="AD373" s="27">
        <v>43258</v>
      </c>
      <c r="AI373" s="2" t="s">
        <v>6153</v>
      </c>
      <c r="AL373" s="2" t="s">
        <v>5149</v>
      </c>
    </row>
    <row r="374" spans="1:38" hidden="1" x14ac:dyDescent="0.2">
      <c r="A374" s="2" t="s">
        <v>996</v>
      </c>
      <c r="B374" s="2" t="s">
        <v>1096</v>
      </c>
      <c r="C374" s="2" t="s">
        <v>884</v>
      </c>
      <c r="D374" s="2" t="s">
        <v>885</v>
      </c>
      <c r="E374" s="13">
        <v>500</v>
      </c>
      <c r="F374" s="13">
        <v>500</v>
      </c>
      <c r="G374" s="14">
        <v>43298</v>
      </c>
      <c r="H374" s="15">
        <v>0.80709490740740997</v>
      </c>
      <c r="I374" s="14">
        <v>43299</v>
      </c>
      <c r="J374" s="15">
        <v>0</v>
      </c>
      <c r="K374" s="13">
        <v>20</v>
      </c>
      <c r="L374" s="2" t="s">
        <v>64</v>
      </c>
      <c r="M374" s="2" t="s">
        <v>1032</v>
      </c>
      <c r="N374" s="14">
        <v>43301</v>
      </c>
      <c r="O374" s="14">
        <v>43300</v>
      </c>
      <c r="P374" s="2" t="s">
        <v>78</v>
      </c>
      <c r="Q374" s="2" t="s">
        <v>1097</v>
      </c>
      <c r="R374" s="2" t="s">
        <v>80</v>
      </c>
      <c r="S374" s="14">
        <v>43301</v>
      </c>
      <c r="T374" s="2" t="s">
        <v>6336</v>
      </c>
      <c r="U374" s="2" t="s">
        <v>887</v>
      </c>
      <c r="V374" s="2" t="s">
        <v>69</v>
      </c>
      <c r="W374" s="2" t="s">
        <v>70</v>
      </c>
      <c r="X374" s="13">
        <v>108</v>
      </c>
      <c r="Y374" s="2" t="s">
        <v>71</v>
      </c>
      <c r="Z374" s="2" t="s">
        <v>72</v>
      </c>
      <c r="AA374" s="13">
        <v>500</v>
      </c>
      <c r="AB374" s="2" t="s">
        <v>73</v>
      </c>
      <c r="AC374" s="2" t="s">
        <v>6773</v>
      </c>
      <c r="AD374" s="27">
        <v>43229</v>
      </c>
      <c r="AL374" s="2" t="s">
        <v>5150</v>
      </c>
    </row>
    <row r="375" spans="1:38" hidden="1" x14ac:dyDescent="0.2">
      <c r="A375" s="2" t="s">
        <v>996</v>
      </c>
      <c r="B375" s="2" t="s">
        <v>1098</v>
      </c>
      <c r="C375" s="2" t="s">
        <v>1099</v>
      </c>
      <c r="D375" s="2" t="s">
        <v>1100</v>
      </c>
      <c r="E375" s="13">
        <v>300</v>
      </c>
      <c r="F375" s="13">
        <v>300</v>
      </c>
      <c r="G375" s="14">
        <v>43299</v>
      </c>
      <c r="H375" s="15">
        <v>0.75</v>
      </c>
      <c r="I375" s="14">
        <v>43299</v>
      </c>
      <c r="J375" s="15">
        <v>0.86574074074074003</v>
      </c>
      <c r="K375" s="13">
        <v>20</v>
      </c>
      <c r="L375" s="2" t="s">
        <v>64</v>
      </c>
      <c r="M375" s="2" t="s">
        <v>1000</v>
      </c>
      <c r="N375" s="14">
        <v>43304</v>
      </c>
      <c r="O375" s="14">
        <v>43301</v>
      </c>
      <c r="P375" s="2" t="s">
        <v>1011</v>
      </c>
      <c r="Q375" s="2" t="s">
        <v>1101</v>
      </c>
      <c r="R375" s="2" t="s">
        <v>80</v>
      </c>
      <c r="S375" s="14">
        <v>43304</v>
      </c>
      <c r="T375" s="2" t="s">
        <v>6337</v>
      </c>
      <c r="U375" s="2" t="s">
        <v>1012</v>
      </c>
      <c r="V375" s="2" t="s">
        <v>1102</v>
      </c>
      <c r="W375" s="2" t="s">
        <v>70</v>
      </c>
      <c r="X375" s="13">
        <v>108</v>
      </c>
      <c r="Y375" s="2" t="s">
        <v>71</v>
      </c>
      <c r="Z375" s="2" t="s">
        <v>72</v>
      </c>
      <c r="AA375" s="13">
        <v>300</v>
      </c>
      <c r="AB375" s="2" t="s">
        <v>73</v>
      </c>
      <c r="AC375" s="2" t="s">
        <v>6773</v>
      </c>
      <c r="AD375" s="27">
        <v>43272</v>
      </c>
      <c r="AI375" s="2" t="s">
        <v>6153</v>
      </c>
      <c r="AL375" s="2" t="s">
        <v>5151</v>
      </c>
    </row>
    <row r="376" spans="1:38" hidden="1" x14ac:dyDescent="0.2">
      <c r="A376" s="2" t="s">
        <v>996</v>
      </c>
      <c r="B376" s="2" t="s">
        <v>1186</v>
      </c>
      <c r="C376" s="2" t="s">
        <v>1187</v>
      </c>
      <c r="D376" s="2" t="s">
        <v>1188</v>
      </c>
      <c r="E376" s="13">
        <v>500</v>
      </c>
      <c r="F376" s="13">
        <v>500</v>
      </c>
      <c r="G376" s="14">
        <v>43300</v>
      </c>
      <c r="H376" s="15">
        <v>0</v>
      </c>
      <c r="I376" s="14">
        <v>43300</v>
      </c>
      <c r="J376" s="15">
        <v>0.19290509259259001</v>
      </c>
      <c r="K376" s="13">
        <v>20</v>
      </c>
      <c r="L376" s="2" t="s">
        <v>64</v>
      </c>
      <c r="M376" s="2" t="s">
        <v>1032</v>
      </c>
      <c r="N376" s="14">
        <v>43304</v>
      </c>
      <c r="O376" s="14">
        <v>43302</v>
      </c>
      <c r="P376" s="2" t="s">
        <v>1189</v>
      </c>
      <c r="Q376" s="2" t="s">
        <v>1190</v>
      </c>
      <c r="R376" s="2" t="s">
        <v>80</v>
      </c>
      <c r="S376" s="14">
        <v>43304</v>
      </c>
      <c r="T376" s="2" t="s">
        <v>6338</v>
      </c>
      <c r="U376" s="2" t="s">
        <v>1012</v>
      </c>
      <c r="V376" s="2" t="s">
        <v>1191</v>
      </c>
      <c r="W376" s="2" t="s">
        <v>70</v>
      </c>
      <c r="X376" s="13">
        <v>108</v>
      </c>
      <c r="Y376" s="2" t="s">
        <v>71</v>
      </c>
      <c r="Z376" s="2" t="s">
        <v>72</v>
      </c>
      <c r="AA376" s="13">
        <v>500</v>
      </c>
      <c r="AB376" s="2" t="s">
        <v>73</v>
      </c>
      <c r="AC376" s="2" t="s">
        <v>6773</v>
      </c>
      <c r="AD376" s="27">
        <v>43251</v>
      </c>
      <c r="AL376" s="2" t="s">
        <v>5152</v>
      </c>
    </row>
    <row r="377" spans="1:38" hidden="1" x14ac:dyDescent="0.2">
      <c r="A377" s="2" t="s">
        <v>996</v>
      </c>
      <c r="B377" s="2" t="s">
        <v>2470</v>
      </c>
      <c r="C377" s="2" t="s">
        <v>2471</v>
      </c>
      <c r="D377" s="2" t="s">
        <v>2472</v>
      </c>
      <c r="E377" s="16">
        <v>1075.8</v>
      </c>
      <c r="F377" s="16">
        <v>1075.8</v>
      </c>
      <c r="G377" s="14">
        <v>43300</v>
      </c>
      <c r="H377" s="15">
        <v>0.45686342592592999</v>
      </c>
      <c r="I377" s="14">
        <v>43300</v>
      </c>
      <c r="J377" s="15">
        <v>0.87190972222221996</v>
      </c>
      <c r="K377" s="13">
        <v>0</v>
      </c>
      <c r="L377" s="2" t="s">
        <v>64</v>
      </c>
      <c r="M377" s="2" t="s">
        <v>4341</v>
      </c>
      <c r="N377" s="14"/>
      <c r="O377" s="14">
        <v>43307</v>
      </c>
      <c r="P377" s="2" t="s">
        <v>1050</v>
      </c>
      <c r="Q377" s="2" t="s">
        <v>2473</v>
      </c>
      <c r="R377" s="2" t="s">
        <v>80</v>
      </c>
      <c r="S377" s="14">
        <v>43308</v>
      </c>
      <c r="T377" s="2" t="s">
        <v>6339</v>
      </c>
      <c r="U377" s="2" t="s">
        <v>1137</v>
      </c>
      <c r="V377" s="2" t="s">
        <v>2474</v>
      </c>
      <c r="W377" s="2" t="s">
        <v>70</v>
      </c>
      <c r="X377" s="13">
        <v>108</v>
      </c>
      <c r="Y377" s="2" t="s">
        <v>71</v>
      </c>
      <c r="Z377" s="2" t="s">
        <v>72</v>
      </c>
      <c r="AA377" s="13">
        <v>1000</v>
      </c>
      <c r="AB377" s="2" t="s">
        <v>73</v>
      </c>
      <c r="AC377" s="2" t="s">
        <v>6773</v>
      </c>
      <c r="AD377" s="27">
        <v>43280</v>
      </c>
      <c r="AL377" s="2" t="s">
        <v>5153</v>
      </c>
    </row>
    <row r="378" spans="1:38" hidden="1" x14ac:dyDescent="0.2">
      <c r="A378" s="2" t="s">
        <v>996</v>
      </c>
      <c r="B378" s="2" t="s">
        <v>1103</v>
      </c>
      <c r="C378" s="2" t="s">
        <v>1104</v>
      </c>
      <c r="D378" s="2" t="s">
        <v>1105</v>
      </c>
      <c r="E378" s="13">
        <v>500</v>
      </c>
      <c r="F378" s="13">
        <v>500</v>
      </c>
      <c r="G378" s="14">
        <v>43301</v>
      </c>
      <c r="H378" s="15">
        <v>0.95027777777778</v>
      </c>
      <c r="I378" s="14">
        <v>43302</v>
      </c>
      <c r="J378" s="15">
        <v>0.14318287037037</v>
      </c>
      <c r="K378" s="13">
        <v>20</v>
      </c>
      <c r="L378" s="2" t="s">
        <v>64</v>
      </c>
      <c r="M378" s="2" t="s">
        <v>1032</v>
      </c>
      <c r="N378" s="14">
        <v>43314</v>
      </c>
      <c r="O378" s="14">
        <v>43309</v>
      </c>
      <c r="P378" s="2" t="s">
        <v>91</v>
      </c>
      <c r="Q378" s="2" t="s">
        <v>1106</v>
      </c>
      <c r="R378" s="2" t="s">
        <v>80</v>
      </c>
      <c r="S378" s="14">
        <v>43314</v>
      </c>
      <c r="T378" s="2" t="s">
        <v>6340</v>
      </c>
      <c r="U378" s="2" t="s">
        <v>68</v>
      </c>
      <c r="V378" s="2" t="s">
        <v>1107</v>
      </c>
      <c r="W378" s="2" t="s">
        <v>70</v>
      </c>
      <c r="X378" s="13">
        <v>108</v>
      </c>
      <c r="Y378" s="2" t="s">
        <v>71</v>
      </c>
      <c r="Z378" s="2" t="s">
        <v>72</v>
      </c>
      <c r="AA378" s="13">
        <v>500</v>
      </c>
      <c r="AB378" s="2" t="s">
        <v>73</v>
      </c>
      <c r="AC378" s="2" t="s">
        <v>6773</v>
      </c>
      <c r="AD378" s="27">
        <v>43263</v>
      </c>
      <c r="AL378" s="2" t="s">
        <v>5154</v>
      </c>
    </row>
    <row r="379" spans="1:38" hidden="1" x14ac:dyDescent="0.2">
      <c r="A379" s="2" t="s">
        <v>996</v>
      </c>
      <c r="B379" s="2" t="s">
        <v>4354</v>
      </c>
      <c r="C379" s="2" t="s">
        <v>1041</v>
      </c>
      <c r="D379" s="2" t="s">
        <v>1042</v>
      </c>
      <c r="E379" s="16">
        <v>322.74</v>
      </c>
      <c r="F379" s="16">
        <v>322.74</v>
      </c>
      <c r="G379" s="14">
        <v>43302</v>
      </c>
      <c r="H379" s="15">
        <v>0.91771990740741005</v>
      </c>
      <c r="I379" s="14">
        <v>43303</v>
      </c>
      <c r="J379" s="15">
        <v>4.2233796296300002E-2</v>
      </c>
      <c r="K379" s="13">
        <v>0</v>
      </c>
      <c r="L379" s="2" t="s">
        <v>64</v>
      </c>
      <c r="M379" s="2" t="s">
        <v>4355</v>
      </c>
      <c r="N379" s="14">
        <v>43311</v>
      </c>
      <c r="O379" s="14">
        <v>43310</v>
      </c>
      <c r="P379" s="2" t="s">
        <v>91</v>
      </c>
      <c r="Q379" s="2" t="s">
        <v>4356</v>
      </c>
      <c r="R379" s="2" t="s">
        <v>80</v>
      </c>
      <c r="S379" s="14">
        <v>43311</v>
      </c>
      <c r="T379" s="2" t="s">
        <v>6341</v>
      </c>
      <c r="U379" s="2" t="s">
        <v>1044</v>
      </c>
      <c r="V379" s="2" t="s">
        <v>1045</v>
      </c>
      <c r="W379" s="2" t="s">
        <v>70</v>
      </c>
      <c r="X379" s="13">
        <v>108</v>
      </c>
      <c r="Y379" s="2" t="s">
        <v>71</v>
      </c>
      <c r="Z379" s="2" t="s">
        <v>72</v>
      </c>
      <c r="AA379" s="13">
        <v>300</v>
      </c>
      <c r="AB379" s="2" t="s">
        <v>73</v>
      </c>
      <c r="AC379" s="2" t="s">
        <v>6773</v>
      </c>
      <c r="AD379" s="27">
        <v>43284</v>
      </c>
      <c r="AL379" s="2" t="s">
        <v>5155</v>
      </c>
    </row>
    <row r="380" spans="1:38" hidden="1" x14ac:dyDescent="0.2">
      <c r="A380" s="2" t="s">
        <v>996</v>
      </c>
      <c r="B380" s="2" t="s">
        <v>4357</v>
      </c>
      <c r="C380" s="2" t="s">
        <v>1171</v>
      </c>
      <c r="D380" s="2" t="s">
        <v>1172</v>
      </c>
      <c r="E380" s="16">
        <v>2151.6</v>
      </c>
      <c r="F380" s="16">
        <v>2151.6</v>
      </c>
      <c r="G380" s="14">
        <v>43303</v>
      </c>
      <c r="H380" s="15">
        <v>6.306712962963E-2</v>
      </c>
      <c r="I380" s="14">
        <v>43303</v>
      </c>
      <c r="J380" s="15">
        <v>0.89315972222221995</v>
      </c>
      <c r="K380" s="13">
        <v>0</v>
      </c>
      <c r="L380" s="2" t="s">
        <v>64</v>
      </c>
      <c r="M380" s="2" t="s">
        <v>4343</v>
      </c>
      <c r="N380" s="14">
        <v>43308</v>
      </c>
      <c r="O380" s="14">
        <v>43305</v>
      </c>
      <c r="P380" s="2" t="s">
        <v>1020</v>
      </c>
      <c r="Q380" s="2" t="s">
        <v>4358</v>
      </c>
      <c r="R380" s="2" t="s">
        <v>80</v>
      </c>
      <c r="S380" s="14">
        <v>43308</v>
      </c>
      <c r="T380" s="2" t="s">
        <v>6342</v>
      </c>
      <c r="U380" s="2" t="s">
        <v>1044</v>
      </c>
      <c r="V380" s="2" t="s">
        <v>1174</v>
      </c>
      <c r="W380" s="2" t="s">
        <v>70</v>
      </c>
      <c r="X380" s="13">
        <v>108</v>
      </c>
      <c r="Y380" s="2" t="s">
        <v>71</v>
      </c>
      <c r="Z380" s="2" t="s">
        <v>72</v>
      </c>
      <c r="AA380" s="13">
        <v>2000</v>
      </c>
      <c r="AB380" s="2" t="s">
        <v>73</v>
      </c>
      <c r="AC380" s="2" t="s">
        <v>6773</v>
      </c>
      <c r="AD380" s="27">
        <v>43284</v>
      </c>
      <c r="AL380" s="2" t="s">
        <v>5156</v>
      </c>
    </row>
    <row r="381" spans="1:38" hidden="1" x14ac:dyDescent="0.2">
      <c r="A381" s="2" t="s">
        <v>996</v>
      </c>
      <c r="B381" s="2" t="s">
        <v>1046</v>
      </c>
      <c r="C381" s="2" t="s">
        <v>1047</v>
      </c>
      <c r="D381" s="2" t="s">
        <v>1048</v>
      </c>
      <c r="E381" s="13">
        <v>100</v>
      </c>
      <c r="F381" s="13">
        <v>100</v>
      </c>
      <c r="G381" s="14">
        <v>43303</v>
      </c>
      <c r="H381" s="15">
        <v>0.875</v>
      </c>
      <c r="I381" s="14">
        <v>43303</v>
      </c>
      <c r="J381" s="15">
        <v>0.91357638888889003</v>
      </c>
      <c r="K381" s="13">
        <v>0</v>
      </c>
      <c r="L381" s="2" t="s">
        <v>64</v>
      </c>
      <c r="M381" s="2" t="s">
        <v>1049</v>
      </c>
      <c r="N381" s="14">
        <v>43313</v>
      </c>
      <c r="O381" s="14">
        <v>43305</v>
      </c>
      <c r="P381" s="2" t="s">
        <v>1050</v>
      </c>
      <c r="Q381" s="2" t="s">
        <v>1051</v>
      </c>
      <c r="R381" s="2" t="s">
        <v>80</v>
      </c>
      <c r="S381" s="14">
        <v>43313</v>
      </c>
      <c r="T381" s="2" t="s">
        <v>6343</v>
      </c>
      <c r="U381" s="2" t="s">
        <v>1012</v>
      </c>
      <c r="V381" s="2" t="s">
        <v>1052</v>
      </c>
      <c r="W381" s="2" t="s">
        <v>70</v>
      </c>
      <c r="X381" s="13">
        <v>108</v>
      </c>
      <c r="Y381" s="2" t="s">
        <v>71</v>
      </c>
      <c r="Z381" s="2" t="s">
        <v>72</v>
      </c>
      <c r="AA381" s="13">
        <v>100</v>
      </c>
      <c r="AB381" s="2" t="s">
        <v>73</v>
      </c>
      <c r="AC381" s="2" t="s">
        <v>6773</v>
      </c>
      <c r="AD381" s="27">
        <v>43248</v>
      </c>
      <c r="AL381" s="2" t="s">
        <v>5157</v>
      </c>
    </row>
    <row r="382" spans="1:38" hidden="1" x14ac:dyDescent="0.2">
      <c r="A382" s="2" t="s">
        <v>996</v>
      </c>
      <c r="B382" s="2" t="s">
        <v>1108</v>
      </c>
      <c r="C382" s="2" t="s">
        <v>1087</v>
      </c>
      <c r="D382" s="2" t="s">
        <v>1088</v>
      </c>
      <c r="E382" s="16">
        <v>645.48</v>
      </c>
      <c r="F382" s="16">
        <v>645.48</v>
      </c>
      <c r="G382" s="14">
        <v>43303</v>
      </c>
      <c r="H382" s="15">
        <v>0.93482638888889003</v>
      </c>
      <c r="I382" s="14">
        <v>43304</v>
      </c>
      <c r="J382" s="15">
        <v>0.18385416666667001</v>
      </c>
      <c r="K382" s="13">
        <v>20</v>
      </c>
      <c r="L382" s="2" t="s">
        <v>64</v>
      </c>
      <c r="M382" s="2" t="s">
        <v>1109</v>
      </c>
      <c r="N382" s="14">
        <v>43311</v>
      </c>
      <c r="O382" s="14">
        <v>43306</v>
      </c>
      <c r="P382" s="2" t="s">
        <v>1070</v>
      </c>
      <c r="Q382" s="2" t="s">
        <v>1110</v>
      </c>
      <c r="R382" s="2" t="s">
        <v>80</v>
      </c>
      <c r="S382" s="14">
        <v>43306</v>
      </c>
      <c r="T382" s="2" t="s">
        <v>6344</v>
      </c>
      <c r="U382" s="2" t="s">
        <v>1044</v>
      </c>
      <c r="V382" s="2" t="s">
        <v>1091</v>
      </c>
      <c r="W382" s="2" t="s">
        <v>70</v>
      </c>
      <c r="X382" s="13">
        <v>108</v>
      </c>
      <c r="Y382" s="2" t="s">
        <v>71</v>
      </c>
      <c r="Z382" s="2" t="s">
        <v>72</v>
      </c>
      <c r="AA382" s="13">
        <v>600</v>
      </c>
      <c r="AB382" s="2" t="s">
        <v>73</v>
      </c>
      <c r="AC382" s="2" t="s">
        <v>6773</v>
      </c>
      <c r="AD382" s="27">
        <v>43283</v>
      </c>
      <c r="AL382" s="2" t="s">
        <v>5158</v>
      </c>
    </row>
    <row r="383" spans="1:38" hidden="1" x14ac:dyDescent="0.2">
      <c r="A383" s="2" t="s">
        <v>996</v>
      </c>
      <c r="B383" s="2" t="s">
        <v>1111</v>
      </c>
      <c r="C383" s="2" t="s">
        <v>1068</v>
      </c>
      <c r="D383" s="2" t="s">
        <v>1069</v>
      </c>
      <c r="E383" s="16">
        <v>645.48</v>
      </c>
      <c r="F383" s="16">
        <v>645.48</v>
      </c>
      <c r="G383" s="14">
        <v>43304</v>
      </c>
      <c r="H383" s="15">
        <v>0.20468749999999999</v>
      </c>
      <c r="I383" s="14">
        <v>43304</v>
      </c>
      <c r="J383" s="15">
        <v>0.45371527777777998</v>
      </c>
      <c r="K383" s="13">
        <v>20</v>
      </c>
      <c r="L383" s="2" t="s">
        <v>64</v>
      </c>
      <c r="M383" s="2" t="s">
        <v>1109</v>
      </c>
      <c r="N383" s="14">
        <v>43311</v>
      </c>
      <c r="O383" s="14">
        <v>43306</v>
      </c>
      <c r="P383" s="2" t="s">
        <v>1070</v>
      </c>
      <c r="Q383" s="2" t="s">
        <v>1112</v>
      </c>
      <c r="R383" s="2" t="s">
        <v>80</v>
      </c>
      <c r="S383" s="14">
        <v>43306</v>
      </c>
      <c r="T383" s="2" t="s">
        <v>6345</v>
      </c>
      <c r="U383" s="2" t="s">
        <v>1044</v>
      </c>
      <c r="V383" s="2" t="s">
        <v>1071</v>
      </c>
      <c r="W383" s="2" t="s">
        <v>70</v>
      </c>
      <c r="X383" s="13">
        <v>108</v>
      </c>
      <c r="Y383" s="2" t="s">
        <v>71</v>
      </c>
      <c r="Z383" s="2" t="s">
        <v>72</v>
      </c>
      <c r="AA383" s="13">
        <v>600</v>
      </c>
      <c r="AB383" s="2" t="s">
        <v>73</v>
      </c>
      <c r="AC383" s="2" t="s">
        <v>6773</v>
      </c>
      <c r="AD383" s="27">
        <v>43283</v>
      </c>
      <c r="AI383" s="2" t="s">
        <v>6153</v>
      </c>
      <c r="AL383" s="2" t="s">
        <v>5159</v>
      </c>
    </row>
    <row r="384" spans="1:38" hidden="1" x14ac:dyDescent="0.2">
      <c r="A384" s="2" t="s">
        <v>996</v>
      </c>
      <c r="B384" s="2" t="s">
        <v>1113</v>
      </c>
      <c r="C384" s="2" t="s">
        <v>1080</v>
      </c>
      <c r="D384" s="2" t="s">
        <v>1081</v>
      </c>
      <c r="E384" s="13">
        <v>100</v>
      </c>
      <c r="F384" s="13">
        <v>100</v>
      </c>
      <c r="G384" s="14">
        <v>43304</v>
      </c>
      <c r="H384" s="15">
        <v>0.49538194444444</v>
      </c>
      <c r="I384" s="14">
        <v>43304</v>
      </c>
      <c r="J384" s="15">
        <v>0.53395833333332998</v>
      </c>
      <c r="K384" s="13">
        <v>0</v>
      </c>
      <c r="L384" s="2" t="s">
        <v>64</v>
      </c>
      <c r="M384" s="2" t="s">
        <v>1049</v>
      </c>
      <c r="N384" s="14">
        <v>43307</v>
      </c>
      <c r="O384" s="14">
        <v>43306</v>
      </c>
      <c r="P384" s="2" t="s">
        <v>1082</v>
      </c>
      <c r="Q384" s="2" t="s">
        <v>1114</v>
      </c>
      <c r="R384" s="2" t="s">
        <v>80</v>
      </c>
      <c r="S384" s="14">
        <v>43307</v>
      </c>
      <c r="T384" s="2" t="s">
        <v>6346</v>
      </c>
      <c r="U384" s="2" t="s">
        <v>1012</v>
      </c>
      <c r="V384" s="2" t="s">
        <v>1084</v>
      </c>
      <c r="W384" s="2" t="s">
        <v>70</v>
      </c>
      <c r="X384" s="13">
        <v>108</v>
      </c>
      <c r="Y384" s="2" t="s">
        <v>71</v>
      </c>
      <c r="Z384" s="2" t="s">
        <v>72</v>
      </c>
      <c r="AA384" s="13">
        <v>100</v>
      </c>
      <c r="AB384" s="2" t="s">
        <v>73</v>
      </c>
      <c r="AC384" s="2" t="s">
        <v>6773</v>
      </c>
      <c r="AD384" s="27">
        <v>43279</v>
      </c>
      <c r="AL384" s="2" t="s">
        <v>5160</v>
      </c>
    </row>
    <row r="385" spans="1:38" hidden="1" x14ac:dyDescent="0.2">
      <c r="A385" s="2" t="s">
        <v>996</v>
      </c>
      <c r="B385" s="2" t="s">
        <v>1115</v>
      </c>
      <c r="C385" s="2" t="s">
        <v>1116</v>
      </c>
      <c r="D385" s="2" t="s">
        <v>1117</v>
      </c>
      <c r="E385" s="13">
        <v>100</v>
      </c>
      <c r="F385" s="13">
        <v>100</v>
      </c>
      <c r="G385" s="14">
        <v>43304</v>
      </c>
      <c r="H385" s="15">
        <v>0.55479166666667001</v>
      </c>
      <c r="I385" s="14">
        <v>43304</v>
      </c>
      <c r="J385" s="15">
        <v>0.59336805555556005</v>
      </c>
      <c r="K385" s="13">
        <v>0</v>
      </c>
      <c r="L385" s="2" t="s">
        <v>64</v>
      </c>
      <c r="M385" s="2" t="s">
        <v>1049</v>
      </c>
      <c r="N385" s="14">
        <v>43307</v>
      </c>
      <c r="O385" s="14">
        <v>43306</v>
      </c>
      <c r="P385" s="2" t="s">
        <v>91</v>
      </c>
      <c r="Q385" s="2" t="s">
        <v>1118</v>
      </c>
      <c r="R385" s="2" t="s">
        <v>80</v>
      </c>
      <c r="S385" s="14">
        <v>43307</v>
      </c>
      <c r="T385" s="2" t="s">
        <v>6347</v>
      </c>
      <c r="U385" s="2" t="s">
        <v>1012</v>
      </c>
      <c r="V385" s="2" t="s">
        <v>1119</v>
      </c>
      <c r="W385" s="2" t="s">
        <v>70</v>
      </c>
      <c r="X385" s="13">
        <v>108</v>
      </c>
      <c r="Y385" s="2" t="s">
        <v>71</v>
      </c>
      <c r="Z385" s="2" t="s">
        <v>72</v>
      </c>
      <c r="AA385" s="13">
        <v>100</v>
      </c>
      <c r="AB385" s="2" t="s">
        <v>73</v>
      </c>
      <c r="AC385" s="2" t="s">
        <v>6773</v>
      </c>
      <c r="AD385" s="27">
        <v>43279</v>
      </c>
      <c r="AL385" s="2" t="s">
        <v>5161</v>
      </c>
    </row>
    <row r="386" spans="1:38" hidden="1" x14ac:dyDescent="0.2">
      <c r="A386" s="2" t="s">
        <v>996</v>
      </c>
      <c r="B386" s="2" t="s">
        <v>1120</v>
      </c>
      <c r="C386" s="2" t="s">
        <v>1121</v>
      </c>
      <c r="D386" s="2" t="s">
        <v>1122</v>
      </c>
      <c r="E386" s="13">
        <v>1000</v>
      </c>
      <c r="F386" s="13">
        <v>1000</v>
      </c>
      <c r="G386" s="14">
        <v>43304</v>
      </c>
      <c r="H386" s="15">
        <v>0.61420138888888998</v>
      </c>
      <c r="I386" s="14">
        <v>43305</v>
      </c>
      <c r="J386" s="15">
        <v>0</v>
      </c>
      <c r="K386" s="13">
        <v>0</v>
      </c>
      <c r="L386" s="2" t="s">
        <v>64</v>
      </c>
      <c r="M386" s="2" t="s">
        <v>1015</v>
      </c>
      <c r="N386" s="14">
        <v>43308</v>
      </c>
      <c r="O386" s="14">
        <v>43306</v>
      </c>
      <c r="P386" s="2" t="s">
        <v>1123</v>
      </c>
      <c r="Q386" s="2" t="s">
        <v>1124</v>
      </c>
      <c r="R386" s="2" t="s">
        <v>80</v>
      </c>
      <c r="S386" s="14">
        <v>43308</v>
      </c>
      <c r="T386" s="2" t="s">
        <v>6348</v>
      </c>
      <c r="U386" s="2" t="s">
        <v>1125</v>
      </c>
      <c r="V386" s="2" t="s">
        <v>485</v>
      </c>
      <c r="W386" s="2" t="s">
        <v>70</v>
      </c>
      <c r="X386" s="13">
        <v>108</v>
      </c>
      <c r="Y386" s="2" t="s">
        <v>71</v>
      </c>
      <c r="Z386" s="2" t="s">
        <v>72</v>
      </c>
      <c r="AA386" s="13">
        <v>1000</v>
      </c>
      <c r="AB386" s="2" t="s">
        <v>73</v>
      </c>
      <c r="AC386" s="2" t="s">
        <v>6773</v>
      </c>
      <c r="AD386" s="27">
        <v>43259</v>
      </c>
      <c r="AL386" s="2" t="s">
        <v>5162</v>
      </c>
    </row>
    <row r="387" spans="1:38" hidden="1" x14ac:dyDescent="0.2">
      <c r="A387" s="2" t="s">
        <v>996</v>
      </c>
      <c r="B387" s="2" t="s">
        <v>1126</v>
      </c>
      <c r="C387" s="2" t="s">
        <v>1127</v>
      </c>
      <c r="D387" s="2" t="s">
        <v>1128</v>
      </c>
      <c r="E387" s="13">
        <v>10000</v>
      </c>
      <c r="F387" s="13">
        <v>10000</v>
      </c>
      <c r="G387" s="14">
        <v>43305</v>
      </c>
      <c r="H387" s="15">
        <v>0.14197916666666999</v>
      </c>
      <c r="I387" s="14">
        <v>43309</v>
      </c>
      <c r="J387" s="15">
        <v>0</v>
      </c>
      <c r="K387" s="13">
        <v>20</v>
      </c>
      <c r="L387" s="2" t="s">
        <v>64</v>
      </c>
      <c r="M387" s="2" t="s">
        <v>1129</v>
      </c>
      <c r="N387" s="14">
        <v>43325</v>
      </c>
      <c r="O387" s="14">
        <v>43315</v>
      </c>
      <c r="P387" s="2" t="s">
        <v>91</v>
      </c>
      <c r="Q387" s="2" t="s">
        <v>1130</v>
      </c>
      <c r="R387" s="2" t="s">
        <v>80</v>
      </c>
      <c r="S387" s="14">
        <v>43325</v>
      </c>
      <c r="T387" s="2" t="s">
        <v>6349</v>
      </c>
      <c r="U387" s="2" t="s">
        <v>1131</v>
      </c>
      <c r="V387" s="2" t="s">
        <v>1132</v>
      </c>
      <c r="W387" s="2" t="s">
        <v>70</v>
      </c>
      <c r="X387" s="13">
        <v>108</v>
      </c>
      <c r="Y387" s="2" t="s">
        <v>71</v>
      </c>
      <c r="Z387" s="2" t="s">
        <v>72</v>
      </c>
      <c r="AA387" s="13">
        <v>10000</v>
      </c>
      <c r="AB387" s="2" t="s">
        <v>73</v>
      </c>
      <c r="AC387" s="2" t="s">
        <v>6773</v>
      </c>
      <c r="AD387" s="27">
        <v>43224</v>
      </c>
      <c r="AL387" s="2" t="s">
        <v>5163</v>
      </c>
    </row>
    <row r="388" spans="1:38" hidden="1" x14ac:dyDescent="0.2">
      <c r="A388" s="2" t="s">
        <v>996</v>
      </c>
      <c r="B388" s="2" t="s">
        <v>1133</v>
      </c>
      <c r="C388" s="2" t="s">
        <v>1134</v>
      </c>
      <c r="D388" s="2" t="s">
        <v>1135</v>
      </c>
      <c r="E388" s="13">
        <v>200</v>
      </c>
      <c r="F388" s="13">
        <v>200</v>
      </c>
      <c r="G388" s="14">
        <v>43309</v>
      </c>
      <c r="H388" s="15">
        <v>0.92283564814815</v>
      </c>
      <c r="I388" s="14">
        <v>43310</v>
      </c>
      <c r="J388" s="15">
        <v>0</v>
      </c>
      <c r="K388" s="13">
        <v>0</v>
      </c>
      <c r="L388" s="2" t="s">
        <v>64</v>
      </c>
      <c r="M388" s="2" t="s">
        <v>1075</v>
      </c>
      <c r="N388" s="14">
        <v>43312</v>
      </c>
      <c r="O388" s="14">
        <v>43311</v>
      </c>
      <c r="P388" s="2" t="s">
        <v>1020</v>
      </c>
      <c r="Q388" s="2" t="s">
        <v>1136</v>
      </c>
      <c r="R388" s="2" t="s">
        <v>80</v>
      </c>
      <c r="S388" s="14">
        <v>43312</v>
      </c>
      <c r="T388" s="2" t="s">
        <v>6350</v>
      </c>
      <c r="U388" s="2" t="s">
        <v>1137</v>
      </c>
      <c r="V388" s="2" t="s">
        <v>1138</v>
      </c>
      <c r="W388" s="2" t="s">
        <v>70</v>
      </c>
      <c r="X388" s="13">
        <v>108</v>
      </c>
      <c r="Y388" s="2" t="s">
        <v>71</v>
      </c>
      <c r="Z388" s="2" t="s">
        <v>72</v>
      </c>
      <c r="AA388" s="13">
        <v>200</v>
      </c>
      <c r="AB388" s="2" t="s">
        <v>73</v>
      </c>
      <c r="AC388" s="2" t="s">
        <v>6773</v>
      </c>
      <c r="AD388" s="27">
        <v>43273</v>
      </c>
      <c r="AL388" s="2" t="s">
        <v>5164</v>
      </c>
    </row>
    <row r="389" spans="1:38" hidden="1" x14ac:dyDescent="0.2">
      <c r="A389" s="2" t="s">
        <v>996</v>
      </c>
      <c r="B389" s="2" t="s">
        <v>4359</v>
      </c>
      <c r="C389" s="2" t="s">
        <v>4360</v>
      </c>
      <c r="D389" s="2" t="s">
        <v>4361</v>
      </c>
      <c r="E389" s="13">
        <v>100</v>
      </c>
      <c r="F389" s="13">
        <v>100</v>
      </c>
      <c r="G389" s="14">
        <v>43312</v>
      </c>
      <c r="H389" s="15">
        <v>0.96142361111110997</v>
      </c>
      <c r="I389" s="14">
        <v>43313</v>
      </c>
      <c r="J389" s="15">
        <v>0</v>
      </c>
      <c r="K389" s="13">
        <v>0</v>
      </c>
      <c r="L389" s="2" t="s">
        <v>64</v>
      </c>
      <c r="M389" s="2" t="s">
        <v>1049</v>
      </c>
      <c r="N389" s="14">
        <v>43315</v>
      </c>
      <c r="O389" s="14">
        <v>43314</v>
      </c>
      <c r="P389" s="2" t="s">
        <v>153</v>
      </c>
      <c r="Q389" s="2" t="s">
        <v>4362</v>
      </c>
      <c r="R389" s="2" t="s">
        <v>80</v>
      </c>
      <c r="S389" s="14">
        <v>43315</v>
      </c>
      <c r="T389" s="2" t="s">
        <v>6351</v>
      </c>
      <c r="U389" s="2" t="s">
        <v>86</v>
      </c>
      <c r="V389" s="2" t="s">
        <v>4363</v>
      </c>
      <c r="W389" s="2" t="s">
        <v>70</v>
      </c>
      <c r="X389" s="13">
        <v>108</v>
      </c>
      <c r="Y389" s="2" t="s">
        <v>71</v>
      </c>
      <c r="Z389" s="2" t="s">
        <v>72</v>
      </c>
      <c r="AA389" s="13">
        <v>100</v>
      </c>
      <c r="AB389" s="2" t="s">
        <v>73</v>
      </c>
      <c r="AC389" s="2" t="s">
        <v>6773</v>
      </c>
      <c r="AD389" s="27">
        <v>43285</v>
      </c>
      <c r="AL389" s="2" t="s">
        <v>5165</v>
      </c>
    </row>
    <row r="390" spans="1:38" hidden="1" x14ac:dyDescent="0.2">
      <c r="A390" s="2" t="s">
        <v>996</v>
      </c>
      <c r="B390" s="2" t="s">
        <v>1139</v>
      </c>
      <c r="C390" s="2" t="s">
        <v>1140</v>
      </c>
      <c r="D390" s="2" t="s">
        <v>1141</v>
      </c>
      <c r="E390" s="16">
        <v>26.895</v>
      </c>
      <c r="F390" s="16">
        <v>26.895</v>
      </c>
      <c r="G390" s="14">
        <v>43316</v>
      </c>
      <c r="H390" s="15">
        <v>0.98961805555556004</v>
      </c>
      <c r="I390" s="14">
        <v>43317</v>
      </c>
      <c r="J390" s="15">
        <v>0</v>
      </c>
      <c r="K390" s="13">
        <v>20</v>
      </c>
      <c r="L390" s="2" t="s">
        <v>64</v>
      </c>
      <c r="M390" s="2" t="s">
        <v>1053</v>
      </c>
      <c r="N390" s="14">
        <v>43319</v>
      </c>
      <c r="O390" s="14">
        <v>43318</v>
      </c>
      <c r="P390" s="2" t="s">
        <v>91</v>
      </c>
      <c r="Q390" s="2" t="s">
        <v>1142</v>
      </c>
      <c r="R390" s="2" t="s">
        <v>80</v>
      </c>
      <c r="S390" s="14">
        <v>43319</v>
      </c>
      <c r="T390" s="2" t="s">
        <v>6352</v>
      </c>
      <c r="U390" s="2" t="s">
        <v>1143</v>
      </c>
      <c r="V390" s="2" t="s">
        <v>81</v>
      </c>
      <c r="W390" s="2" t="s">
        <v>70</v>
      </c>
      <c r="X390" s="13">
        <v>108</v>
      </c>
      <c r="Y390" s="2" t="s">
        <v>71</v>
      </c>
      <c r="Z390" s="2" t="s">
        <v>72</v>
      </c>
      <c r="AA390" s="13">
        <v>25</v>
      </c>
      <c r="AB390" s="2" t="s">
        <v>73</v>
      </c>
      <c r="AC390" s="2" t="s">
        <v>6773</v>
      </c>
      <c r="AD390" s="27">
        <v>43278</v>
      </c>
      <c r="AL390" s="2" t="s">
        <v>5166</v>
      </c>
    </row>
    <row r="391" spans="1:38" hidden="1" x14ac:dyDescent="0.2">
      <c r="A391" s="2" t="s">
        <v>996</v>
      </c>
      <c r="B391" s="2" t="s">
        <v>1144</v>
      </c>
      <c r="C391" s="2" t="s">
        <v>1145</v>
      </c>
      <c r="D391" s="2" t="s">
        <v>1146</v>
      </c>
      <c r="E391" s="13">
        <v>1000</v>
      </c>
      <c r="F391" s="13">
        <v>1000</v>
      </c>
      <c r="G391" s="14">
        <v>43319</v>
      </c>
      <c r="H391" s="15">
        <v>0.61420138888888998</v>
      </c>
      <c r="I391" s="14">
        <v>43320</v>
      </c>
      <c r="J391" s="15">
        <v>0</v>
      </c>
      <c r="K391" s="13">
        <v>0</v>
      </c>
      <c r="L391" s="2" t="s">
        <v>64</v>
      </c>
      <c r="M391" s="2" t="s">
        <v>1015</v>
      </c>
      <c r="N391" s="14">
        <v>43322</v>
      </c>
      <c r="O391" s="14">
        <v>43321</v>
      </c>
      <c r="P391" s="2" t="s">
        <v>91</v>
      </c>
      <c r="Q391" s="2" t="s">
        <v>1147</v>
      </c>
      <c r="R391" s="2" t="s">
        <v>80</v>
      </c>
      <c r="S391" s="14">
        <v>43322</v>
      </c>
      <c r="T391" s="2" t="s">
        <v>6353</v>
      </c>
      <c r="U391" s="2" t="s">
        <v>168</v>
      </c>
      <c r="V391" s="2" t="s">
        <v>1148</v>
      </c>
      <c r="W391" s="2" t="s">
        <v>98</v>
      </c>
      <c r="X391" s="13">
        <v>108</v>
      </c>
      <c r="Y391" s="2" t="s">
        <v>71</v>
      </c>
      <c r="Z391" s="2" t="s">
        <v>72</v>
      </c>
      <c r="AA391" s="13">
        <v>1000</v>
      </c>
      <c r="AB391" s="2" t="s">
        <v>73</v>
      </c>
      <c r="AC391" s="2" t="s">
        <v>6773</v>
      </c>
      <c r="AD391" s="27">
        <v>43227</v>
      </c>
      <c r="AL391" s="2" t="s">
        <v>5167</v>
      </c>
    </row>
    <row r="392" spans="1:38" hidden="1" x14ac:dyDescent="0.2">
      <c r="A392" s="2" t="s">
        <v>996</v>
      </c>
      <c r="B392" s="2" t="s">
        <v>1149</v>
      </c>
      <c r="C392" s="2" t="s">
        <v>884</v>
      </c>
      <c r="D392" s="2" t="s">
        <v>885</v>
      </c>
      <c r="E392" s="13">
        <v>500</v>
      </c>
      <c r="F392" s="13">
        <v>500</v>
      </c>
      <c r="G392" s="14">
        <v>43320</v>
      </c>
      <c r="H392" s="15">
        <v>0.93979166666667002</v>
      </c>
      <c r="I392" s="14">
        <v>43321</v>
      </c>
      <c r="J392" s="15">
        <v>0.13269675925926</v>
      </c>
      <c r="K392" s="13">
        <v>20</v>
      </c>
      <c r="L392" s="2" t="s">
        <v>64</v>
      </c>
      <c r="M392" s="2" t="s">
        <v>1032</v>
      </c>
      <c r="N392" s="14">
        <v>43325</v>
      </c>
      <c r="O392" s="14">
        <v>43323</v>
      </c>
      <c r="P392" s="2" t="s">
        <v>78</v>
      </c>
      <c r="Q392" s="2" t="s">
        <v>1150</v>
      </c>
      <c r="R392" s="2" t="s">
        <v>80</v>
      </c>
      <c r="S392" s="14">
        <v>43325</v>
      </c>
      <c r="T392" s="2" t="s">
        <v>6354</v>
      </c>
      <c r="U392" s="2" t="s">
        <v>887</v>
      </c>
      <c r="V392" s="2" t="s">
        <v>69</v>
      </c>
      <c r="W392" s="2" t="s">
        <v>70</v>
      </c>
      <c r="X392" s="13">
        <v>108</v>
      </c>
      <c r="Y392" s="2" t="s">
        <v>71</v>
      </c>
      <c r="Z392" s="2" t="s">
        <v>72</v>
      </c>
      <c r="AA392" s="13">
        <v>500</v>
      </c>
      <c r="AB392" s="2" t="s">
        <v>73</v>
      </c>
      <c r="AC392" s="2" t="s">
        <v>6773</v>
      </c>
      <c r="AD392" s="27">
        <v>43263</v>
      </c>
      <c r="AL392" s="2" t="s">
        <v>5168</v>
      </c>
    </row>
    <row r="393" spans="1:38" hidden="1" x14ac:dyDescent="0.2">
      <c r="A393" s="2" t="s">
        <v>996</v>
      </c>
      <c r="B393" s="2" t="s">
        <v>4364</v>
      </c>
      <c r="C393" s="2" t="s">
        <v>4365</v>
      </c>
      <c r="D393" s="2" t="s">
        <v>4366</v>
      </c>
      <c r="E393" s="13">
        <v>150</v>
      </c>
      <c r="F393" s="13">
        <v>150</v>
      </c>
      <c r="G393" s="14">
        <v>43322</v>
      </c>
      <c r="H393" s="15">
        <v>0.94212962962962998</v>
      </c>
      <c r="I393" s="14">
        <v>43323</v>
      </c>
      <c r="J393" s="15">
        <v>0</v>
      </c>
      <c r="K393" s="13">
        <v>0</v>
      </c>
      <c r="L393" s="2" t="s">
        <v>64</v>
      </c>
      <c r="M393" s="2" t="s">
        <v>4342</v>
      </c>
      <c r="N393" s="14">
        <v>43325</v>
      </c>
      <c r="O393" s="14">
        <v>43324</v>
      </c>
      <c r="P393" s="2" t="s">
        <v>91</v>
      </c>
      <c r="Q393" s="2" t="s">
        <v>4367</v>
      </c>
      <c r="R393" s="2" t="s">
        <v>80</v>
      </c>
      <c r="S393" s="14">
        <v>43325</v>
      </c>
      <c r="U393" s="2" t="s">
        <v>812</v>
      </c>
      <c r="V393" s="2" t="s">
        <v>4368</v>
      </c>
      <c r="W393" s="2" t="s">
        <v>98</v>
      </c>
      <c r="X393" s="13">
        <v>108</v>
      </c>
      <c r="Y393" s="2" t="s">
        <v>71</v>
      </c>
      <c r="Z393" s="2" t="s">
        <v>72</v>
      </c>
      <c r="AA393" s="13">
        <v>150</v>
      </c>
      <c r="AB393" s="2" t="s">
        <v>73</v>
      </c>
      <c r="AD393" s="27"/>
      <c r="AL393" s="2" t="s">
        <v>4787</v>
      </c>
    </row>
    <row r="394" spans="1:38" hidden="1" x14ac:dyDescent="0.2">
      <c r="A394" s="2" t="s">
        <v>996</v>
      </c>
      <c r="B394" s="2" t="s">
        <v>1151</v>
      </c>
      <c r="C394" s="2" t="s">
        <v>1152</v>
      </c>
      <c r="D394" s="2" t="s">
        <v>1153</v>
      </c>
      <c r="E394" s="13">
        <v>100</v>
      </c>
      <c r="F394" s="13">
        <v>100</v>
      </c>
      <c r="G394" s="14">
        <v>43323</v>
      </c>
      <c r="H394" s="15">
        <v>0.74768518518519</v>
      </c>
      <c r="I394" s="14">
        <v>43323</v>
      </c>
      <c r="J394" s="15">
        <v>0.78626157407407005</v>
      </c>
      <c r="K394" s="13">
        <v>0</v>
      </c>
      <c r="L394" s="2" t="s">
        <v>64</v>
      </c>
      <c r="M394" s="2" t="s">
        <v>1049</v>
      </c>
      <c r="N394" s="14">
        <v>43326</v>
      </c>
      <c r="O394" s="14">
        <v>43325</v>
      </c>
      <c r="P394" s="2" t="s">
        <v>91</v>
      </c>
      <c r="Q394" s="2" t="s">
        <v>1154</v>
      </c>
      <c r="R394" s="2" t="s">
        <v>80</v>
      </c>
      <c r="S394" s="14">
        <v>43326</v>
      </c>
      <c r="U394" s="2" t="s">
        <v>1155</v>
      </c>
      <c r="V394" s="2" t="s">
        <v>1156</v>
      </c>
      <c r="W394" s="2" t="s">
        <v>70</v>
      </c>
      <c r="X394" s="13">
        <v>108</v>
      </c>
      <c r="Y394" s="2" t="s">
        <v>71</v>
      </c>
      <c r="Z394" s="2" t="s">
        <v>72</v>
      </c>
      <c r="AA394" s="13">
        <v>100</v>
      </c>
      <c r="AB394" s="2" t="s">
        <v>73</v>
      </c>
      <c r="AC394" s="2" t="s">
        <v>6773</v>
      </c>
      <c r="AD394" s="27"/>
      <c r="AL394" s="2" t="s">
        <v>7210</v>
      </c>
    </row>
    <row r="395" spans="1:38" hidden="1" x14ac:dyDescent="0.2">
      <c r="A395" s="2" t="s">
        <v>996</v>
      </c>
      <c r="B395" s="2" t="s">
        <v>1157</v>
      </c>
      <c r="C395" s="2" t="s">
        <v>1158</v>
      </c>
      <c r="D395" s="2" t="s">
        <v>1159</v>
      </c>
      <c r="E395" s="13">
        <v>500</v>
      </c>
      <c r="F395" s="13">
        <v>500</v>
      </c>
      <c r="G395" s="14">
        <v>43323</v>
      </c>
      <c r="H395" s="15">
        <v>0.80709490740740997</v>
      </c>
      <c r="I395" s="14">
        <v>43324</v>
      </c>
      <c r="J395" s="15">
        <v>0</v>
      </c>
      <c r="K395" s="13">
        <v>0</v>
      </c>
      <c r="L395" s="2" t="s">
        <v>64</v>
      </c>
      <c r="M395" s="2" t="s">
        <v>1032</v>
      </c>
      <c r="N395" s="14">
        <v>43326</v>
      </c>
      <c r="O395" s="14">
        <v>43325</v>
      </c>
      <c r="P395" s="2" t="s">
        <v>1160</v>
      </c>
      <c r="Q395" s="2" t="s">
        <v>1161</v>
      </c>
      <c r="R395" s="2" t="s">
        <v>80</v>
      </c>
      <c r="S395" s="14">
        <v>43326</v>
      </c>
      <c r="U395" s="2" t="s">
        <v>1044</v>
      </c>
      <c r="V395" s="2" t="s">
        <v>1162</v>
      </c>
      <c r="W395" s="2" t="s">
        <v>70</v>
      </c>
      <c r="X395" s="13">
        <v>108</v>
      </c>
      <c r="Y395" s="2" t="s">
        <v>71</v>
      </c>
      <c r="Z395" s="2" t="s">
        <v>72</v>
      </c>
      <c r="AA395" s="13">
        <v>500</v>
      </c>
      <c r="AB395" s="2" t="s">
        <v>73</v>
      </c>
      <c r="AC395" s="2" t="s">
        <v>6773</v>
      </c>
      <c r="AD395" s="27"/>
      <c r="AL395" s="2" t="s">
        <v>7211</v>
      </c>
    </row>
    <row r="396" spans="1:38" hidden="1" x14ac:dyDescent="0.2">
      <c r="A396" s="2" t="s">
        <v>996</v>
      </c>
      <c r="B396" s="2" t="s">
        <v>1163</v>
      </c>
      <c r="C396" s="2" t="s">
        <v>1164</v>
      </c>
      <c r="D396" s="2" t="s">
        <v>1165</v>
      </c>
      <c r="E396" s="13">
        <v>5000</v>
      </c>
      <c r="F396" s="13">
        <v>5000</v>
      </c>
      <c r="G396" s="14">
        <v>43330</v>
      </c>
      <c r="H396" s="15">
        <v>7.09837962963E-2</v>
      </c>
      <c r="I396" s="14">
        <v>43332</v>
      </c>
      <c r="J396" s="15">
        <v>0</v>
      </c>
      <c r="K396" s="13">
        <v>20</v>
      </c>
      <c r="L396" s="2" t="s">
        <v>64</v>
      </c>
      <c r="M396" s="2" t="s">
        <v>1166</v>
      </c>
      <c r="N396" s="14">
        <v>43334</v>
      </c>
      <c r="O396" s="14">
        <v>43333</v>
      </c>
      <c r="P396" s="2" t="s">
        <v>1167</v>
      </c>
      <c r="Q396" s="2" t="s">
        <v>1168</v>
      </c>
      <c r="R396" s="2" t="s">
        <v>80</v>
      </c>
      <c r="S396" s="14">
        <v>43334</v>
      </c>
      <c r="U396" s="2" t="s">
        <v>1169</v>
      </c>
      <c r="V396" s="2" t="s">
        <v>1003</v>
      </c>
      <c r="W396" s="2" t="s">
        <v>70</v>
      </c>
      <c r="X396" s="13">
        <v>108</v>
      </c>
      <c r="Y396" s="2" t="s">
        <v>71</v>
      </c>
      <c r="Z396" s="2" t="s">
        <v>72</v>
      </c>
      <c r="AA396" s="13">
        <v>5000</v>
      </c>
      <c r="AB396" s="2" t="s">
        <v>73</v>
      </c>
      <c r="AC396" s="2" t="s">
        <v>6773</v>
      </c>
      <c r="AD396" s="27"/>
      <c r="AL396" s="2" t="s">
        <v>7212</v>
      </c>
    </row>
    <row r="397" spans="1:38" hidden="1" x14ac:dyDescent="0.2">
      <c r="A397" s="2" t="s">
        <v>996</v>
      </c>
      <c r="B397" s="2" t="s">
        <v>1170</v>
      </c>
      <c r="C397" s="2" t="s">
        <v>1171</v>
      </c>
      <c r="D397" s="2" t="s">
        <v>1172</v>
      </c>
      <c r="E397" s="13">
        <v>1000</v>
      </c>
      <c r="F397" s="13">
        <v>1000</v>
      </c>
      <c r="G397" s="14">
        <v>43330</v>
      </c>
      <c r="H397" s="15">
        <v>0.61420138888888998</v>
      </c>
      <c r="I397" s="14">
        <v>43331</v>
      </c>
      <c r="J397" s="15">
        <v>0</v>
      </c>
      <c r="K397" s="13">
        <v>0</v>
      </c>
      <c r="L397" s="2" t="s">
        <v>64</v>
      </c>
      <c r="M397" s="2" t="s">
        <v>1015</v>
      </c>
      <c r="N397" s="14">
        <v>43333</v>
      </c>
      <c r="O397" s="14">
        <v>43332</v>
      </c>
      <c r="P397" s="2" t="s">
        <v>1020</v>
      </c>
      <c r="Q397" s="2" t="s">
        <v>1173</v>
      </c>
      <c r="R397" s="2" t="s">
        <v>80</v>
      </c>
      <c r="S397" s="14">
        <v>43333</v>
      </c>
      <c r="U397" s="2" t="s">
        <v>1044</v>
      </c>
      <c r="V397" s="2" t="s">
        <v>1174</v>
      </c>
      <c r="W397" s="2" t="s">
        <v>70</v>
      </c>
      <c r="X397" s="13">
        <v>108</v>
      </c>
      <c r="Y397" s="2" t="s">
        <v>71</v>
      </c>
      <c r="Z397" s="2" t="s">
        <v>72</v>
      </c>
      <c r="AA397" s="13">
        <v>1000</v>
      </c>
      <c r="AB397" s="2" t="s">
        <v>73</v>
      </c>
      <c r="AC397" s="2" t="s">
        <v>6773</v>
      </c>
      <c r="AD397" s="27"/>
      <c r="AL397" s="2" t="s">
        <v>7213</v>
      </c>
    </row>
    <row r="398" spans="1:38" hidden="1" x14ac:dyDescent="0.2">
      <c r="A398" s="2" t="s">
        <v>996</v>
      </c>
      <c r="B398" s="2" t="s">
        <v>1175</v>
      </c>
      <c r="C398" s="2" t="s">
        <v>1087</v>
      </c>
      <c r="D398" s="2" t="s">
        <v>1088</v>
      </c>
      <c r="E398" s="13">
        <v>1000</v>
      </c>
      <c r="F398" s="13">
        <v>1000</v>
      </c>
      <c r="G398" s="14">
        <v>43332</v>
      </c>
      <c r="H398" s="15">
        <v>0.61420138888888998</v>
      </c>
      <c r="I398" s="14">
        <v>43333</v>
      </c>
      <c r="J398" s="15">
        <v>0</v>
      </c>
      <c r="K398" s="13">
        <v>0</v>
      </c>
      <c r="L398" s="2" t="s">
        <v>64</v>
      </c>
      <c r="M398" s="2" t="s">
        <v>1015</v>
      </c>
      <c r="N398" s="14">
        <v>43335</v>
      </c>
      <c r="O398" s="14">
        <v>43334</v>
      </c>
      <c r="P398" s="2" t="s">
        <v>1070</v>
      </c>
      <c r="Q398" s="2" t="s">
        <v>1176</v>
      </c>
      <c r="R398" s="2" t="s">
        <v>80</v>
      </c>
      <c r="S398" s="14">
        <v>43335</v>
      </c>
      <c r="U398" s="2" t="s">
        <v>1044</v>
      </c>
      <c r="V398" s="2" t="s">
        <v>1091</v>
      </c>
      <c r="W398" s="2" t="s">
        <v>70</v>
      </c>
      <c r="X398" s="13">
        <v>108</v>
      </c>
      <c r="Y398" s="2" t="s">
        <v>71</v>
      </c>
      <c r="Z398" s="2" t="s">
        <v>72</v>
      </c>
      <c r="AA398" s="13">
        <v>1000</v>
      </c>
      <c r="AB398" s="2" t="s">
        <v>73</v>
      </c>
      <c r="AC398" s="2" t="s">
        <v>6773</v>
      </c>
      <c r="AD398" s="27"/>
      <c r="AL398" s="2" t="s">
        <v>7214</v>
      </c>
    </row>
    <row r="399" spans="1:38" hidden="1" x14ac:dyDescent="0.2">
      <c r="A399" s="2" t="s">
        <v>996</v>
      </c>
      <c r="B399" s="2" t="s">
        <v>1177</v>
      </c>
      <c r="C399" s="2" t="s">
        <v>1178</v>
      </c>
      <c r="D399" s="2" t="s">
        <v>1179</v>
      </c>
      <c r="E399" s="13">
        <v>500</v>
      </c>
      <c r="F399" s="13">
        <v>500</v>
      </c>
      <c r="G399" s="14">
        <v>43333</v>
      </c>
      <c r="H399" s="15">
        <v>0.93979166666667002</v>
      </c>
      <c r="I399" s="14">
        <v>43334</v>
      </c>
      <c r="J399" s="15">
        <v>0.13269675925926</v>
      </c>
      <c r="K399" s="13">
        <v>0</v>
      </c>
      <c r="L399" s="2" t="s">
        <v>64</v>
      </c>
      <c r="M399" s="2" t="s">
        <v>1032</v>
      </c>
      <c r="N399" s="14">
        <v>43336</v>
      </c>
      <c r="O399" s="14">
        <v>43336</v>
      </c>
      <c r="P399" s="2" t="s">
        <v>91</v>
      </c>
      <c r="Q399" s="2" t="s">
        <v>1180</v>
      </c>
      <c r="R399" s="2" t="s">
        <v>80</v>
      </c>
      <c r="S399" s="14">
        <v>43336</v>
      </c>
      <c r="U399" s="2" t="s">
        <v>215</v>
      </c>
      <c r="V399" s="2" t="s">
        <v>1181</v>
      </c>
      <c r="W399" s="2" t="s">
        <v>70</v>
      </c>
      <c r="X399" s="13">
        <v>108</v>
      </c>
      <c r="Y399" s="2" t="s">
        <v>71</v>
      </c>
      <c r="Z399" s="2" t="s">
        <v>72</v>
      </c>
      <c r="AA399" s="13">
        <v>500</v>
      </c>
      <c r="AB399" s="2" t="s">
        <v>73</v>
      </c>
      <c r="AC399" s="2" t="s">
        <v>6773</v>
      </c>
      <c r="AD399" s="27"/>
      <c r="AL399" s="2" t="s">
        <v>7215</v>
      </c>
    </row>
    <row r="400" spans="1:38" hidden="1" x14ac:dyDescent="0.2">
      <c r="A400" s="2" t="s">
        <v>996</v>
      </c>
      <c r="B400" s="2" t="s">
        <v>1182</v>
      </c>
      <c r="C400" s="2" t="s">
        <v>1047</v>
      </c>
      <c r="D400" s="2" t="s">
        <v>1048</v>
      </c>
      <c r="E400" s="13">
        <v>100</v>
      </c>
      <c r="F400" s="13">
        <v>100</v>
      </c>
      <c r="G400" s="14">
        <v>43335</v>
      </c>
      <c r="H400" s="15">
        <v>8.2569444444440004E-2</v>
      </c>
      <c r="I400" s="14">
        <v>43335</v>
      </c>
      <c r="J400" s="15">
        <v>0.12114583333333</v>
      </c>
      <c r="K400" s="13">
        <v>0</v>
      </c>
      <c r="L400" s="2" t="s">
        <v>64</v>
      </c>
      <c r="M400" s="2" t="s">
        <v>1049</v>
      </c>
      <c r="N400" s="14">
        <v>43340</v>
      </c>
      <c r="O400" s="14">
        <v>43337</v>
      </c>
      <c r="P400" s="2" t="s">
        <v>1050</v>
      </c>
      <c r="Q400" s="2" t="s">
        <v>1183</v>
      </c>
      <c r="R400" s="2" t="s">
        <v>80</v>
      </c>
      <c r="S400" s="14">
        <v>43340</v>
      </c>
      <c r="U400" s="2" t="s">
        <v>1012</v>
      </c>
      <c r="V400" s="2" t="s">
        <v>1052</v>
      </c>
      <c r="W400" s="2" t="s">
        <v>70</v>
      </c>
      <c r="X400" s="13">
        <v>108</v>
      </c>
      <c r="Y400" s="2" t="s">
        <v>71</v>
      </c>
      <c r="Z400" s="2" t="s">
        <v>72</v>
      </c>
      <c r="AA400" s="13">
        <v>100</v>
      </c>
      <c r="AB400" s="2" t="s">
        <v>73</v>
      </c>
      <c r="AC400" s="2" t="s">
        <v>6773</v>
      </c>
      <c r="AD400" s="27"/>
      <c r="AL400" s="2" t="s">
        <v>5169</v>
      </c>
    </row>
    <row r="401" spans="1:38" hidden="1" x14ac:dyDescent="0.2">
      <c r="A401" s="2" t="s">
        <v>996</v>
      </c>
      <c r="B401" s="2" t="s">
        <v>1184</v>
      </c>
      <c r="C401" s="2" t="s">
        <v>1127</v>
      </c>
      <c r="D401" s="2" t="s">
        <v>1128</v>
      </c>
      <c r="E401" s="13">
        <v>10000</v>
      </c>
      <c r="F401" s="13">
        <v>10000</v>
      </c>
      <c r="G401" s="14">
        <v>43335</v>
      </c>
      <c r="H401" s="15">
        <v>0.14197916666666999</v>
      </c>
      <c r="I401" s="14">
        <v>43339</v>
      </c>
      <c r="J401" s="15">
        <v>0</v>
      </c>
      <c r="K401" s="13">
        <v>20</v>
      </c>
      <c r="L401" s="2" t="s">
        <v>64</v>
      </c>
      <c r="M401" s="2" t="s">
        <v>1129</v>
      </c>
      <c r="N401" s="14">
        <v>43353</v>
      </c>
      <c r="O401" s="14">
        <v>43345</v>
      </c>
      <c r="P401" s="2" t="s">
        <v>91</v>
      </c>
      <c r="Q401" s="2" t="s">
        <v>1185</v>
      </c>
      <c r="R401" s="2" t="s">
        <v>80</v>
      </c>
      <c r="S401" s="14">
        <v>43352</v>
      </c>
      <c r="U401" s="2" t="s">
        <v>1131</v>
      </c>
      <c r="V401" s="2" t="s">
        <v>1132</v>
      </c>
      <c r="W401" s="2" t="s">
        <v>70</v>
      </c>
      <c r="X401" s="13">
        <v>108</v>
      </c>
      <c r="Y401" s="2" t="s">
        <v>71</v>
      </c>
      <c r="Z401" s="2" t="s">
        <v>72</v>
      </c>
      <c r="AA401" s="13">
        <v>10000</v>
      </c>
      <c r="AB401" s="2" t="s">
        <v>73</v>
      </c>
      <c r="AC401" s="2" t="s">
        <v>6773</v>
      </c>
      <c r="AD401" s="27"/>
      <c r="AL401" s="2" t="s">
        <v>5170</v>
      </c>
    </row>
    <row r="402" spans="1:38" hidden="1" x14ac:dyDescent="0.2">
      <c r="A402" s="2" t="s">
        <v>996</v>
      </c>
      <c r="B402" s="2" t="s">
        <v>1192</v>
      </c>
      <c r="C402" s="2" t="s">
        <v>1193</v>
      </c>
      <c r="D402" s="2" t="s">
        <v>1194</v>
      </c>
      <c r="E402" s="13">
        <v>300</v>
      </c>
      <c r="F402" s="13">
        <v>300</v>
      </c>
      <c r="G402" s="14">
        <v>43345</v>
      </c>
      <c r="H402" s="15">
        <v>0.88425925925925997</v>
      </c>
      <c r="I402" s="14">
        <v>43346</v>
      </c>
      <c r="J402" s="15">
        <v>0</v>
      </c>
      <c r="K402" s="13">
        <v>20</v>
      </c>
      <c r="L402" s="2" t="s">
        <v>64</v>
      </c>
      <c r="M402" s="2" t="s">
        <v>1000</v>
      </c>
      <c r="N402" s="14">
        <v>43348</v>
      </c>
      <c r="O402" s="14">
        <v>43347</v>
      </c>
      <c r="P402" s="2" t="s">
        <v>1076</v>
      </c>
      <c r="Q402" s="2" t="s">
        <v>1195</v>
      </c>
      <c r="R402" s="2" t="s">
        <v>80</v>
      </c>
      <c r="S402" s="14">
        <v>43348</v>
      </c>
      <c r="U402" s="2" t="s">
        <v>1012</v>
      </c>
      <c r="V402" s="2" t="s">
        <v>1196</v>
      </c>
      <c r="W402" s="2" t="s">
        <v>70</v>
      </c>
      <c r="X402" s="13">
        <v>108</v>
      </c>
      <c r="Y402" s="2" t="s">
        <v>71</v>
      </c>
      <c r="Z402" s="2" t="s">
        <v>72</v>
      </c>
      <c r="AA402" s="13">
        <v>300</v>
      </c>
      <c r="AB402" s="2" t="s">
        <v>73</v>
      </c>
      <c r="AC402" s="2" t="s">
        <v>6773</v>
      </c>
      <c r="AD402" s="27"/>
      <c r="AL402" s="2" t="s">
        <v>5171</v>
      </c>
    </row>
    <row r="403" spans="1:38" hidden="1" x14ac:dyDescent="0.2">
      <c r="A403" s="2" t="s">
        <v>996</v>
      </c>
      <c r="B403" s="2" t="s">
        <v>4369</v>
      </c>
      <c r="C403" s="2" t="s">
        <v>1087</v>
      </c>
      <c r="D403" s="2" t="s">
        <v>1088</v>
      </c>
      <c r="E403" s="16">
        <v>3227.4</v>
      </c>
      <c r="F403" s="16">
        <v>3227.4</v>
      </c>
      <c r="G403" s="14">
        <v>43357</v>
      </c>
      <c r="H403" s="15">
        <v>0.75486111111110998</v>
      </c>
      <c r="I403" s="14">
        <v>43359</v>
      </c>
      <c r="J403" s="15">
        <v>0</v>
      </c>
      <c r="K403" s="13">
        <v>0</v>
      </c>
      <c r="L403" s="2" t="s">
        <v>64</v>
      </c>
      <c r="M403" s="2" t="s">
        <v>4370</v>
      </c>
      <c r="N403" s="14">
        <v>43361</v>
      </c>
      <c r="O403" s="14">
        <v>43360</v>
      </c>
      <c r="P403" s="2" t="s">
        <v>1070</v>
      </c>
      <c r="Q403" s="2" t="s">
        <v>4371</v>
      </c>
      <c r="R403" s="2" t="s">
        <v>80</v>
      </c>
      <c r="S403" s="14">
        <v>43361</v>
      </c>
      <c r="U403" s="2" t="s">
        <v>1044</v>
      </c>
      <c r="V403" s="2" t="s">
        <v>1091</v>
      </c>
      <c r="W403" s="2" t="s">
        <v>70</v>
      </c>
      <c r="X403" s="13">
        <v>108</v>
      </c>
      <c r="Y403" s="2" t="s">
        <v>71</v>
      </c>
      <c r="Z403" s="2" t="s">
        <v>72</v>
      </c>
      <c r="AA403" s="13">
        <v>3000</v>
      </c>
      <c r="AB403" s="2" t="s">
        <v>73</v>
      </c>
      <c r="AC403" s="2" t="s">
        <v>6773</v>
      </c>
      <c r="AD403" s="27"/>
      <c r="AL403" s="2" t="s">
        <v>5172</v>
      </c>
    </row>
    <row r="404" spans="1:38" hidden="1" x14ac:dyDescent="0.2">
      <c r="A404" s="2" t="s">
        <v>996</v>
      </c>
      <c r="B404" s="2" t="s">
        <v>1197</v>
      </c>
      <c r="C404" s="2" t="s">
        <v>1093</v>
      </c>
      <c r="D404" s="2" t="s">
        <v>1094</v>
      </c>
      <c r="E404" s="13">
        <v>100</v>
      </c>
      <c r="F404" s="13">
        <v>100</v>
      </c>
      <c r="G404" s="14">
        <v>43359</v>
      </c>
      <c r="H404" s="15">
        <v>0.96142361111110997</v>
      </c>
      <c r="I404" s="14">
        <v>43360</v>
      </c>
      <c r="J404" s="15">
        <v>0</v>
      </c>
      <c r="K404" s="13">
        <v>0</v>
      </c>
      <c r="L404" s="2" t="s">
        <v>64</v>
      </c>
      <c r="M404" s="2" t="s">
        <v>1049</v>
      </c>
      <c r="N404" s="14">
        <v>43362</v>
      </c>
      <c r="O404" s="14">
        <v>43361</v>
      </c>
      <c r="P404" s="2" t="s">
        <v>91</v>
      </c>
      <c r="Q404" s="2" t="s">
        <v>1198</v>
      </c>
      <c r="R404" s="2" t="s">
        <v>80</v>
      </c>
      <c r="S404" s="14">
        <v>43362</v>
      </c>
      <c r="U404" s="2" t="s">
        <v>1044</v>
      </c>
      <c r="V404" s="2" t="s">
        <v>1052</v>
      </c>
      <c r="W404" s="2" t="s">
        <v>70</v>
      </c>
      <c r="X404" s="13">
        <v>108</v>
      </c>
      <c r="Y404" s="2" t="s">
        <v>71</v>
      </c>
      <c r="Z404" s="2" t="s">
        <v>72</v>
      </c>
      <c r="AA404" s="13">
        <v>100</v>
      </c>
      <c r="AB404" s="2" t="s">
        <v>73</v>
      </c>
      <c r="AC404" s="2" t="s">
        <v>6773</v>
      </c>
      <c r="AD404" s="27"/>
      <c r="AL404" s="2" t="s">
        <v>5173</v>
      </c>
    </row>
    <row r="405" spans="1:38" hidden="1" x14ac:dyDescent="0.2">
      <c r="A405" s="2" t="s">
        <v>996</v>
      </c>
      <c r="B405" s="2" t="s">
        <v>1199</v>
      </c>
      <c r="C405" s="2" t="s">
        <v>1200</v>
      </c>
      <c r="D405" s="2" t="s">
        <v>1201</v>
      </c>
      <c r="E405" s="16">
        <v>26.895</v>
      </c>
      <c r="F405" s="16">
        <v>26.895</v>
      </c>
      <c r="G405" s="14">
        <v>43367</v>
      </c>
      <c r="H405" s="15">
        <v>0.98961805555556004</v>
      </c>
      <c r="I405" s="14">
        <v>43368</v>
      </c>
      <c r="J405" s="15">
        <v>0</v>
      </c>
      <c r="K405" s="13">
        <v>25</v>
      </c>
      <c r="L405" s="2" t="s">
        <v>64</v>
      </c>
      <c r="M405" s="2" t="s">
        <v>1053</v>
      </c>
      <c r="N405" s="14">
        <v>43301</v>
      </c>
      <c r="O405" s="14">
        <v>43369</v>
      </c>
      <c r="P405" s="2" t="s">
        <v>91</v>
      </c>
      <c r="Q405" s="2" t="s">
        <v>1202</v>
      </c>
      <c r="R405" s="2" t="s">
        <v>80</v>
      </c>
      <c r="S405" s="14">
        <v>43301</v>
      </c>
      <c r="U405" s="2" t="s">
        <v>1203</v>
      </c>
      <c r="V405" s="2" t="s">
        <v>1204</v>
      </c>
      <c r="W405" s="2" t="s">
        <v>70</v>
      </c>
      <c r="X405" s="13">
        <v>108</v>
      </c>
      <c r="Y405" s="2" t="s">
        <v>71</v>
      </c>
      <c r="Z405" s="2" t="s">
        <v>72</v>
      </c>
      <c r="AA405" s="16">
        <v>26.895</v>
      </c>
      <c r="AB405" s="2" t="s">
        <v>107</v>
      </c>
      <c r="AC405" s="2" t="s">
        <v>6773</v>
      </c>
      <c r="AD405" s="27"/>
      <c r="AL405" s="2" t="s">
        <v>7216</v>
      </c>
    </row>
    <row r="406" spans="1:38" hidden="1" x14ac:dyDescent="0.2">
      <c r="A406" s="2" t="s">
        <v>1205</v>
      </c>
      <c r="B406" s="2" t="s">
        <v>1206</v>
      </c>
      <c r="C406" s="2" t="s">
        <v>1207</v>
      </c>
      <c r="D406" s="2" t="s">
        <v>1208</v>
      </c>
      <c r="E406" s="13">
        <v>25</v>
      </c>
      <c r="F406" s="13">
        <v>50</v>
      </c>
      <c r="G406" s="14">
        <v>43287</v>
      </c>
      <c r="H406" s="15">
        <v>0</v>
      </c>
      <c r="I406" s="14">
        <v>43287</v>
      </c>
      <c r="J406" s="15">
        <v>1.578703703704E-2</v>
      </c>
      <c r="K406" s="13">
        <v>25</v>
      </c>
      <c r="L406" s="2" t="s">
        <v>64</v>
      </c>
      <c r="M406" s="2" t="s">
        <v>4372</v>
      </c>
      <c r="N406" s="14">
        <v>43292</v>
      </c>
      <c r="O406" s="14">
        <v>43294</v>
      </c>
      <c r="P406" s="2" t="s">
        <v>404</v>
      </c>
      <c r="Q406" s="2" t="s">
        <v>98</v>
      </c>
      <c r="R406" s="2" t="s">
        <v>131</v>
      </c>
      <c r="S406" s="14"/>
      <c r="T406" s="2" t="s">
        <v>6355</v>
      </c>
      <c r="U406" s="2" t="s">
        <v>1209</v>
      </c>
      <c r="V406" s="2" t="s">
        <v>1210</v>
      </c>
      <c r="W406" s="2" t="s">
        <v>70</v>
      </c>
      <c r="X406" s="13">
        <v>132</v>
      </c>
      <c r="Y406" s="2" t="s">
        <v>71</v>
      </c>
      <c r="Z406" s="2" t="s">
        <v>72</v>
      </c>
      <c r="AA406" s="13">
        <v>25</v>
      </c>
      <c r="AB406" s="2" t="s">
        <v>107</v>
      </c>
      <c r="AC406" s="2" t="s">
        <v>6773</v>
      </c>
      <c r="AD406" s="27">
        <v>43280</v>
      </c>
      <c r="AL406" s="2" t="s">
        <v>5174</v>
      </c>
    </row>
    <row r="407" spans="1:38" hidden="1" x14ac:dyDescent="0.2">
      <c r="A407" s="2" t="s">
        <v>1205</v>
      </c>
      <c r="B407" s="2" t="s">
        <v>1211</v>
      </c>
      <c r="C407" s="2" t="s">
        <v>1212</v>
      </c>
      <c r="D407" s="2" t="s">
        <v>1213</v>
      </c>
      <c r="E407" s="13">
        <v>2000</v>
      </c>
      <c r="F407" s="13">
        <v>2000</v>
      </c>
      <c r="G407" s="14">
        <v>43287</v>
      </c>
      <c r="H407" s="15">
        <v>0.42811342592592999</v>
      </c>
      <c r="I407" s="14">
        <v>43288</v>
      </c>
      <c r="J407" s="15">
        <v>5.9421296296299997E-2</v>
      </c>
      <c r="K407" s="13">
        <v>0</v>
      </c>
      <c r="L407" s="2" t="s">
        <v>64</v>
      </c>
      <c r="M407" s="2" t="s">
        <v>1214</v>
      </c>
      <c r="N407" s="14">
        <v>43297</v>
      </c>
      <c r="O407" s="14">
        <v>43290</v>
      </c>
      <c r="P407" s="2" t="s">
        <v>91</v>
      </c>
      <c r="Q407" s="2" t="s">
        <v>1215</v>
      </c>
      <c r="R407" s="2" t="s">
        <v>80</v>
      </c>
      <c r="S407" s="14">
        <v>43297</v>
      </c>
      <c r="T407" s="2" t="s">
        <v>6356</v>
      </c>
      <c r="U407" s="2" t="s">
        <v>1216</v>
      </c>
      <c r="V407" s="2" t="s">
        <v>1217</v>
      </c>
      <c r="W407" s="2" t="s">
        <v>70</v>
      </c>
      <c r="X407" s="13">
        <v>132</v>
      </c>
      <c r="Y407" s="2" t="s">
        <v>71</v>
      </c>
      <c r="Z407" s="2" t="s">
        <v>72</v>
      </c>
      <c r="AA407" s="13">
        <v>2000</v>
      </c>
      <c r="AB407" s="2" t="s">
        <v>107</v>
      </c>
      <c r="AC407" s="2" t="s">
        <v>6773</v>
      </c>
      <c r="AD407" s="27">
        <v>43252</v>
      </c>
      <c r="AL407" s="2" t="s">
        <v>5175</v>
      </c>
    </row>
    <row r="408" spans="1:38" hidden="1" x14ac:dyDescent="0.2">
      <c r="A408" s="2" t="s">
        <v>1205</v>
      </c>
      <c r="B408" s="2" t="s">
        <v>1218</v>
      </c>
      <c r="C408" s="2" t="s">
        <v>1219</v>
      </c>
      <c r="D408" s="2" t="s">
        <v>1220</v>
      </c>
      <c r="E408" s="16">
        <v>1057.4000000000001</v>
      </c>
      <c r="F408" s="16">
        <v>1057.4000000000001</v>
      </c>
      <c r="G408" s="14">
        <v>43288</v>
      </c>
      <c r="H408" s="15">
        <v>9.5092592592589995E-2</v>
      </c>
      <c r="I408" s="14">
        <v>43288</v>
      </c>
      <c r="J408" s="15">
        <v>0.42886574074074002</v>
      </c>
      <c r="K408" s="13">
        <v>0</v>
      </c>
      <c r="L408" s="2" t="s">
        <v>64</v>
      </c>
      <c r="M408" s="2" t="s">
        <v>1243</v>
      </c>
      <c r="N408" s="14">
        <v>43292</v>
      </c>
      <c r="O408" s="14">
        <v>43290</v>
      </c>
      <c r="P408" s="2" t="s">
        <v>91</v>
      </c>
      <c r="Q408" s="2" t="s">
        <v>6946</v>
      </c>
      <c r="R408" s="2" t="s">
        <v>80</v>
      </c>
      <c r="S408" s="14">
        <v>43292</v>
      </c>
      <c r="T408" s="2" t="s">
        <v>6357</v>
      </c>
      <c r="U408" s="2" t="s">
        <v>484</v>
      </c>
      <c r="V408" s="2" t="s">
        <v>1221</v>
      </c>
      <c r="W408" s="2" t="s">
        <v>70</v>
      </c>
      <c r="X408" s="13">
        <v>132</v>
      </c>
      <c r="Y408" s="2" t="s">
        <v>71</v>
      </c>
      <c r="Z408" s="2" t="s">
        <v>72</v>
      </c>
      <c r="AA408" s="13">
        <v>1000</v>
      </c>
      <c r="AB408" s="2" t="s">
        <v>107</v>
      </c>
      <c r="AC408" s="2" t="s">
        <v>6773</v>
      </c>
      <c r="AD408" s="27">
        <v>43244</v>
      </c>
      <c r="AL408" s="2" t="s">
        <v>5176</v>
      </c>
    </row>
    <row r="409" spans="1:38" hidden="1" x14ac:dyDescent="0.2">
      <c r="A409" s="2" t="s">
        <v>1205</v>
      </c>
      <c r="B409" s="2" t="s">
        <v>1222</v>
      </c>
      <c r="C409" s="2" t="s">
        <v>1223</v>
      </c>
      <c r="D409" s="2" t="s">
        <v>1224</v>
      </c>
      <c r="E409" s="13">
        <v>100</v>
      </c>
      <c r="F409" s="13">
        <v>100</v>
      </c>
      <c r="G409" s="14">
        <v>43288</v>
      </c>
      <c r="H409" s="15">
        <v>0.51190972222221998</v>
      </c>
      <c r="I409" s="14">
        <v>43288</v>
      </c>
      <c r="J409" s="15">
        <v>0.54348379629629995</v>
      </c>
      <c r="K409" s="13">
        <v>25</v>
      </c>
      <c r="L409" s="2" t="s">
        <v>64</v>
      </c>
      <c r="M409" s="2" t="s">
        <v>4373</v>
      </c>
      <c r="N409" s="14">
        <v>43290</v>
      </c>
      <c r="O409" s="14">
        <v>43295</v>
      </c>
      <c r="P409" s="2" t="s">
        <v>91</v>
      </c>
      <c r="Q409" s="2" t="s">
        <v>6947</v>
      </c>
      <c r="R409" s="2" t="s">
        <v>80</v>
      </c>
      <c r="S409" s="14">
        <v>43290</v>
      </c>
      <c r="T409" s="2" t="s">
        <v>6358</v>
      </c>
      <c r="U409" s="2" t="s">
        <v>1225</v>
      </c>
      <c r="V409" s="2" t="s">
        <v>1226</v>
      </c>
      <c r="W409" s="2" t="s">
        <v>98</v>
      </c>
      <c r="X409" s="13">
        <v>132</v>
      </c>
      <c r="Y409" s="2" t="s">
        <v>71</v>
      </c>
      <c r="Z409" s="2" t="s">
        <v>72</v>
      </c>
      <c r="AA409" s="13">
        <v>25</v>
      </c>
      <c r="AB409" s="2" t="s">
        <v>107</v>
      </c>
      <c r="AC409" s="2" t="s">
        <v>6773</v>
      </c>
      <c r="AD409" s="27">
        <v>43278</v>
      </c>
      <c r="AL409" s="2" t="s">
        <v>5177</v>
      </c>
    </row>
    <row r="410" spans="1:38" hidden="1" x14ac:dyDescent="0.2">
      <c r="A410" s="2" t="s">
        <v>1205</v>
      </c>
      <c r="B410" s="2" t="s">
        <v>1235</v>
      </c>
      <c r="C410" s="2" t="s">
        <v>1236</v>
      </c>
      <c r="D410" s="2" t="s">
        <v>1237</v>
      </c>
      <c r="E410" s="16">
        <v>528.70000000000005</v>
      </c>
      <c r="F410" s="16">
        <v>528.70000000000005</v>
      </c>
      <c r="G410" s="14">
        <v>43288</v>
      </c>
      <c r="H410" s="15">
        <v>0.67892361111110999</v>
      </c>
      <c r="I410" s="14">
        <v>43288</v>
      </c>
      <c r="J410" s="15">
        <v>0.84581018518519002</v>
      </c>
      <c r="K410" s="13">
        <v>0</v>
      </c>
      <c r="L410" s="2" t="s">
        <v>64</v>
      </c>
      <c r="M410" s="2" t="s">
        <v>1238</v>
      </c>
      <c r="N410" s="14">
        <v>43301</v>
      </c>
      <c r="O410" s="14">
        <v>43290</v>
      </c>
      <c r="P410" s="2" t="s">
        <v>1239</v>
      </c>
      <c r="Q410" s="2" t="s">
        <v>6948</v>
      </c>
      <c r="R410" s="2" t="s">
        <v>80</v>
      </c>
      <c r="S410" s="14">
        <v>43301</v>
      </c>
      <c r="T410" s="2" t="s">
        <v>6359</v>
      </c>
      <c r="U410" s="2" t="s">
        <v>1233</v>
      </c>
      <c r="V410" s="2" t="s">
        <v>1240</v>
      </c>
      <c r="W410" s="2" t="s">
        <v>70</v>
      </c>
      <c r="X410" s="13">
        <v>132</v>
      </c>
      <c r="Y410" s="2" t="s">
        <v>71</v>
      </c>
      <c r="Z410" s="2" t="s">
        <v>72</v>
      </c>
      <c r="AA410" s="13">
        <v>500</v>
      </c>
      <c r="AB410" s="2" t="s">
        <v>107</v>
      </c>
      <c r="AC410" s="2" t="s">
        <v>6773</v>
      </c>
      <c r="AD410" s="27">
        <v>43279</v>
      </c>
      <c r="AL410" s="2" t="s">
        <v>5178</v>
      </c>
    </row>
    <row r="411" spans="1:38" x14ac:dyDescent="0.2">
      <c r="A411" s="2" t="s">
        <v>1205</v>
      </c>
      <c r="B411" s="2" t="s">
        <v>4374</v>
      </c>
      <c r="C411" s="2" t="s">
        <v>4375</v>
      </c>
      <c r="D411" s="2" t="s">
        <v>4376</v>
      </c>
      <c r="E411" s="13">
        <v>5000</v>
      </c>
      <c r="F411" s="13">
        <v>5000</v>
      </c>
      <c r="G411" s="14">
        <v>43289</v>
      </c>
      <c r="H411" s="15">
        <v>2.0833333333330002E-2</v>
      </c>
      <c r="I411" s="14">
        <v>43290</v>
      </c>
      <c r="J411" s="15">
        <v>0.59912037037037003</v>
      </c>
      <c r="K411" s="13">
        <v>0</v>
      </c>
      <c r="L411" s="2" t="s">
        <v>64</v>
      </c>
      <c r="M411" s="2" t="s">
        <v>4377</v>
      </c>
      <c r="N411" s="14">
        <v>43296</v>
      </c>
      <c r="O411" s="14">
        <v>43292</v>
      </c>
      <c r="P411" s="2" t="s">
        <v>91</v>
      </c>
      <c r="Q411" s="2" t="s">
        <v>1227</v>
      </c>
      <c r="R411" s="2" t="s">
        <v>4378</v>
      </c>
      <c r="S411" s="14">
        <v>43291</v>
      </c>
      <c r="T411" s="2" t="s">
        <v>6360</v>
      </c>
      <c r="U411" s="2" t="s">
        <v>4379</v>
      </c>
      <c r="V411" s="2" t="s">
        <v>895</v>
      </c>
      <c r="W411" s="2" t="s">
        <v>70</v>
      </c>
      <c r="X411" s="13">
        <v>132</v>
      </c>
      <c r="Y411" s="2" t="s">
        <v>71</v>
      </c>
      <c r="Z411" s="2" t="s">
        <v>72</v>
      </c>
      <c r="AA411" s="13">
        <v>5000</v>
      </c>
      <c r="AB411" s="2" t="s">
        <v>107</v>
      </c>
      <c r="AC411" s="2" t="s">
        <v>6772</v>
      </c>
      <c r="AD411" s="27">
        <v>43285</v>
      </c>
      <c r="AL411" s="2" t="s">
        <v>5179</v>
      </c>
    </row>
    <row r="412" spans="1:38" x14ac:dyDescent="0.2">
      <c r="A412" s="2" t="s">
        <v>1205</v>
      </c>
      <c r="B412" s="2" t="s">
        <v>1227</v>
      </c>
      <c r="C412" s="2" t="s">
        <v>1228</v>
      </c>
      <c r="D412" s="2" t="s">
        <v>1229</v>
      </c>
      <c r="E412" s="16">
        <v>18663.11</v>
      </c>
      <c r="F412" s="16">
        <v>18663.11</v>
      </c>
      <c r="G412" s="14">
        <v>43291</v>
      </c>
      <c r="H412" s="15">
        <v>2.0833333333330002E-2</v>
      </c>
      <c r="I412" s="14">
        <v>43296</v>
      </c>
      <c r="J412" s="15">
        <v>0.91196759259258997</v>
      </c>
      <c r="K412" s="13">
        <v>0</v>
      </c>
      <c r="L412" s="2" t="s">
        <v>64</v>
      </c>
      <c r="M412" s="2" t="s">
        <v>1230</v>
      </c>
      <c r="N412" s="14">
        <v>43300</v>
      </c>
      <c r="O412" s="14">
        <v>43303</v>
      </c>
      <c r="P412" s="2" t="s">
        <v>1231</v>
      </c>
      <c r="Q412" s="2" t="s">
        <v>1232</v>
      </c>
      <c r="R412" s="2" t="s">
        <v>80</v>
      </c>
      <c r="S412" s="14">
        <v>43300</v>
      </c>
      <c r="T412" s="2" t="s">
        <v>6361</v>
      </c>
      <c r="U412" s="2" t="s">
        <v>1233</v>
      </c>
      <c r="V412" s="2" t="s">
        <v>1234</v>
      </c>
      <c r="W412" s="2" t="s">
        <v>70</v>
      </c>
      <c r="X412" s="13">
        <v>132</v>
      </c>
      <c r="Y412" s="2" t="s">
        <v>71</v>
      </c>
      <c r="Z412" s="2" t="s">
        <v>72</v>
      </c>
      <c r="AA412" s="13">
        <v>17650</v>
      </c>
      <c r="AB412" s="2" t="s">
        <v>107</v>
      </c>
      <c r="AC412" s="2" t="s">
        <v>6773</v>
      </c>
      <c r="AD412" s="27">
        <v>43241</v>
      </c>
      <c r="AL412" s="2" t="s">
        <v>5180</v>
      </c>
    </row>
    <row r="413" spans="1:38" hidden="1" x14ac:dyDescent="0.2">
      <c r="A413" s="2" t="s">
        <v>1205</v>
      </c>
      <c r="B413" s="2" t="s">
        <v>1246</v>
      </c>
      <c r="C413" s="2" t="s">
        <v>1247</v>
      </c>
      <c r="D413" s="2" t="s">
        <v>1248</v>
      </c>
      <c r="E413" s="16">
        <v>1586.1</v>
      </c>
      <c r="F413" s="16">
        <v>1586.1</v>
      </c>
      <c r="G413" s="14">
        <v>43297</v>
      </c>
      <c r="H413" s="15">
        <v>0.39627314814815001</v>
      </c>
      <c r="I413" s="14">
        <v>43297</v>
      </c>
      <c r="J413" s="15">
        <v>0.89693287037036995</v>
      </c>
      <c r="K413" s="13">
        <v>0</v>
      </c>
      <c r="L413" s="2" t="s">
        <v>64</v>
      </c>
      <c r="M413" s="2" t="s">
        <v>1249</v>
      </c>
      <c r="N413" s="14">
        <v>43305</v>
      </c>
      <c r="O413" s="14">
        <v>43304</v>
      </c>
      <c r="P413" s="2" t="s">
        <v>91</v>
      </c>
      <c r="Q413" s="2" t="s">
        <v>1250</v>
      </c>
      <c r="R413" s="2" t="s">
        <v>80</v>
      </c>
      <c r="S413" s="14">
        <v>43305</v>
      </c>
      <c r="T413" s="2" t="s">
        <v>6362</v>
      </c>
      <c r="U413" s="2" t="s">
        <v>1251</v>
      </c>
      <c r="V413" s="2" t="s">
        <v>1252</v>
      </c>
      <c r="W413" s="2" t="s">
        <v>70</v>
      </c>
      <c r="X413" s="13">
        <v>132</v>
      </c>
      <c r="Y413" s="2" t="s">
        <v>71</v>
      </c>
      <c r="Z413" s="2" t="s">
        <v>72</v>
      </c>
      <c r="AA413" s="13">
        <v>1500</v>
      </c>
      <c r="AB413" s="2" t="s">
        <v>73</v>
      </c>
      <c r="AC413" s="2" t="s">
        <v>6773</v>
      </c>
      <c r="AD413" s="27">
        <v>43276</v>
      </c>
      <c r="AL413" s="2" t="s">
        <v>5181</v>
      </c>
    </row>
    <row r="414" spans="1:38" hidden="1" x14ac:dyDescent="0.2">
      <c r="A414" s="2" t="s">
        <v>1205</v>
      </c>
      <c r="B414" s="2" t="s">
        <v>4380</v>
      </c>
      <c r="C414" s="2" t="s">
        <v>2197</v>
      </c>
      <c r="D414" s="2" t="s">
        <v>2198</v>
      </c>
      <c r="E414" s="16">
        <v>1057.4000000000001</v>
      </c>
      <c r="F414" s="16">
        <v>1057.4000000000001</v>
      </c>
      <c r="G414" s="14">
        <v>43297</v>
      </c>
      <c r="H414" s="15">
        <v>0.91776620370369999</v>
      </c>
      <c r="I414" s="14">
        <v>43298</v>
      </c>
      <c r="J414" s="15">
        <v>0.25153935185185</v>
      </c>
      <c r="K414" s="13">
        <v>0</v>
      </c>
      <c r="L414" s="2" t="s">
        <v>64</v>
      </c>
      <c r="M414" s="2" t="s">
        <v>1243</v>
      </c>
      <c r="N414" s="14">
        <v>43307</v>
      </c>
      <c r="O414" s="14">
        <v>43300</v>
      </c>
      <c r="P414" s="2" t="s">
        <v>91</v>
      </c>
      <c r="Q414" s="2" t="s">
        <v>2200</v>
      </c>
      <c r="R414" s="2" t="s">
        <v>80</v>
      </c>
      <c r="S414" s="14">
        <v>43307</v>
      </c>
      <c r="U414" s="2" t="s">
        <v>2201</v>
      </c>
      <c r="V414" s="2" t="s">
        <v>81</v>
      </c>
      <c r="W414" s="2" t="s">
        <v>70</v>
      </c>
      <c r="X414" s="13">
        <v>0</v>
      </c>
      <c r="Y414" s="2" t="s">
        <v>71</v>
      </c>
      <c r="Z414" s="2" t="s">
        <v>72</v>
      </c>
      <c r="AA414" s="13">
        <v>1000</v>
      </c>
      <c r="AB414" s="2" t="s">
        <v>95</v>
      </c>
      <c r="AC414" s="2" t="s">
        <v>6773</v>
      </c>
      <c r="AD414" s="27"/>
      <c r="AL414" s="2" t="s">
        <v>5182</v>
      </c>
    </row>
    <row r="415" spans="1:38" hidden="1" x14ac:dyDescent="0.2">
      <c r="A415" s="2" t="s">
        <v>1205</v>
      </c>
      <c r="B415" s="2" t="s">
        <v>1253</v>
      </c>
      <c r="C415" s="2" t="s">
        <v>1212</v>
      </c>
      <c r="D415" s="2" t="s">
        <v>1213</v>
      </c>
      <c r="E415" s="16">
        <v>2114.8000000000002</v>
      </c>
      <c r="F415" s="16">
        <v>2114.8000000000002</v>
      </c>
      <c r="G415" s="14">
        <v>43304</v>
      </c>
      <c r="H415" s="15">
        <v>0.33245370370369998</v>
      </c>
      <c r="I415" s="14">
        <v>43305</v>
      </c>
      <c r="J415" s="15">
        <v>0</v>
      </c>
      <c r="K415" s="13">
        <v>0</v>
      </c>
      <c r="L415" s="2" t="s">
        <v>64</v>
      </c>
      <c r="M415" s="2" t="s">
        <v>1254</v>
      </c>
      <c r="N415" s="14">
        <v>43307</v>
      </c>
      <c r="O415" s="14">
        <v>43306</v>
      </c>
      <c r="P415" s="2" t="s">
        <v>91</v>
      </c>
      <c r="Q415" s="2" t="s">
        <v>1255</v>
      </c>
      <c r="R415" s="2" t="s">
        <v>80</v>
      </c>
      <c r="S415" s="14">
        <v>43307</v>
      </c>
      <c r="T415" s="2" t="s">
        <v>6363</v>
      </c>
      <c r="U415" s="2" t="s">
        <v>1216</v>
      </c>
      <c r="V415" s="2" t="s">
        <v>1217</v>
      </c>
      <c r="W415" s="2" t="s">
        <v>70</v>
      </c>
      <c r="X415" s="13">
        <v>132</v>
      </c>
      <c r="Y415" s="2" t="s">
        <v>71</v>
      </c>
      <c r="Z415" s="2" t="s">
        <v>72</v>
      </c>
      <c r="AA415" s="13">
        <v>2000</v>
      </c>
      <c r="AB415" s="2" t="s">
        <v>73</v>
      </c>
      <c r="AC415" s="2" t="s">
        <v>6773</v>
      </c>
      <c r="AD415" s="27">
        <v>43279</v>
      </c>
      <c r="AL415" s="2" t="s">
        <v>5183</v>
      </c>
    </row>
    <row r="416" spans="1:38" hidden="1" x14ac:dyDescent="0.2">
      <c r="A416" s="2" t="s">
        <v>1205</v>
      </c>
      <c r="B416" s="2" t="s">
        <v>6949</v>
      </c>
      <c r="C416" s="2" t="s">
        <v>1228</v>
      </c>
      <c r="D416" s="2" t="s">
        <v>1229</v>
      </c>
      <c r="E416" s="16">
        <v>4335.34</v>
      </c>
      <c r="F416" s="16">
        <v>4335.34</v>
      </c>
      <c r="G416" s="14">
        <v>43306</v>
      </c>
      <c r="H416" s="15">
        <v>0.55841435185184995</v>
      </c>
      <c r="I416" s="14">
        <v>43307</v>
      </c>
      <c r="J416" s="15">
        <v>0.92689814814814997</v>
      </c>
      <c r="K416" s="13">
        <v>0</v>
      </c>
      <c r="L416" s="2" t="s">
        <v>64</v>
      </c>
      <c r="M416" s="2" t="s">
        <v>6950</v>
      </c>
      <c r="N416" s="14">
        <v>43315</v>
      </c>
      <c r="O416" s="14">
        <v>43314</v>
      </c>
      <c r="P416" s="2" t="s">
        <v>1231</v>
      </c>
      <c r="Q416" s="2" t="s">
        <v>6951</v>
      </c>
      <c r="R416" s="2" t="s">
        <v>93</v>
      </c>
      <c r="S416" s="14">
        <v>43315</v>
      </c>
      <c r="T416" s="2" t="s">
        <v>7115</v>
      </c>
      <c r="U416" s="2" t="s">
        <v>1233</v>
      </c>
      <c r="V416" s="2" t="s">
        <v>1234</v>
      </c>
      <c r="W416" s="2" t="s">
        <v>70</v>
      </c>
      <c r="X416" s="13">
        <v>132</v>
      </c>
      <c r="Y416" s="2" t="s">
        <v>71</v>
      </c>
      <c r="Z416" s="2" t="s">
        <v>72</v>
      </c>
      <c r="AA416" s="13">
        <v>4100</v>
      </c>
      <c r="AB416" s="2" t="s">
        <v>73</v>
      </c>
      <c r="AC416" s="2" t="s">
        <v>6773</v>
      </c>
      <c r="AD416" s="27">
        <v>43287</v>
      </c>
      <c r="AL416" s="2" t="s">
        <v>7217</v>
      </c>
    </row>
    <row r="417" spans="1:38" hidden="1" x14ac:dyDescent="0.2">
      <c r="A417" s="2" t="s">
        <v>1205</v>
      </c>
      <c r="B417" s="2" t="s">
        <v>1256</v>
      </c>
      <c r="C417" s="2" t="s">
        <v>1257</v>
      </c>
      <c r="D417" s="2" t="s">
        <v>1258</v>
      </c>
      <c r="E417" s="16">
        <v>2114.8000000000002</v>
      </c>
      <c r="F417" s="16">
        <v>2114.8000000000002</v>
      </c>
      <c r="G417" s="14">
        <v>43307</v>
      </c>
      <c r="H417" s="15">
        <v>0.94773148148148001</v>
      </c>
      <c r="I417" s="14">
        <v>43308</v>
      </c>
      <c r="J417" s="15">
        <v>0.61527777777778003</v>
      </c>
      <c r="K417" s="13">
        <v>0</v>
      </c>
      <c r="L417" s="2" t="s">
        <v>64</v>
      </c>
      <c r="M417" s="2" t="s">
        <v>1254</v>
      </c>
      <c r="N417" s="14">
        <v>43318</v>
      </c>
      <c r="O417" s="14">
        <v>43310</v>
      </c>
      <c r="P417" s="2" t="s">
        <v>91</v>
      </c>
      <c r="Q417" s="2" t="s">
        <v>1259</v>
      </c>
      <c r="R417" s="2" t="s">
        <v>80</v>
      </c>
      <c r="S417" s="14">
        <v>43318</v>
      </c>
      <c r="T417" s="2" t="s">
        <v>6364</v>
      </c>
      <c r="U417" s="2" t="s">
        <v>1260</v>
      </c>
      <c r="V417" s="2" t="s">
        <v>1261</v>
      </c>
      <c r="W417" s="2" t="s">
        <v>70</v>
      </c>
      <c r="X417" s="13">
        <v>132</v>
      </c>
      <c r="Y417" s="2" t="s">
        <v>71</v>
      </c>
      <c r="Z417" s="2" t="s">
        <v>72</v>
      </c>
      <c r="AA417" s="13">
        <v>2000</v>
      </c>
      <c r="AB417" s="2" t="s">
        <v>73</v>
      </c>
      <c r="AC417" s="2" t="s">
        <v>6773</v>
      </c>
      <c r="AD417" s="27">
        <v>43280</v>
      </c>
      <c r="AL417" s="2" t="s">
        <v>5184</v>
      </c>
    </row>
    <row r="418" spans="1:38" hidden="1" x14ac:dyDescent="0.2">
      <c r="A418" s="2" t="s">
        <v>1205</v>
      </c>
      <c r="B418" s="2" t="s">
        <v>1262</v>
      </c>
      <c r="C418" s="2" t="s">
        <v>1257</v>
      </c>
      <c r="D418" s="2" t="s">
        <v>1258</v>
      </c>
      <c r="E418" s="16">
        <v>2114.8000000000002</v>
      </c>
      <c r="F418" s="16">
        <v>2114.8000000000002</v>
      </c>
      <c r="G418" s="14">
        <v>43315</v>
      </c>
      <c r="H418" s="15">
        <v>0.33245370370369998</v>
      </c>
      <c r="I418" s="14">
        <v>43316</v>
      </c>
      <c r="J418" s="15">
        <v>0</v>
      </c>
      <c r="K418" s="13">
        <v>0</v>
      </c>
      <c r="L418" s="2" t="s">
        <v>64</v>
      </c>
      <c r="M418" s="2" t="s">
        <v>1254</v>
      </c>
      <c r="N418" s="14">
        <v>43318</v>
      </c>
      <c r="O418" s="14">
        <v>43317</v>
      </c>
      <c r="P418" s="2" t="s">
        <v>91</v>
      </c>
      <c r="Q418" s="2" t="s">
        <v>1263</v>
      </c>
      <c r="R418" s="2" t="s">
        <v>80</v>
      </c>
      <c r="S418" s="14">
        <v>43318</v>
      </c>
      <c r="T418" s="2" t="s">
        <v>6365</v>
      </c>
      <c r="U418" s="2" t="s">
        <v>1260</v>
      </c>
      <c r="V418" s="2" t="s">
        <v>1261</v>
      </c>
      <c r="W418" s="2" t="s">
        <v>70</v>
      </c>
      <c r="X418" s="13">
        <v>132</v>
      </c>
      <c r="Y418" s="2" t="s">
        <v>71</v>
      </c>
      <c r="Z418" s="2" t="s">
        <v>72</v>
      </c>
      <c r="AA418" s="13">
        <v>2000</v>
      </c>
      <c r="AB418" s="2" t="s">
        <v>73</v>
      </c>
      <c r="AC418" s="2" t="s">
        <v>6773</v>
      </c>
      <c r="AD418" s="27">
        <v>43278</v>
      </c>
      <c r="AL418" s="2" t="s">
        <v>5185</v>
      </c>
    </row>
    <row r="419" spans="1:38" hidden="1" x14ac:dyDescent="0.2">
      <c r="A419" s="2" t="s">
        <v>1264</v>
      </c>
      <c r="B419" s="2" t="s">
        <v>1274</v>
      </c>
      <c r="C419" s="2" t="s">
        <v>1275</v>
      </c>
      <c r="D419" s="2" t="s">
        <v>1276</v>
      </c>
      <c r="E419" s="13">
        <v>1000</v>
      </c>
      <c r="F419" s="13">
        <v>2000</v>
      </c>
      <c r="G419" s="14">
        <v>43287</v>
      </c>
      <c r="H419" s="15">
        <v>0.42940972222222001</v>
      </c>
      <c r="I419" s="14">
        <v>43288</v>
      </c>
      <c r="J419" s="15">
        <v>2.4652777777780001E-2</v>
      </c>
      <c r="K419" s="13">
        <v>0</v>
      </c>
      <c r="L419" s="2" t="s">
        <v>64</v>
      </c>
      <c r="M419" s="2" t="s">
        <v>1310</v>
      </c>
      <c r="N419" s="14">
        <v>43290</v>
      </c>
      <c r="O419" s="14">
        <v>43290</v>
      </c>
      <c r="P419" s="2" t="s">
        <v>91</v>
      </c>
      <c r="Q419" s="2" t="s">
        <v>1278</v>
      </c>
      <c r="R419" s="2" t="s">
        <v>80</v>
      </c>
      <c r="S419" s="14">
        <v>43290</v>
      </c>
      <c r="T419" s="2" t="s">
        <v>6366</v>
      </c>
      <c r="U419" s="2" t="s">
        <v>484</v>
      </c>
      <c r="V419" s="2" t="s">
        <v>1279</v>
      </c>
      <c r="W419" s="2" t="s">
        <v>70</v>
      </c>
      <c r="X419" s="13">
        <v>140</v>
      </c>
      <c r="Y419" s="2" t="s">
        <v>71</v>
      </c>
      <c r="Z419" s="2" t="s">
        <v>72</v>
      </c>
      <c r="AA419" s="13">
        <v>1000</v>
      </c>
      <c r="AB419" s="2" t="s">
        <v>107</v>
      </c>
      <c r="AC419" s="2" t="s">
        <v>6773</v>
      </c>
      <c r="AD419" s="27">
        <v>43262</v>
      </c>
      <c r="AI419" s="2" t="s">
        <v>6153</v>
      </c>
      <c r="AL419" s="2" t="s">
        <v>5186</v>
      </c>
    </row>
    <row r="420" spans="1:38" hidden="1" x14ac:dyDescent="0.2">
      <c r="A420" s="2" t="s">
        <v>1264</v>
      </c>
      <c r="B420" s="2" t="s">
        <v>1280</v>
      </c>
      <c r="C420" s="2" t="s">
        <v>1281</v>
      </c>
      <c r="D420" s="2" t="s">
        <v>1282</v>
      </c>
      <c r="E420" s="16">
        <v>3170.1</v>
      </c>
      <c r="F420" s="16">
        <v>3170.1</v>
      </c>
      <c r="G420" s="14">
        <v>43288</v>
      </c>
      <c r="H420" s="15">
        <v>7.3854166666669996E-2</v>
      </c>
      <c r="I420" s="14">
        <v>43289</v>
      </c>
      <c r="J420" s="15">
        <v>1.7337962962959998E-2</v>
      </c>
      <c r="K420" s="13">
        <v>0</v>
      </c>
      <c r="L420" s="2" t="s">
        <v>64</v>
      </c>
      <c r="M420" s="2" t="s">
        <v>4381</v>
      </c>
      <c r="N420" s="14">
        <v>43298</v>
      </c>
      <c r="O420" s="14">
        <v>43291</v>
      </c>
      <c r="P420" s="2" t="s">
        <v>1284</v>
      </c>
      <c r="Q420" s="2" t="s">
        <v>1285</v>
      </c>
      <c r="R420" s="2" t="s">
        <v>80</v>
      </c>
      <c r="S420" s="14">
        <v>43298</v>
      </c>
      <c r="T420" s="2" t="s">
        <v>6367</v>
      </c>
      <c r="U420" s="2" t="s">
        <v>511</v>
      </c>
      <c r="V420" s="2" t="s">
        <v>1286</v>
      </c>
      <c r="W420" s="2" t="s">
        <v>70</v>
      </c>
      <c r="X420" s="13">
        <v>140</v>
      </c>
      <c r="Y420" s="2" t="s">
        <v>71</v>
      </c>
      <c r="Z420" s="2" t="s">
        <v>72</v>
      </c>
      <c r="AA420" s="13">
        <v>3000</v>
      </c>
      <c r="AB420" s="2" t="s">
        <v>107</v>
      </c>
      <c r="AC420" s="2" t="s">
        <v>6773</v>
      </c>
      <c r="AD420" s="27">
        <v>43272</v>
      </c>
      <c r="AI420" s="2" t="s">
        <v>6153</v>
      </c>
      <c r="AL420" s="2" t="s">
        <v>5187</v>
      </c>
    </row>
    <row r="421" spans="1:38" x14ac:dyDescent="0.2">
      <c r="A421" s="2" t="s">
        <v>1264</v>
      </c>
      <c r="B421" s="2" t="s">
        <v>1325</v>
      </c>
      <c r="C421" s="2" t="s">
        <v>1326</v>
      </c>
      <c r="D421" s="2" t="s">
        <v>1327</v>
      </c>
      <c r="E421" s="13">
        <v>200</v>
      </c>
      <c r="F421" s="13">
        <v>200</v>
      </c>
      <c r="G421" s="14">
        <v>43289</v>
      </c>
      <c r="H421" s="15">
        <v>5.9004629629629997E-2</v>
      </c>
      <c r="I421" s="14">
        <v>43289</v>
      </c>
      <c r="J421" s="15">
        <v>0.11851851851851999</v>
      </c>
      <c r="K421" s="13">
        <v>0</v>
      </c>
      <c r="L421" s="2" t="s">
        <v>64</v>
      </c>
      <c r="M421" s="2" t="s">
        <v>4382</v>
      </c>
      <c r="N421" s="14">
        <v>43294</v>
      </c>
      <c r="O421" s="14">
        <v>43291</v>
      </c>
      <c r="P421" s="2" t="s">
        <v>1329</v>
      </c>
      <c r="Q421" s="2" t="s">
        <v>6952</v>
      </c>
      <c r="R421" s="2" t="s">
        <v>80</v>
      </c>
      <c r="S421" s="14">
        <v>43294</v>
      </c>
      <c r="T421" s="2" t="s">
        <v>6369</v>
      </c>
      <c r="U421" s="2" t="s">
        <v>1330</v>
      </c>
      <c r="V421" s="2" t="s">
        <v>1331</v>
      </c>
      <c r="W421" s="2" t="s">
        <v>70</v>
      </c>
      <c r="X421" s="13">
        <v>140</v>
      </c>
      <c r="Y421" s="2" t="s">
        <v>71</v>
      </c>
      <c r="Z421" s="2" t="s">
        <v>72</v>
      </c>
      <c r="AA421" s="13">
        <v>100</v>
      </c>
      <c r="AB421" s="2" t="s">
        <v>107</v>
      </c>
      <c r="AC421" s="2" t="s">
        <v>6773</v>
      </c>
      <c r="AD421" s="27">
        <v>43277</v>
      </c>
      <c r="AL421" s="2" t="s">
        <v>5188</v>
      </c>
    </row>
    <row r="422" spans="1:38" x14ac:dyDescent="0.2">
      <c r="A422" s="2" t="s">
        <v>1264</v>
      </c>
      <c r="B422" s="2" t="s">
        <v>4383</v>
      </c>
      <c r="C422" s="2" t="s">
        <v>4384</v>
      </c>
      <c r="D422" s="2" t="s">
        <v>4385</v>
      </c>
      <c r="E422" s="16">
        <v>2113.4</v>
      </c>
      <c r="F422" s="16">
        <v>2113.4</v>
      </c>
      <c r="G422" s="14">
        <v>43289</v>
      </c>
      <c r="H422" s="15">
        <v>0.20833333333333001</v>
      </c>
      <c r="I422" s="14">
        <v>43289</v>
      </c>
      <c r="J422" s="15">
        <v>0.83732638888888999</v>
      </c>
      <c r="K422" s="13">
        <v>0</v>
      </c>
      <c r="L422" s="2" t="s">
        <v>64</v>
      </c>
      <c r="M422" s="2" t="s">
        <v>1277</v>
      </c>
      <c r="N422" s="14">
        <v>43291</v>
      </c>
      <c r="O422" s="14">
        <v>43291</v>
      </c>
      <c r="P422" s="2" t="s">
        <v>91</v>
      </c>
      <c r="Q422" s="2" t="s">
        <v>3101</v>
      </c>
      <c r="R422" s="2" t="s">
        <v>6953</v>
      </c>
      <c r="S422" s="14">
        <v>43289</v>
      </c>
      <c r="T422" s="2" t="s">
        <v>6368</v>
      </c>
      <c r="U422" s="2" t="s">
        <v>4386</v>
      </c>
      <c r="V422" s="2" t="s">
        <v>895</v>
      </c>
      <c r="W422" s="2" t="s">
        <v>70</v>
      </c>
      <c r="X422" s="13">
        <v>140</v>
      </c>
      <c r="Y422" s="2" t="s">
        <v>71</v>
      </c>
      <c r="Z422" s="2" t="s">
        <v>72</v>
      </c>
      <c r="AA422" s="13">
        <v>2000</v>
      </c>
      <c r="AB422" s="2" t="s">
        <v>73</v>
      </c>
      <c r="AC422" s="2" t="s">
        <v>6772</v>
      </c>
      <c r="AD422" s="27">
        <v>43285</v>
      </c>
      <c r="AL422" s="2" t="s">
        <v>5189</v>
      </c>
    </row>
    <row r="423" spans="1:38" x14ac:dyDescent="0.2">
      <c r="A423" s="2" t="s">
        <v>1264</v>
      </c>
      <c r="B423" s="2" t="s">
        <v>1321</v>
      </c>
      <c r="C423" s="2" t="s">
        <v>1322</v>
      </c>
      <c r="D423" s="2" t="s">
        <v>1323</v>
      </c>
      <c r="E423" s="16">
        <v>2060.5650000000001</v>
      </c>
      <c r="F423" s="16">
        <v>2060.5650000000001</v>
      </c>
      <c r="G423" s="14">
        <v>43289</v>
      </c>
      <c r="H423" s="15">
        <v>0.92979166666667001</v>
      </c>
      <c r="I423" s="14">
        <v>43290</v>
      </c>
      <c r="J423" s="15">
        <v>0.54305555555555995</v>
      </c>
      <c r="K423" s="13">
        <v>20</v>
      </c>
      <c r="L423" s="2" t="s">
        <v>64</v>
      </c>
      <c r="M423" s="2" t="s">
        <v>4387</v>
      </c>
      <c r="N423" s="14">
        <v>43276</v>
      </c>
      <c r="O423" s="14">
        <v>43292</v>
      </c>
      <c r="P423" s="2" t="s">
        <v>483</v>
      </c>
      <c r="Q423" s="2" t="s">
        <v>98</v>
      </c>
      <c r="R423" s="2" t="s">
        <v>131</v>
      </c>
      <c r="S423" s="14"/>
      <c r="T423" s="2" t="s">
        <v>6371</v>
      </c>
      <c r="U423" s="2" t="s">
        <v>1324</v>
      </c>
      <c r="V423" s="2" t="s">
        <v>163</v>
      </c>
      <c r="W423" s="2" t="s">
        <v>70</v>
      </c>
      <c r="X423" s="13">
        <v>140</v>
      </c>
      <c r="Y423" s="2" t="s">
        <v>71</v>
      </c>
      <c r="Z423" s="2" t="s">
        <v>72</v>
      </c>
      <c r="AA423" s="13">
        <v>1950</v>
      </c>
      <c r="AB423" s="2" t="s">
        <v>107</v>
      </c>
      <c r="AC423" s="2" t="s">
        <v>6773</v>
      </c>
      <c r="AD423" s="27">
        <v>43234</v>
      </c>
      <c r="AL423" s="2" t="s">
        <v>5190</v>
      </c>
    </row>
    <row r="424" spans="1:38" x14ac:dyDescent="0.2">
      <c r="A424" s="2" t="s">
        <v>1264</v>
      </c>
      <c r="B424" s="2" t="s">
        <v>1315</v>
      </c>
      <c r="C424" s="2" t="s">
        <v>1316</v>
      </c>
      <c r="D424" s="2" t="s">
        <v>1317</v>
      </c>
      <c r="E424" s="13">
        <v>1000</v>
      </c>
      <c r="F424" s="13">
        <v>1000</v>
      </c>
      <c r="G424" s="14">
        <v>43290</v>
      </c>
      <c r="H424" s="15">
        <v>0.625</v>
      </c>
      <c r="I424" s="14">
        <v>43290</v>
      </c>
      <c r="J424" s="15">
        <v>0.92261574074074004</v>
      </c>
      <c r="K424" s="13">
        <v>20</v>
      </c>
      <c r="L424" s="2" t="s">
        <v>64</v>
      </c>
      <c r="M424" s="2" t="s">
        <v>1318</v>
      </c>
      <c r="N424" s="14">
        <v>43292</v>
      </c>
      <c r="O424" s="14">
        <v>43292</v>
      </c>
      <c r="P424" s="2" t="s">
        <v>483</v>
      </c>
      <c r="Q424" s="2" t="s">
        <v>1319</v>
      </c>
      <c r="R424" s="2" t="s">
        <v>80</v>
      </c>
      <c r="S424" s="14">
        <v>43292</v>
      </c>
      <c r="T424" s="2" t="s">
        <v>6370</v>
      </c>
      <c r="U424" s="2" t="s">
        <v>388</v>
      </c>
      <c r="V424" s="2" t="s">
        <v>1320</v>
      </c>
      <c r="W424" s="2" t="s">
        <v>70</v>
      </c>
      <c r="X424" s="13">
        <v>140</v>
      </c>
      <c r="Y424" s="2" t="s">
        <v>71</v>
      </c>
      <c r="Z424" s="2" t="s">
        <v>72</v>
      </c>
      <c r="AA424" s="13">
        <v>1000</v>
      </c>
      <c r="AB424" s="2" t="s">
        <v>73</v>
      </c>
      <c r="AC424" s="2" t="s">
        <v>6773</v>
      </c>
      <c r="AD424" s="27">
        <v>43258</v>
      </c>
      <c r="AL424" s="2" t="s">
        <v>7218</v>
      </c>
    </row>
    <row r="425" spans="1:38" x14ac:dyDescent="0.2">
      <c r="A425" s="2" t="s">
        <v>1264</v>
      </c>
      <c r="B425" s="2" t="s">
        <v>1307</v>
      </c>
      <c r="C425" s="2" t="s">
        <v>1308</v>
      </c>
      <c r="D425" s="2" t="s">
        <v>1309</v>
      </c>
      <c r="E425" s="13">
        <v>2000</v>
      </c>
      <c r="F425" s="13">
        <v>2000</v>
      </c>
      <c r="G425" s="14">
        <v>43291</v>
      </c>
      <c r="H425" s="15">
        <v>8.3333333333329998E-2</v>
      </c>
      <c r="I425" s="14">
        <v>43291</v>
      </c>
      <c r="J425" s="15">
        <v>0.67857638888889005</v>
      </c>
      <c r="K425" s="13">
        <v>20</v>
      </c>
      <c r="L425" s="2" t="s">
        <v>64</v>
      </c>
      <c r="M425" s="2" t="s">
        <v>1310</v>
      </c>
      <c r="N425" s="14">
        <v>43293</v>
      </c>
      <c r="O425" s="14">
        <v>43293</v>
      </c>
      <c r="P425" s="2" t="s">
        <v>1311</v>
      </c>
      <c r="Q425" s="2" t="s">
        <v>1312</v>
      </c>
      <c r="R425" s="2" t="s">
        <v>80</v>
      </c>
      <c r="S425" s="14">
        <v>43293</v>
      </c>
      <c r="T425" s="2" t="s">
        <v>6372</v>
      </c>
      <c r="U425" s="2" t="s">
        <v>1313</v>
      </c>
      <c r="V425" s="2" t="s">
        <v>1314</v>
      </c>
      <c r="W425" s="2" t="s">
        <v>70</v>
      </c>
      <c r="X425" s="13">
        <v>140</v>
      </c>
      <c r="Y425" s="2" t="s">
        <v>71</v>
      </c>
      <c r="Z425" s="2" t="s">
        <v>72</v>
      </c>
      <c r="AA425" s="13">
        <v>2000</v>
      </c>
      <c r="AB425" s="2" t="s">
        <v>73</v>
      </c>
      <c r="AC425" s="2" t="s">
        <v>6773</v>
      </c>
      <c r="AD425" s="27">
        <v>43257</v>
      </c>
      <c r="AL425" s="2" t="s">
        <v>7219</v>
      </c>
    </row>
    <row r="426" spans="1:38" x14ac:dyDescent="0.2">
      <c r="A426" s="2" t="s">
        <v>1264</v>
      </c>
      <c r="B426" s="2" t="s">
        <v>1294</v>
      </c>
      <c r="C426" s="2" t="s">
        <v>1295</v>
      </c>
      <c r="D426" s="2" t="s">
        <v>1296</v>
      </c>
      <c r="E426" s="13">
        <v>500</v>
      </c>
      <c r="F426" s="13">
        <v>500</v>
      </c>
      <c r="G426" s="14">
        <v>43291</v>
      </c>
      <c r="H426" s="15">
        <v>0.875</v>
      </c>
      <c r="I426" s="14">
        <v>43292</v>
      </c>
      <c r="J426" s="15">
        <v>2.380787037037E-2</v>
      </c>
      <c r="K426" s="13">
        <v>0</v>
      </c>
      <c r="L426" s="2" t="s">
        <v>64</v>
      </c>
      <c r="M426" s="2" t="s">
        <v>1297</v>
      </c>
      <c r="N426" s="14">
        <v>43291</v>
      </c>
      <c r="O426" s="14">
        <v>43294</v>
      </c>
      <c r="P426" s="2" t="s">
        <v>1298</v>
      </c>
      <c r="Q426" s="2" t="s">
        <v>1299</v>
      </c>
      <c r="R426" s="2" t="s">
        <v>80</v>
      </c>
      <c r="S426" s="14">
        <v>43291</v>
      </c>
      <c r="T426" s="2" t="s">
        <v>6373</v>
      </c>
      <c r="U426" s="2" t="s">
        <v>1300</v>
      </c>
      <c r="V426" s="2" t="s">
        <v>1301</v>
      </c>
      <c r="W426" s="2" t="s">
        <v>70</v>
      </c>
      <c r="X426" s="13">
        <v>140</v>
      </c>
      <c r="Y426" s="2" t="s">
        <v>71</v>
      </c>
      <c r="Z426" s="2" t="s">
        <v>72</v>
      </c>
      <c r="AA426" s="13">
        <v>500</v>
      </c>
      <c r="AB426" s="2" t="s">
        <v>73</v>
      </c>
      <c r="AC426" s="2" t="s">
        <v>6773</v>
      </c>
      <c r="AD426" s="27">
        <v>43236</v>
      </c>
      <c r="AI426" s="2" t="s">
        <v>6153</v>
      </c>
      <c r="AL426" s="2" t="s">
        <v>7220</v>
      </c>
    </row>
    <row r="427" spans="1:38" x14ac:dyDescent="0.2">
      <c r="A427" s="2" t="s">
        <v>1264</v>
      </c>
      <c r="B427" s="2" t="s">
        <v>1302</v>
      </c>
      <c r="C427" s="2" t="s">
        <v>1303</v>
      </c>
      <c r="D427" s="2" t="s">
        <v>1304</v>
      </c>
      <c r="E427" s="16">
        <v>26.417000000000002</v>
      </c>
      <c r="F427" s="16">
        <v>26.417000000000002</v>
      </c>
      <c r="G427" s="14">
        <v>43292</v>
      </c>
      <c r="H427" s="15">
        <v>0.14215277777777999</v>
      </c>
      <c r="I427" s="14">
        <v>43292</v>
      </c>
      <c r="J427" s="15">
        <v>0.15001157407407001</v>
      </c>
      <c r="K427" s="13">
        <v>25</v>
      </c>
      <c r="L427" s="2" t="s">
        <v>64</v>
      </c>
      <c r="M427" s="2" t="s">
        <v>6954</v>
      </c>
      <c r="N427" s="14">
        <v>43291</v>
      </c>
      <c r="O427" s="14">
        <v>43294</v>
      </c>
      <c r="P427" s="2" t="s">
        <v>397</v>
      </c>
      <c r="Q427" s="2" t="s">
        <v>1305</v>
      </c>
      <c r="R427" s="2" t="s">
        <v>80</v>
      </c>
      <c r="S427" s="14">
        <v>43291</v>
      </c>
      <c r="T427" s="2" t="s">
        <v>6376</v>
      </c>
      <c r="U427" s="2" t="s">
        <v>399</v>
      </c>
      <c r="V427" s="2" t="s">
        <v>1306</v>
      </c>
      <c r="W427" s="2" t="s">
        <v>70</v>
      </c>
      <c r="X427" s="13">
        <v>140</v>
      </c>
      <c r="Y427" s="2" t="s">
        <v>71</v>
      </c>
      <c r="Z427" s="2" t="s">
        <v>72</v>
      </c>
      <c r="AA427" s="13">
        <v>25</v>
      </c>
      <c r="AB427" s="2" t="s">
        <v>73</v>
      </c>
      <c r="AC427" s="2" t="s">
        <v>6773</v>
      </c>
      <c r="AD427" s="27">
        <v>43280</v>
      </c>
      <c r="AL427" s="2" t="s">
        <v>7221</v>
      </c>
    </row>
    <row r="428" spans="1:38" x14ac:dyDescent="0.2">
      <c r="A428" s="2" t="s">
        <v>1264</v>
      </c>
      <c r="B428" s="2" t="s">
        <v>1265</v>
      </c>
      <c r="C428" s="2" t="s">
        <v>1266</v>
      </c>
      <c r="D428" s="2" t="s">
        <v>1267</v>
      </c>
      <c r="E428" s="16">
        <v>317.01</v>
      </c>
      <c r="F428" s="16">
        <v>317.01</v>
      </c>
      <c r="G428" s="14">
        <v>43292</v>
      </c>
      <c r="H428" s="15">
        <v>0.35131944444444002</v>
      </c>
      <c r="I428" s="14">
        <v>43292</v>
      </c>
      <c r="J428" s="15">
        <v>0.44565972222222</v>
      </c>
      <c r="K428" s="13">
        <v>0</v>
      </c>
      <c r="L428" s="2" t="s">
        <v>64</v>
      </c>
      <c r="M428" s="2" t="s">
        <v>1268</v>
      </c>
      <c r="N428" s="14">
        <v>43291</v>
      </c>
      <c r="O428" s="14">
        <v>43294</v>
      </c>
      <c r="P428" s="2" t="s">
        <v>1269</v>
      </c>
      <c r="Q428" s="2" t="s">
        <v>1270</v>
      </c>
      <c r="R428" s="2" t="s">
        <v>80</v>
      </c>
      <c r="S428" s="14">
        <v>43291</v>
      </c>
      <c r="T428" s="2" t="s">
        <v>6374</v>
      </c>
      <c r="U428" s="2" t="s">
        <v>489</v>
      </c>
      <c r="V428" s="2" t="s">
        <v>1271</v>
      </c>
      <c r="W428" s="2" t="s">
        <v>70</v>
      </c>
      <c r="X428" s="13">
        <v>140</v>
      </c>
      <c r="Y428" s="2" t="s">
        <v>71</v>
      </c>
      <c r="Z428" s="2" t="s">
        <v>72</v>
      </c>
      <c r="AA428" s="13">
        <v>300</v>
      </c>
      <c r="AB428" s="2" t="s">
        <v>107</v>
      </c>
      <c r="AC428" s="2" t="s">
        <v>6773</v>
      </c>
      <c r="AD428" s="27">
        <v>43238</v>
      </c>
      <c r="AI428" s="2" t="s">
        <v>6153</v>
      </c>
      <c r="AL428" s="2" t="s">
        <v>5191</v>
      </c>
    </row>
    <row r="429" spans="1:38" x14ac:dyDescent="0.2">
      <c r="A429" s="2" t="s">
        <v>1264</v>
      </c>
      <c r="B429" s="2" t="s">
        <v>1287</v>
      </c>
      <c r="C429" s="2" t="s">
        <v>1288</v>
      </c>
      <c r="D429" s="2" t="s">
        <v>1289</v>
      </c>
      <c r="E429" s="16">
        <v>529.9</v>
      </c>
      <c r="F429" s="16">
        <v>529.9</v>
      </c>
      <c r="G429" s="14">
        <v>43292</v>
      </c>
      <c r="H429" s="15">
        <v>0.64318287037037003</v>
      </c>
      <c r="I429" s="14">
        <v>43292</v>
      </c>
      <c r="J429" s="15">
        <v>0.80089120370370004</v>
      </c>
      <c r="K429" s="13">
        <v>0</v>
      </c>
      <c r="L429" s="2" t="s">
        <v>64</v>
      </c>
      <c r="M429" s="2" t="s">
        <v>1290</v>
      </c>
      <c r="N429" s="14">
        <v>43291</v>
      </c>
      <c r="O429" s="14">
        <v>43294</v>
      </c>
      <c r="P429" s="2" t="s">
        <v>91</v>
      </c>
      <c r="Q429" s="2" t="s">
        <v>1291</v>
      </c>
      <c r="R429" s="2" t="s">
        <v>80</v>
      </c>
      <c r="S429" s="14">
        <v>43291</v>
      </c>
      <c r="T429" s="2" t="s">
        <v>6375</v>
      </c>
      <c r="U429" s="2" t="s">
        <v>1292</v>
      </c>
      <c r="V429" s="2" t="s">
        <v>1293</v>
      </c>
      <c r="W429" s="2" t="s">
        <v>70</v>
      </c>
      <c r="X429" s="13">
        <v>140</v>
      </c>
      <c r="Y429" s="2" t="s">
        <v>71</v>
      </c>
      <c r="Z429" s="2" t="s">
        <v>72</v>
      </c>
      <c r="AA429" s="13">
        <v>500</v>
      </c>
      <c r="AB429" s="2" t="s">
        <v>107</v>
      </c>
      <c r="AC429" s="2" t="s">
        <v>6773</v>
      </c>
      <c r="AD429" s="27">
        <v>43270</v>
      </c>
      <c r="AI429" s="2" t="s">
        <v>6153</v>
      </c>
      <c r="AL429" s="2" t="s">
        <v>5192</v>
      </c>
    </row>
    <row r="430" spans="1:38" x14ac:dyDescent="0.2">
      <c r="A430" s="2" t="s">
        <v>1264</v>
      </c>
      <c r="B430" s="2" t="s">
        <v>1338</v>
      </c>
      <c r="C430" s="2" t="s">
        <v>1339</v>
      </c>
      <c r="D430" s="2" t="s">
        <v>1340</v>
      </c>
      <c r="E430" s="16">
        <v>2113.4</v>
      </c>
      <c r="F430" s="16">
        <v>2113.4</v>
      </c>
      <c r="G430" s="14">
        <v>43293</v>
      </c>
      <c r="H430" s="15">
        <v>8.3333333333329998E-2</v>
      </c>
      <c r="I430" s="14">
        <v>43293</v>
      </c>
      <c r="J430" s="15">
        <v>0.71232638888888999</v>
      </c>
      <c r="K430" s="13">
        <v>0</v>
      </c>
      <c r="L430" s="2" t="s">
        <v>64</v>
      </c>
      <c r="M430" s="2" t="s">
        <v>1277</v>
      </c>
      <c r="N430" s="14">
        <v>43294</v>
      </c>
      <c r="O430" s="14">
        <v>43295</v>
      </c>
      <c r="P430" s="2" t="s">
        <v>524</v>
      </c>
      <c r="Q430" s="2" t="s">
        <v>1341</v>
      </c>
      <c r="R430" s="2" t="s">
        <v>80</v>
      </c>
      <c r="S430" s="14">
        <v>43294</v>
      </c>
      <c r="T430" s="2" t="s">
        <v>6377</v>
      </c>
      <c r="U430" s="2" t="s">
        <v>399</v>
      </c>
      <c r="V430" s="2" t="s">
        <v>1342</v>
      </c>
      <c r="W430" s="2" t="s">
        <v>70</v>
      </c>
      <c r="X430" s="13">
        <v>140</v>
      </c>
      <c r="Y430" s="2" t="s">
        <v>71</v>
      </c>
      <c r="Z430" s="2" t="s">
        <v>72</v>
      </c>
      <c r="AA430" s="13">
        <v>2000</v>
      </c>
      <c r="AB430" s="2" t="s">
        <v>73</v>
      </c>
      <c r="AC430" s="2" t="s">
        <v>6773</v>
      </c>
      <c r="AD430" s="27">
        <v>43218</v>
      </c>
      <c r="AI430" s="2" t="s">
        <v>6153</v>
      </c>
      <c r="AL430" s="2" t="s">
        <v>5193</v>
      </c>
    </row>
    <row r="431" spans="1:38" x14ac:dyDescent="0.2">
      <c r="A431" s="2" t="s">
        <v>1264</v>
      </c>
      <c r="B431" s="2" t="s">
        <v>1834</v>
      </c>
      <c r="C431" s="2" t="s">
        <v>1835</v>
      </c>
      <c r="D431" s="2" t="s">
        <v>1836</v>
      </c>
      <c r="E431" s="13">
        <v>600</v>
      </c>
      <c r="F431" s="13">
        <v>600</v>
      </c>
      <c r="G431" s="14">
        <v>43293</v>
      </c>
      <c r="H431" s="15">
        <v>0.79166666666666996</v>
      </c>
      <c r="I431" s="14">
        <v>43293</v>
      </c>
      <c r="J431" s="15">
        <v>0.97024305555556001</v>
      </c>
      <c r="K431" s="13">
        <v>0</v>
      </c>
      <c r="L431" s="2" t="s">
        <v>64</v>
      </c>
      <c r="M431" s="2" t="s">
        <v>4388</v>
      </c>
      <c r="N431" s="14">
        <v>43291</v>
      </c>
      <c r="O431" s="14">
        <v>43295</v>
      </c>
      <c r="P431" s="2" t="s">
        <v>91</v>
      </c>
      <c r="Q431" s="2" t="s">
        <v>1837</v>
      </c>
      <c r="R431" s="2" t="s">
        <v>80</v>
      </c>
      <c r="S431" s="14">
        <v>43291</v>
      </c>
      <c r="T431" s="2" t="s">
        <v>6378</v>
      </c>
      <c r="U431" s="2" t="s">
        <v>511</v>
      </c>
      <c r="V431" s="2" t="s">
        <v>1838</v>
      </c>
      <c r="W431" s="2" t="s">
        <v>98</v>
      </c>
      <c r="X431" s="13">
        <v>140</v>
      </c>
      <c r="Y431" s="2" t="s">
        <v>71</v>
      </c>
      <c r="Z431" s="2" t="s">
        <v>72</v>
      </c>
      <c r="AA431" s="13">
        <v>600</v>
      </c>
      <c r="AB431" s="2" t="s">
        <v>73</v>
      </c>
      <c r="AC431" s="2" t="s">
        <v>6773</v>
      </c>
      <c r="AD431" s="27">
        <v>43214</v>
      </c>
      <c r="AI431" s="2" t="s">
        <v>6153</v>
      </c>
      <c r="AL431" s="2" t="s">
        <v>5194</v>
      </c>
    </row>
    <row r="432" spans="1:38" x14ac:dyDescent="0.2">
      <c r="A432" s="2" t="s">
        <v>1264</v>
      </c>
      <c r="B432" s="2" t="s">
        <v>1346</v>
      </c>
      <c r="C432" s="2" t="s">
        <v>1347</v>
      </c>
      <c r="D432" s="2" t="s">
        <v>1348</v>
      </c>
      <c r="E432" s="16">
        <v>3170.1</v>
      </c>
      <c r="F432" s="16">
        <v>3170.1</v>
      </c>
      <c r="G432" s="14">
        <v>43293</v>
      </c>
      <c r="H432" s="15">
        <v>0.95833333333333004</v>
      </c>
      <c r="I432" s="14">
        <v>43294</v>
      </c>
      <c r="J432" s="15">
        <v>0.90181712962963001</v>
      </c>
      <c r="K432" s="13">
        <v>0</v>
      </c>
      <c r="L432" s="2" t="s">
        <v>64</v>
      </c>
      <c r="M432" s="2" t="s">
        <v>4381</v>
      </c>
      <c r="N432" s="14">
        <v>43300</v>
      </c>
      <c r="O432" s="14">
        <v>43296</v>
      </c>
      <c r="P432" s="2" t="s">
        <v>1329</v>
      </c>
      <c r="Q432" s="2" t="s">
        <v>1349</v>
      </c>
      <c r="R432" s="2" t="s">
        <v>80</v>
      </c>
      <c r="S432" s="14">
        <v>43297</v>
      </c>
      <c r="T432" s="2" t="s">
        <v>6379</v>
      </c>
      <c r="U432" s="2" t="s">
        <v>418</v>
      </c>
      <c r="V432" s="2" t="s">
        <v>1350</v>
      </c>
      <c r="W432" s="2" t="s">
        <v>70</v>
      </c>
      <c r="X432" s="13">
        <v>140</v>
      </c>
      <c r="Y432" s="2" t="s">
        <v>71</v>
      </c>
      <c r="Z432" s="2" t="s">
        <v>72</v>
      </c>
      <c r="AA432" s="13">
        <v>3000</v>
      </c>
      <c r="AB432" s="2" t="s">
        <v>73</v>
      </c>
      <c r="AC432" s="2" t="s">
        <v>6773</v>
      </c>
      <c r="AD432" s="27">
        <v>43277</v>
      </c>
      <c r="AI432" s="2" t="s">
        <v>6153</v>
      </c>
      <c r="AL432" s="2" t="s">
        <v>5195</v>
      </c>
    </row>
    <row r="433" spans="1:38" x14ac:dyDescent="0.2">
      <c r="A433" s="2" t="s">
        <v>1264</v>
      </c>
      <c r="B433" s="2" t="s">
        <v>1351</v>
      </c>
      <c r="C433" s="2" t="s">
        <v>1352</v>
      </c>
      <c r="D433" s="2" t="s">
        <v>1353</v>
      </c>
      <c r="E433" s="13">
        <v>2000</v>
      </c>
      <c r="F433" s="13">
        <v>2000</v>
      </c>
      <c r="G433" s="14">
        <v>43294</v>
      </c>
      <c r="H433" s="15">
        <v>0.95833333333333004</v>
      </c>
      <c r="I433" s="14">
        <v>43295</v>
      </c>
      <c r="J433" s="15">
        <v>0.55357638888889005</v>
      </c>
      <c r="K433" s="13">
        <v>20</v>
      </c>
      <c r="L433" s="2" t="s">
        <v>64</v>
      </c>
      <c r="M433" s="2" t="s">
        <v>1310</v>
      </c>
      <c r="N433" s="14">
        <v>43304</v>
      </c>
      <c r="O433" s="14">
        <v>43297</v>
      </c>
      <c r="P433" s="2" t="s">
        <v>1329</v>
      </c>
      <c r="Q433" s="2" t="s">
        <v>1354</v>
      </c>
      <c r="R433" s="2" t="s">
        <v>80</v>
      </c>
      <c r="S433" s="14">
        <v>43304</v>
      </c>
      <c r="T433" s="2" t="s">
        <v>6380</v>
      </c>
      <c r="U433" s="2" t="s">
        <v>1355</v>
      </c>
      <c r="V433" s="2" t="s">
        <v>1356</v>
      </c>
      <c r="W433" s="2" t="s">
        <v>70</v>
      </c>
      <c r="X433" s="13">
        <v>140</v>
      </c>
      <c r="Y433" s="2" t="s">
        <v>71</v>
      </c>
      <c r="Z433" s="2" t="s">
        <v>72</v>
      </c>
      <c r="AA433" s="13">
        <v>2000</v>
      </c>
      <c r="AB433" s="2" t="s">
        <v>73</v>
      </c>
      <c r="AC433" s="2" t="s">
        <v>6773</v>
      </c>
      <c r="AD433" s="27">
        <v>43263</v>
      </c>
      <c r="AL433" s="2" t="s">
        <v>5196</v>
      </c>
    </row>
    <row r="434" spans="1:38" x14ac:dyDescent="0.2">
      <c r="A434" s="2" t="s">
        <v>1264</v>
      </c>
      <c r="B434" s="2" t="s">
        <v>1357</v>
      </c>
      <c r="C434" s="2" t="s">
        <v>1358</v>
      </c>
      <c r="D434" s="2" t="s">
        <v>1359</v>
      </c>
      <c r="E434" s="13">
        <v>2000</v>
      </c>
      <c r="F434" s="13">
        <v>2000</v>
      </c>
      <c r="G434" s="14">
        <v>43295</v>
      </c>
      <c r="H434" s="15">
        <v>0.61793981481480997</v>
      </c>
      <c r="I434" s="14">
        <v>43296</v>
      </c>
      <c r="J434" s="15">
        <v>0.21318287037037001</v>
      </c>
      <c r="K434" s="13">
        <v>20</v>
      </c>
      <c r="L434" s="2" t="s">
        <v>64</v>
      </c>
      <c r="M434" s="2" t="s">
        <v>1310</v>
      </c>
      <c r="N434" s="14">
        <v>43298</v>
      </c>
      <c r="O434" s="14">
        <v>43296</v>
      </c>
      <c r="P434" s="2" t="s">
        <v>91</v>
      </c>
      <c r="Q434" s="2" t="s">
        <v>1360</v>
      </c>
      <c r="R434" s="2" t="s">
        <v>80</v>
      </c>
      <c r="S434" s="14">
        <v>43298</v>
      </c>
      <c r="T434" s="2" t="s">
        <v>6381</v>
      </c>
      <c r="U434" s="2" t="s">
        <v>1345</v>
      </c>
      <c r="V434" s="2" t="s">
        <v>1361</v>
      </c>
      <c r="W434" s="2" t="s">
        <v>98</v>
      </c>
      <c r="X434" s="13">
        <v>140</v>
      </c>
      <c r="Y434" s="2" t="s">
        <v>71</v>
      </c>
      <c r="Z434" s="2" t="s">
        <v>72</v>
      </c>
      <c r="AA434" s="13">
        <v>2000</v>
      </c>
      <c r="AB434" s="2" t="s">
        <v>73</v>
      </c>
      <c r="AC434" s="2" t="s">
        <v>6773</v>
      </c>
      <c r="AD434" s="27">
        <v>43265</v>
      </c>
      <c r="AL434" s="2" t="s">
        <v>5197</v>
      </c>
    </row>
    <row r="435" spans="1:38" hidden="1" x14ac:dyDescent="0.2">
      <c r="A435" s="2" t="s">
        <v>1264</v>
      </c>
      <c r="B435" s="2" t="s">
        <v>1442</v>
      </c>
      <c r="C435" s="2" t="s">
        <v>1358</v>
      </c>
      <c r="D435" s="2" t="s">
        <v>1359</v>
      </c>
      <c r="E435" s="13">
        <v>2000</v>
      </c>
      <c r="F435" s="13">
        <v>2000</v>
      </c>
      <c r="G435" s="14">
        <v>43296</v>
      </c>
      <c r="H435" s="15">
        <v>0.23401620370369999</v>
      </c>
      <c r="I435" s="14">
        <v>43296</v>
      </c>
      <c r="J435" s="15">
        <v>0.82925925925926003</v>
      </c>
      <c r="K435" s="13">
        <v>20</v>
      </c>
      <c r="L435" s="2" t="s">
        <v>64</v>
      </c>
      <c r="M435" s="2" t="s">
        <v>1310</v>
      </c>
      <c r="N435" s="14">
        <v>43319</v>
      </c>
      <c r="O435" s="14">
        <v>43296</v>
      </c>
      <c r="P435" s="2" t="s">
        <v>91</v>
      </c>
      <c r="Q435" s="2" t="s">
        <v>1443</v>
      </c>
      <c r="R435" s="2" t="s">
        <v>80</v>
      </c>
      <c r="S435" s="14">
        <v>43319</v>
      </c>
      <c r="T435" s="2" t="s">
        <v>6396</v>
      </c>
      <c r="U435" s="2" t="s">
        <v>1345</v>
      </c>
      <c r="V435" s="2" t="s">
        <v>1361</v>
      </c>
      <c r="W435" s="2" t="s">
        <v>98</v>
      </c>
      <c r="X435" s="13">
        <v>140</v>
      </c>
      <c r="Y435" s="2" t="s">
        <v>71</v>
      </c>
      <c r="Z435" s="2" t="s">
        <v>72</v>
      </c>
      <c r="AA435" s="13">
        <v>2000</v>
      </c>
      <c r="AB435" s="2" t="s">
        <v>73</v>
      </c>
      <c r="AC435" s="2" t="s">
        <v>6773</v>
      </c>
      <c r="AD435" s="27">
        <v>43265</v>
      </c>
      <c r="AL435" s="2" t="s">
        <v>5198</v>
      </c>
    </row>
    <row r="436" spans="1:38" hidden="1" x14ac:dyDescent="0.2">
      <c r="A436" s="2" t="s">
        <v>1264</v>
      </c>
      <c r="B436" s="2" t="s">
        <v>1423</v>
      </c>
      <c r="C436" s="2" t="s">
        <v>1332</v>
      </c>
      <c r="D436" s="2" t="s">
        <v>1333</v>
      </c>
      <c r="E436" s="16">
        <v>1061.2</v>
      </c>
      <c r="F436" s="16">
        <v>1061.2</v>
      </c>
      <c r="G436" s="14">
        <v>43296</v>
      </c>
      <c r="H436" s="15">
        <v>0.85009259259258996</v>
      </c>
      <c r="I436" s="14">
        <v>43297</v>
      </c>
      <c r="J436" s="15">
        <v>0.16592592592593</v>
      </c>
      <c r="K436" s="13">
        <v>0</v>
      </c>
      <c r="L436" s="2" t="s">
        <v>64</v>
      </c>
      <c r="M436" s="2" t="s">
        <v>1334</v>
      </c>
      <c r="N436" s="14">
        <v>43297</v>
      </c>
      <c r="O436" s="14">
        <v>43299</v>
      </c>
      <c r="P436" s="2" t="s">
        <v>1335</v>
      </c>
      <c r="Q436" s="2" t="s">
        <v>1424</v>
      </c>
      <c r="R436" s="2" t="s">
        <v>80</v>
      </c>
      <c r="S436" s="14">
        <v>43297</v>
      </c>
      <c r="T436" s="2" t="s">
        <v>6382</v>
      </c>
      <c r="U436" s="2" t="s">
        <v>1336</v>
      </c>
      <c r="V436" s="2" t="s">
        <v>1337</v>
      </c>
      <c r="W436" s="2" t="s">
        <v>70</v>
      </c>
      <c r="X436" s="13">
        <v>140</v>
      </c>
      <c r="Y436" s="2" t="s">
        <v>71</v>
      </c>
      <c r="Z436" s="2" t="s">
        <v>72</v>
      </c>
      <c r="AA436" s="13">
        <v>1000</v>
      </c>
      <c r="AB436" s="2" t="s">
        <v>73</v>
      </c>
      <c r="AC436" s="2" t="s">
        <v>6773</v>
      </c>
      <c r="AD436" s="27">
        <v>43279</v>
      </c>
      <c r="AL436" s="2" t="s">
        <v>5199</v>
      </c>
    </row>
    <row r="437" spans="1:38" hidden="1" x14ac:dyDescent="0.2">
      <c r="A437" s="2" t="s">
        <v>1264</v>
      </c>
      <c r="B437" s="2" t="s">
        <v>1382</v>
      </c>
      <c r="C437" s="2" t="s">
        <v>1383</v>
      </c>
      <c r="D437" s="2" t="s">
        <v>1384</v>
      </c>
      <c r="E437" s="13">
        <v>500</v>
      </c>
      <c r="F437" s="13">
        <v>500</v>
      </c>
      <c r="G437" s="14">
        <v>43297</v>
      </c>
      <c r="H437" s="15">
        <v>0.20759259259259</v>
      </c>
      <c r="I437" s="14">
        <v>43297</v>
      </c>
      <c r="J437" s="15">
        <v>0.35640046296296002</v>
      </c>
      <c r="K437" s="13">
        <v>0</v>
      </c>
      <c r="L437" s="2" t="s">
        <v>64</v>
      </c>
      <c r="M437" s="2" t="s">
        <v>1297</v>
      </c>
      <c r="N437" s="14">
        <v>43304</v>
      </c>
      <c r="O437" s="14">
        <v>43299</v>
      </c>
      <c r="P437" s="2" t="s">
        <v>1298</v>
      </c>
      <c r="Q437" s="2" t="s">
        <v>1385</v>
      </c>
      <c r="R437" s="2" t="s">
        <v>80</v>
      </c>
      <c r="S437" s="14">
        <v>43304</v>
      </c>
      <c r="T437" s="2" t="s">
        <v>6383</v>
      </c>
      <c r="U437" s="2" t="s">
        <v>1300</v>
      </c>
      <c r="V437" s="2" t="s">
        <v>1386</v>
      </c>
      <c r="W437" s="2" t="s">
        <v>70</v>
      </c>
      <c r="X437" s="13">
        <v>140</v>
      </c>
      <c r="Y437" s="2" t="s">
        <v>71</v>
      </c>
      <c r="Z437" s="2" t="s">
        <v>72</v>
      </c>
      <c r="AA437" s="13">
        <v>500</v>
      </c>
      <c r="AB437" s="2" t="s">
        <v>73</v>
      </c>
      <c r="AC437" s="2" t="s">
        <v>6773</v>
      </c>
      <c r="AD437" s="27">
        <v>43229</v>
      </c>
      <c r="AI437" s="2" t="s">
        <v>6153</v>
      </c>
      <c r="AL437" s="2" t="s">
        <v>5200</v>
      </c>
    </row>
    <row r="438" spans="1:38" hidden="1" x14ac:dyDescent="0.2">
      <c r="A438" s="2" t="s">
        <v>1264</v>
      </c>
      <c r="B438" s="2" t="s">
        <v>1362</v>
      </c>
      <c r="C438" s="2" t="s">
        <v>1363</v>
      </c>
      <c r="D438" s="2" t="s">
        <v>1364</v>
      </c>
      <c r="E438" s="13">
        <v>5000</v>
      </c>
      <c r="F438" s="13">
        <v>5000</v>
      </c>
      <c r="G438" s="14">
        <v>43297</v>
      </c>
      <c r="H438" s="15">
        <v>0.41666666666667002</v>
      </c>
      <c r="I438" s="14">
        <v>43298</v>
      </c>
      <c r="J438" s="15">
        <v>0.90475694444443999</v>
      </c>
      <c r="K438" s="13">
        <v>0</v>
      </c>
      <c r="L438" s="2" t="s">
        <v>64</v>
      </c>
      <c r="M438" s="2" t="s">
        <v>1365</v>
      </c>
      <c r="N438" s="14">
        <v>43298</v>
      </c>
      <c r="O438" s="14">
        <v>43300</v>
      </c>
      <c r="P438" s="2" t="s">
        <v>1366</v>
      </c>
      <c r="Q438" s="2" t="s">
        <v>1367</v>
      </c>
      <c r="R438" s="2" t="s">
        <v>80</v>
      </c>
      <c r="S438" s="14">
        <v>43304</v>
      </c>
      <c r="T438" s="2" t="s">
        <v>6385</v>
      </c>
      <c r="U438" s="2" t="s">
        <v>1368</v>
      </c>
      <c r="V438" s="2" t="s">
        <v>1369</v>
      </c>
      <c r="W438" s="2" t="s">
        <v>70</v>
      </c>
      <c r="X438" s="13">
        <v>140</v>
      </c>
      <c r="Y438" s="2" t="s">
        <v>71</v>
      </c>
      <c r="Z438" s="2" t="s">
        <v>72</v>
      </c>
      <c r="AA438" s="13">
        <v>5000</v>
      </c>
      <c r="AB438" s="2" t="s">
        <v>73</v>
      </c>
      <c r="AC438" s="2" t="s">
        <v>6773</v>
      </c>
      <c r="AD438" s="27">
        <v>43247</v>
      </c>
      <c r="AL438" s="2" t="s">
        <v>5201</v>
      </c>
    </row>
    <row r="439" spans="1:38" hidden="1" x14ac:dyDescent="0.2">
      <c r="A439" s="2" t="s">
        <v>1264</v>
      </c>
      <c r="B439" s="2" t="s">
        <v>1451</v>
      </c>
      <c r="C439" s="2" t="s">
        <v>1452</v>
      </c>
      <c r="D439" s="2" t="s">
        <v>1453</v>
      </c>
      <c r="E439" s="13">
        <v>2000</v>
      </c>
      <c r="F439" s="13">
        <v>2000</v>
      </c>
      <c r="G439" s="14">
        <v>43299</v>
      </c>
      <c r="H439" s="15">
        <v>0</v>
      </c>
      <c r="I439" s="14">
        <v>43299</v>
      </c>
      <c r="J439" s="15">
        <v>0.59524305555556001</v>
      </c>
      <c r="K439" s="13">
        <v>0</v>
      </c>
      <c r="L439" s="2" t="s">
        <v>64</v>
      </c>
      <c r="M439" s="2" t="s">
        <v>1310</v>
      </c>
      <c r="N439" s="14">
        <v>43301</v>
      </c>
      <c r="O439" s="14">
        <v>43301</v>
      </c>
      <c r="P439" s="2" t="s">
        <v>483</v>
      </c>
      <c r="Q439" s="2" t="s">
        <v>1454</v>
      </c>
      <c r="R439" s="2" t="s">
        <v>80</v>
      </c>
      <c r="S439" s="14">
        <v>43301</v>
      </c>
      <c r="T439" s="2" t="s">
        <v>6386</v>
      </c>
      <c r="U439" s="2" t="s">
        <v>1455</v>
      </c>
      <c r="V439" s="2" t="s">
        <v>163</v>
      </c>
      <c r="W439" s="2" t="s">
        <v>70</v>
      </c>
      <c r="X439" s="13">
        <v>140</v>
      </c>
      <c r="Y439" s="2" t="s">
        <v>71</v>
      </c>
      <c r="Z439" s="2" t="s">
        <v>72</v>
      </c>
      <c r="AA439" s="13">
        <v>2000</v>
      </c>
      <c r="AB439" s="2" t="s">
        <v>73</v>
      </c>
      <c r="AC439" s="2" t="s">
        <v>6773</v>
      </c>
      <c r="AD439" s="27">
        <v>43209</v>
      </c>
      <c r="AL439" s="2" t="s">
        <v>5202</v>
      </c>
    </row>
    <row r="440" spans="1:38" hidden="1" x14ac:dyDescent="0.2">
      <c r="A440" s="2" t="s">
        <v>1264</v>
      </c>
      <c r="B440" s="2" t="s">
        <v>1370</v>
      </c>
      <c r="C440" s="2" t="s">
        <v>1371</v>
      </c>
      <c r="D440" s="2" t="s">
        <v>1372</v>
      </c>
      <c r="E440" s="13">
        <v>100</v>
      </c>
      <c r="F440" s="13">
        <v>100</v>
      </c>
      <c r="G440" s="14">
        <v>43300</v>
      </c>
      <c r="H440" s="15">
        <v>0.97024305555556001</v>
      </c>
      <c r="I440" s="14">
        <v>43301</v>
      </c>
      <c r="J440" s="15">
        <v>0</v>
      </c>
      <c r="K440" s="13">
        <v>0</v>
      </c>
      <c r="L440" s="2" t="s">
        <v>64</v>
      </c>
      <c r="M440" s="2" t="s">
        <v>1328</v>
      </c>
      <c r="N440" s="14">
        <v>43307</v>
      </c>
      <c r="O440" s="14">
        <v>43302</v>
      </c>
      <c r="P440" s="2" t="s">
        <v>1373</v>
      </c>
      <c r="Q440" s="2" t="s">
        <v>1374</v>
      </c>
      <c r="R440" s="2" t="s">
        <v>80</v>
      </c>
      <c r="S440" s="14">
        <v>43307</v>
      </c>
      <c r="T440" s="2" t="s">
        <v>6387</v>
      </c>
      <c r="U440" s="2" t="s">
        <v>1375</v>
      </c>
      <c r="V440" s="2" t="s">
        <v>1376</v>
      </c>
      <c r="W440" s="2" t="s">
        <v>70</v>
      </c>
      <c r="X440" s="13">
        <v>140</v>
      </c>
      <c r="Y440" s="2" t="s">
        <v>71</v>
      </c>
      <c r="Z440" s="2" t="s">
        <v>72</v>
      </c>
      <c r="AA440" s="13">
        <v>100</v>
      </c>
      <c r="AB440" s="2" t="s">
        <v>73</v>
      </c>
      <c r="AC440" s="2" t="s">
        <v>6773</v>
      </c>
      <c r="AD440" s="27">
        <v>43256</v>
      </c>
      <c r="AI440" s="2" t="s">
        <v>6153</v>
      </c>
      <c r="AL440" s="2" t="s">
        <v>5203</v>
      </c>
    </row>
    <row r="441" spans="1:38" hidden="1" x14ac:dyDescent="0.2">
      <c r="A441" s="2" t="s">
        <v>1264</v>
      </c>
      <c r="B441" s="2" t="s">
        <v>1377</v>
      </c>
      <c r="C441" s="2" t="s">
        <v>1378</v>
      </c>
      <c r="D441" s="2" t="s">
        <v>1379</v>
      </c>
      <c r="E441" s="13">
        <v>2000</v>
      </c>
      <c r="F441" s="13">
        <v>2000</v>
      </c>
      <c r="G441" s="14">
        <v>43301</v>
      </c>
      <c r="H441" s="15">
        <v>0.91666666666666996</v>
      </c>
      <c r="I441" s="14">
        <v>43302</v>
      </c>
      <c r="J441" s="15">
        <v>0.51190972222221998</v>
      </c>
      <c r="K441" s="13">
        <v>0</v>
      </c>
      <c r="L441" s="2" t="s">
        <v>64</v>
      </c>
      <c r="M441" s="2" t="s">
        <v>1310</v>
      </c>
      <c r="N441" s="14">
        <v>43307</v>
      </c>
      <c r="O441" s="14">
        <v>43304</v>
      </c>
      <c r="P441" s="2" t="s">
        <v>1298</v>
      </c>
      <c r="Q441" s="2" t="s">
        <v>1380</v>
      </c>
      <c r="R441" s="2" t="s">
        <v>80</v>
      </c>
      <c r="S441" s="14">
        <v>43307</v>
      </c>
      <c r="T441" s="2" t="s">
        <v>6388</v>
      </c>
      <c r="U441" s="2" t="s">
        <v>393</v>
      </c>
      <c r="V441" s="2" t="s">
        <v>1381</v>
      </c>
      <c r="W441" s="2" t="s">
        <v>70</v>
      </c>
      <c r="X441" s="13">
        <v>140</v>
      </c>
      <c r="Y441" s="2" t="s">
        <v>71</v>
      </c>
      <c r="Z441" s="2" t="s">
        <v>72</v>
      </c>
      <c r="AA441" s="13">
        <v>2000</v>
      </c>
      <c r="AB441" s="2" t="s">
        <v>73</v>
      </c>
      <c r="AC441" s="2" t="s">
        <v>6773</v>
      </c>
      <c r="AD441" s="27">
        <v>43231</v>
      </c>
      <c r="AI441" s="2" t="s">
        <v>6153</v>
      </c>
      <c r="AL441" s="2" t="s">
        <v>5204</v>
      </c>
    </row>
    <row r="442" spans="1:38" hidden="1" x14ac:dyDescent="0.2">
      <c r="A442" s="2" t="s">
        <v>1264</v>
      </c>
      <c r="B442" s="2" t="s">
        <v>1387</v>
      </c>
      <c r="C442" s="2" t="s">
        <v>1388</v>
      </c>
      <c r="D442" s="2" t="s">
        <v>1389</v>
      </c>
      <c r="E442" s="13">
        <v>531</v>
      </c>
      <c r="F442" s="13">
        <v>531</v>
      </c>
      <c r="G442" s="14">
        <v>43302</v>
      </c>
      <c r="H442" s="15">
        <v>0.84196759259259002</v>
      </c>
      <c r="I442" s="14">
        <v>43303</v>
      </c>
      <c r="J442" s="15">
        <v>0</v>
      </c>
      <c r="K442" s="13">
        <v>0</v>
      </c>
      <c r="L442" s="2" t="s">
        <v>64</v>
      </c>
      <c r="M442" s="2" t="s">
        <v>1390</v>
      </c>
      <c r="N442" s="14">
        <v>43305</v>
      </c>
      <c r="O442" s="14">
        <v>43304</v>
      </c>
      <c r="P442" s="2" t="s">
        <v>1391</v>
      </c>
      <c r="Q442" s="2" t="s">
        <v>1392</v>
      </c>
      <c r="R442" s="2" t="s">
        <v>80</v>
      </c>
      <c r="S442" s="14">
        <v>43305</v>
      </c>
      <c r="T442" s="2" t="s">
        <v>6384</v>
      </c>
      <c r="U442" s="2" t="s">
        <v>1393</v>
      </c>
      <c r="V442" s="2" t="s">
        <v>1394</v>
      </c>
      <c r="W442" s="2" t="s">
        <v>70</v>
      </c>
      <c r="X442" s="13">
        <v>140</v>
      </c>
      <c r="Y442" s="2" t="s">
        <v>71</v>
      </c>
      <c r="Z442" s="2" t="s">
        <v>72</v>
      </c>
      <c r="AA442" s="13">
        <v>500</v>
      </c>
      <c r="AB442" s="2" t="s">
        <v>73</v>
      </c>
      <c r="AC442" s="2" t="s">
        <v>6773</v>
      </c>
      <c r="AD442" s="27">
        <v>43277</v>
      </c>
      <c r="AL442" s="2" t="s">
        <v>5205</v>
      </c>
    </row>
    <row r="443" spans="1:38" hidden="1" x14ac:dyDescent="0.2">
      <c r="A443" s="2" t="s">
        <v>1264</v>
      </c>
      <c r="B443" s="2" t="s">
        <v>4389</v>
      </c>
      <c r="C443" s="2" t="s">
        <v>4390</v>
      </c>
      <c r="D443" s="2" t="s">
        <v>4391</v>
      </c>
      <c r="E443" s="13">
        <v>500</v>
      </c>
      <c r="F443" s="13">
        <v>500</v>
      </c>
      <c r="G443" s="14">
        <v>43303</v>
      </c>
      <c r="H443" s="15">
        <v>0.53274305555556001</v>
      </c>
      <c r="I443" s="14">
        <v>43303</v>
      </c>
      <c r="J443" s="15">
        <v>0.68155092592593003</v>
      </c>
      <c r="K443" s="13">
        <v>0</v>
      </c>
      <c r="L443" s="2" t="s">
        <v>64</v>
      </c>
      <c r="M443" s="2" t="s">
        <v>1297</v>
      </c>
      <c r="N443" s="14">
        <v>43306</v>
      </c>
      <c r="O443" s="14">
        <v>43305</v>
      </c>
      <c r="P443" s="2" t="s">
        <v>91</v>
      </c>
      <c r="Q443" s="2" t="s">
        <v>4392</v>
      </c>
      <c r="R443" s="2" t="s">
        <v>80</v>
      </c>
      <c r="S443" s="14">
        <v>43306</v>
      </c>
      <c r="T443" s="2" t="s">
        <v>6389</v>
      </c>
      <c r="U443" s="2" t="s">
        <v>1244</v>
      </c>
      <c r="V443" s="2" t="s">
        <v>4393</v>
      </c>
      <c r="W443" s="2" t="s">
        <v>98</v>
      </c>
      <c r="X443" s="13">
        <v>140</v>
      </c>
      <c r="Y443" s="2" t="s">
        <v>71</v>
      </c>
      <c r="Z443" s="2" t="s">
        <v>72</v>
      </c>
      <c r="AA443" s="13">
        <v>500</v>
      </c>
      <c r="AB443" s="2" t="s">
        <v>73</v>
      </c>
      <c r="AC443" s="2" t="s">
        <v>6773</v>
      </c>
      <c r="AD443" s="27">
        <v>43285</v>
      </c>
      <c r="AL443" s="2" t="s">
        <v>5206</v>
      </c>
    </row>
    <row r="444" spans="1:38" hidden="1" x14ac:dyDescent="0.2">
      <c r="A444" s="2" t="s">
        <v>1264</v>
      </c>
      <c r="B444" s="2" t="s">
        <v>1395</v>
      </c>
      <c r="C444" s="2" t="s">
        <v>1396</v>
      </c>
      <c r="D444" s="2" t="s">
        <v>1397</v>
      </c>
      <c r="E444" s="13">
        <v>1000</v>
      </c>
      <c r="F444" s="13">
        <v>1000</v>
      </c>
      <c r="G444" s="14">
        <v>43303</v>
      </c>
      <c r="H444" s="15">
        <v>0.70238425925925996</v>
      </c>
      <c r="I444" s="14">
        <v>43304</v>
      </c>
      <c r="J444" s="15">
        <v>0</v>
      </c>
      <c r="K444" s="13">
        <v>0</v>
      </c>
      <c r="L444" s="2" t="s">
        <v>64</v>
      </c>
      <c r="M444" s="2" t="s">
        <v>1318</v>
      </c>
      <c r="N444" s="14">
        <v>43307</v>
      </c>
      <c r="O444" s="14">
        <v>43305</v>
      </c>
      <c r="P444" s="2" t="s">
        <v>1398</v>
      </c>
      <c r="Q444" s="2" t="s">
        <v>1399</v>
      </c>
      <c r="R444" s="2" t="s">
        <v>80</v>
      </c>
      <c r="S444" s="14">
        <v>43307</v>
      </c>
      <c r="T444" s="2" t="s">
        <v>6390</v>
      </c>
      <c r="U444" s="2" t="s">
        <v>1400</v>
      </c>
      <c r="V444" s="2" t="s">
        <v>1401</v>
      </c>
      <c r="W444" s="2" t="s">
        <v>70</v>
      </c>
      <c r="X444" s="13">
        <v>140</v>
      </c>
      <c r="Y444" s="2" t="s">
        <v>71</v>
      </c>
      <c r="Z444" s="2" t="s">
        <v>72</v>
      </c>
      <c r="AA444" s="13">
        <v>1000</v>
      </c>
      <c r="AB444" s="2" t="s">
        <v>73</v>
      </c>
      <c r="AC444" s="2" t="s">
        <v>6773</v>
      </c>
      <c r="AD444" s="27">
        <v>43262</v>
      </c>
      <c r="AL444" s="2" t="s">
        <v>5207</v>
      </c>
    </row>
    <row r="445" spans="1:38" hidden="1" x14ac:dyDescent="0.2">
      <c r="A445" s="2" t="s">
        <v>1264</v>
      </c>
      <c r="B445" s="2" t="s">
        <v>1402</v>
      </c>
      <c r="C445" s="2" t="s">
        <v>1308</v>
      </c>
      <c r="D445" s="2" t="s">
        <v>1309</v>
      </c>
      <c r="E445" s="13">
        <v>50</v>
      </c>
      <c r="F445" s="13">
        <v>50</v>
      </c>
      <c r="G445" s="14">
        <v>43304</v>
      </c>
      <c r="H445" s="15">
        <v>0.37927083333333</v>
      </c>
      <c r="I445" s="14">
        <v>43304</v>
      </c>
      <c r="J445" s="15">
        <v>0.39415509259259002</v>
      </c>
      <c r="K445" s="13">
        <v>0</v>
      </c>
      <c r="L445" s="2" t="s">
        <v>64</v>
      </c>
      <c r="M445" s="2" t="s">
        <v>1272</v>
      </c>
      <c r="N445" s="14">
        <v>43307</v>
      </c>
      <c r="O445" s="14">
        <v>43306</v>
      </c>
      <c r="P445" s="2" t="s">
        <v>1311</v>
      </c>
      <c r="Q445" s="2" t="s">
        <v>1403</v>
      </c>
      <c r="R445" s="2" t="s">
        <v>80</v>
      </c>
      <c r="S445" s="14">
        <v>43307</v>
      </c>
      <c r="T445" s="2" t="s">
        <v>6391</v>
      </c>
      <c r="U445" s="2" t="s">
        <v>1313</v>
      </c>
      <c r="V445" s="2" t="s">
        <v>1314</v>
      </c>
      <c r="W445" s="2" t="s">
        <v>70</v>
      </c>
      <c r="X445" s="13">
        <v>140</v>
      </c>
      <c r="Y445" s="2" t="s">
        <v>71</v>
      </c>
      <c r="Z445" s="2" t="s">
        <v>72</v>
      </c>
      <c r="AA445" s="13">
        <v>50</v>
      </c>
      <c r="AB445" s="2" t="s">
        <v>73</v>
      </c>
      <c r="AC445" s="2" t="s">
        <v>6773</v>
      </c>
      <c r="AD445" s="27">
        <v>43271</v>
      </c>
      <c r="AL445" s="2" t="s">
        <v>5208</v>
      </c>
    </row>
    <row r="446" spans="1:38" hidden="1" x14ac:dyDescent="0.2">
      <c r="A446" s="2" t="s">
        <v>1264</v>
      </c>
      <c r="B446" s="2" t="s">
        <v>1431</v>
      </c>
      <c r="C446" s="2" t="s">
        <v>1432</v>
      </c>
      <c r="D446" s="2" t="s">
        <v>1433</v>
      </c>
      <c r="E446" s="16">
        <v>2113.4</v>
      </c>
      <c r="F446" s="16">
        <v>2113.4</v>
      </c>
      <c r="G446" s="14">
        <v>43306</v>
      </c>
      <c r="H446" s="15">
        <v>0.125</v>
      </c>
      <c r="I446" s="14">
        <v>43306</v>
      </c>
      <c r="J446" s="15">
        <v>0.75399305555555995</v>
      </c>
      <c r="K446" s="13">
        <v>20</v>
      </c>
      <c r="L446" s="2" t="s">
        <v>64</v>
      </c>
      <c r="M446" s="2" t="s">
        <v>1277</v>
      </c>
      <c r="N446" s="14">
        <v>43318</v>
      </c>
      <c r="O446" s="14">
        <v>43308</v>
      </c>
      <c r="P446" s="2" t="s">
        <v>1434</v>
      </c>
      <c r="Q446" s="2" t="s">
        <v>1435</v>
      </c>
      <c r="R446" s="2" t="s">
        <v>80</v>
      </c>
      <c r="S446" s="14">
        <v>43318</v>
      </c>
      <c r="T446" s="2" t="s">
        <v>6393</v>
      </c>
      <c r="U446" s="2" t="s">
        <v>1355</v>
      </c>
      <c r="V446" s="2" t="s">
        <v>1436</v>
      </c>
      <c r="W446" s="2" t="s">
        <v>70</v>
      </c>
      <c r="X446" s="13">
        <v>140</v>
      </c>
      <c r="Y446" s="2" t="s">
        <v>71</v>
      </c>
      <c r="Z446" s="2" t="s">
        <v>72</v>
      </c>
      <c r="AA446" s="13">
        <v>2000</v>
      </c>
      <c r="AB446" s="2" t="s">
        <v>73</v>
      </c>
      <c r="AC446" s="2" t="s">
        <v>6773</v>
      </c>
      <c r="AD446" s="27">
        <v>43276</v>
      </c>
      <c r="AL446" s="2" t="s">
        <v>5209</v>
      </c>
    </row>
    <row r="447" spans="1:38" hidden="1" x14ac:dyDescent="0.2">
      <c r="A447" s="2" t="s">
        <v>1264</v>
      </c>
      <c r="B447" s="2" t="s">
        <v>1404</v>
      </c>
      <c r="C447" s="2" t="s">
        <v>1405</v>
      </c>
      <c r="D447" s="2" t="s">
        <v>1406</v>
      </c>
      <c r="E447" s="13">
        <v>1000</v>
      </c>
      <c r="F447" s="13">
        <v>1000</v>
      </c>
      <c r="G447" s="14">
        <v>43307</v>
      </c>
      <c r="H447" s="15">
        <v>0.19346064814815001</v>
      </c>
      <c r="I447" s="14">
        <v>43307</v>
      </c>
      <c r="J447" s="15">
        <v>0.49107638888888999</v>
      </c>
      <c r="K447" s="13">
        <v>20</v>
      </c>
      <c r="L447" s="2" t="s">
        <v>64</v>
      </c>
      <c r="M447" s="2" t="s">
        <v>1318</v>
      </c>
      <c r="N447" s="14">
        <v>43311</v>
      </c>
      <c r="O447" s="14">
        <v>43309</v>
      </c>
      <c r="P447" s="2" t="s">
        <v>1329</v>
      </c>
      <c r="Q447" s="2" t="s">
        <v>1407</v>
      </c>
      <c r="R447" s="2" t="s">
        <v>80</v>
      </c>
      <c r="S447" s="14">
        <v>43311</v>
      </c>
      <c r="T447" s="2" t="s">
        <v>6392</v>
      </c>
      <c r="U447" s="2" t="s">
        <v>1408</v>
      </c>
      <c r="V447" s="2" t="s">
        <v>1409</v>
      </c>
      <c r="W447" s="2" t="s">
        <v>70</v>
      </c>
      <c r="X447" s="13">
        <v>140</v>
      </c>
      <c r="Y447" s="2" t="s">
        <v>71</v>
      </c>
      <c r="Z447" s="2" t="s">
        <v>72</v>
      </c>
      <c r="AA447" s="13">
        <v>1000</v>
      </c>
      <c r="AB447" s="2" t="s">
        <v>73</v>
      </c>
      <c r="AC447" s="2" t="s">
        <v>6773</v>
      </c>
      <c r="AD447" s="27">
        <v>43272</v>
      </c>
      <c r="AL447" s="2" t="s">
        <v>5210</v>
      </c>
    </row>
    <row r="448" spans="1:38" hidden="1" x14ac:dyDescent="0.2">
      <c r="A448" s="2" t="s">
        <v>1264</v>
      </c>
      <c r="B448" s="2" t="s">
        <v>1416</v>
      </c>
      <c r="C448" s="2" t="s">
        <v>1417</v>
      </c>
      <c r="D448" s="2" t="s">
        <v>1418</v>
      </c>
      <c r="E448" s="13">
        <v>100</v>
      </c>
      <c r="F448" s="13">
        <v>100</v>
      </c>
      <c r="G448" s="14">
        <v>43308</v>
      </c>
      <c r="H448" s="15">
        <v>0.97024305555556001</v>
      </c>
      <c r="I448" s="14">
        <v>43309</v>
      </c>
      <c r="J448" s="15">
        <v>0</v>
      </c>
      <c r="K448" s="13">
        <v>20</v>
      </c>
      <c r="L448" s="2" t="s">
        <v>64</v>
      </c>
      <c r="M448" s="2" t="s">
        <v>1328</v>
      </c>
      <c r="N448" s="14">
        <v>43312</v>
      </c>
      <c r="O448" s="14">
        <v>43310</v>
      </c>
      <c r="P448" s="2" t="s">
        <v>1419</v>
      </c>
      <c r="Q448" s="2" t="s">
        <v>1420</v>
      </c>
      <c r="R448" s="2" t="s">
        <v>80</v>
      </c>
      <c r="S448" s="14">
        <v>43312</v>
      </c>
      <c r="T448" s="2" t="s">
        <v>6394</v>
      </c>
      <c r="U448" s="2" t="s">
        <v>1421</v>
      </c>
      <c r="V448" s="2" t="s">
        <v>1422</v>
      </c>
      <c r="W448" s="2" t="s">
        <v>70</v>
      </c>
      <c r="X448" s="13">
        <v>140</v>
      </c>
      <c r="Y448" s="2" t="s">
        <v>71</v>
      </c>
      <c r="Z448" s="2" t="s">
        <v>72</v>
      </c>
      <c r="AA448" s="13">
        <v>100</v>
      </c>
      <c r="AB448" s="2" t="s">
        <v>73</v>
      </c>
      <c r="AC448" s="2" t="s">
        <v>6773</v>
      </c>
      <c r="AD448" s="27">
        <v>43249</v>
      </c>
      <c r="AI448" s="2" t="s">
        <v>6153</v>
      </c>
      <c r="AL448" s="2" t="s">
        <v>5211</v>
      </c>
    </row>
    <row r="449" spans="1:38" hidden="1" x14ac:dyDescent="0.2">
      <c r="A449" s="2" t="s">
        <v>1264</v>
      </c>
      <c r="B449" s="2" t="s">
        <v>1425</v>
      </c>
      <c r="C449" s="2" t="s">
        <v>1426</v>
      </c>
      <c r="D449" s="2" t="s">
        <v>1427</v>
      </c>
      <c r="E449" s="13">
        <v>2000</v>
      </c>
      <c r="F449" s="13">
        <v>2000</v>
      </c>
      <c r="G449" s="14">
        <v>43309</v>
      </c>
      <c r="H449" s="15">
        <v>0.40475694444443999</v>
      </c>
      <c r="I449" s="14">
        <v>43310</v>
      </c>
      <c r="J449" s="15">
        <v>0</v>
      </c>
      <c r="K449" s="13">
        <v>20</v>
      </c>
      <c r="L449" s="2" t="s">
        <v>64</v>
      </c>
      <c r="M449" s="2" t="s">
        <v>1310</v>
      </c>
      <c r="N449" s="14">
        <v>43312</v>
      </c>
      <c r="O449" s="14">
        <v>43311</v>
      </c>
      <c r="P449" s="2" t="s">
        <v>1428</v>
      </c>
      <c r="Q449" s="2" t="s">
        <v>1429</v>
      </c>
      <c r="R449" s="2" t="s">
        <v>80</v>
      </c>
      <c r="S449" s="14">
        <v>43312</v>
      </c>
      <c r="T449" s="2" t="s">
        <v>6395</v>
      </c>
      <c r="U449" s="2" t="s">
        <v>1430</v>
      </c>
      <c r="V449" s="2" t="s">
        <v>163</v>
      </c>
      <c r="W449" s="2" t="s">
        <v>70</v>
      </c>
      <c r="X449" s="13">
        <v>140</v>
      </c>
      <c r="Y449" s="2" t="s">
        <v>71</v>
      </c>
      <c r="Z449" s="2" t="s">
        <v>72</v>
      </c>
      <c r="AA449" s="13">
        <v>2000</v>
      </c>
      <c r="AB449" s="2" t="s">
        <v>73</v>
      </c>
      <c r="AC449" s="2" t="s">
        <v>6773</v>
      </c>
      <c r="AD449" s="27">
        <v>43199</v>
      </c>
      <c r="AL449" s="2" t="s">
        <v>5212</v>
      </c>
    </row>
    <row r="450" spans="1:38" hidden="1" x14ac:dyDescent="0.2">
      <c r="A450" s="2" t="s">
        <v>1264</v>
      </c>
      <c r="B450" s="2" t="s">
        <v>4394</v>
      </c>
      <c r="C450" s="2" t="s">
        <v>2727</v>
      </c>
      <c r="D450" s="2" t="s">
        <v>2728</v>
      </c>
      <c r="E450" s="13">
        <v>1000</v>
      </c>
      <c r="F450" s="13">
        <v>1000</v>
      </c>
      <c r="G450" s="14">
        <v>43316</v>
      </c>
      <c r="H450" s="15">
        <v>0.70237268518519003</v>
      </c>
      <c r="I450" s="14">
        <v>43316</v>
      </c>
      <c r="J450" s="15">
        <v>0.99998842592592996</v>
      </c>
      <c r="K450" s="13">
        <v>0</v>
      </c>
      <c r="L450" s="2" t="s">
        <v>64</v>
      </c>
      <c r="M450" s="2" t="s">
        <v>1318</v>
      </c>
      <c r="N450" s="14">
        <v>43318</v>
      </c>
      <c r="O450" s="14">
        <v>43318</v>
      </c>
      <c r="P450" s="2" t="s">
        <v>404</v>
      </c>
      <c r="Q450" s="2" t="s">
        <v>98</v>
      </c>
      <c r="R450" s="2" t="s">
        <v>131</v>
      </c>
      <c r="S450" s="14"/>
      <c r="U450" s="2" t="s">
        <v>280</v>
      </c>
      <c r="V450" s="2" t="s">
        <v>407</v>
      </c>
      <c r="W450" s="2" t="s">
        <v>70</v>
      </c>
      <c r="X450" s="13">
        <v>0</v>
      </c>
      <c r="Y450" s="2" t="s">
        <v>71</v>
      </c>
      <c r="Z450" s="2" t="s">
        <v>72</v>
      </c>
      <c r="AA450" s="13">
        <v>1000</v>
      </c>
      <c r="AB450" s="2" t="s">
        <v>95</v>
      </c>
      <c r="AC450" s="2" t="s">
        <v>6773</v>
      </c>
      <c r="AD450" s="27"/>
      <c r="AI450" s="2" t="s">
        <v>6153</v>
      </c>
      <c r="AL450" s="2" t="s">
        <v>7222</v>
      </c>
    </row>
    <row r="451" spans="1:38" hidden="1" x14ac:dyDescent="0.2">
      <c r="A451" s="2" t="s">
        <v>1264</v>
      </c>
      <c r="B451" s="2" t="s">
        <v>1437</v>
      </c>
      <c r="C451" s="2" t="s">
        <v>1438</v>
      </c>
      <c r="D451" s="2" t="s">
        <v>1439</v>
      </c>
      <c r="E451" s="13">
        <v>100</v>
      </c>
      <c r="F451" s="13">
        <v>100</v>
      </c>
      <c r="G451" s="14">
        <v>43317</v>
      </c>
      <c r="H451" s="15">
        <v>0.97024305555556001</v>
      </c>
      <c r="I451" s="14">
        <v>43318</v>
      </c>
      <c r="J451" s="15">
        <v>0</v>
      </c>
      <c r="K451" s="13">
        <v>0</v>
      </c>
      <c r="L451" s="2" t="s">
        <v>64</v>
      </c>
      <c r="M451" s="2" t="s">
        <v>1328</v>
      </c>
      <c r="N451" s="14">
        <v>43320</v>
      </c>
      <c r="O451" s="14">
        <v>43319</v>
      </c>
      <c r="P451" s="2" t="s">
        <v>1311</v>
      </c>
      <c r="Q451" s="2" t="s">
        <v>1440</v>
      </c>
      <c r="R451" s="2" t="s">
        <v>80</v>
      </c>
      <c r="S451" s="14">
        <v>43320</v>
      </c>
      <c r="T451" s="2" t="s">
        <v>6397</v>
      </c>
      <c r="U451" s="2" t="s">
        <v>1292</v>
      </c>
      <c r="V451" s="2" t="s">
        <v>1441</v>
      </c>
      <c r="W451" s="2" t="s">
        <v>70</v>
      </c>
      <c r="X451" s="13">
        <v>140</v>
      </c>
      <c r="Y451" s="2" t="s">
        <v>71</v>
      </c>
      <c r="Z451" s="2" t="s">
        <v>72</v>
      </c>
      <c r="AA451" s="13">
        <v>100</v>
      </c>
      <c r="AB451" s="2" t="s">
        <v>73</v>
      </c>
      <c r="AC451" s="2" t="s">
        <v>6773</v>
      </c>
      <c r="AD451" s="27">
        <v>43237</v>
      </c>
      <c r="AL451" s="2" t="s">
        <v>5213</v>
      </c>
    </row>
    <row r="452" spans="1:38" hidden="1" x14ac:dyDescent="0.2">
      <c r="A452" s="2" t="s">
        <v>1264</v>
      </c>
      <c r="B452" s="2" t="s">
        <v>1444</v>
      </c>
      <c r="C452" s="2" t="s">
        <v>1426</v>
      </c>
      <c r="D452" s="2" t="s">
        <v>1427</v>
      </c>
      <c r="E452" s="13">
        <v>2000</v>
      </c>
      <c r="F452" s="13">
        <v>2000</v>
      </c>
      <c r="G452" s="14">
        <v>43330</v>
      </c>
      <c r="H452" s="15">
        <v>0.40475694444443999</v>
      </c>
      <c r="I452" s="14">
        <v>43331</v>
      </c>
      <c r="J452" s="15">
        <v>0</v>
      </c>
      <c r="K452" s="13">
        <v>20</v>
      </c>
      <c r="L452" s="2" t="s">
        <v>64</v>
      </c>
      <c r="M452" s="2" t="s">
        <v>1310</v>
      </c>
      <c r="N452" s="14">
        <v>43333</v>
      </c>
      <c r="O452" s="14">
        <v>43332</v>
      </c>
      <c r="P452" s="2" t="s">
        <v>1428</v>
      </c>
      <c r="Q452" s="2" t="s">
        <v>1445</v>
      </c>
      <c r="R452" s="2" t="s">
        <v>80</v>
      </c>
      <c r="S452" s="14">
        <v>43333</v>
      </c>
      <c r="U452" s="2" t="s">
        <v>1430</v>
      </c>
      <c r="V452" s="2" t="s">
        <v>163</v>
      </c>
      <c r="W452" s="2" t="s">
        <v>70</v>
      </c>
      <c r="X452" s="13">
        <v>140</v>
      </c>
      <c r="Y452" s="2" t="s">
        <v>71</v>
      </c>
      <c r="Z452" s="2" t="s">
        <v>72</v>
      </c>
      <c r="AA452" s="13">
        <v>2000</v>
      </c>
      <c r="AB452" s="2" t="s">
        <v>73</v>
      </c>
      <c r="AC452" s="2" t="s">
        <v>6773</v>
      </c>
      <c r="AD452" s="27"/>
      <c r="AL452" s="2" t="s">
        <v>7223</v>
      </c>
    </row>
    <row r="453" spans="1:38" hidden="1" x14ac:dyDescent="0.2">
      <c r="A453" s="2" t="s">
        <v>1264</v>
      </c>
      <c r="B453" s="2" t="s">
        <v>1446</v>
      </c>
      <c r="C453" s="2" t="s">
        <v>1447</v>
      </c>
      <c r="D453" s="2" t="s">
        <v>1448</v>
      </c>
      <c r="E453" s="13">
        <v>2000</v>
      </c>
      <c r="F453" s="13">
        <v>2000</v>
      </c>
      <c r="G453" s="14">
        <v>43332</v>
      </c>
      <c r="H453" s="15">
        <v>0.40475694444443999</v>
      </c>
      <c r="I453" s="14">
        <v>43333</v>
      </c>
      <c r="J453" s="15">
        <v>0</v>
      </c>
      <c r="K453" s="13">
        <v>20</v>
      </c>
      <c r="L453" s="2" t="s">
        <v>64</v>
      </c>
      <c r="M453" s="2" t="s">
        <v>1310</v>
      </c>
      <c r="N453" s="14">
        <v>43339</v>
      </c>
      <c r="O453" s="14">
        <v>43334</v>
      </c>
      <c r="P453" s="2" t="s">
        <v>1373</v>
      </c>
      <c r="Q453" s="2" t="s">
        <v>1449</v>
      </c>
      <c r="R453" s="2" t="s">
        <v>80</v>
      </c>
      <c r="S453" s="14">
        <v>43336</v>
      </c>
      <c r="U453" s="2" t="s">
        <v>1345</v>
      </c>
      <c r="V453" s="2" t="s">
        <v>1450</v>
      </c>
      <c r="W453" s="2" t="s">
        <v>70</v>
      </c>
      <c r="X453" s="13">
        <v>140</v>
      </c>
      <c r="Y453" s="2" t="s">
        <v>71</v>
      </c>
      <c r="Z453" s="2" t="s">
        <v>72</v>
      </c>
      <c r="AA453" s="13">
        <v>2000</v>
      </c>
      <c r="AB453" s="2" t="s">
        <v>73</v>
      </c>
      <c r="AC453" s="2" t="s">
        <v>6773</v>
      </c>
      <c r="AD453" s="27"/>
      <c r="AI453" s="2" t="s">
        <v>6153</v>
      </c>
      <c r="AL453" s="2" t="s">
        <v>7224</v>
      </c>
    </row>
    <row r="454" spans="1:38" hidden="1" x14ac:dyDescent="0.2">
      <c r="A454" s="2" t="s">
        <v>1264</v>
      </c>
      <c r="B454" s="2" t="s">
        <v>1456</v>
      </c>
      <c r="C454" s="2" t="s">
        <v>1457</v>
      </c>
      <c r="D454" s="2" t="s">
        <v>1458</v>
      </c>
      <c r="E454" s="13">
        <v>3000</v>
      </c>
      <c r="F454" s="13">
        <v>3000</v>
      </c>
      <c r="G454" s="14">
        <v>43355</v>
      </c>
      <c r="H454" s="15">
        <v>0.39940972222221999</v>
      </c>
      <c r="I454" s="14">
        <v>43356</v>
      </c>
      <c r="J454" s="15">
        <v>0.29226851851851998</v>
      </c>
      <c r="K454" s="13">
        <v>20</v>
      </c>
      <c r="L454" s="2" t="s">
        <v>64</v>
      </c>
      <c r="M454" s="2" t="s">
        <v>1283</v>
      </c>
      <c r="N454" s="14">
        <v>43355</v>
      </c>
      <c r="O454" s="14">
        <v>43358</v>
      </c>
      <c r="P454" s="2" t="s">
        <v>91</v>
      </c>
      <c r="Q454" s="2" t="s">
        <v>1459</v>
      </c>
      <c r="R454" s="2" t="s">
        <v>80</v>
      </c>
      <c r="S454" s="14">
        <v>43355</v>
      </c>
      <c r="U454" s="2" t="s">
        <v>1460</v>
      </c>
      <c r="V454" s="2" t="s">
        <v>1461</v>
      </c>
      <c r="W454" s="2" t="s">
        <v>70</v>
      </c>
      <c r="X454" s="13">
        <v>140</v>
      </c>
      <c r="Y454" s="2" t="s">
        <v>71</v>
      </c>
      <c r="Z454" s="2" t="s">
        <v>72</v>
      </c>
      <c r="AA454" s="13">
        <v>3000</v>
      </c>
      <c r="AB454" s="2" t="s">
        <v>73</v>
      </c>
      <c r="AC454" s="2" t="s">
        <v>6773</v>
      </c>
      <c r="AD454" s="27"/>
      <c r="AL454" s="2" t="s">
        <v>5214</v>
      </c>
    </row>
    <row r="455" spans="1:38" hidden="1" x14ac:dyDescent="0.2">
      <c r="A455" s="2" t="s">
        <v>1462</v>
      </c>
      <c r="B455" s="2" t="s">
        <v>1463</v>
      </c>
      <c r="C455" s="2" t="s">
        <v>1464</v>
      </c>
      <c r="D455" s="2" t="s">
        <v>1465</v>
      </c>
      <c r="E455" s="16">
        <v>2099.1999999999998</v>
      </c>
      <c r="F455" s="16">
        <v>2099.1999999999998</v>
      </c>
      <c r="G455" s="14">
        <v>43287</v>
      </c>
      <c r="H455" s="15">
        <v>0.32038194444444001</v>
      </c>
      <c r="I455" s="14">
        <v>43287</v>
      </c>
      <c r="J455" s="15">
        <v>0.91946759259259003</v>
      </c>
      <c r="K455" s="13">
        <v>0</v>
      </c>
      <c r="L455" s="2" t="s">
        <v>64</v>
      </c>
      <c r="M455" s="2" t="s">
        <v>1466</v>
      </c>
      <c r="N455" s="14">
        <v>43312</v>
      </c>
      <c r="O455" s="14">
        <v>43289</v>
      </c>
      <c r="P455" s="2" t="s">
        <v>91</v>
      </c>
      <c r="Q455" s="2" t="s">
        <v>6955</v>
      </c>
      <c r="R455" s="2" t="s">
        <v>80</v>
      </c>
      <c r="S455" s="14">
        <v>43290</v>
      </c>
      <c r="T455" s="2" t="s">
        <v>6398</v>
      </c>
      <c r="U455" s="2" t="s">
        <v>1467</v>
      </c>
      <c r="V455" s="2" t="s">
        <v>1468</v>
      </c>
      <c r="W455" s="2" t="s">
        <v>70</v>
      </c>
      <c r="X455" s="13">
        <v>146</v>
      </c>
      <c r="Y455" s="2" t="s">
        <v>71</v>
      </c>
      <c r="Z455" s="2" t="s">
        <v>72</v>
      </c>
      <c r="AA455" s="13">
        <v>2000</v>
      </c>
      <c r="AB455" s="2" t="s">
        <v>107</v>
      </c>
      <c r="AC455" s="2" t="s">
        <v>6773</v>
      </c>
      <c r="AD455" s="27">
        <v>43271</v>
      </c>
      <c r="AI455" s="2" t="s">
        <v>6153</v>
      </c>
      <c r="AL455" s="2" t="s">
        <v>5215</v>
      </c>
    </row>
    <row r="456" spans="1:38" hidden="1" x14ac:dyDescent="0.2">
      <c r="A456" s="2" t="s">
        <v>1462</v>
      </c>
      <c r="B456" s="2" t="s">
        <v>4103</v>
      </c>
      <c r="C456" s="2" t="s">
        <v>2166</v>
      </c>
      <c r="D456" s="2" t="s">
        <v>2167</v>
      </c>
      <c r="E456" s="16">
        <v>1049.5999999999999</v>
      </c>
      <c r="F456" s="16">
        <v>1049.5999999999999</v>
      </c>
      <c r="G456" s="14">
        <v>43287</v>
      </c>
      <c r="H456" s="15">
        <v>0.94030092592592995</v>
      </c>
      <c r="I456" s="14">
        <v>43288</v>
      </c>
      <c r="J456" s="15">
        <v>0.23984953703704001</v>
      </c>
      <c r="K456" s="13">
        <v>0</v>
      </c>
      <c r="L456" s="2" t="s">
        <v>64</v>
      </c>
      <c r="M456" s="2" t="s">
        <v>4395</v>
      </c>
      <c r="N456" s="14">
        <v>43298</v>
      </c>
      <c r="O456" s="14">
        <v>43290</v>
      </c>
      <c r="P456" s="2" t="s">
        <v>91</v>
      </c>
      <c r="Q456" s="2" t="s">
        <v>6956</v>
      </c>
      <c r="R456" s="2" t="s">
        <v>80</v>
      </c>
      <c r="S456" s="14">
        <v>43294</v>
      </c>
      <c r="T456" s="2" t="s">
        <v>6399</v>
      </c>
      <c r="U456" s="2" t="s">
        <v>495</v>
      </c>
      <c r="V456" s="2" t="s">
        <v>2170</v>
      </c>
      <c r="W456" s="2" t="s">
        <v>70</v>
      </c>
      <c r="X456" s="13">
        <v>146</v>
      </c>
      <c r="Y456" s="2" t="s">
        <v>71</v>
      </c>
      <c r="Z456" s="2" t="s">
        <v>72</v>
      </c>
      <c r="AA456" s="13">
        <v>1000</v>
      </c>
      <c r="AB456" s="2" t="s">
        <v>107</v>
      </c>
      <c r="AC456" s="2" t="s">
        <v>6773</v>
      </c>
      <c r="AD456" s="27">
        <v>43283</v>
      </c>
      <c r="AI456" s="2" t="s">
        <v>6153</v>
      </c>
      <c r="AL456" s="2" t="s">
        <v>5216</v>
      </c>
    </row>
    <row r="457" spans="1:38" hidden="1" x14ac:dyDescent="0.2">
      <c r="A457" s="2" t="s">
        <v>1462</v>
      </c>
      <c r="B457" s="2" t="s">
        <v>1515</v>
      </c>
      <c r="C457" s="2" t="s">
        <v>1516</v>
      </c>
      <c r="D457" s="2" t="s">
        <v>1517</v>
      </c>
      <c r="E457" s="16">
        <v>528.70000000000005</v>
      </c>
      <c r="F457" s="16">
        <v>528.70000000000005</v>
      </c>
      <c r="G457" s="14">
        <v>43288</v>
      </c>
      <c r="H457" s="15">
        <v>0.26068287037037002</v>
      </c>
      <c r="I457" s="14">
        <v>43288</v>
      </c>
      <c r="J457" s="15">
        <v>0.41157407407406998</v>
      </c>
      <c r="K457" s="13">
        <v>0</v>
      </c>
      <c r="L457" s="2" t="s">
        <v>64</v>
      </c>
      <c r="M457" s="2" t="s">
        <v>4396</v>
      </c>
      <c r="N457" s="14">
        <v>43292</v>
      </c>
      <c r="O457" s="14">
        <v>43290</v>
      </c>
      <c r="P457" s="2" t="s">
        <v>91</v>
      </c>
      <c r="Q457" s="2" t="s">
        <v>6957</v>
      </c>
      <c r="R457" s="2" t="s">
        <v>80</v>
      </c>
      <c r="S457" s="14">
        <v>43292</v>
      </c>
      <c r="T457" s="2" t="s">
        <v>6400</v>
      </c>
      <c r="U457" s="2" t="s">
        <v>1501</v>
      </c>
      <c r="V457" s="2" t="s">
        <v>1518</v>
      </c>
      <c r="W457" s="2" t="s">
        <v>70</v>
      </c>
      <c r="X457" s="13">
        <v>146</v>
      </c>
      <c r="Y457" s="2" t="s">
        <v>71</v>
      </c>
      <c r="Z457" s="2" t="s">
        <v>72</v>
      </c>
      <c r="AA457" s="13">
        <v>500</v>
      </c>
      <c r="AB457" s="2" t="s">
        <v>107</v>
      </c>
      <c r="AC457" s="2" t="s">
        <v>6773</v>
      </c>
      <c r="AD457" s="27">
        <v>43265</v>
      </c>
      <c r="AI457" s="2" t="s">
        <v>6153</v>
      </c>
      <c r="AL457" s="2" t="s">
        <v>5217</v>
      </c>
    </row>
    <row r="458" spans="1:38" hidden="1" x14ac:dyDescent="0.2">
      <c r="A458" s="2" t="s">
        <v>1462</v>
      </c>
      <c r="B458" s="2" t="s">
        <v>1497</v>
      </c>
      <c r="C458" s="2" t="s">
        <v>1498</v>
      </c>
      <c r="D458" s="2" t="s">
        <v>1499</v>
      </c>
      <c r="E458" s="13">
        <v>1000</v>
      </c>
      <c r="F458" s="13">
        <v>1000</v>
      </c>
      <c r="G458" s="14">
        <v>43288</v>
      </c>
      <c r="H458" s="15">
        <v>0.43240740740741002</v>
      </c>
      <c r="I458" s="14">
        <v>43288</v>
      </c>
      <c r="J458" s="15">
        <v>0.71780092592593003</v>
      </c>
      <c r="K458" s="13">
        <v>0</v>
      </c>
      <c r="L458" s="2" t="s">
        <v>64</v>
      </c>
      <c r="M458" s="2" t="s">
        <v>1500</v>
      </c>
      <c r="N458" s="14">
        <v>43290</v>
      </c>
      <c r="O458" s="14">
        <v>43290</v>
      </c>
      <c r="P458" s="2" t="s">
        <v>91</v>
      </c>
      <c r="Q458" s="2" t="s">
        <v>6958</v>
      </c>
      <c r="R458" s="2" t="s">
        <v>80</v>
      </c>
      <c r="S458" s="14">
        <v>43290</v>
      </c>
      <c r="T458" s="2" t="s">
        <v>6401</v>
      </c>
      <c r="U458" s="2" t="s">
        <v>1501</v>
      </c>
      <c r="V458" s="2" t="s">
        <v>1502</v>
      </c>
      <c r="W458" s="2" t="s">
        <v>70</v>
      </c>
      <c r="X458" s="13">
        <v>146</v>
      </c>
      <c r="Y458" s="2" t="s">
        <v>71</v>
      </c>
      <c r="Z458" s="2" t="s">
        <v>72</v>
      </c>
      <c r="AA458" s="13">
        <v>1000</v>
      </c>
      <c r="AB458" s="2" t="s">
        <v>107</v>
      </c>
      <c r="AC458" s="2" t="s">
        <v>6773</v>
      </c>
      <c r="AD458" s="27">
        <v>43262</v>
      </c>
      <c r="AI458" s="2" t="s">
        <v>6153</v>
      </c>
      <c r="AL458" s="2" t="s">
        <v>5218</v>
      </c>
    </row>
    <row r="459" spans="1:38" x14ac:dyDescent="0.2">
      <c r="A459" s="2" t="s">
        <v>1462</v>
      </c>
      <c r="B459" s="2" t="s">
        <v>1487</v>
      </c>
      <c r="C459" s="2" t="s">
        <v>1488</v>
      </c>
      <c r="D459" s="2" t="s">
        <v>1489</v>
      </c>
      <c r="E459" s="16">
        <v>2114.8000000000002</v>
      </c>
      <c r="F459" s="16">
        <v>2114.8000000000002</v>
      </c>
      <c r="G459" s="14">
        <v>43289</v>
      </c>
      <c r="H459" s="15">
        <v>2.0833333333330002E-2</v>
      </c>
      <c r="I459" s="14">
        <v>43289</v>
      </c>
      <c r="J459" s="15">
        <v>0.62437500000000001</v>
      </c>
      <c r="K459" s="13">
        <v>20</v>
      </c>
      <c r="L459" s="2" t="s">
        <v>64</v>
      </c>
      <c r="M459" s="2" t="s">
        <v>1584</v>
      </c>
      <c r="N459" s="14">
        <v>43298</v>
      </c>
      <c r="O459" s="14">
        <v>43291</v>
      </c>
      <c r="P459" s="2" t="s">
        <v>91</v>
      </c>
      <c r="Q459" s="2" t="s">
        <v>1490</v>
      </c>
      <c r="R459" s="2" t="s">
        <v>80</v>
      </c>
      <c r="S459" s="14">
        <v>43298</v>
      </c>
      <c r="T459" s="2" t="s">
        <v>6402</v>
      </c>
      <c r="U459" s="2" t="s">
        <v>1474</v>
      </c>
      <c r="V459" s="2" t="s">
        <v>1491</v>
      </c>
      <c r="W459" s="2" t="s">
        <v>70</v>
      </c>
      <c r="X459" s="13">
        <v>146</v>
      </c>
      <c r="Y459" s="2" t="s">
        <v>71</v>
      </c>
      <c r="Z459" s="2" t="s">
        <v>72</v>
      </c>
      <c r="AA459" s="13">
        <v>2000</v>
      </c>
      <c r="AB459" s="2" t="s">
        <v>107</v>
      </c>
      <c r="AC459" s="2" t="s">
        <v>6773</v>
      </c>
      <c r="AD459" s="27">
        <v>43257</v>
      </c>
      <c r="AI459" s="2" t="s">
        <v>6153</v>
      </c>
      <c r="AL459" s="2" t="s">
        <v>5219</v>
      </c>
    </row>
    <row r="460" spans="1:38" x14ac:dyDescent="0.2">
      <c r="A460" s="2" t="s">
        <v>1462</v>
      </c>
      <c r="B460" s="2" t="s">
        <v>1476</v>
      </c>
      <c r="C460" s="2" t="s">
        <v>1477</v>
      </c>
      <c r="D460" s="2" t="s">
        <v>1478</v>
      </c>
      <c r="E460" s="16">
        <v>2114.8000000000002</v>
      </c>
      <c r="F460" s="16">
        <v>2114.8000000000002</v>
      </c>
      <c r="G460" s="14">
        <v>43290</v>
      </c>
      <c r="H460" s="15">
        <v>2.0833333333330002E-2</v>
      </c>
      <c r="I460" s="14">
        <v>43290</v>
      </c>
      <c r="J460" s="15">
        <v>0.62437500000000001</v>
      </c>
      <c r="K460" s="13">
        <v>0</v>
      </c>
      <c r="L460" s="2" t="s">
        <v>64</v>
      </c>
      <c r="M460" s="2" t="s">
        <v>1584</v>
      </c>
      <c r="N460" s="14">
        <v>43290</v>
      </c>
      <c r="O460" s="14">
        <v>43292</v>
      </c>
      <c r="P460" s="2" t="s">
        <v>91</v>
      </c>
      <c r="Q460" s="2" t="s">
        <v>6959</v>
      </c>
      <c r="R460" s="2" t="s">
        <v>80</v>
      </c>
      <c r="S460" s="14">
        <v>43290</v>
      </c>
      <c r="T460" s="2" t="s">
        <v>6403</v>
      </c>
      <c r="U460" s="2" t="s">
        <v>1474</v>
      </c>
      <c r="V460" s="2" t="s">
        <v>1480</v>
      </c>
      <c r="W460" s="2" t="s">
        <v>70</v>
      </c>
      <c r="X460" s="13">
        <v>146</v>
      </c>
      <c r="Y460" s="2" t="s">
        <v>71</v>
      </c>
      <c r="Z460" s="2" t="s">
        <v>72</v>
      </c>
      <c r="AA460" s="13">
        <v>2000</v>
      </c>
      <c r="AB460" s="2" t="s">
        <v>107</v>
      </c>
      <c r="AC460" s="2" t="s">
        <v>6773</v>
      </c>
      <c r="AD460" s="27">
        <v>43262</v>
      </c>
      <c r="AI460" s="2" t="s">
        <v>6153</v>
      </c>
      <c r="AL460" s="2" t="s">
        <v>5220</v>
      </c>
    </row>
    <row r="461" spans="1:38" x14ac:dyDescent="0.2">
      <c r="A461" s="2" t="s">
        <v>1462</v>
      </c>
      <c r="B461" s="2" t="s">
        <v>1503</v>
      </c>
      <c r="C461" s="2" t="s">
        <v>1504</v>
      </c>
      <c r="D461" s="2" t="s">
        <v>1505</v>
      </c>
      <c r="E461" s="16">
        <v>2114.8000000000002</v>
      </c>
      <c r="F461" s="16">
        <v>2114.8000000000002</v>
      </c>
      <c r="G461" s="14">
        <v>43291</v>
      </c>
      <c r="H461" s="15">
        <v>2.0833333333330002E-2</v>
      </c>
      <c r="I461" s="14">
        <v>43291</v>
      </c>
      <c r="J461" s="15">
        <v>0.62437500000000001</v>
      </c>
      <c r="K461" s="13">
        <v>0</v>
      </c>
      <c r="L461" s="2" t="s">
        <v>64</v>
      </c>
      <c r="M461" s="2" t="s">
        <v>1584</v>
      </c>
      <c r="N461" s="14">
        <v>43290</v>
      </c>
      <c r="O461" s="14">
        <v>43293</v>
      </c>
      <c r="P461" s="2" t="s">
        <v>91</v>
      </c>
      <c r="Q461" s="2" t="s">
        <v>1506</v>
      </c>
      <c r="R461" s="2" t="s">
        <v>80</v>
      </c>
      <c r="S461" s="14">
        <v>43292</v>
      </c>
      <c r="T461" s="2" t="s">
        <v>6408</v>
      </c>
      <c r="U461" s="2" t="s">
        <v>1474</v>
      </c>
      <c r="V461" s="2" t="s">
        <v>1507</v>
      </c>
      <c r="W461" s="2" t="s">
        <v>70</v>
      </c>
      <c r="X461" s="13">
        <v>146</v>
      </c>
      <c r="Y461" s="2" t="s">
        <v>71</v>
      </c>
      <c r="Z461" s="2" t="s">
        <v>72</v>
      </c>
      <c r="AA461" s="13">
        <v>2000</v>
      </c>
      <c r="AB461" s="2" t="s">
        <v>73</v>
      </c>
      <c r="AC461" s="2" t="s">
        <v>6773</v>
      </c>
      <c r="AD461" s="27">
        <v>43262</v>
      </c>
      <c r="AI461" s="2" t="s">
        <v>6153</v>
      </c>
      <c r="AL461" s="2" t="s">
        <v>5221</v>
      </c>
    </row>
    <row r="462" spans="1:38" x14ac:dyDescent="0.2">
      <c r="A462" s="2" t="s">
        <v>1462</v>
      </c>
      <c r="B462" s="2" t="s">
        <v>1469</v>
      </c>
      <c r="C462" s="2" t="s">
        <v>1470</v>
      </c>
      <c r="D462" s="2" t="s">
        <v>1471</v>
      </c>
      <c r="E462" s="16">
        <v>634.44000000000005</v>
      </c>
      <c r="F462" s="16">
        <v>634.44000000000005</v>
      </c>
      <c r="G462" s="14">
        <v>43291</v>
      </c>
      <c r="H462" s="15">
        <v>0.64520833333333005</v>
      </c>
      <c r="I462" s="14">
        <v>43291</v>
      </c>
      <c r="J462" s="15">
        <v>0.82627314814815001</v>
      </c>
      <c r="K462" s="13">
        <v>20</v>
      </c>
      <c r="L462" s="2" t="s">
        <v>64</v>
      </c>
      <c r="M462" s="2" t="s">
        <v>1472</v>
      </c>
      <c r="N462" s="14">
        <v>43290</v>
      </c>
      <c r="O462" s="14">
        <v>43293</v>
      </c>
      <c r="P462" s="2" t="s">
        <v>91</v>
      </c>
      <c r="Q462" s="2" t="s">
        <v>1473</v>
      </c>
      <c r="R462" s="2" t="s">
        <v>80</v>
      </c>
      <c r="S462" s="14">
        <v>43290</v>
      </c>
      <c r="T462" s="2" t="s">
        <v>6407</v>
      </c>
      <c r="U462" s="2" t="s">
        <v>1474</v>
      </c>
      <c r="V462" s="2" t="s">
        <v>1475</v>
      </c>
      <c r="W462" s="2" t="s">
        <v>70</v>
      </c>
      <c r="X462" s="13">
        <v>146</v>
      </c>
      <c r="Y462" s="2" t="s">
        <v>71</v>
      </c>
      <c r="Z462" s="2" t="s">
        <v>72</v>
      </c>
      <c r="AA462" s="13">
        <v>600</v>
      </c>
      <c r="AB462" s="2" t="s">
        <v>73</v>
      </c>
      <c r="AC462" s="2" t="s">
        <v>6773</v>
      </c>
      <c r="AD462" s="27">
        <v>43270</v>
      </c>
      <c r="AI462" s="2" t="s">
        <v>6153</v>
      </c>
      <c r="AL462" s="2" t="s">
        <v>5222</v>
      </c>
    </row>
    <row r="463" spans="1:38" x14ac:dyDescent="0.2">
      <c r="A463" s="2" t="s">
        <v>1462</v>
      </c>
      <c r="B463" s="2" t="s">
        <v>1563</v>
      </c>
      <c r="C463" s="2" t="s">
        <v>1564</v>
      </c>
      <c r="D463" s="2" t="s">
        <v>1565</v>
      </c>
      <c r="E463" s="13">
        <v>300</v>
      </c>
      <c r="F463" s="13">
        <v>300</v>
      </c>
      <c r="G463" s="14">
        <v>43292</v>
      </c>
      <c r="H463" s="15">
        <v>7.6273148148150005E-2</v>
      </c>
      <c r="I463" s="14">
        <v>43292</v>
      </c>
      <c r="J463" s="15">
        <v>0.16188657407407001</v>
      </c>
      <c r="K463" s="13">
        <v>0</v>
      </c>
      <c r="L463" s="2" t="s">
        <v>64</v>
      </c>
      <c r="M463" s="2" t="s">
        <v>1566</v>
      </c>
      <c r="N463" s="14">
        <v>43298</v>
      </c>
      <c r="O463" s="14">
        <v>43294</v>
      </c>
      <c r="P463" s="2" t="s">
        <v>91</v>
      </c>
      <c r="Q463" s="2" t="s">
        <v>1567</v>
      </c>
      <c r="R463" s="2" t="s">
        <v>80</v>
      </c>
      <c r="S463" s="14">
        <v>43298</v>
      </c>
      <c r="T463" s="2" t="s">
        <v>6404</v>
      </c>
      <c r="U463" s="2" t="s">
        <v>1568</v>
      </c>
      <c r="V463" s="2" t="s">
        <v>1569</v>
      </c>
      <c r="W463" s="2" t="s">
        <v>70</v>
      </c>
      <c r="X463" s="13">
        <v>146</v>
      </c>
      <c r="Y463" s="2" t="s">
        <v>71</v>
      </c>
      <c r="Z463" s="2" t="s">
        <v>72</v>
      </c>
      <c r="AA463" s="13">
        <v>300</v>
      </c>
      <c r="AB463" s="2" t="s">
        <v>73</v>
      </c>
      <c r="AC463" s="2" t="s">
        <v>6773</v>
      </c>
      <c r="AD463" s="27">
        <v>43270</v>
      </c>
      <c r="AI463" s="2" t="s">
        <v>6153</v>
      </c>
      <c r="AL463" s="2" t="s">
        <v>7225</v>
      </c>
    </row>
    <row r="464" spans="1:38" x14ac:dyDescent="0.2">
      <c r="A464" s="2" t="s">
        <v>1462</v>
      </c>
      <c r="B464" s="2" t="s">
        <v>1519</v>
      </c>
      <c r="C464" s="2" t="s">
        <v>1520</v>
      </c>
      <c r="D464" s="2" t="s">
        <v>1521</v>
      </c>
      <c r="E464" s="13">
        <v>475</v>
      </c>
      <c r="F464" s="13">
        <v>475</v>
      </c>
      <c r="G464" s="14">
        <v>43292</v>
      </c>
      <c r="H464" s="15">
        <v>0.18271990740741001</v>
      </c>
      <c r="I464" s="14">
        <v>43292</v>
      </c>
      <c r="J464" s="15">
        <v>0.31827546296296</v>
      </c>
      <c r="K464" s="13">
        <v>20</v>
      </c>
      <c r="L464" s="2" t="s">
        <v>64</v>
      </c>
      <c r="M464" s="2" t="s">
        <v>6960</v>
      </c>
      <c r="N464" s="14">
        <v>43293</v>
      </c>
      <c r="O464" s="14">
        <v>43294</v>
      </c>
      <c r="P464" s="2" t="s">
        <v>91</v>
      </c>
      <c r="Q464" s="2" t="s">
        <v>1522</v>
      </c>
      <c r="R464" s="2" t="s">
        <v>80</v>
      </c>
      <c r="S464" s="14">
        <v>43293</v>
      </c>
      <c r="T464" s="2" t="s">
        <v>6406</v>
      </c>
      <c r="U464" s="2" t="s">
        <v>1523</v>
      </c>
      <c r="V464" s="2" t="s">
        <v>1524</v>
      </c>
      <c r="W464" s="2" t="s">
        <v>70</v>
      </c>
      <c r="X464" s="13">
        <v>146</v>
      </c>
      <c r="Y464" s="2" t="s">
        <v>71</v>
      </c>
      <c r="Z464" s="2" t="s">
        <v>72</v>
      </c>
      <c r="AA464" s="13">
        <v>475</v>
      </c>
      <c r="AB464" s="2" t="s">
        <v>73</v>
      </c>
      <c r="AC464" s="2" t="s">
        <v>6773</v>
      </c>
      <c r="AD464" s="27">
        <v>43236</v>
      </c>
      <c r="AI464" s="2" t="s">
        <v>6153</v>
      </c>
      <c r="AL464" s="2" t="s">
        <v>7226</v>
      </c>
    </row>
    <row r="465" spans="1:38" x14ac:dyDescent="0.2">
      <c r="A465" s="2" t="s">
        <v>1462</v>
      </c>
      <c r="B465" s="2" t="s">
        <v>1525</v>
      </c>
      <c r="C465" s="2" t="s">
        <v>1526</v>
      </c>
      <c r="D465" s="2" t="s">
        <v>1527</v>
      </c>
      <c r="E465" s="13">
        <v>2000</v>
      </c>
      <c r="F465" s="13">
        <v>2000</v>
      </c>
      <c r="G465" s="14">
        <v>43292</v>
      </c>
      <c r="H465" s="15">
        <v>0.33910879629629997</v>
      </c>
      <c r="I465" s="14">
        <v>43292</v>
      </c>
      <c r="J465" s="15">
        <v>0.90988425925925998</v>
      </c>
      <c r="K465" s="13">
        <v>0</v>
      </c>
      <c r="L465" s="2" t="s">
        <v>64</v>
      </c>
      <c r="M465" s="2" t="s">
        <v>1479</v>
      </c>
      <c r="N465" s="14">
        <v>43290</v>
      </c>
      <c r="O465" s="14">
        <v>43294</v>
      </c>
      <c r="P465" s="2" t="s">
        <v>91</v>
      </c>
      <c r="Q465" s="2" t="s">
        <v>1528</v>
      </c>
      <c r="R465" s="2" t="s">
        <v>80</v>
      </c>
      <c r="S465" s="14">
        <v>43290</v>
      </c>
      <c r="T465" s="2" t="s">
        <v>6405</v>
      </c>
      <c r="U465" s="2" t="s">
        <v>1529</v>
      </c>
      <c r="V465" s="2" t="s">
        <v>1240</v>
      </c>
      <c r="W465" s="2" t="s">
        <v>70</v>
      </c>
      <c r="X465" s="13">
        <v>146</v>
      </c>
      <c r="Y465" s="2" t="s">
        <v>71</v>
      </c>
      <c r="Z465" s="2" t="s">
        <v>72</v>
      </c>
      <c r="AA465" s="13">
        <v>2000</v>
      </c>
      <c r="AB465" s="2" t="s">
        <v>73</v>
      </c>
      <c r="AC465" s="2" t="s">
        <v>6773</v>
      </c>
      <c r="AD465" s="27">
        <v>43262</v>
      </c>
      <c r="AI465" s="2" t="s">
        <v>6153</v>
      </c>
      <c r="AL465" s="2" t="s">
        <v>7227</v>
      </c>
    </row>
    <row r="466" spans="1:38" x14ac:dyDescent="0.2">
      <c r="A466" s="2" t="s">
        <v>1462</v>
      </c>
      <c r="B466" s="2" t="s">
        <v>1536</v>
      </c>
      <c r="C466" s="2" t="s">
        <v>1537</v>
      </c>
      <c r="D466" s="2" t="s">
        <v>1538</v>
      </c>
      <c r="E466" s="13">
        <v>2000</v>
      </c>
      <c r="F466" s="13">
        <v>2000</v>
      </c>
      <c r="G466" s="14">
        <v>43292</v>
      </c>
      <c r="H466" s="15">
        <v>0.93071759259259002</v>
      </c>
      <c r="I466" s="14">
        <v>43293</v>
      </c>
      <c r="J466" s="15">
        <v>0.50149305555556001</v>
      </c>
      <c r="K466" s="13">
        <v>0</v>
      </c>
      <c r="L466" s="2" t="s">
        <v>64</v>
      </c>
      <c r="M466" s="2" t="s">
        <v>1479</v>
      </c>
      <c r="N466" s="14">
        <v>43297</v>
      </c>
      <c r="O466" s="14">
        <v>43295</v>
      </c>
      <c r="P466" s="2" t="s">
        <v>91</v>
      </c>
      <c r="Q466" s="2" t="s">
        <v>1539</v>
      </c>
      <c r="R466" s="2" t="s">
        <v>80</v>
      </c>
      <c r="S466" s="14">
        <v>43297</v>
      </c>
      <c r="T466" s="2" t="s">
        <v>6409</v>
      </c>
      <c r="U466" s="2" t="s">
        <v>1523</v>
      </c>
      <c r="V466" s="2" t="s">
        <v>1540</v>
      </c>
      <c r="W466" s="2" t="s">
        <v>70</v>
      </c>
      <c r="X466" s="13">
        <v>146</v>
      </c>
      <c r="Y466" s="2" t="s">
        <v>71</v>
      </c>
      <c r="Z466" s="2" t="s">
        <v>72</v>
      </c>
      <c r="AA466" s="13">
        <v>2000</v>
      </c>
      <c r="AB466" s="2" t="s">
        <v>73</v>
      </c>
      <c r="AC466" s="2" t="s">
        <v>6773</v>
      </c>
      <c r="AD466" s="27">
        <v>43231</v>
      </c>
      <c r="AI466" s="2" t="s">
        <v>6153</v>
      </c>
      <c r="AL466" s="2" t="s">
        <v>7228</v>
      </c>
    </row>
    <row r="467" spans="1:38" x14ac:dyDescent="0.2">
      <c r="A467" s="2" t="s">
        <v>1462</v>
      </c>
      <c r="B467" s="2" t="s">
        <v>1508</v>
      </c>
      <c r="C467" s="2" t="s">
        <v>1509</v>
      </c>
      <c r="D467" s="2" t="s">
        <v>1510</v>
      </c>
      <c r="E467" s="13">
        <v>500</v>
      </c>
      <c r="F467" s="13">
        <v>500</v>
      </c>
      <c r="G467" s="14">
        <v>43293</v>
      </c>
      <c r="H467" s="15">
        <v>0.52232638888889005</v>
      </c>
      <c r="I467" s="14">
        <v>43293</v>
      </c>
      <c r="J467" s="15">
        <v>0.66502314814815</v>
      </c>
      <c r="K467" s="13">
        <v>0</v>
      </c>
      <c r="L467" s="2" t="s">
        <v>64</v>
      </c>
      <c r="M467" s="2" t="s">
        <v>1511</v>
      </c>
      <c r="N467" s="14">
        <v>43290</v>
      </c>
      <c r="O467" s="14">
        <v>43293</v>
      </c>
      <c r="P467" s="2" t="s">
        <v>91</v>
      </c>
      <c r="Q467" s="2" t="s">
        <v>1512</v>
      </c>
      <c r="R467" s="2" t="s">
        <v>80</v>
      </c>
      <c r="S467" s="14">
        <v>43290</v>
      </c>
      <c r="T467" s="2" t="s">
        <v>6410</v>
      </c>
      <c r="U467" s="2" t="s">
        <v>1513</v>
      </c>
      <c r="V467" s="2" t="s">
        <v>1514</v>
      </c>
      <c r="W467" s="2" t="s">
        <v>98</v>
      </c>
      <c r="X467" s="13">
        <v>146</v>
      </c>
      <c r="Y467" s="2" t="s">
        <v>71</v>
      </c>
      <c r="Z467" s="2" t="s">
        <v>72</v>
      </c>
      <c r="AA467" s="13">
        <v>500</v>
      </c>
      <c r="AB467" s="2" t="s">
        <v>73</v>
      </c>
      <c r="AC467" s="2" t="s">
        <v>6773</v>
      </c>
      <c r="AD467" s="27">
        <v>43272</v>
      </c>
      <c r="AI467" s="2" t="s">
        <v>6153</v>
      </c>
      <c r="AL467" s="2" t="s">
        <v>5223</v>
      </c>
    </row>
    <row r="468" spans="1:38" x14ac:dyDescent="0.2">
      <c r="A468" s="2" t="s">
        <v>1462</v>
      </c>
      <c r="B468" s="2" t="s">
        <v>1543</v>
      </c>
      <c r="C468" s="2" t="s">
        <v>1544</v>
      </c>
      <c r="D468" s="2" t="s">
        <v>1545</v>
      </c>
      <c r="E468" s="13">
        <v>1000</v>
      </c>
      <c r="F468" s="13">
        <v>1000</v>
      </c>
      <c r="G468" s="14">
        <v>43293</v>
      </c>
      <c r="H468" s="15">
        <v>0.68585648148148004</v>
      </c>
      <c r="I468" s="14">
        <v>43293</v>
      </c>
      <c r="J468" s="15">
        <v>0.97124999999999995</v>
      </c>
      <c r="K468" s="13">
        <v>0</v>
      </c>
      <c r="L468" s="2" t="s">
        <v>64</v>
      </c>
      <c r="M468" s="2" t="s">
        <v>1500</v>
      </c>
      <c r="N468" s="14">
        <v>43292</v>
      </c>
      <c r="O468" s="14">
        <v>43295</v>
      </c>
      <c r="P468" s="2" t="s">
        <v>91</v>
      </c>
      <c r="Q468" s="2" t="s">
        <v>1546</v>
      </c>
      <c r="R468" s="2" t="s">
        <v>80</v>
      </c>
      <c r="S468" s="14">
        <v>43292</v>
      </c>
      <c r="T468" s="2" t="s">
        <v>6411</v>
      </c>
      <c r="U468" s="2" t="s">
        <v>1523</v>
      </c>
      <c r="V468" s="2" t="s">
        <v>1547</v>
      </c>
      <c r="W468" s="2" t="s">
        <v>70</v>
      </c>
      <c r="X468" s="13">
        <v>146</v>
      </c>
      <c r="Y468" s="2" t="s">
        <v>71</v>
      </c>
      <c r="Z468" s="2" t="s">
        <v>72</v>
      </c>
      <c r="AA468" s="13">
        <v>1000</v>
      </c>
      <c r="AB468" s="2" t="s">
        <v>73</v>
      </c>
      <c r="AC468" s="2" t="s">
        <v>6773</v>
      </c>
      <c r="AD468" s="27">
        <v>43264</v>
      </c>
      <c r="AI468" s="2" t="s">
        <v>6153</v>
      </c>
      <c r="AL468" s="2" t="s">
        <v>5224</v>
      </c>
    </row>
    <row r="469" spans="1:38" x14ac:dyDescent="0.2">
      <c r="A469" s="2" t="s">
        <v>1462</v>
      </c>
      <c r="B469" s="2" t="s">
        <v>1548</v>
      </c>
      <c r="C469" s="2" t="s">
        <v>1549</v>
      </c>
      <c r="D469" s="2" t="s">
        <v>1550</v>
      </c>
      <c r="E469" s="13">
        <v>1000</v>
      </c>
      <c r="F469" s="13">
        <v>1000</v>
      </c>
      <c r="G469" s="14">
        <v>43293</v>
      </c>
      <c r="H469" s="15">
        <v>0.99208333333332999</v>
      </c>
      <c r="I469" s="14">
        <v>43294</v>
      </c>
      <c r="J469" s="15">
        <v>0.27747685185185</v>
      </c>
      <c r="K469" s="13">
        <v>0</v>
      </c>
      <c r="L469" s="2" t="s">
        <v>64</v>
      </c>
      <c r="M469" s="2" t="s">
        <v>1500</v>
      </c>
      <c r="N469" s="14">
        <v>43292</v>
      </c>
      <c r="O469" s="14">
        <v>43296</v>
      </c>
      <c r="P469" s="2" t="s">
        <v>91</v>
      </c>
      <c r="Q469" s="2" t="s">
        <v>1551</v>
      </c>
      <c r="R469" s="2" t="s">
        <v>80</v>
      </c>
      <c r="S469" s="14">
        <v>43292</v>
      </c>
      <c r="T469" s="2" t="s">
        <v>6412</v>
      </c>
      <c r="U469" s="2" t="s">
        <v>1523</v>
      </c>
      <c r="V469" s="2" t="s">
        <v>1552</v>
      </c>
      <c r="W469" s="2" t="s">
        <v>70</v>
      </c>
      <c r="X469" s="13">
        <v>146</v>
      </c>
      <c r="Y469" s="2" t="s">
        <v>71</v>
      </c>
      <c r="Z469" s="2" t="s">
        <v>72</v>
      </c>
      <c r="AA469" s="13">
        <v>1000</v>
      </c>
      <c r="AB469" s="2" t="s">
        <v>73</v>
      </c>
      <c r="AC469" s="2" t="s">
        <v>6773</v>
      </c>
      <c r="AD469" s="27">
        <v>43264</v>
      </c>
      <c r="AI469" s="2" t="s">
        <v>6153</v>
      </c>
      <c r="AL469" s="2" t="s">
        <v>5225</v>
      </c>
    </row>
    <row r="470" spans="1:38" x14ac:dyDescent="0.2">
      <c r="A470" s="2" t="s">
        <v>1462</v>
      </c>
      <c r="B470" s="2" t="s">
        <v>1492</v>
      </c>
      <c r="C470" s="2" t="s">
        <v>1493</v>
      </c>
      <c r="D470" s="2" t="s">
        <v>1494</v>
      </c>
      <c r="E470" s="16">
        <v>26.434999999999999</v>
      </c>
      <c r="F470" s="16">
        <v>26.434999999999999</v>
      </c>
      <c r="G470" s="14">
        <v>43294</v>
      </c>
      <c r="H470" s="15">
        <v>0.33333333333332998</v>
      </c>
      <c r="I470" s="14">
        <v>43294</v>
      </c>
      <c r="J470" s="15">
        <v>0.34087962962962998</v>
      </c>
      <c r="K470" s="13">
        <v>25</v>
      </c>
      <c r="L470" s="2" t="s">
        <v>64</v>
      </c>
      <c r="M470" s="2" t="s">
        <v>1484</v>
      </c>
      <c r="N470" s="14">
        <v>43291</v>
      </c>
      <c r="O470" s="14">
        <v>43296</v>
      </c>
      <c r="P470" s="2" t="s">
        <v>91</v>
      </c>
      <c r="Q470" s="2" t="s">
        <v>1495</v>
      </c>
      <c r="R470" s="2" t="s">
        <v>80</v>
      </c>
      <c r="S470" s="14">
        <v>43291</v>
      </c>
      <c r="T470" s="2" t="s">
        <v>6413</v>
      </c>
      <c r="U470" s="2" t="s">
        <v>1486</v>
      </c>
      <c r="V470" s="2" t="s">
        <v>1496</v>
      </c>
      <c r="W470" s="2" t="s">
        <v>70</v>
      </c>
      <c r="X470" s="13">
        <v>146</v>
      </c>
      <c r="Y470" s="2" t="s">
        <v>71</v>
      </c>
      <c r="Z470" s="2" t="s">
        <v>72</v>
      </c>
      <c r="AA470" s="13">
        <v>25</v>
      </c>
      <c r="AB470" s="2" t="s">
        <v>73</v>
      </c>
      <c r="AC470" s="2" t="s">
        <v>6773</v>
      </c>
      <c r="AD470" s="27">
        <v>43279</v>
      </c>
      <c r="AI470" s="2" t="s">
        <v>6153</v>
      </c>
      <c r="AL470" s="2" t="s">
        <v>5226</v>
      </c>
    </row>
    <row r="471" spans="1:38" x14ac:dyDescent="0.2">
      <c r="A471" s="2" t="s">
        <v>1462</v>
      </c>
      <c r="B471" s="2" t="s">
        <v>1541</v>
      </c>
      <c r="C471" s="2" t="s">
        <v>1493</v>
      </c>
      <c r="D471" s="2" t="s">
        <v>1494</v>
      </c>
      <c r="E471" s="13">
        <v>2000</v>
      </c>
      <c r="F471" s="13">
        <v>2000</v>
      </c>
      <c r="G471" s="14">
        <v>43294</v>
      </c>
      <c r="H471" s="15">
        <v>0.41666666666667002</v>
      </c>
      <c r="I471" s="14">
        <v>43294</v>
      </c>
      <c r="J471" s="15">
        <v>0.98744212962962996</v>
      </c>
      <c r="K471" s="13">
        <v>0</v>
      </c>
      <c r="L471" s="2" t="s">
        <v>64</v>
      </c>
      <c r="M471" s="2" t="s">
        <v>1479</v>
      </c>
      <c r="N471" s="14">
        <v>43297</v>
      </c>
      <c r="O471" s="14">
        <v>43296</v>
      </c>
      <c r="P471" s="2" t="s">
        <v>91</v>
      </c>
      <c r="Q471" s="2" t="s">
        <v>1542</v>
      </c>
      <c r="R471" s="2" t="s">
        <v>80</v>
      </c>
      <c r="S471" s="14">
        <v>43297</v>
      </c>
      <c r="T471" s="2" t="s">
        <v>6414</v>
      </c>
      <c r="U471" s="2" t="s">
        <v>1486</v>
      </c>
      <c r="V471" s="2" t="s">
        <v>1496</v>
      </c>
      <c r="W471" s="2" t="s">
        <v>70</v>
      </c>
      <c r="X471" s="13">
        <v>146</v>
      </c>
      <c r="Y471" s="2" t="s">
        <v>71</v>
      </c>
      <c r="Z471" s="2" t="s">
        <v>72</v>
      </c>
      <c r="AA471" s="13">
        <v>2000</v>
      </c>
      <c r="AB471" s="2" t="s">
        <v>73</v>
      </c>
      <c r="AC471" s="2" t="s">
        <v>6773</v>
      </c>
      <c r="AD471" s="27">
        <v>43258</v>
      </c>
      <c r="AI471" s="2" t="s">
        <v>6153</v>
      </c>
      <c r="AL471" s="2" t="s">
        <v>5227</v>
      </c>
    </row>
    <row r="472" spans="1:38" x14ac:dyDescent="0.2">
      <c r="A472" s="2" t="s">
        <v>1462</v>
      </c>
      <c r="B472" s="2" t="s">
        <v>1603</v>
      </c>
      <c r="C472" s="2" t="s">
        <v>1604</v>
      </c>
      <c r="D472" s="2" t="s">
        <v>1605</v>
      </c>
      <c r="E472" s="13">
        <v>3000</v>
      </c>
      <c r="F472" s="13">
        <v>3000</v>
      </c>
      <c r="G472" s="14">
        <v>43295</v>
      </c>
      <c r="H472" s="15">
        <v>4.1666666666670002E-2</v>
      </c>
      <c r="I472" s="14">
        <v>43295</v>
      </c>
      <c r="J472" s="15">
        <v>0.89783564814814998</v>
      </c>
      <c r="K472" s="13">
        <v>0</v>
      </c>
      <c r="L472" s="2" t="s">
        <v>64</v>
      </c>
      <c r="M472" s="2" t="s">
        <v>1606</v>
      </c>
      <c r="N472" s="14">
        <v>43297</v>
      </c>
      <c r="O472" s="14">
        <v>43297</v>
      </c>
      <c r="P472" s="2" t="s">
        <v>91</v>
      </c>
      <c r="Q472" s="2" t="s">
        <v>1607</v>
      </c>
      <c r="R472" s="2" t="s">
        <v>80</v>
      </c>
      <c r="S472" s="14">
        <v>43301</v>
      </c>
      <c r="T472" s="2" t="s">
        <v>6415</v>
      </c>
      <c r="U472" s="2" t="s">
        <v>1608</v>
      </c>
      <c r="V472" s="2" t="s">
        <v>1609</v>
      </c>
      <c r="W472" s="2" t="s">
        <v>70</v>
      </c>
      <c r="X472" s="13">
        <v>146</v>
      </c>
      <c r="Y472" s="2" t="s">
        <v>71</v>
      </c>
      <c r="Z472" s="2" t="s">
        <v>72</v>
      </c>
      <c r="AA472" s="13">
        <v>3000</v>
      </c>
      <c r="AB472" s="2" t="s">
        <v>73</v>
      </c>
      <c r="AC472" s="2" t="s">
        <v>6773</v>
      </c>
      <c r="AD472" s="27">
        <v>43273</v>
      </c>
      <c r="AI472" s="2" t="s">
        <v>6153</v>
      </c>
      <c r="AL472" s="2" t="s">
        <v>5228</v>
      </c>
    </row>
    <row r="473" spans="1:38" x14ac:dyDescent="0.2">
      <c r="A473" s="2" t="s">
        <v>1462</v>
      </c>
      <c r="B473" s="2" t="s">
        <v>1481</v>
      </c>
      <c r="C473" s="2" t="s">
        <v>1482</v>
      </c>
      <c r="D473" s="2" t="s">
        <v>1483</v>
      </c>
      <c r="E473" s="16">
        <v>26.434999999999999</v>
      </c>
      <c r="F473" s="16">
        <v>26.434999999999999</v>
      </c>
      <c r="G473" s="14">
        <v>43295</v>
      </c>
      <c r="H473" s="15">
        <v>0.91666666666666996</v>
      </c>
      <c r="I473" s="14">
        <v>43295</v>
      </c>
      <c r="J473" s="15">
        <v>0.92421296296295996</v>
      </c>
      <c r="K473" s="13">
        <v>25</v>
      </c>
      <c r="L473" s="2" t="s">
        <v>64</v>
      </c>
      <c r="M473" s="2" t="s">
        <v>1484</v>
      </c>
      <c r="N473" s="14">
        <v>43290</v>
      </c>
      <c r="O473" s="14">
        <v>43297</v>
      </c>
      <c r="P473" s="2" t="s">
        <v>91</v>
      </c>
      <c r="Q473" s="2" t="s">
        <v>1485</v>
      </c>
      <c r="R473" s="2" t="s">
        <v>80</v>
      </c>
      <c r="S473" s="14">
        <v>43290</v>
      </c>
      <c r="T473" s="2" t="s">
        <v>6416</v>
      </c>
      <c r="U473" s="2" t="s">
        <v>1486</v>
      </c>
      <c r="V473" s="2" t="s">
        <v>81</v>
      </c>
      <c r="W473" s="2" t="s">
        <v>70</v>
      </c>
      <c r="X473" s="13">
        <v>146</v>
      </c>
      <c r="Y473" s="2" t="s">
        <v>71</v>
      </c>
      <c r="Z473" s="2" t="s">
        <v>72</v>
      </c>
      <c r="AA473" s="13">
        <v>25</v>
      </c>
      <c r="AB473" s="2" t="s">
        <v>73</v>
      </c>
      <c r="AC473" s="2" t="s">
        <v>6773</v>
      </c>
      <c r="AD473" s="27">
        <v>43276</v>
      </c>
      <c r="AI473" s="2" t="s">
        <v>6153</v>
      </c>
      <c r="AL473" s="2" t="s">
        <v>5229</v>
      </c>
    </row>
    <row r="474" spans="1:38" hidden="1" x14ac:dyDescent="0.2">
      <c r="A474" s="2" t="s">
        <v>1462</v>
      </c>
      <c r="B474" s="2" t="s">
        <v>1558</v>
      </c>
      <c r="C474" s="2" t="s">
        <v>1559</v>
      </c>
      <c r="D474" s="2" t="s">
        <v>1560</v>
      </c>
      <c r="E474" s="13">
        <v>1000</v>
      </c>
      <c r="F474" s="13">
        <v>1000</v>
      </c>
      <c r="G474" s="14">
        <v>43296</v>
      </c>
      <c r="H474" s="15">
        <v>8.2013888888889996E-2</v>
      </c>
      <c r="I474" s="14">
        <v>43296</v>
      </c>
      <c r="J474" s="15">
        <v>0.36740740740741001</v>
      </c>
      <c r="K474" s="13">
        <v>20</v>
      </c>
      <c r="L474" s="2" t="s">
        <v>64</v>
      </c>
      <c r="M474" s="2" t="s">
        <v>1500</v>
      </c>
      <c r="N474" s="14">
        <v>43300</v>
      </c>
      <c r="O474" s="14">
        <v>43298</v>
      </c>
      <c r="P474" s="2" t="s">
        <v>91</v>
      </c>
      <c r="Q474" s="2" t="s">
        <v>1561</v>
      </c>
      <c r="R474" s="2" t="s">
        <v>80</v>
      </c>
      <c r="S474" s="14">
        <v>43300</v>
      </c>
      <c r="T474" s="2" t="s">
        <v>6417</v>
      </c>
      <c r="U474" s="2" t="s">
        <v>1486</v>
      </c>
      <c r="V474" s="2" t="s">
        <v>554</v>
      </c>
      <c r="W474" s="2" t="s">
        <v>70</v>
      </c>
      <c r="X474" s="13">
        <v>146</v>
      </c>
      <c r="Y474" s="2" t="s">
        <v>71</v>
      </c>
      <c r="Z474" s="2" t="s">
        <v>72</v>
      </c>
      <c r="AA474" s="13">
        <v>1000</v>
      </c>
      <c r="AB474" s="2" t="s">
        <v>73</v>
      </c>
      <c r="AC474" s="2" t="s">
        <v>6773</v>
      </c>
      <c r="AD474" s="27">
        <v>43215</v>
      </c>
      <c r="AI474" s="2" t="s">
        <v>6153</v>
      </c>
      <c r="AL474" s="2" t="s">
        <v>5230</v>
      </c>
    </row>
    <row r="475" spans="1:38" hidden="1" x14ac:dyDescent="0.2">
      <c r="A475" s="2" t="s">
        <v>1462</v>
      </c>
      <c r="B475" s="2" t="s">
        <v>1553</v>
      </c>
      <c r="C475" s="2" t="s">
        <v>1554</v>
      </c>
      <c r="D475" s="2" t="s">
        <v>1555</v>
      </c>
      <c r="E475" s="13">
        <v>2000</v>
      </c>
      <c r="F475" s="13">
        <v>2000</v>
      </c>
      <c r="G475" s="14">
        <v>43296</v>
      </c>
      <c r="H475" s="15">
        <v>0.41666666666667002</v>
      </c>
      <c r="I475" s="14">
        <v>43296</v>
      </c>
      <c r="J475" s="15">
        <v>0.98744212962962996</v>
      </c>
      <c r="K475" s="13">
        <v>20</v>
      </c>
      <c r="L475" s="2" t="s">
        <v>64</v>
      </c>
      <c r="M475" s="2" t="s">
        <v>1479</v>
      </c>
      <c r="N475" s="14">
        <v>43298</v>
      </c>
      <c r="O475" s="14">
        <v>43298</v>
      </c>
      <c r="P475" s="2" t="s">
        <v>91</v>
      </c>
      <c r="Q475" s="2" t="s">
        <v>1556</v>
      </c>
      <c r="R475" s="2" t="s">
        <v>80</v>
      </c>
      <c r="S475" s="14">
        <v>43298</v>
      </c>
      <c r="T475" s="2" t="s">
        <v>6418</v>
      </c>
      <c r="U475" s="2" t="s">
        <v>1557</v>
      </c>
      <c r="V475" s="2" t="s">
        <v>554</v>
      </c>
      <c r="W475" s="2" t="s">
        <v>70</v>
      </c>
      <c r="X475" s="13">
        <v>146</v>
      </c>
      <c r="Y475" s="2" t="s">
        <v>71</v>
      </c>
      <c r="Z475" s="2" t="s">
        <v>72</v>
      </c>
      <c r="AA475" s="13">
        <v>2000</v>
      </c>
      <c r="AB475" s="2" t="s">
        <v>73</v>
      </c>
      <c r="AC475" s="2" t="s">
        <v>6773</v>
      </c>
      <c r="AD475" s="27">
        <v>43252</v>
      </c>
      <c r="AI475" s="2" t="s">
        <v>6153</v>
      </c>
      <c r="AL475" s="2" t="s">
        <v>5231</v>
      </c>
    </row>
    <row r="476" spans="1:38" hidden="1" x14ac:dyDescent="0.2">
      <c r="A476" s="2" t="s">
        <v>1462</v>
      </c>
      <c r="B476" s="2" t="s">
        <v>1585</v>
      </c>
      <c r="C476" s="2" t="s">
        <v>1586</v>
      </c>
      <c r="D476" s="2" t="s">
        <v>1587</v>
      </c>
      <c r="E476" s="13">
        <v>5000</v>
      </c>
      <c r="F476" s="13">
        <v>5000</v>
      </c>
      <c r="G476" s="14">
        <v>43297</v>
      </c>
      <c r="H476" s="15">
        <v>0.20833333333333001</v>
      </c>
      <c r="I476" s="14">
        <v>43298</v>
      </c>
      <c r="J476" s="15">
        <v>0.63527777777778005</v>
      </c>
      <c r="K476" s="13">
        <v>20</v>
      </c>
      <c r="L476" s="2" t="s">
        <v>64</v>
      </c>
      <c r="M476" s="2" t="s">
        <v>1532</v>
      </c>
      <c r="N476" s="14">
        <v>43293</v>
      </c>
      <c r="O476" s="14">
        <v>43300</v>
      </c>
      <c r="P476" s="2" t="s">
        <v>1588</v>
      </c>
      <c r="Q476" s="2" t="s">
        <v>1589</v>
      </c>
      <c r="R476" s="2" t="s">
        <v>80</v>
      </c>
      <c r="S476" s="14">
        <v>43300</v>
      </c>
      <c r="T476" s="2" t="s">
        <v>6419</v>
      </c>
      <c r="U476" s="2" t="s">
        <v>1590</v>
      </c>
      <c r="V476" s="2" t="s">
        <v>1591</v>
      </c>
      <c r="W476" s="2" t="s">
        <v>70</v>
      </c>
      <c r="X476" s="13">
        <v>146</v>
      </c>
      <c r="Y476" s="2" t="s">
        <v>71</v>
      </c>
      <c r="Z476" s="2" t="s">
        <v>72</v>
      </c>
      <c r="AA476" s="13">
        <v>5000</v>
      </c>
      <c r="AB476" s="2" t="s">
        <v>73</v>
      </c>
      <c r="AC476" s="2" t="s">
        <v>6773</v>
      </c>
      <c r="AD476" s="27">
        <v>43265</v>
      </c>
      <c r="AI476" s="2" t="s">
        <v>6153</v>
      </c>
      <c r="AL476" s="2" t="s">
        <v>5232</v>
      </c>
    </row>
    <row r="477" spans="1:38" hidden="1" x14ac:dyDescent="0.2">
      <c r="A477" s="2" t="s">
        <v>1462</v>
      </c>
      <c r="B477" s="2" t="s">
        <v>1598</v>
      </c>
      <c r="C477" s="2" t="s">
        <v>1599</v>
      </c>
      <c r="D477" s="2" t="s">
        <v>1600</v>
      </c>
      <c r="E477" s="13">
        <v>2000</v>
      </c>
      <c r="F477" s="13">
        <v>2000</v>
      </c>
      <c r="G477" s="14">
        <v>43298</v>
      </c>
      <c r="H477" s="15">
        <v>0.75</v>
      </c>
      <c r="I477" s="14">
        <v>43299</v>
      </c>
      <c r="J477" s="15">
        <v>0.32077546296296</v>
      </c>
      <c r="K477" s="13">
        <v>0</v>
      </c>
      <c r="L477" s="2" t="s">
        <v>64</v>
      </c>
      <c r="M477" s="2" t="s">
        <v>1479</v>
      </c>
      <c r="N477" s="14">
        <v>43298</v>
      </c>
      <c r="O477" s="14">
        <v>43301</v>
      </c>
      <c r="P477" s="2" t="s">
        <v>91</v>
      </c>
      <c r="Q477" s="2" t="s">
        <v>1601</v>
      </c>
      <c r="R477" s="2" t="s">
        <v>80</v>
      </c>
      <c r="S477" s="14">
        <v>43298</v>
      </c>
      <c r="T477" s="2" t="s">
        <v>6420</v>
      </c>
      <c r="U477" s="2" t="s">
        <v>1568</v>
      </c>
      <c r="V477" s="2" t="s">
        <v>1602</v>
      </c>
      <c r="W477" s="2" t="s">
        <v>70</v>
      </c>
      <c r="X477" s="13">
        <v>146</v>
      </c>
      <c r="Y477" s="2" t="s">
        <v>71</v>
      </c>
      <c r="Z477" s="2" t="s">
        <v>72</v>
      </c>
      <c r="AA477" s="13">
        <v>2000</v>
      </c>
      <c r="AB477" s="2" t="s">
        <v>73</v>
      </c>
      <c r="AC477" s="2" t="s">
        <v>6773</v>
      </c>
      <c r="AD477" s="27">
        <v>43263</v>
      </c>
      <c r="AI477" s="2" t="s">
        <v>6153</v>
      </c>
      <c r="AL477" s="2" t="s">
        <v>5233</v>
      </c>
    </row>
    <row r="478" spans="1:38" hidden="1" x14ac:dyDescent="0.2">
      <c r="A478" s="2" t="s">
        <v>1462</v>
      </c>
      <c r="B478" s="2" t="s">
        <v>1612</v>
      </c>
      <c r="C478" s="2" t="s">
        <v>1613</v>
      </c>
      <c r="D478" s="2" t="s">
        <v>1614</v>
      </c>
      <c r="E478" s="13">
        <v>300</v>
      </c>
      <c r="F478" s="13">
        <v>300</v>
      </c>
      <c r="G478" s="14">
        <v>43299</v>
      </c>
      <c r="H478" s="15">
        <v>0.91438657407406998</v>
      </c>
      <c r="I478" s="14">
        <v>43300</v>
      </c>
      <c r="J478" s="15">
        <v>0</v>
      </c>
      <c r="K478" s="13">
        <v>0</v>
      </c>
      <c r="L478" s="2" t="s">
        <v>64</v>
      </c>
      <c r="M478" s="2" t="s">
        <v>1566</v>
      </c>
      <c r="N478" s="14">
        <v>43304</v>
      </c>
      <c r="O478" s="14">
        <v>43301</v>
      </c>
      <c r="P478" s="2" t="s">
        <v>91</v>
      </c>
      <c r="Q478" s="2" t="s">
        <v>1615</v>
      </c>
      <c r="R478" s="2" t="s">
        <v>80</v>
      </c>
      <c r="S478" s="14">
        <v>43304</v>
      </c>
      <c r="T478" s="2" t="s">
        <v>6421</v>
      </c>
      <c r="U478" s="2" t="s">
        <v>1568</v>
      </c>
      <c r="V478" s="2" t="s">
        <v>1616</v>
      </c>
      <c r="W478" s="2" t="s">
        <v>70</v>
      </c>
      <c r="X478" s="13">
        <v>146</v>
      </c>
      <c r="Y478" s="2" t="s">
        <v>71</v>
      </c>
      <c r="Z478" s="2" t="s">
        <v>72</v>
      </c>
      <c r="AA478" s="13">
        <v>300</v>
      </c>
      <c r="AB478" s="2" t="s">
        <v>73</v>
      </c>
      <c r="AC478" s="2" t="s">
        <v>6773</v>
      </c>
      <c r="AD478" s="27">
        <v>43231</v>
      </c>
      <c r="AI478" s="2" t="s">
        <v>6153</v>
      </c>
      <c r="AL478" s="2" t="s">
        <v>5234</v>
      </c>
    </row>
    <row r="479" spans="1:38" hidden="1" x14ac:dyDescent="0.2">
      <c r="A479" s="2" t="s">
        <v>1462</v>
      </c>
      <c r="B479" s="2" t="s">
        <v>4397</v>
      </c>
      <c r="C479" s="2" t="s">
        <v>4398</v>
      </c>
      <c r="D479" s="2" t="s">
        <v>4399</v>
      </c>
      <c r="E479" s="13">
        <v>1000</v>
      </c>
      <c r="F479" s="13">
        <v>1000</v>
      </c>
      <c r="G479" s="14">
        <v>43300</v>
      </c>
      <c r="H479" s="15">
        <v>0.40837962962962998</v>
      </c>
      <c r="I479" s="14">
        <v>43300</v>
      </c>
      <c r="J479" s="15">
        <v>0.69377314814815005</v>
      </c>
      <c r="K479" s="13">
        <v>20</v>
      </c>
      <c r="L479" s="2" t="s">
        <v>64</v>
      </c>
      <c r="M479" s="2" t="s">
        <v>1500</v>
      </c>
      <c r="N479" s="14">
        <v>43307</v>
      </c>
      <c r="O479" s="14">
        <v>43302</v>
      </c>
      <c r="P479" s="2" t="s">
        <v>91</v>
      </c>
      <c r="Q479" s="2" t="s">
        <v>4400</v>
      </c>
      <c r="R479" s="2" t="s">
        <v>80</v>
      </c>
      <c r="S479" s="14">
        <v>43307</v>
      </c>
      <c r="T479" s="2" t="s">
        <v>6422</v>
      </c>
      <c r="U479" s="2" t="s">
        <v>1557</v>
      </c>
      <c r="V479" s="2" t="s">
        <v>1507</v>
      </c>
      <c r="W479" s="2" t="s">
        <v>70</v>
      </c>
      <c r="X479" s="13">
        <v>146</v>
      </c>
      <c r="Y479" s="2" t="s">
        <v>71</v>
      </c>
      <c r="Z479" s="2" t="s">
        <v>72</v>
      </c>
      <c r="AA479" s="13">
        <v>1000</v>
      </c>
      <c r="AB479" s="2" t="s">
        <v>73</v>
      </c>
      <c r="AC479" s="2" t="s">
        <v>6773</v>
      </c>
      <c r="AD479" s="27">
        <v>43284</v>
      </c>
      <c r="AI479" s="2" t="s">
        <v>6153</v>
      </c>
      <c r="AL479" s="2" t="s">
        <v>5235</v>
      </c>
    </row>
    <row r="480" spans="1:38" hidden="1" x14ac:dyDescent="0.2">
      <c r="A480" s="2" t="s">
        <v>1462</v>
      </c>
      <c r="B480" s="2" t="s">
        <v>1617</v>
      </c>
      <c r="C480" s="2" t="s">
        <v>1618</v>
      </c>
      <c r="D480" s="2" t="s">
        <v>1619</v>
      </c>
      <c r="E480" s="13">
        <v>1000</v>
      </c>
      <c r="F480" s="13">
        <v>1000</v>
      </c>
      <c r="G480" s="14">
        <v>43300</v>
      </c>
      <c r="H480" s="15">
        <v>0.71460648148147998</v>
      </c>
      <c r="I480" s="14">
        <v>43301</v>
      </c>
      <c r="J480" s="15">
        <v>0</v>
      </c>
      <c r="K480" s="13">
        <v>20</v>
      </c>
      <c r="L480" s="2" t="s">
        <v>64</v>
      </c>
      <c r="M480" s="2" t="s">
        <v>1500</v>
      </c>
      <c r="N480" s="14">
        <v>43305</v>
      </c>
      <c r="O480" s="14">
        <v>43302</v>
      </c>
      <c r="P480" s="2" t="s">
        <v>91</v>
      </c>
      <c r="Q480" s="2" t="s">
        <v>1620</v>
      </c>
      <c r="R480" s="2" t="s">
        <v>80</v>
      </c>
      <c r="S480" s="14">
        <v>43305</v>
      </c>
      <c r="T480" s="2" t="s">
        <v>6423</v>
      </c>
      <c r="U480" s="2" t="s">
        <v>1568</v>
      </c>
      <c r="V480" s="2" t="s">
        <v>1621</v>
      </c>
      <c r="W480" s="2" t="s">
        <v>70</v>
      </c>
      <c r="X480" s="13">
        <v>146</v>
      </c>
      <c r="Y480" s="2" t="s">
        <v>71</v>
      </c>
      <c r="Z480" s="2" t="s">
        <v>72</v>
      </c>
      <c r="AA480" s="13">
        <v>1000</v>
      </c>
      <c r="AB480" s="2" t="s">
        <v>73</v>
      </c>
      <c r="AC480" s="2" t="s">
        <v>6773</v>
      </c>
      <c r="AD480" s="27">
        <v>43234</v>
      </c>
      <c r="AI480" s="2" t="s">
        <v>6153</v>
      </c>
      <c r="AL480" s="2" t="s">
        <v>5236</v>
      </c>
    </row>
    <row r="481" spans="1:38" hidden="1" x14ac:dyDescent="0.2">
      <c r="A481" s="2" t="s">
        <v>1462</v>
      </c>
      <c r="B481" s="2" t="s">
        <v>1622</v>
      </c>
      <c r="C481" s="2" t="s">
        <v>1623</v>
      </c>
      <c r="D481" s="2" t="s">
        <v>1624</v>
      </c>
      <c r="E481" s="13">
        <v>1000</v>
      </c>
      <c r="F481" s="13">
        <v>1000</v>
      </c>
      <c r="G481" s="14">
        <v>43300</v>
      </c>
      <c r="H481" s="15">
        <v>0.71460648148147998</v>
      </c>
      <c r="I481" s="14">
        <v>43301</v>
      </c>
      <c r="J481" s="15">
        <v>0</v>
      </c>
      <c r="K481" s="13">
        <v>0</v>
      </c>
      <c r="L481" s="2" t="s">
        <v>64</v>
      </c>
      <c r="M481" s="2" t="s">
        <v>1500</v>
      </c>
      <c r="N481" s="14">
        <v>43305</v>
      </c>
      <c r="O481" s="14">
        <v>43302</v>
      </c>
      <c r="P481" s="2" t="s">
        <v>91</v>
      </c>
      <c r="Q481" s="2" t="s">
        <v>1625</v>
      </c>
      <c r="R481" s="2" t="s">
        <v>80</v>
      </c>
      <c r="S481" s="14">
        <v>43305</v>
      </c>
      <c r="T481" s="2" t="s">
        <v>6424</v>
      </c>
      <c r="U481" s="2" t="s">
        <v>1568</v>
      </c>
      <c r="V481" s="2" t="s">
        <v>1626</v>
      </c>
      <c r="W481" s="2" t="s">
        <v>70</v>
      </c>
      <c r="X481" s="13">
        <v>146</v>
      </c>
      <c r="Y481" s="2" t="s">
        <v>71</v>
      </c>
      <c r="Z481" s="2" t="s">
        <v>72</v>
      </c>
      <c r="AA481" s="13">
        <v>1000</v>
      </c>
      <c r="AB481" s="2" t="s">
        <v>73</v>
      </c>
      <c r="AC481" s="2" t="s">
        <v>6773</v>
      </c>
      <c r="AD481" s="27">
        <v>43263</v>
      </c>
      <c r="AI481" s="2" t="s">
        <v>6153</v>
      </c>
      <c r="AL481" s="2" t="s">
        <v>5237</v>
      </c>
    </row>
    <row r="482" spans="1:38" hidden="1" x14ac:dyDescent="0.2">
      <c r="A482" s="2" t="s">
        <v>1462</v>
      </c>
      <c r="B482" s="2" t="s">
        <v>1627</v>
      </c>
      <c r="C482" s="2" t="s">
        <v>1628</v>
      </c>
      <c r="D482" s="2" t="s">
        <v>1629</v>
      </c>
      <c r="E482" s="13">
        <v>1000</v>
      </c>
      <c r="F482" s="13">
        <v>1000</v>
      </c>
      <c r="G482" s="14">
        <v>43301</v>
      </c>
      <c r="H482" s="15">
        <v>0.12299768518519</v>
      </c>
      <c r="I482" s="14">
        <v>43301</v>
      </c>
      <c r="J482" s="15">
        <v>0.40839120370370002</v>
      </c>
      <c r="K482" s="13">
        <v>20</v>
      </c>
      <c r="L482" s="2" t="s">
        <v>64</v>
      </c>
      <c r="M482" s="2" t="s">
        <v>1500</v>
      </c>
      <c r="N482" s="14">
        <v>43304</v>
      </c>
      <c r="O482" s="14">
        <v>43303</v>
      </c>
      <c r="P482" s="2" t="s">
        <v>91</v>
      </c>
      <c r="Q482" s="2" t="s">
        <v>1630</v>
      </c>
      <c r="R482" s="2" t="s">
        <v>80</v>
      </c>
      <c r="S482" s="14">
        <v>43304</v>
      </c>
      <c r="T482" s="2" t="s">
        <v>6425</v>
      </c>
      <c r="U482" s="2" t="s">
        <v>1557</v>
      </c>
      <c r="V482" s="2" t="s">
        <v>1631</v>
      </c>
      <c r="W482" s="2" t="s">
        <v>70</v>
      </c>
      <c r="X482" s="13">
        <v>146</v>
      </c>
      <c r="Y482" s="2" t="s">
        <v>71</v>
      </c>
      <c r="Z482" s="2" t="s">
        <v>72</v>
      </c>
      <c r="AA482" s="13">
        <v>1000</v>
      </c>
      <c r="AB482" s="2" t="s">
        <v>73</v>
      </c>
      <c r="AC482" s="2" t="s">
        <v>6773</v>
      </c>
      <c r="AD482" s="27">
        <v>43272</v>
      </c>
      <c r="AI482" s="2" t="s">
        <v>6153</v>
      </c>
      <c r="AL482" s="2" t="s">
        <v>5238</v>
      </c>
    </row>
    <row r="483" spans="1:38" hidden="1" x14ac:dyDescent="0.2">
      <c r="A483" s="2" t="s">
        <v>1462</v>
      </c>
      <c r="B483" s="2" t="s">
        <v>1632</v>
      </c>
      <c r="C483" s="2" t="s">
        <v>1633</v>
      </c>
      <c r="D483" s="2" t="s">
        <v>1634</v>
      </c>
      <c r="E483" s="16">
        <v>1057.4000000000001</v>
      </c>
      <c r="F483" s="16">
        <v>1057.4000000000001</v>
      </c>
      <c r="G483" s="14">
        <v>43301</v>
      </c>
      <c r="H483" s="15">
        <v>0.69822916666667001</v>
      </c>
      <c r="I483" s="14">
        <v>43302</v>
      </c>
      <c r="J483" s="15">
        <v>0</v>
      </c>
      <c r="K483" s="13">
        <v>20</v>
      </c>
      <c r="L483" s="2" t="s">
        <v>64</v>
      </c>
      <c r="M483" s="2" t="s">
        <v>1635</v>
      </c>
      <c r="N483" s="14">
        <v>43307</v>
      </c>
      <c r="O483" s="14">
        <v>43303</v>
      </c>
      <c r="P483" s="2" t="s">
        <v>1636</v>
      </c>
      <c r="Q483" s="2" t="s">
        <v>1637</v>
      </c>
      <c r="R483" s="2" t="s">
        <v>80</v>
      </c>
      <c r="S483" s="14">
        <v>43307</v>
      </c>
      <c r="T483" s="2" t="s">
        <v>6426</v>
      </c>
      <c r="U483" s="2" t="s">
        <v>1523</v>
      </c>
      <c r="V483" s="2" t="s">
        <v>1638</v>
      </c>
      <c r="W483" s="2" t="s">
        <v>70</v>
      </c>
      <c r="X483" s="13">
        <v>146</v>
      </c>
      <c r="Y483" s="2" t="s">
        <v>71</v>
      </c>
      <c r="Z483" s="2" t="s">
        <v>72</v>
      </c>
      <c r="AA483" s="13">
        <v>1000</v>
      </c>
      <c r="AB483" s="2" t="s">
        <v>73</v>
      </c>
      <c r="AC483" s="2" t="s">
        <v>6773</v>
      </c>
      <c r="AD483" s="27">
        <v>43280</v>
      </c>
      <c r="AI483" s="2" t="s">
        <v>6153</v>
      </c>
      <c r="AL483" s="2" t="s">
        <v>5239</v>
      </c>
    </row>
    <row r="484" spans="1:38" hidden="1" x14ac:dyDescent="0.2">
      <c r="A484" s="2" t="s">
        <v>1462</v>
      </c>
      <c r="B484" s="2" t="s">
        <v>1639</v>
      </c>
      <c r="C484" s="2" t="s">
        <v>1623</v>
      </c>
      <c r="D484" s="2" t="s">
        <v>1624</v>
      </c>
      <c r="E484" s="13">
        <v>100</v>
      </c>
      <c r="F484" s="13">
        <v>100</v>
      </c>
      <c r="G484" s="14">
        <v>43302</v>
      </c>
      <c r="H484" s="15">
        <v>2.0833333333330002E-2</v>
      </c>
      <c r="I484" s="14">
        <v>43302</v>
      </c>
      <c r="J484" s="15">
        <v>4.9375000000000002E-2</v>
      </c>
      <c r="K484" s="13">
        <v>0</v>
      </c>
      <c r="L484" s="2" t="s">
        <v>64</v>
      </c>
      <c r="M484" s="2" t="s">
        <v>1562</v>
      </c>
      <c r="N484" s="14">
        <v>43305</v>
      </c>
      <c r="O484" s="14">
        <v>43304</v>
      </c>
      <c r="P484" s="2" t="s">
        <v>91</v>
      </c>
      <c r="Q484" s="2" t="s">
        <v>1640</v>
      </c>
      <c r="R484" s="2" t="s">
        <v>80</v>
      </c>
      <c r="S484" s="14">
        <v>43305</v>
      </c>
      <c r="T484" s="2" t="s">
        <v>6427</v>
      </c>
      <c r="U484" s="2" t="s">
        <v>1568</v>
      </c>
      <c r="V484" s="2" t="s">
        <v>1626</v>
      </c>
      <c r="W484" s="2" t="s">
        <v>70</v>
      </c>
      <c r="X484" s="13">
        <v>146</v>
      </c>
      <c r="Y484" s="2" t="s">
        <v>71</v>
      </c>
      <c r="Z484" s="2" t="s">
        <v>72</v>
      </c>
      <c r="AA484" s="13">
        <v>100</v>
      </c>
      <c r="AB484" s="2" t="s">
        <v>73</v>
      </c>
      <c r="AC484" s="2" t="s">
        <v>6773</v>
      </c>
      <c r="AD484" s="27">
        <v>43277</v>
      </c>
      <c r="AI484" s="2" t="s">
        <v>6153</v>
      </c>
      <c r="AL484" s="2" t="s">
        <v>5240</v>
      </c>
    </row>
    <row r="485" spans="1:38" hidden="1" x14ac:dyDescent="0.2">
      <c r="A485" s="2" t="s">
        <v>1462</v>
      </c>
      <c r="B485" s="2" t="s">
        <v>1641</v>
      </c>
      <c r="C485" s="2" t="s">
        <v>1642</v>
      </c>
      <c r="D485" s="2" t="s">
        <v>1643</v>
      </c>
      <c r="E485" s="16">
        <v>1057.4000000000001</v>
      </c>
      <c r="F485" s="16">
        <v>1057.4000000000001</v>
      </c>
      <c r="G485" s="14">
        <v>43302</v>
      </c>
      <c r="H485" s="15">
        <v>0.10662037037037</v>
      </c>
      <c r="I485" s="14">
        <v>43302</v>
      </c>
      <c r="J485" s="15">
        <v>0.40839120370370002</v>
      </c>
      <c r="K485" s="13">
        <v>0</v>
      </c>
      <c r="L485" s="2" t="s">
        <v>64</v>
      </c>
      <c r="M485" s="2" t="s">
        <v>1635</v>
      </c>
      <c r="N485" s="14">
        <v>43308</v>
      </c>
      <c r="O485" s="14">
        <v>43304</v>
      </c>
      <c r="P485" s="2" t="s">
        <v>91</v>
      </c>
      <c r="Q485" s="2" t="s">
        <v>1644</v>
      </c>
      <c r="R485" s="2" t="s">
        <v>80</v>
      </c>
      <c r="S485" s="14">
        <v>43308</v>
      </c>
      <c r="T485" s="2" t="s">
        <v>6428</v>
      </c>
      <c r="U485" s="2" t="s">
        <v>1486</v>
      </c>
      <c r="V485" s="2" t="s">
        <v>1645</v>
      </c>
      <c r="W485" s="2" t="s">
        <v>70</v>
      </c>
      <c r="X485" s="13">
        <v>146</v>
      </c>
      <c r="Y485" s="2" t="s">
        <v>71</v>
      </c>
      <c r="Z485" s="2" t="s">
        <v>72</v>
      </c>
      <c r="AA485" s="13">
        <v>1000</v>
      </c>
      <c r="AB485" s="2" t="s">
        <v>73</v>
      </c>
      <c r="AC485" s="2" t="s">
        <v>6773</v>
      </c>
      <c r="AD485" s="27">
        <v>43280</v>
      </c>
      <c r="AI485" s="2" t="s">
        <v>6153</v>
      </c>
      <c r="AL485" s="2" t="s">
        <v>5241</v>
      </c>
    </row>
    <row r="486" spans="1:38" hidden="1" x14ac:dyDescent="0.2">
      <c r="A486" s="2" t="s">
        <v>1462</v>
      </c>
      <c r="B486" s="2" t="s">
        <v>1646</v>
      </c>
      <c r="C486" s="2" t="s">
        <v>1493</v>
      </c>
      <c r="D486" s="2" t="s">
        <v>1494</v>
      </c>
      <c r="E486" s="13">
        <v>2000</v>
      </c>
      <c r="F486" s="13">
        <v>2000</v>
      </c>
      <c r="G486" s="14">
        <v>43302</v>
      </c>
      <c r="H486" s="15">
        <v>0.42922453703704</v>
      </c>
      <c r="I486" s="14">
        <v>43303</v>
      </c>
      <c r="J486" s="15">
        <v>0</v>
      </c>
      <c r="K486" s="13">
        <v>0</v>
      </c>
      <c r="L486" s="2" t="s">
        <v>64</v>
      </c>
      <c r="M486" s="2" t="s">
        <v>1479</v>
      </c>
      <c r="N486" s="14">
        <v>43311</v>
      </c>
      <c r="O486" s="14">
        <v>43304</v>
      </c>
      <c r="P486" s="2" t="s">
        <v>91</v>
      </c>
      <c r="Q486" s="2" t="s">
        <v>1647</v>
      </c>
      <c r="R486" s="2" t="s">
        <v>80</v>
      </c>
      <c r="S486" s="14">
        <v>43311</v>
      </c>
      <c r="T486" s="2" t="s">
        <v>6429</v>
      </c>
      <c r="U486" s="2" t="s">
        <v>1486</v>
      </c>
      <c r="V486" s="2" t="s">
        <v>1496</v>
      </c>
      <c r="W486" s="2" t="s">
        <v>70</v>
      </c>
      <c r="X486" s="13">
        <v>146</v>
      </c>
      <c r="Y486" s="2" t="s">
        <v>71</v>
      </c>
      <c r="Z486" s="2" t="s">
        <v>72</v>
      </c>
      <c r="AA486" s="13">
        <v>2000</v>
      </c>
      <c r="AB486" s="2" t="s">
        <v>73</v>
      </c>
      <c r="AC486" s="2" t="s">
        <v>6773</v>
      </c>
      <c r="AD486" s="27">
        <v>43256</v>
      </c>
      <c r="AI486" s="2" t="s">
        <v>6153</v>
      </c>
      <c r="AL486" s="2" t="s">
        <v>5242</v>
      </c>
    </row>
    <row r="487" spans="1:38" hidden="1" x14ac:dyDescent="0.2">
      <c r="A487" s="2" t="s">
        <v>1462</v>
      </c>
      <c r="B487" s="2" t="s">
        <v>1648</v>
      </c>
      <c r="C487" s="2" t="s">
        <v>1649</v>
      </c>
      <c r="D487" s="2" t="s">
        <v>1650</v>
      </c>
      <c r="E487" s="13">
        <v>500</v>
      </c>
      <c r="F487" s="13">
        <v>500</v>
      </c>
      <c r="G487" s="14">
        <v>43303</v>
      </c>
      <c r="H487" s="15">
        <v>0.21631944444444001</v>
      </c>
      <c r="I487" s="14">
        <v>43303</v>
      </c>
      <c r="J487" s="15">
        <v>0.35901620370370002</v>
      </c>
      <c r="K487" s="13">
        <v>0</v>
      </c>
      <c r="L487" s="2" t="s">
        <v>64</v>
      </c>
      <c r="M487" s="2" t="s">
        <v>1511</v>
      </c>
      <c r="N487" s="14">
        <v>43308</v>
      </c>
      <c r="O487" s="14">
        <v>43305</v>
      </c>
      <c r="P487" s="2" t="s">
        <v>91</v>
      </c>
      <c r="Q487" s="2" t="s">
        <v>1651</v>
      </c>
      <c r="R487" s="2" t="s">
        <v>80</v>
      </c>
      <c r="S487" s="14">
        <v>43308</v>
      </c>
      <c r="T487" s="2" t="s">
        <v>6430</v>
      </c>
      <c r="U487" s="2" t="s">
        <v>1486</v>
      </c>
      <c r="V487" s="2" t="s">
        <v>1652</v>
      </c>
      <c r="W487" s="2" t="s">
        <v>70</v>
      </c>
      <c r="X487" s="13">
        <v>146</v>
      </c>
      <c r="Y487" s="2" t="s">
        <v>71</v>
      </c>
      <c r="Z487" s="2" t="s">
        <v>72</v>
      </c>
      <c r="AA487" s="13">
        <v>500</v>
      </c>
      <c r="AB487" s="2" t="s">
        <v>73</v>
      </c>
      <c r="AC487" s="2" t="s">
        <v>6773</v>
      </c>
      <c r="AD487" s="27">
        <v>43280</v>
      </c>
      <c r="AI487" s="2" t="s">
        <v>6153</v>
      </c>
      <c r="AL487" s="2" t="s">
        <v>5243</v>
      </c>
    </row>
    <row r="488" spans="1:38" hidden="1" x14ac:dyDescent="0.2">
      <c r="A488" s="2" t="s">
        <v>1462</v>
      </c>
      <c r="B488" s="2" t="s">
        <v>1653</v>
      </c>
      <c r="C488" s="2" t="s">
        <v>1654</v>
      </c>
      <c r="D488" s="2" t="s">
        <v>1655</v>
      </c>
      <c r="E488" s="13">
        <v>100</v>
      </c>
      <c r="F488" s="13">
        <v>100</v>
      </c>
      <c r="G488" s="14">
        <v>43303</v>
      </c>
      <c r="H488" s="15">
        <v>0.37984953703704</v>
      </c>
      <c r="I488" s="14">
        <v>43303</v>
      </c>
      <c r="J488" s="15">
        <v>0.40839120370370002</v>
      </c>
      <c r="K488" s="13">
        <v>0</v>
      </c>
      <c r="L488" s="2" t="s">
        <v>64</v>
      </c>
      <c r="M488" s="2" t="s">
        <v>1562</v>
      </c>
      <c r="N488" s="14">
        <v>43307</v>
      </c>
      <c r="O488" s="14">
        <v>43305</v>
      </c>
      <c r="P488" s="2" t="s">
        <v>91</v>
      </c>
      <c r="Q488" s="2" t="s">
        <v>1656</v>
      </c>
      <c r="R488" s="2" t="s">
        <v>80</v>
      </c>
      <c r="S488" s="14">
        <v>43307</v>
      </c>
      <c r="T488" s="2" t="s">
        <v>6431</v>
      </c>
      <c r="U488" s="2" t="s">
        <v>1474</v>
      </c>
      <c r="V488" s="2" t="s">
        <v>1657</v>
      </c>
      <c r="W488" s="2" t="s">
        <v>70</v>
      </c>
      <c r="X488" s="13">
        <v>146</v>
      </c>
      <c r="Y488" s="2" t="s">
        <v>71</v>
      </c>
      <c r="Z488" s="2" t="s">
        <v>72</v>
      </c>
      <c r="AA488" s="13">
        <v>100</v>
      </c>
      <c r="AB488" s="2" t="s">
        <v>73</v>
      </c>
      <c r="AC488" s="2" t="s">
        <v>6773</v>
      </c>
      <c r="AD488" s="27">
        <v>43279</v>
      </c>
      <c r="AI488" s="2" t="s">
        <v>6153</v>
      </c>
      <c r="AL488" s="2" t="s">
        <v>5244</v>
      </c>
    </row>
    <row r="489" spans="1:38" hidden="1" x14ac:dyDescent="0.2">
      <c r="A489" s="2" t="s">
        <v>1462</v>
      </c>
      <c r="B489" s="2" t="s">
        <v>1658</v>
      </c>
      <c r="C489" s="2" t="s">
        <v>1659</v>
      </c>
      <c r="D489" s="2" t="s">
        <v>1660</v>
      </c>
      <c r="E489" s="13">
        <v>2000</v>
      </c>
      <c r="F489" s="13">
        <v>2000</v>
      </c>
      <c r="G489" s="14">
        <v>43303</v>
      </c>
      <c r="H489" s="15">
        <v>0.42922453703704</v>
      </c>
      <c r="I489" s="14">
        <v>43304</v>
      </c>
      <c r="J489" s="15">
        <v>0</v>
      </c>
      <c r="K489" s="13">
        <v>20</v>
      </c>
      <c r="L489" s="2" t="s">
        <v>64</v>
      </c>
      <c r="M489" s="2" t="s">
        <v>1479</v>
      </c>
      <c r="N489" s="14">
        <v>43307</v>
      </c>
      <c r="O489" s="14">
        <v>43305</v>
      </c>
      <c r="P489" s="2" t="s">
        <v>91</v>
      </c>
      <c r="Q489" s="2" t="s">
        <v>1661</v>
      </c>
      <c r="R489" s="2" t="s">
        <v>80</v>
      </c>
      <c r="S489" s="14">
        <v>43307</v>
      </c>
      <c r="T489" s="2" t="s">
        <v>6432</v>
      </c>
      <c r="U489" s="2" t="s">
        <v>1529</v>
      </c>
      <c r="V489" s="2" t="s">
        <v>81</v>
      </c>
      <c r="W489" s="2" t="s">
        <v>70</v>
      </c>
      <c r="X489" s="13">
        <v>146</v>
      </c>
      <c r="Y489" s="2" t="s">
        <v>71</v>
      </c>
      <c r="Z489" s="2" t="s">
        <v>72</v>
      </c>
      <c r="AA489" s="13">
        <v>2000</v>
      </c>
      <c r="AB489" s="2" t="s">
        <v>73</v>
      </c>
      <c r="AC489" s="2" t="s">
        <v>6773</v>
      </c>
      <c r="AD489" s="27">
        <v>43243</v>
      </c>
      <c r="AI489" s="2" t="s">
        <v>6153</v>
      </c>
      <c r="AL489" s="2" t="s">
        <v>5245</v>
      </c>
    </row>
    <row r="490" spans="1:38" hidden="1" x14ac:dyDescent="0.2">
      <c r="A490" s="2" t="s">
        <v>1462</v>
      </c>
      <c r="B490" s="2" t="s">
        <v>1662</v>
      </c>
      <c r="C490" s="2" t="s">
        <v>1663</v>
      </c>
      <c r="D490" s="2" t="s">
        <v>1664</v>
      </c>
      <c r="E490" s="13">
        <v>1000</v>
      </c>
      <c r="F490" s="13">
        <v>1000</v>
      </c>
      <c r="G490" s="14">
        <v>43303</v>
      </c>
      <c r="H490" s="15">
        <v>0.71460648148147998</v>
      </c>
      <c r="I490" s="14">
        <v>43304</v>
      </c>
      <c r="J490" s="15">
        <v>0</v>
      </c>
      <c r="K490" s="13">
        <v>20</v>
      </c>
      <c r="L490" s="2" t="s">
        <v>64</v>
      </c>
      <c r="M490" s="2" t="s">
        <v>1500</v>
      </c>
      <c r="N490" s="14">
        <v>43307</v>
      </c>
      <c r="O490" s="14">
        <v>43305</v>
      </c>
      <c r="P490" s="2" t="s">
        <v>91</v>
      </c>
      <c r="Q490" s="2" t="s">
        <v>1665</v>
      </c>
      <c r="R490" s="2" t="s">
        <v>80</v>
      </c>
      <c r="S490" s="14">
        <v>43307</v>
      </c>
      <c r="T490" s="2" t="s">
        <v>6433</v>
      </c>
      <c r="U490" s="2" t="s">
        <v>1666</v>
      </c>
      <c r="V490" s="2" t="s">
        <v>1667</v>
      </c>
      <c r="W490" s="2" t="s">
        <v>70</v>
      </c>
      <c r="X490" s="13">
        <v>146</v>
      </c>
      <c r="Y490" s="2" t="s">
        <v>71</v>
      </c>
      <c r="Z490" s="2" t="s">
        <v>72</v>
      </c>
      <c r="AA490" s="13">
        <v>1000</v>
      </c>
      <c r="AB490" s="2" t="s">
        <v>73</v>
      </c>
      <c r="AC490" s="2" t="s">
        <v>6773</v>
      </c>
      <c r="AD490" s="27">
        <v>43236</v>
      </c>
      <c r="AI490" s="2" t="s">
        <v>6153</v>
      </c>
      <c r="AL490" s="2" t="s">
        <v>5246</v>
      </c>
    </row>
    <row r="491" spans="1:38" hidden="1" x14ac:dyDescent="0.2">
      <c r="A491" s="2" t="s">
        <v>1462</v>
      </c>
      <c r="B491" s="2" t="s">
        <v>1668</v>
      </c>
      <c r="C491" s="2" t="s">
        <v>1669</v>
      </c>
      <c r="D491" s="2" t="s">
        <v>1670</v>
      </c>
      <c r="E491" s="13">
        <v>2000</v>
      </c>
      <c r="F491" s="13">
        <v>2000</v>
      </c>
      <c r="G491" s="14">
        <v>43304</v>
      </c>
      <c r="H491" s="15">
        <v>2.0833333333330002E-2</v>
      </c>
      <c r="I491" s="14">
        <v>43304</v>
      </c>
      <c r="J491" s="15">
        <v>0.59160879629630003</v>
      </c>
      <c r="K491" s="13">
        <v>20</v>
      </c>
      <c r="L491" s="2" t="s">
        <v>64</v>
      </c>
      <c r="M491" s="2" t="s">
        <v>1479</v>
      </c>
      <c r="N491" s="14">
        <v>43307</v>
      </c>
      <c r="O491" s="14">
        <v>43306</v>
      </c>
      <c r="P491" s="2" t="s">
        <v>91</v>
      </c>
      <c r="Q491" s="2" t="s">
        <v>1671</v>
      </c>
      <c r="R491" s="2" t="s">
        <v>80</v>
      </c>
      <c r="S491" s="14">
        <v>43307</v>
      </c>
      <c r="T491" s="2" t="s">
        <v>6434</v>
      </c>
      <c r="U491" s="2" t="s">
        <v>1474</v>
      </c>
      <c r="V491" s="2" t="s">
        <v>1672</v>
      </c>
      <c r="W491" s="2" t="s">
        <v>98</v>
      </c>
      <c r="X491" s="13">
        <v>146</v>
      </c>
      <c r="Y491" s="2" t="s">
        <v>71</v>
      </c>
      <c r="Z491" s="2" t="s">
        <v>72</v>
      </c>
      <c r="AA491" s="13">
        <v>2000</v>
      </c>
      <c r="AB491" s="2" t="s">
        <v>73</v>
      </c>
      <c r="AC491" s="2" t="s">
        <v>6773</v>
      </c>
      <c r="AD491" s="27">
        <v>43273</v>
      </c>
      <c r="AI491" s="2" t="s">
        <v>6153</v>
      </c>
      <c r="AL491" s="2" t="s">
        <v>5247</v>
      </c>
    </row>
    <row r="492" spans="1:38" hidden="1" x14ac:dyDescent="0.2">
      <c r="A492" s="2" t="s">
        <v>1462</v>
      </c>
      <c r="B492" s="2" t="s">
        <v>1673</v>
      </c>
      <c r="C492" s="2" t="s">
        <v>1674</v>
      </c>
      <c r="D492" s="2" t="s">
        <v>1675</v>
      </c>
      <c r="E492" s="16">
        <v>2114.8000000000002</v>
      </c>
      <c r="F492" s="16">
        <v>2114.8000000000002</v>
      </c>
      <c r="G492" s="14">
        <v>43304</v>
      </c>
      <c r="H492" s="15">
        <v>0.61244212962962996</v>
      </c>
      <c r="I492" s="14">
        <v>43305</v>
      </c>
      <c r="J492" s="15">
        <v>0.21598379629629999</v>
      </c>
      <c r="K492" s="13">
        <v>20</v>
      </c>
      <c r="L492" s="2" t="s">
        <v>64</v>
      </c>
      <c r="M492" s="2" t="s">
        <v>1584</v>
      </c>
      <c r="N492" s="14">
        <v>43317</v>
      </c>
      <c r="O492" s="14">
        <v>43307</v>
      </c>
      <c r="P492" s="2" t="s">
        <v>91</v>
      </c>
      <c r="Q492" s="2" t="s">
        <v>1676</v>
      </c>
      <c r="R492" s="2" t="s">
        <v>80</v>
      </c>
      <c r="S492" s="14">
        <v>43308</v>
      </c>
      <c r="T492" s="2" t="s">
        <v>6435</v>
      </c>
      <c r="U492" s="2" t="s">
        <v>1501</v>
      </c>
      <c r="V492" s="2" t="s">
        <v>1677</v>
      </c>
      <c r="W492" s="2" t="s">
        <v>70</v>
      </c>
      <c r="X492" s="13">
        <v>146</v>
      </c>
      <c r="Y492" s="2" t="s">
        <v>71</v>
      </c>
      <c r="Z492" s="2" t="s">
        <v>72</v>
      </c>
      <c r="AA492" s="13">
        <v>2000</v>
      </c>
      <c r="AB492" s="2" t="s">
        <v>73</v>
      </c>
      <c r="AC492" s="2" t="s">
        <v>6773</v>
      </c>
      <c r="AD492" s="27">
        <v>43278</v>
      </c>
      <c r="AI492" s="2" t="s">
        <v>6153</v>
      </c>
      <c r="AL492" s="2" t="s">
        <v>5248</v>
      </c>
    </row>
    <row r="493" spans="1:38" hidden="1" x14ac:dyDescent="0.2">
      <c r="A493" s="2" t="s">
        <v>1462</v>
      </c>
      <c r="B493" s="2" t="s">
        <v>1678</v>
      </c>
      <c r="C493" s="2" t="s">
        <v>1679</v>
      </c>
      <c r="D493" s="2" t="s">
        <v>1680</v>
      </c>
      <c r="E493" s="13">
        <v>5248</v>
      </c>
      <c r="F493" s="13">
        <v>5248</v>
      </c>
      <c r="G493" s="14">
        <v>43305</v>
      </c>
      <c r="H493" s="15">
        <v>0.23681712962963</v>
      </c>
      <c r="I493" s="14">
        <v>43306</v>
      </c>
      <c r="J493" s="15">
        <v>0.73453703703703999</v>
      </c>
      <c r="K493" s="13">
        <v>0</v>
      </c>
      <c r="L493" s="2" t="s">
        <v>64</v>
      </c>
      <c r="M493" s="2" t="s">
        <v>1681</v>
      </c>
      <c r="N493" s="14">
        <v>43311</v>
      </c>
      <c r="O493" s="14">
        <v>43308</v>
      </c>
      <c r="P493" s="2" t="s">
        <v>1682</v>
      </c>
      <c r="Q493" s="2" t="s">
        <v>1683</v>
      </c>
      <c r="R493" s="2" t="s">
        <v>80</v>
      </c>
      <c r="S493" s="14">
        <v>43311</v>
      </c>
      <c r="T493" s="2" t="s">
        <v>6436</v>
      </c>
      <c r="U493" s="2" t="s">
        <v>1684</v>
      </c>
      <c r="V493" s="2" t="s">
        <v>1685</v>
      </c>
      <c r="W493" s="2" t="s">
        <v>70</v>
      </c>
      <c r="X493" s="13">
        <v>146</v>
      </c>
      <c r="Y493" s="2" t="s">
        <v>71</v>
      </c>
      <c r="Z493" s="2" t="s">
        <v>72</v>
      </c>
      <c r="AA493" s="13">
        <v>5000</v>
      </c>
      <c r="AB493" s="2" t="s">
        <v>73</v>
      </c>
      <c r="AC493" s="2" t="s">
        <v>6773</v>
      </c>
      <c r="AD493" s="27">
        <v>43279</v>
      </c>
      <c r="AL493" s="2" t="s">
        <v>5249</v>
      </c>
    </row>
    <row r="494" spans="1:38" hidden="1" x14ac:dyDescent="0.2">
      <c r="A494" s="2" t="s">
        <v>1462</v>
      </c>
      <c r="B494" s="2" t="s">
        <v>4401</v>
      </c>
      <c r="C494" s="2" t="s">
        <v>1702</v>
      </c>
      <c r="D494" s="2" t="s">
        <v>1703</v>
      </c>
      <c r="E494" s="13">
        <v>2128</v>
      </c>
      <c r="F494" s="13">
        <v>2128</v>
      </c>
      <c r="G494" s="14">
        <v>43307</v>
      </c>
      <c r="H494" s="15">
        <v>0.32501157407407</v>
      </c>
      <c r="I494" s="14">
        <v>43307</v>
      </c>
      <c r="J494" s="15">
        <v>0.93231481481481004</v>
      </c>
      <c r="K494" s="13">
        <v>20</v>
      </c>
      <c r="L494" s="2" t="s">
        <v>64</v>
      </c>
      <c r="M494" s="2" t="s">
        <v>4402</v>
      </c>
      <c r="N494" s="14">
        <v>43314</v>
      </c>
      <c r="O494" s="14">
        <v>43309</v>
      </c>
      <c r="P494" s="2" t="s">
        <v>91</v>
      </c>
      <c r="Q494" s="2" t="s">
        <v>4403</v>
      </c>
      <c r="R494" s="2" t="s">
        <v>80</v>
      </c>
      <c r="S494" s="14">
        <v>43314</v>
      </c>
      <c r="T494" s="2" t="s">
        <v>6437</v>
      </c>
      <c r="U494" s="2" t="s">
        <v>1705</v>
      </c>
      <c r="V494" s="2" t="s">
        <v>81</v>
      </c>
      <c r="W494" s="2" t="s">
        <v>70</v>
      </c>
      <c r="X494" s="13">
        <v>146</v>
      </c>
      <c r="Y494" s="2" t="s">
        <v>71</v>
      </c>
      <c r="Z494" s="2" t="s">
        <v>72</v>
      </c>
      <c r="AA494" s="13">
        <v>2000</v>
      </c>
      <c r="AB494" s="2" t="s">
        <v>73</v>
      </c>
      <c r="AC494" s="2" t="s">
        <v>6773</v>
      </c>
      <c r="AD494" s="27">
        <v>43286</v>
      </c>
      <c r="AI494" s="2" t="s">
        <v>6153</v>
      </c>
      <c r="AL494" s="2" t="s">
        <v>5250</v>
      </c>
    </row>
    <row r="495" spans="1:38" hidden="1" x14ac:dyDescent="0.2">
      <c r="A495" s="2" t="s">
        <v>1462</v>
      </c>
      <c r="B495" s="2" t="s">
        <v>4404</v>
      </c>
      <c r="C495" s="2" t="s">
        <v>4405</v>
      </c>
      <c r="D495" s="2" t="s">
        <v>4406</v>
      </c>
      <c r="E495" s="16">
        <v>2537.7600000000002</v>
      </c>
      <c r="F495" s="16">
        <v>2537.7600000000002</v>
      </c>
      <c r="G495" s="14">
        <v>43307</v>
      </c>
      <c r="H495" s="15">
        <v>0.95314814814814997</v>
      </c>
      <c r="I495" s="14">
        <v>43308</v>
      </c>
      <c r="J495" s="15">
        <v>0.67739583333332998</v>
      </c>
      <c r="K495" s="13">
        <v>20</v>
      </c>
      <c r="L495" s="2" t="s">
        <v>64</v>
      </c>
      <c r="M495" s="2" t="s">
        <v>4407</v>
      </c>
      <c r="N495" s="14">
        <v>43314</v>
      </c>
      <c r="O495" s="14">
        <v>43310</v>
      </c>
      <c r="P495" s="2" t="s">
        <v>91</v>
      </c>
      <c r="Q495" s="2" t="s">
        <v>4408</v>
      </c>
      <c r="R495" s="2" t="s">
        <v>80</v>
      </c>
      <c r="S495" s="14">
        <v>43314</v>
      </c>
      <c r="T495" s="2" t="s">
        <v>6438</v>
      </c>
      <c r="U495" s="2" t="s">
        <v>1535</v>
      </c>
      <c r="V495" s="2" t="s">
        <v>4409</v>
      </c>
      <c r="W495" s="2" t="s">
        <v>70</v>
      </c>
      <c r="X495" s="13">
        <v>146</v>
      </c>
      <c r="Y495" s="2" t="s">
        <v>71</v>
      </c>
      <c r="Z495" s="2" t="s">
        <v>72</v>
      </c>
      <c r="AA495" s="13">
        <v>2400</v>
      </c>
      <c r="AB495" s="2" t="s">
        <v>73</v>
      </c>
      <c r="AC495" s="2" t="s">
        <v>6773</v>
      </c>
      <c r="AD495" s="27">
        <v>43286</v>
      </c>
      <c r="AI495" s="2" t="s">
        <v>6153</v>
      </c>
      <c r="AL495" s="2" t="s">
        <v>5251</v>
      </c>
    </row>
    <row r="496" spans="1:38" hidden="1" x14ac:dyDescent="0.2">
      <c r="A496" s="2" t="s">
        <v>1462</v>
      </c>
      <c r="B496" s="2" t="s">
        <v>4094</v>
      </c>
      <c r="C496" s="2" t="s">
        <v>4095</v>
      </c>
      <c r="D496" s="2" t="s">
        <v>4096</v>
      </c>
      <c r="E496" s="16">
        <v>1057.4000000000001</v>
      </c>
      <c r="F496" s="16">
        <v>1057.4000000000001</v>
      </c>
      <c r="G496" s="14">
        <v>43308</v>
      </c>
      <c r="H496" s="15">
        <v>0.69822916666667001</v>
      </c>
      <c r="I496" s="14">
        <v>43309</v>
      </c>
      <c r="J496" s="15">
        <v>0</v>
      </c>
      <c r="K496" s="13">
        <v>0</v>
      </c>
      <c r="L496" s="2" t="s">
        <v>64</v>
      </c>
      <c r="M496" s="2" t="s">
        <v>1635</v>
      </c>
      <c r="N496" s="14">
        <v>43311</v>
      </c>
      <c r="O496" s="14">
        <v>43310</v>
      </c>
      <c r="P496" s="2" t="s">
        <v>91</v>
      </c>
      <c r="Q496" s="2" t="s">
        <v>4097</v>
      </c>
      <c r="R496" s="2" t="s">
        <v>80</v>
      </c>
      <c r="S496" s="14">
        <v>43311</v>
      </c>
      <c r="T496" s="2" t="s">
        <v>6439</v>
      </c>
      <c r="U496" s="2" t="s">
        <v>1501</v>
      </c>
      <c r="V496" s="2" t="s">
        <v>4098</v>
      </c>
      <c r="W496" s="2" t="s">
        <v>70</v>
      </c>
      <c r="X496" s="13">
        <v>146</v>
      </c>
      <c r="Y496" s="2" t="s">
        <v>71</v>
      </c>
      <c r="Z496" s="2" t="s">
        <v>72</v>
      </c>
      <c r="AA496" s="13">
        <v>1000</v>
      </c>
      <c r="AB496" s="2" t="s">
        <v>73</v>
      </c>
      <c r="AC496" s="2" t="s">
        <v>6773</v>
      </c>
      <c r="AD496" s="27">
        <v>43283</v>
      </c>
      <c r="AI496" s="2" t="s">
        <v>6153</v>
      </c>
      <c r="AL496" s="2" t="s">
        <v>5252</v>
      </c>
    </row>
    <row r="497" spans="1:38" hidden="1" x14ac:dyDescent="0.2">
      <c r="A497" s="2" t="s">
        <v>1462</v>
      </c>
      <c r="B497" s="2" t="s">
        <v>4410</v>
      </c>
      <c r="C497" s="2" t="s">
        <v>3144</v>
      </c>
      <c r="D497" s="2" t="s">
        <v>3145</v>
      </c>
      <c r="E497" s="16">
        <v>1057.4000000000001</v>
      </c>
      <c r="F497" s="16">
        <v>1057.4000000000001</v>
      </c>
      <c r="G497" s="14">
        <v>43309</v>
      </c>
      <c r="H497" s="15">
        <v>5.3020833333329999E-2</v>
      </c>
      <c r="I497" s="14">
        <v>43309</v>
      </c>
      <c r="J497" s="15">
        <v>0.35479166666667</v>
      </c>
      <c r="K497" s="13">
        <v>20</v>
      </c>
      <c r="L497" s="2" t="s">
        <v>64</v>
      </c>
      <c r="M497" s="2" t="s">
        <v>1635</v>
      </c>
      <c r="N497" s="14">
        <v>43312</v>
      </c>
      <c r="O497" s="14">
        <v>43311</v>
      </c>
      <c r="P497" s="2" t="s">
        <v>91</v>
      </c>
      <c r="Q497" s="2" t="s">
        <v>4411</v>
      </c>
      <c r="R497" s="2" t="s">
        <v>80</v>
      </c>
      <c r="S497" s="14">
        <v>43312</v>
      </c>
      <c r="T497" s="2" t="s">
        <v>6440</v>
      </c>
      <c r="U497" s="2" t="s">
        <v>2228</v>
      </c>
      <c r="V497" s="2" t="s">
        <v>81</v>
      </c>
      <c r="W497" s="2" t="s">
        <v>70</v>
      </c>
      <c r="X497" s="13">
        <v>146</v>
      </c>
      <c r="Y497" s="2" t="s">
        <v>71</v>
      </c>
      <c r="Z497" s="2" t="s">
        <v>72</v>
      </c>
      <c r="AA497" s="13">
        <v>1000</v>
      </c>
      <c r="AB497" s="2" t="s">
        <v>73</v>
      </c>
      <c r="AC497" s="2" t="s">
        <v>6773</v>
      </c>
      <c r="AD497" s="27">
        <v>43286</v>
      </c>
      <c r="AL497" s="2" t="s">
        <v>5253</v>
      </c>
    </row>
    <row r="498" spans="1:38" hidden="1" x14ac:dyDescent="0.2">
      <c r="A498" s="2" t="s">
        <v>1462</v>
      </c>
      <c r="B498" s="2" t="s">
        <v>4412</v>
      </c>
      <c r="C498" s="2" t="s">
        <v>4413</v>
      </c>
      <c r="D498" s="2" t="s">
        <v>4414</v>
      </c>
      <c r="E498" s="16">
        <v>1057.4000000000001</v>
      </c>
      <c r="F498" s="16">
        <v>1057.4000000000001</v>
      </c>
      <c r="G498" s="14">
        <v>43309</v>
      </c>
      <c r="H498" s="15">
        <v>0.37562499999999999</v>
      </c>
      <c r="I498" s="14">
        <v>43309</v>
      </c>
      <c r="J498" s="15">
        <v>0.67739583333332998</v>
      </c>
      <c r="K498" s="13">
        <v>0</v>
      </c>
      <c r="L498" s="2" t="s">
        <v>64</v>
      </c>
      <c r="M498" s="2" t="s">
        <v>1635</v>
      </c>
      <c r="N498" s="14">
        <v>43312</v>
      </c>
      <c r="O498" s="14">
        <v>43311</v>
      </c>
      <c r="P498" s="2" t="s">
        <v>91</v>
      </c>
      <c r="Q498" s="2" t="s">
        <v>4415</v>
      </c>
      <c r="R498" s="2" t="s">
        <v>80</v>
      </c>
      <c r="S498" s="14">
        <v>43312</v>
      </c>
      <c r="T498" s="2" t="s">
        <v>6441</v>
      </c>
      <c r="U498" s="2" t="s">
        <v>1486</v>
      </c>
      <c r="V498" s="2" t="s">
        <v>4416</v>
      </c>
      <c r="W498" s="2" t="s">
        <v>98</v>
      </c>
      <c r="X498" s="13">
        <v>146</v>
      </c>
      <c r="Y498" s="2" t="s">
        <v>71</v>
      </c>
      <c r="Z498" s="2" t="s">
        <v>72</v>
      </c>
      <c r="AA498" s="13">
        <v>1000</v>
      </c>
      <c r="AB498" s="2" t="s">
        <v>73</v>
      </c>
      <c r="AC498" s="2" t="s">
        <v>6773</v>
      </c>
      <c r="AD498" s="27">
        <v>43285</v>
      </c>
      <c r="AI498" s="2" t="s">
        <v>6153</v>
      </c>
      <c r="AL498" s="2" t="s">
        <v>5254</v>
      </c>
    </row>
    <row r="499" spans="1:38" hidden="1" x14ac:dyDescent="0.2">
      <c r="A499" s="2" t="s">
        <v>1462</v>
      </c>
      <c r="B499" s="2" t="s">
        <v>4417</v>
      </c>
      <c r="C499" s="2" t="s">
        <v>2380</v>
      </c>
      <c r="D499" s="2" t="s">
        <v>2381</v>
      </c>
      <c r="E499" s="16">
        <v>1057.4000000000001</v>
      </c>
      <c r="F499" s="16">
        <v>1057.4000000000001</v>
      </c>
      <c r="G499" s="14">
        <v>43309</v>
      </c>
      <c r="H499" s="15">
        <v>0.69822916666667001</v>
      </c>
      <c r="I499" s="14">
        <v>43310</v>
      </c>
      <c r="J499" s="15">
        <v>0</v>
      </c>
      <c r="K499" s="13">
        <v>0</v>
      </c>
      <c r="L499" s="2" t="s">
        <v>64</v>
      </c>
      <c r="M499" s="2" t="s">
        <v>1635</v>
      </c>
      <c r="N499" s="14">
        <v>43312</v>
      </c>
      <c r="O499" s="14">
        <v>43311</v>
      </c>
      <c r="P499" s="2" t="s">
        <v>91</v>
      </c>
      <c r="Q499" s="2" t="s">
        <v>4418</v>
      </c>
      <c r="R499" s="2" t="s">
        <v>80</v>
      </c>
      <c r="S499" s="14">
        <v>43312</v>
      </c>
      <c r="T499" s="2" t="s">
        <v>6442</v>
      </c>
      <c r="U499" s="2" t="s">
        <v>1474</v>
      </c>
      <c r="V499" s="2" t="s">
        <v>81</v>
      </c>
      <c r="W499" s="2" t="s">
        <v>70</v>
      </c>
      <c r="X499" s="13">
        <v>146</v>
      </c>
      <c r="Y499" s="2" t="s">
        <v>71</v>
      </c>
      <c r="Z499" s="2" t="s">
        <v>72</v>
      </c>
      <c r="AA499" s="13">
        <v>1000</v>
      </c>
      <c r="AB499" s="2" t="s">
        <v>73</v>
      </c>
      <c r="AC499" s="2" t="s">
        <v>6773</v>
      </c>
      <c r="AD499" s="27">
        <v>43284</v>
      </c>
      <c r="AI499" s="2" t="s">
        <v>6153</v>
      </c>
      <c r="AL499" s="2" t="s">
        <v>5255</v>
      </c>
    </row>
    <row r="500" spans="1:38" hidden="1" x14ac:dyDescent="0.2">
      <c r="A500" s="2" t="s">
        <v>1462</v>
      </c>
      <c r="B500" s="2" t="s">
        <v>4419</v>
      </c>
      <c r="C500" s="2" t="s">
        <v>4420</v>
      </c>
      <c r="D500" s="2" t="s">
        <v>4421</v>
      </c>
      <c r="E500" s="16">
        <v>1072.5999999999999</v>
      </c>
      <c r="F500" s="16">
        <v>1072.5999999999999</v>
      </c>
      <c r="G500" s="14">
        <v>43310</v>
      </c>
      <c r="H500" s="15">
        <v>0.14574074074074</v>
      </c>
      <c r="I500" s="14">
        <v>43310</v>
      </c>
      <c r="J500" s="15">
        <v>0.45185185185185001</v>
      </c>
      <c r="K500" s="13">
        <v>0</v>
      </c>
      <c r="L500" s="2" t="s">
        <v>64</v>
      </c>
      <c r="M500" s="2" t="s">
        <v>4422</v>
      </c>
      <c r="N500" s="14">
        <v>43314</v>
      </c>
      <c r="O500" s="14">
        <v>43312</v>
      </c>
      <c r="P500" s="2" t="s">
        <v>91</v>
      </c>
      <c r="Q500" s="2" t="s">
        <v>4423</v>
      </c>
      <c r="R500" s="2" t="s">
        <v>80</v>
      </c>
      <c r="S500" s="14">
        <v>43314</v>
      </c>
      <c r="T500" s="2" t="s">
        <v>6443</v>
      </c>
      <c r="U500" s="2" t="s">
        <v>1710</v>
      </c>
      <c r="V500" s="2" t="s">
        <v>4424</v>
      </c>
      <c r="W500" s="2" t="s">
        <v>98</v>
      </c>
      <c r="X500" s="13">
        <v>146</v>
      </c>
      <c r="Y500" s="2" t="s">
        <v>71</v>
      </c>
      <c r="Z500" s="2" t="s">
        <v>72</v>
      </c>
      <c r="AA500" s="13">
        <v>1000</v>
      </c>
      <c r="AB500" s="2" t="s">
        <v>73</v>
      </c>
      <c r="AC500" s="2" t="s">
        <v>6773</v>
      </c>
      <c r="AD500" s="27">
        <v>43286</v>
      </c>
      <c r="AI500" s="2" t="s">
        <v>6153</v>
      </c>
      <c r="AL500" s="2" t="s">
        <v>5256</v>
      </c>
    </row>
    <row r="501" spans="1:38" hidden="1" x14ac:dyDescent="0.2">
      <c r="A501" s="2" t="s">
        <v>1462</v>
      </c>
      <c r="B501" s="2" t="s">
        <v>4425</v>
      </c>
      <c r="C501" s="2" t="s">
        <v>4426</v>
      </c>
      <c r="D501" s="2" t="s">
        <v>4427</v>
      </c>
      <c r="E501" s="16">
        <v>528.70000000000005</v>
      </c>
      <c r="F501" s="16">
        <v>528.70000000000005</v>
      </c>
      <c r="G501" s="14">
        <v>43310</v>
      </c>
      <c r="H501" s="15">
        <v>0.47268518518518998</v>
      </c>
      <c r="I501" s="14">
        <v>43310</v>
      </c>
      <c r="J501" s="15">
        <v>0.62356481481480996</v>
      </c>
      <c r="K501" s="13">
        <v>20</v>
      </c>
      <c r="L501" s="2" t="s">
        <v>64</v>
      </c>
      <c r="M501" s="2" t="s">
        <v>1597</v>
      </c>
      <c r="N501" s="14">
        <v>43313</v>
      </c>
      <c r="O501" s="14">
        <v>43312</v>
      </c>
      <c r="P501" s="2" t="s">
        <v>91</v>
      </c>
      <c r="Q501" s="2" t="s">
        <v>4428</v>
      </c>
      <c r="R501" s="2" t="s">
        <v>80</v>
      </c>
      <c r="S501" s="14">
        <v>43313</v>
      </c>
      <c r="T501" s="2" t="s">
        <v>6444</v>
      </c>
      <c r="U501" s="2" t="s">
        <v>1501</v>
      </c>
      <c r="V501" s="2" t="s">
        <v>4429</v>
      </c>
      <c r="W501" s="2" t="s">
        <v>70</v>
      </c>
      <c r="X501" s="13">
        <v>146</v>
      </c>
      <c r="Y501" s="2" t="s">
        <v>71</v>
      </c>
      <c r="Z501" s="2" t="s">
        <v>72</v>
      </c>
      <c r="AA501" s="13">
        <v>500</v>
      </c>
      <c r="AB501" s="2" t="s">
        <v>73</v>
      </c>
      <c r="AC501" s="2" t="s">
        <v>6773</v>
      </c>
      <c r="AD501" s="27">
        <v>43285</v>
      </c>
      <c r="AI501" s="2" t="s">
        <v>6153</v>
      </c>
      <c r="AL501" s="2" t="s">
        <v>5257</v>
      </c>
    </row>
    <row r="502" spans="1:38" hidden="1" x14ac:dyDescent="0.2">
      <c r="A502" s="2" t="s">
        <v>1462</v>
      </c>
      <c r="B502" s="2" t="s">
        <v>4430</v>
      </c>
      <c r="C502" s="2" t="s">
        <v>4431</v>
      </c>
      <c r="D502" s="2" t="s">
        <v>4432</v>
      </c>
      <c r="E502" s="13">
        <v>100</v>
      </c>
      <c r="F502" s="13">
        <v>100</v>
      </c>
      <c r="G502" s="14">
        <v>43310</v>
      </c>
      <c r="H502" s="15">
        <v>0.64439814814815</v>
      </c>
      <c r="I502" s="14">
        <v>43310</v>
      </c>
      <c r="J502" s="15">
        <v>0.67293981481481002</v>
      </c>
      <c r="K502" s="13">
        <v>0</v>
      </c>
      <c r="L502" s="2" t="s">
        <v>64</v>
      </c>
      <c r="M502" s="2" t="s">
        <v>1562</v>
      </c>
      <c r="N502" s="14">
        <v>43313</v>
      </c>
      <c r="O502" s="14">
        <v>43312</v>
      </c>
      <c r="P502" s="2" t="s">
        <v>91</v>
      </c>
      <c r="Q502" s="2" t="s">
        <v>4433</v>
      </c>
      <c r="R502" s="2" t="s">
        <v>80</v>
      </c>
      <c r="S502" s="14">
        <v>43313</v>
      </c>
      <c r="T502" s="2" t="s">
        <v>6445</v>
      </c>
      <c r="U502" s="2" t="s">
        <v>1710</v>
      </c>
      <c r="V502" s="2" t="s">
        <v>4434</v>
      </c>
      <c r="W502" s="2" t="s">
        <v>98</v>
      </c>
      <c r="X502" s="13">
        <v>146</v>
      </c>
      <c r="Y502" s="2" t="s">
        <v>71</v>
      </c>
      <c r="Z502" s="2" t="s">
        <v>72</v>
      </c>
      <c r="AA502" s="13">
        <v>100</v>
      </c>
      <c r="AB502" s="2" t="s">
        <v>73</v>
      </c>
      <c r="AC502" s="2" t="s">
        <v>6773</v>
      </c>
      <c r="AD502" s="27">
        <v>43285</v>
      </c>
      <c r="AI502" s="2" t="s">
        <v>6153</v>
      </c>
      <c r="AL502" s="2" t="s">
        <v>5258</v>
      </c>
    </row>
    <row r="503" spans="1:38" hidden="1" x14ac:dyDescent="0.2">
      <c r="A503" s="2" t="s">
        <v>1462</v>
      </c>
      <c r="B503" s="2" t="s">
        <v>4435</v>
      </c>
      <c r="C503" s="2" t="s">
        <v>4436</v>
      </c>
      <c r="D503" s="2" t="s">
        <v>4437</v>
      </c>
      <c r="E503" s="13">
        <v>500</v>
      </c>
      <c r="F503" s="13">
        <v>500</v>
      </c>
      <c r="G503" s="14">
        <v>43310</v>
      </c>
      <c r="H503" s="15">
        <v>0.69377314814815005</v>
      </c>
      <c r="I503" s="14">
        <v>43310</v>
      </c>
      <c r="J503" s="15">
        <v>0.83646990740741001</v>
      </c>
      <c r="K503" s="13">
        <v>0</v>
      </c>
      <c r="L503" s="2" t="s">
        <v>64</v>
      </c>
      <c r="M503" s="2" t="s">
        <v>1511</v>
      </c>
      <c r="N503" s="14">
        <v>43313</v>
      </c>
      <c r="O503" s="14">
        <v>43312</v>
      </c>
      <c r="P503" s="2" t="s">
        <v>91</v>
      </c>
      <c r="Q503" s="2" t="s">
        <v>4438</v>
      </c>
      <c r="R503" s="2" t="s">
        <v>80</v>
      </c>
      <c r="S503" s="14">
        <v>43313</v>
      </c>
      <c r="T503" s="2" t="s">
        <v>6446</v>
      </c>
      <c r="U503" s="2" t="s">
        <v>1666</v>
      </c>
      <c r="V503" s="2" t="s">
        <v>554</v>
      </c>
      <c r="W503" s="2" t="s">
        <v>70</v>
      </c>
      <c r="X503" s="13">
        <v>146</v>
      </c>
      <c r="Y503" s="2" t="s">
        <v>71</v>
      </c>
      <c r="Z503" s="2" t="s">
        <v>72</v>
      </c>
      <c r="AA503" s="13">
        <v>500</v>
      </c>
      <c r="AB503" s="2" t="s">
        <v>73</v>
      </c>
      <c r="AC503" s="2" t="s">
        <v>6773</v>
      </c>
      <c r="AD503" s="27">
        <v>43285</v>
      </c>
      <c r="AI503" s="2" t="s">
        <v>6153</v>
      </c>
      <c r="AL503" s="2" t="s">
        <v>5259</v>
      </c>
    </row>
    <row r="504" spans="1:38" hidden="1" x14ac:dyDescent="0.2">
      <c r="A504" s="2" t="s">
        <v>1462</v>
      </c>
      <c r="B504" s="2" t="s">
        <v>1686</v>
      </c>
      <c r="C504" s="2" t="s">
        <v>1687</v>
      </c>
      <c r="D504" s="2" t="s">
        <v>1688</v>
      </c>
      <c r="E504" s="13">
        <v>500</v>
      </c>
      <c r="F504" s="13">
        <v>500</v>
      </c>
      <c r="G504" s="14">
        <v>43310</v>
      </c>
      <c r="H504" s="15">
        <v>0.85730324074074005</v>
      </c>
      <c r="I504" s="14">
        <v>43311</v>
      </c>
      <c r="J504" s="15">
        <v>0</v>
      </c>
      <c r="K504" s="13">
        <v>0</v>
      </c>
      <c r="L504" s="2" t="s">
        <v>64</v>
      </c>
      <c r="M504" s="2" t="s">
        <v>1511</v>
      </c>
      <c r="N504" s="14">
        <v>43313</v>
      </c>
      <c r="O504" s="14">
        <v>43312</v>
      </c>
      <c r="P504" s="2" t="s">
        <v>91</v>
      </c>
      <c r="Q504" s="2" t="s">
        <v>1689</v>
      </c>
      <c r="R504" s="2" t="s">
        <v>80</v>
      </c>
      <c r="S504" s="14">
        <v>43313</v>
      </c>
      <c r="T504" s="2" t="s">
        <v>6447</v>
      </c>
      <c r="U504" s="2" t="s">
        <v>1535</v>
      </c>
      <c r="V504" s="2" t="s">
        <v>1240</v>
      </c>
      <c r="W504" s="2" t="s">
        <v>70</v>
      </c>
      <c r="X504" s="13">
        <v>146</v>
      </c>
      <c r="Y504" s="2" t="s">
        <v>71</v>
      </c>
      <c r="Z504" s="2" t="s">
        <v>72</v>
      </c>
      <c r="AA504" s="13">
        <v>500</v>
      </c>
      <c r="AB504" s="2" t="s">
        <v>73</v>
      </c>
      <c r="AC504" s="2" t="s">
        <v>6773</v>
      </c>
      <c r="AD504" s="27">
        <v>43231</v>
      </c>
      <c r="AI504" s="2" t="s">
        <v>6153</v>
      </c>
      <c r="AL504" s="2" t="s">
        <v>5260</v>
      </c>
    </row>
    <row r="505" spans="1:38" hidden="1" x14ac:dyDescent="0.2">
      <c r="A505" s="2" t="s">
        <v>1462</v>
      </c>
      <c r="B505" s="2" t="s">
        <v>4439</v>
      </c>
      <c r="C505" s="2" t="s">
        <v>4440</v>
      </c>
      <c r="D505" s="2" t="s">
        <v>4441</v>
      </c>
      <c r="E505" s="13">
        <v>1000</v>
      </c>
      <c r="F505" s="13">
        <v>1000</v>
      </c>
      <c r="G505" s="14">
        <v>43311</v>
      </c>
      <c r="H505" s="15">
        <v>0.12299768518519</v>
      </c>
      <c r="I505" s="14">
        <v>43311</v>
      </c>
      <c r="J505" s="15">
        <v>0.40839120370370002</v>
      </c>
      <c r="K505" s="13">
        <v>0</v>
      </c>
      <c r="L505" s="2" t="s">
        <v>64</v>
      </c>
      <c r="M505" s="2" t="s">
        <v>1500</v>
      </c>
      <c r="N505" s="14">
        <v>43314</v>
      </c>
      <c r="O505" s="14">
        <v>43313</v>
      </c>
      <c r="P505" s="2" t="s">
        <v>91</v>
      </c>
      <c r="Q505" s="2" t="s">
        <v>4442</v>
      </c>
      <c r="R505" s="2" t="s">
        <v>80</v>
      </c>
      <c r="S505" s="14">
        <v>43314</v>
      </c>
      <c r="T505" s="2" t="s">
        <v>6448</v>
      </c>
      <c r="U505" s="2" t="s">
        <v>1557</v>
      </c>
      <c r="V505" s="2" t="s">
        <v>1240</v>
      </c>
      <c r="W505" s="2" t="s">
        <v>70</v>
      </c>
      <c r="X505" s="13">
        <v>146</v>
      </c>
      <c r="Y505" s="2" t="s">
        <v>71</v>
      </c>
      <c r="Z505" s="2" t="s">
        <v>72</v>
      </c>
      <c r="AA505" s="13">
        <v>1000</v>
      </c>
      <c r="AB505" s="2" t="s">
        <v>73</v>
      </c>
      <c r="AC505" s="2" t="s">
        <v>6772</v>
      </c>
      <c r="AD505" s="27">
        <v>43286</v>
      </c>
      <c r="AI505" s="2" t="s">
        <v>6153</v>
      </c>
      <c r="AL505" s="2" t="s">
        <v>7229</v>
      </c>
    </row>
    <row r="506" spans="1:38" hidden="1" x14ac:dyDescent="0.2">
      <c r="A506" s="2" t="s">
        <v>1462</v>
      </c>
      <c r="B506" s="2" t="s">
        <v>1690</v>
      </c>
      <c r="C506" s="2" t="s">
        <v>1691</v>
      </c>
      <c r="D506" s="2" t="s">
        <v>1692</v>
      </c>
      <c r="E506" s="13">
        <v>2000</v>
      </c>
      <c r="F506" s="13">
        <v>2000</v>
      </c>
      <c r="G506" s="14">
        <v>43311</v>
      </c>
      <c r="H506" s="15">
        <v>0.42922453703704</v>
      </c>
      <c r="I506" s="14">
        <v>43312</v>
      </c>
      <c r="J506" s="15">
        <v>0</v>
      </c>
      <c r="K506" s="13">
        <v>0</v>
      </c>
      <c r="L506" s="2" t="s">
        <v>64</v>
      </c>
      <c r="M506" s="2" t="s">
        <v>1479</v>
      </c>
      <c r="N506" s="14">
        <v>43314</v>
      </c>
      <c r="O506" s="14">
        <v>43313</v>
      </c>
      <c r="P506" s="2" t="s">
        <v>91</v>
      </c>
      <c r="Q506" s="2" t="s">
        <v>1693</v>
      </c>
      <c r="R506" s="2" t="s">
        <v>80</v>
      </c>
      <c r="S506" s="14">
        <v>43314</v>
      </c>
      <c r="T506" s="2" t="s">
        <v>6449</v>
      </c>
      <c r="U506" s="2" t="s">
        <v>1694</v>
      </c>
      <c r="V506" s="2" t="s">
        <v>1695</v>
      </c>
      <c r="W506" s="2" t="s">
        <v>70</v>
      </c>
      <c r="X506" s="13">
        <v>146</v>
      </c>
      <c r="Y506" s="2" t="s">
        <v>71</v>
      </c>
      <c r="Z506" s="2" t="s">
        <v>72</v>
      </c>
      <c r="AA506" s="13">
        <v>2000</v>
      </c>
      <c r="AB506" s="2" t="s">
        <v>73</v>
      </c>
      <c r="AC506" s="2" t="s">
        <v>6773</v>
      </c>
      <c r="AD506" s="27">
        <v>43280</v>
      </c>
      <c r="AI506" s="2" t="s">
        <v>6153</v>
      </c>
      <c r="AL506" s="2" t="s">
        <v>5261</v>
      </c>
    </row>
    <row r="507" spans="1:38" hidden="1" x14ac:dyDescent="0.2">
      <c r="A507" s="2" t="s">
        <v>1462</v>
      </c>
      <c r="B507" s="2" t="s">
        <v>1696</v>
      </c>
      <c r="C507" s="2" t="s">
        <v>1697</v>
      </c>
      <c r="D507" s="2" t="s">
        <v>1698</v>
      </c>
      <c r="E507" s="16">
        <v>528.70000000000005</v>
      </c>
      <c r="F507" s="16">
        <v>528.70000000000005</v>
      </c>
      <c r="G507" s="14">
        <v>43316</v>
      </c>
      <c r="H507" s="15">
        <v>0.84912037037037003</v>
      </c>
      <c r="I507" s="14">
        <v>43317</v>
      </c>
      <c r="J507" s="15">
        <v>0</v>
      </c>
      <c r="K507" s="13">
        <v>20</v>
      </c>
      <c r="L507" s="2" t="s">
        <v>64</v>
      </c>
      <c r="M507" s="2" t="s">
        <v>1597</v>
      </c>
      <c r="N507" s="14">
        <v>43319</v>
      </c>
      <c r="O507" s="14">
        <v>43318</v>
      </c>
      <c r="P507" s="2" t="s">
        <v>91</v>
      </c>
      <c r="Q507" s="2" t="s">
        <v>1699</v>
      </c>
      <c r="R507" s="2" t="s">
        <v>80</v>
      </c>
      <c r="S507" s="14">
        <v>43319</v>
      </c>
      <c r="T507" s="2" t="s">
        <v>6450</v>
      </c>
      <c r="U507" s="2" t="s">
        <v>1523</v>
      </c>
      <c r="V507" s="2" t="s">
        <v>1700</v>
      </c>
      <c r="W507" s="2" t="s">
        <v>70</v>
      </c>
      <c r="X507" s="13">
        <v>146</v>
      </c>
      <c r="Y507" s="2" t="s">
        <v>71</v>
      </c>
      <c r="Z507" s="2" t="s">
        <v>72</v>
      </c>
      <c r="AA507" s="13">
        <v>500</v>
      </c>
      <c r="AB507" s="2" t="s">
        <v>73</v>
      </c>
      <c r="AC507" s="2" t="s">
        <v>6773</v>
      </c>
      <c r="AD507" s="27">
        <v>43277</v>
      </c>
      <c r="AI507" s="2" t="s">
        <v>6153</v>
      </c>
      <c r="AL507" s="2" t="s">
        <v>5262</v>
      </c>
    </row>
    <row r="508" spans="1:38" hidden="1" x14ac:dyDescent="0.2">
      <c r="A508" s="2" t="s">
        <v>1462</v>
      </c>
      <c r="B508" s="2" t="s">
        <v>1701</v>
      </c>
      <c r="C508" s="2" t="s">
        <v>1702</v>
      </c>
      <c r="D508" s="2" t="s">
        <v>1703</v>
      </c>
      <c r="E508" s="13">
        <v>500</v>
      </c>
      <c r="F508" s="13">
        <v>500</v>
      </c>
      <c r="G508" s="14">
        <v>43317</v>
      </c>
      <c r="H508" s="15">
        <v>0.85730324074074005</v>
      </c>
      <c r="I508" s="14">
        <v>43318</v>
      </c>
      <c r="J508" s="15">
        <v>0</v>
      </c>
      <c r="K508" s="13">
        <v>20</v>
      </c>
      <c r="L508" s="2" t="s">
        <v>64</v>
      </c>
      <c r="M508" s="2" t="s">
        <v>1511</v>
      </c>
      <c r="N508" s="14">
        <v>43321</v>
      </c>
      <c r="O508" s="14">
        <v>43319</v>
      </c>
      <c r="P508" s="2" t="s">
        <v>91</v>
      </c>
      <c r="Q508" s="2" t="s">
        <v>1704</v>
      </c>
      <c r="R508" s="2" t="s">
        <v>80</v>
      </c>
      <c r="S508" s="14">
        <v>43321</v>
      </c>
      <c r="T508" s="2" t="s">
        <v>6451</v>
      </c>
      <c r="U508" s="2" t="s">
        <v>1705</v>
      </c>
      <c r="V508" s="2" t="s">
        <v>81</v>
      </c>
      <c r="W508" s="2" t="s">
        <v>70</v>
      </c>
      <c r="X508" s="13">
        <v>146</v>
      </c>
      <c r="Y508" s="2" t="s">
        <v>71</v>
      </c>
      <c r="Z508" s="2" t="s">
        <v>72</v>
      </c>
      <c r="AA508" s="13">
        <v>500</v>
      </c>
      <c r="AB508" s="2" t="s">
        <v>73</v>
      </c>
      <c r="AC508" s="2" t="s">
        <v>6773</v>
      </c>
      <c r="AD508" s="27">
        <v>43245</v>
      </c>
      <c r="AI508" s="2" t="s">
        <v>6153</v>
      </c>
      <c r="AL508" s="2" t="s">
        <v>5263</v>
      </c>
    </row>
    <row r="509" spans="1:38" hidden="1" x14ac:dyDescent="0.2">
      <c r="A509" s="2" t="s">
        <v>1462</v>
      </c>
      <c r="B509" s="2" t="s">
        <v>1706</v>
      </c>
      <c r="C509" s="2" t="s">
        <v>1707</v>
      </c>
      <c r="D509" s="2" t="s">
        <v>1708</v>
      </c>
      <c r="E509" s="13">
        <v>1000</v>
      </c>
      <c r="F509" s="13">
        <v>1000</v>
      </c>
      <c r="G509" s="14">
        <v>43319</v>
      </c>
      <c r="H509" s="15">
        <v>0.71460648148147998</v>
      </c>
      <c r="I509" s="14">
        <v>43320</v>
      </c>
      <c r="J509" s="15">
        <v>0</v>
      </c>
      <c r="K509" s="13">
        <v>0</v>
      </c>
      <c r="L509" s="2" t="s">
        <v>64</v>
      </c>
      <c r="M509" s="2" t="s">
        <v>1500</v>
      </c>
      <c r="N509" s="14">
        <v>43322</v>
      </c>
      <c r="O509" s="14">
        <v>43321</v>
      </c>
      <c r="P509" s="2" t="s">
        <v>91</v>
      </c>
      <c r="Q509" s="2" t="s">
        <v>1709</v>
      </c>
      <c r="R509" s="2" t="s">
        <v>93</v>
      </c>
      <c r="S509" s="14">
        <v>43322</v>
      </c>
      <c r="T509" s="2" t="s">
        <v>6452</v>
      </c>
      <c r="U509" s="2" t="s">
        <v>1710</v>
      </c>
      <c r="V509" s="2" t="s">
        <v>1711</v>
      </c>
      <c r="W509" s="2" t="s">
        <v>70</v>
      </c>
      <c r="X509" s="13">
        <v>146</v>
      </c>
      <c r="Y509" s="2" t="s">
        <v>71</v>
      </c>
      <c r="Z509" s="2" t="s">
        <v>72</v>
      </c>
      <c r="AA509" s="13">
        <v>1000</v>
      </c>
      <c r="AB509" s="2" t="s">
        <v>73</v>
      </c>
      <c r="AC509" s="2" t="s">
        <v>6773</v>
      </c>
      <c r="AD509" s="27">
        <v>43250</v>
      </c>
      <c r="AI509" s="2" t="s">
        <v>6153</v>
      </c>
      <c r="AL509" s="2" t="s">
        <v>5264</v>
      </c>
    </row>
    <row r="510" spans="1:38" hidden="1" x14ac:dyDescent="0.2">
      <c r="A510" s="2" t="s">
        <v>1462</v>
      </c>
      <c r="B510" s="2" t="s">
        <v>4099</v>
      </c>
      <c r="C510" s="2" t="s">
        <v>1758</v>
      </c>
      <c r="D510" s="2" t="s">
        <v>1759</v>
      </c>
      <c r="E510" s="13">
        <v>10610</v>
      </c>
      <c r="F510" s="13">
        <v>10610</v>
      </c>
      <c r="G510" s="14">
        <v>43320</v>
      </c>
      <c r="H510" s="15">
        <v>0.84377314814814997</v>
      </c>
      <c r="I510" s="14">
        <v>43323</v>
      </c>
      <c r="J510" s="15">
        <v>0.87173611111111005</v>
      </c>
      <c r="K510" s="13">
        <v>20</v>
      </c>
      <c r="L510" s="2" t="s">
        <v>64</v>
      </c>
      <c r="M510" s="2" t="s">
        <v>4100</v>
      </c>
      <c r="N510" s="14">
        <v>43326</v>
      </c>
      <c r="O510" s="14">
        <v>43325</v>
      </c>
      <c r="P510" s="2" t="s">
        <v>91</v>
      </c>
      <c r="Q510" s="2" t="s">
        <v>4101</v>
      </c>
      <c r="R510" s="2" t="s">
        <v>80</v>
      </c>
      <c r="S510" s="14">
        <v>43326</v>
      </c>
      <c r="U510" s="2" t="s">
        <v>1533</v>
      </c>
      <c r="V510" s="2" t="s">
        <v>1240</v>
      </c>
      <c r="W510" s="2" t="s">
        <v>70</v>
      </c>
      <c r="X510" s="13">
        <v>0</v>
      </c>
      <c r="Y510" s="2" t="s">
        <v>71</v>
      </c>
      <c r="Z510" s="2" t="s">
        <v>72</v>
      </c>
      <c r="AA510" s="13">
        <v>10000</v>
      </c>
      <c r="AB510" s="2" t="s">
        <v>281</v>
      </c>
      <c r="AC510" s="2" t="s">
        <v>6773</v>
      </c>
      <c r="AD510" s="27"/>
      <c r="AL510" s="2" t="s">
        <v>5265</v>
      </c>
    </row>
    <row r="511" spans="1:38" hidden="1" x14ac:dyDescent="0.2">
      <c r="A511" s="2" t="s">
        <v>1462</v>
      </c>
      <c r="B511" s="2" t="s">
        <v>1712</v>
      </c>
      <c r="C511" s="2" t="s">
        <v>1713</v>
      </c>
      <c r="D511" s="2" t="s">
        <v>1714</v>
      </c>
      <c r="E511" s="16">
        <v>26.24</v>
      </c>
      <c r="F511" s="16">
        <v>26.24</v>
      </c>
      <c r="G511" s="14">
        <v>43323</v>
      </c>
      <c r="H511" s="15">
        <v>0.89256944444443997</v>
      </c>
      <c r="I511" s="14">
        <v>43323</v>
      </c>
      <c r="J511" s="15">
        <v>0.90005787037036999</v>
      </c>
      <c r="K511" s="13">
        <v>0</v>
      </c>
      <c r="L511" s="2" t="s">
        <v>64</v>
      </c>
      <c r="M511" s="2" t="s">
        <v>1715</v>
      </c>
      <c r="N511" s="14">
        <v>43326</v>
      </c>
      <c r="O511" s="14">
        <v>43325</v>
      </c>
      <c r="P511" s="2" t="s">
        <v>91</v>
      </c>
      <c r="Q511" s="2" t="s">
        <v>1716</v>
      </c>
      <c r="R511" s="2" t="s">
        <v>80</v>
      </c>
      <c r="S511" s="14">
        <v>43326</v>
      </c>
      <c r="U511" s="2" t="s">
        <v>1717</v>
      </c>
      <c r="V511" s="2" t="s">
        <v>1718</v>
      </c>
      <c r="W511" s="2" t="s">
        <v>70</v>
      </c>
      <c r="X511" s="13">
        <v>146</v>
      </c>
      <c r="Y511" s="2" t="s">
        <v>71</v>
      </c>
      <c r="Z511" s="2" t="s">
        <v>72</v>
      </c>
      <c r="AA511" s="13">
        <v>25</v>
      </c>
      <c r="AB511" s="2" t="s">
        <v>73</v>
      </c>
      <c r="AC511" s="2" t="s">
        <v>6773</v>
      </c>
      <c r="AD511" s="27"/>
      <c r="AI511" s="2" t="s">
        <v>6153</v>
      </c>
      <c r="AL511" s="2" t="s">
        <v>7230</v>
      </c>
    </row>
    <row r="512" spans="1:38" hidden="1" x14ac:dyDescent="0.2">
      <c r="A512" s="2" t="s">
        <v>1462</v>
      </c>
      <c r="B512" s="2" t="s">
        <v>1719</v>
      </c>
      <c r="C512" s="2" t="s">
        <v>1713</v>
      </c>
      <c r="D512" s="2" t="s">
        <v>1714</v>
      </c>
      <c r="E512" s="16">
        <v>26.24</v>
      </c>
      <c r="F512" s="16">
        <v>26.24</v>
      </c>
      <c r="G512" s="14">
        <v>43323</v>
      </c>
      <c r="H512" s="15">
        <v>0.92089120370370003</v>
      </c>
      <c r="I512" s="14">
        <v>43323</v>
      </c>
      <c r="J512" s="15">
        <v>0.92837962962963005</v>
      </c>
      <c r="K512" s="13">
        <v>0</v>
      </c>
      <c r="L512" s="2" t="s">
        <v>64</v>
      </c>
      <c r="M512" s="2" t="s">
        <v>1715</v>
      </c>
      <c r="N512" s="14">
        <v>43326</v>
      </c>
      <c r="O512" s="14">
        <v>43325</v>
      </c>
      <c r="P512" s="2" t="s">
        <v>91</v>
      </c>
      <c r="Q512" s="2" t="s">
        <v>1720</v>
      </c>
      <c r="R512" s="2" t="s">
        <v>80</v>
      </c>
      <c r="S512" s="14">
        <v>43326</v>
      </c>
      <c r="U512" s="2" t="s">
        <v>1717</v>
      </c>
      <c r="V512" s="2" t="s">
        <v>1718</v>
      </c>
      <c r="W512" s="2" t="s">
        <v>70</v>
      </c>
      <c r="X512" s="13">
        <v>146</v>
      </c>
      <c r="Y512" s="2" t="s">
        <v>71</v>
      </c>
      <c r="Z512" s="2" t="s">
        <v>72</v>
      </c>
      <c r="AA512" s="13">
        <v>25</v>
      </c>
      <c r="AB512" s="2" t="s">
        <v>73</v>
      </c>
      <c r="AC512" s="2" t="s">
        <v>6773</v>
      </c>
      <c r="AD512" s="27"/>
      <c r="AI512" s="2" t="s">
        <v>6153</v>
      </c>
      <c r="AL512" s="2" t="s">
        <v>7231</v>
      </c>
    </row>
    <row r="513" spans="1:38" hidden="1" x14ac:dyDescent="0.2">
      <c r="A513" s="2" t="s">
        <v>1462</v>
      </c>
      <c r="B513" s="2" t="s">
        <v>1721</v>
      </c>
      <c r="C513" s="2" t="s">
        <v>1713</v>
      </c>
      <c r="D513" s="2" t="s">
        <v>1714</v>
      </c>
      <c r="E513" s="16">
        <v>26.24</v>
      </c>
      <c r="F513" s="16">
        <v>26.24</v>
      </c>
      <c r="G513" s="14">
        <v>43323</v>
      </c>
      <c r="H513" s="15">
        <v>0.94921296296295998</v>
      </c>
      <c r="I513" s="14">
        <v>43323</v>
      </c>
      <c r="J513" s="15">
        <v>0.95670138888889</v>
      </c>
      <c r="K513" s="13">
        <v>0</v>
      </c>
      <c r="L513" s="2" t="s">
        <v>64</v>
      </c>
      <c r="M513" s="2" t="s">
        <v>1715</v>
      </c>
      <c r="N513" s="14">
        <v>43326</v>
      </c>
      <c r="O513" s="14">
        <v>43325</v>
      </c>
      <c r="P513" s="2" t="s">
        <v>91</v>
      </c>
      <c r="Q513" s="2" t="s">
        <v>1722</v>
      </c>
      <c r="R513" s="2" t="s">
        <v>80</v>
      </c>
      <c r="S513" s="14">
        <v>43326</v>
      </c>
      <c r="U513" s="2" t="s">
        <v>1717</v>
      </c>
      <c r="V513" s="2" t="s">
        <v>1718</v>
      </c>
      <c r="W513" s="2" t="s">
        <v>70</v>
      </c>
      <c r="X513" s="13">
        <v>146</v>
      </c>
      <c r="Y513" s="2" t="s">
        <v>71</v>
      </c>
      <c r="Z513" s="2" t="s">
        <v>72</v>
      </c>
      <c r="AA513" s="13">
        <v>25</v>
      </c>
      <c r="AB513" s="2" t="s">
        <v>73</v>
      </c>
      <c r="AC513" s="2" t="s">
        <v>6773</v>
      </c>
      <c r="AD513" s="27"/>
      <c r="AI513" s="2" t="s">
        <v>6153</v>
      </c>
      <c r="AL513" s="2" t="s">
        <v>7232</v>
      </c>
    </row>
    <row r="514" spans="1:38" hidden="1" x14ac:dyDescent="0.2">
      <c r="A514" s="2" t="s">
        <v>1462</v>
      </c>
      <c r="B514" s="2" t="s">
        <v>1723</v>
      </c>
      <c r="C514" s="2" t="s">
        <v>1713</v>
      </c>
      <c r="D514" s="2" t="s">
        <v>1714</v>
      </c>
      <c r="E514" s="16">
        <v>78.72</v>
      </c>
      <c r="F514" s="16">
        <v>78.72</v>
      </c>
      <c r="G514" s="14">
        <v>43323</v>
      </c>
      <c r="H514" s="15">
        <v>0.97753472222222004</v>
      </c>
      <c r="I514" s="14">
        <v>43324</v>
      </c>
      <c r="J514" s="15">
        <v>0</v>
      </c>
      <c r="K514" s="13">
        <v>0</v>
      </c>
      <c r="L514" s="2" t="s">
        <v>64</v>
      </c>
      <c r="M514" s="2" t="s">
        <v>1724</v>
      </c>
      <c r="N514" s="14">
        <v>43326</v>
      </c>
      <c r="O514" s="14">
        <v>43325</v>
      </c>
      <c r="P514" s="2" t="s">
        <v>91</v>
      </c>
      <c r="Q514" s="2" t="s">
        <v>1725</v>
      </c>
      <c r="R514" s="2" t="s">
        <v>80</v>
      </c>
      <c r="S514" s="14">
        <v>43326</v>
      </c>
      <c r="U514" s="2" t="s">
        <v>1717</v>
      </c>
      <c r="V514" s="2" t="s">
        <v>1718</v>
      </c>
      <c r="W514" s="2" t="s">
        <v>70</v>
      </c>
      <c r="X514" s="13">
        <v>146</v>
      </c>
      <c r="Y514" s="2" t="s">
        <v>71</v>
      </c>
      <c r="Z514" s="2" t="s">
        <v>72</v>
      </c>
      <c r="AA514" s="13">
        <v>75</v>
      </c>
      <c r="AB514" s="2" t="s">
        <v>73</v>
      </c>
      <c r="AC514" s="2" t="s">
        <v>6773</v>
      </c>
      <c r="AD514" s="27"/>
      <c r="AI514" s="2" t="s">
        <v>6153</v>
      </c>
      <c r="AL514" s="2" t="s">
        <v>7233</v>
      </c>
    </row>
    <row r="515" spans="1:38" hidden="1" x14ac:dyDescent="0.2">
      <c r="A515" s="2" t="s">
        <v>1462</v>
      </c>
      <c r="B515" s="2" t="s">
        <v>1726</v>
      </c>
      <c r="C515" s="2" t="s">
        <v>1530</v>
      </c>
      <c r="D515" s="2" t="s">
        <v>1531</v>
      </c>
      <c r="E515" s="13">
        <v>5000</v>
      </c>
      <c r="F515" s="13">
        <v>5000</v>
      </c>
      <c r="G515" s="14">
        <v>43324</v>
      </c>
      <c r="H515" s="15">
        <v>0.57305555555555998</v>
      </c>
      <c r="I515" s="14">
        <v>43326</v>
      </c>
      <c r="J515" s="15">
        <v>0</v>
      </c>
      <c r="K515" s="13">
        <v>20</v>
      </c>
      <c r="L515" s="2" t="s">
        <v>64</v>
      </c>
      <c r="M515" s="2" t="s">
        <v>1532</v>
      </c>
      <c r="N515" s="14">
        <v>43332</v>
      </c>
      <c r="O515" s="14">
        <v>43327</v>
      </c>
      <c r="P515" s="2" t="s">
        <v>91</v>
      </c>
      <c r="Q515" s="2" t="s">
        <v>1727</v>
      </c>
      <c r="R515" s="2" t="s">
        <v>80</v>
      </c>
      <c r="S515" s="14">
        <v>43329</v>
      </c>
      <c r="U515" s="2" t="s">
        <v>1533</v>
      </c>
      <c r="V515" s="2" t="s">
        <v>1534</v>
      </c>
      <c r="W515" s="2" t="s">
        <v>70</v>
      </c>
      <c r="X515" s="13">
        <v>146</v>
      </c>
      <c r="Y515" s="2" t="s">
        <v>71</v>
      </c>
      <c r="Z515" s="2" t="s">
        <v>72</v>
      </c>
      <c r="AA515" s="13">
        <v>5000</v>
      </c>
      <c r="AB515" s="2" t="s">
        <v>73</v>
      </c>
      <c r="AC515" s="2" t="s">
        <v>6773</v>
      </c>
      <c r="AD515" s="27"/>
      <c r="AI515" s="2" t="s">
        <v>6153</v>
      </c>
      <c r="AL515" s="2" t="s">
        <v>7234</v>
      </c>
    </row>
    <row r="516" spans="1:38" hidden="1" x14ac:dyDescent="0.2">
      <c r="A516" s="2" t="s">
        <v>1462</v>
      </c>
      <c r="B516" s="2" t="s">
        <v>1728</v>
      </c>
      <c r="C516" s="2" t="s">
        <v>1663</v>
      </c>
      <c r="D516" s="2" t="s">
        <v>1664</v>
      </c>
      <c r="E516" s="13">
        <v>1000</v>
      </c>
      <c r="F516" s="13">
        <v>1000</v>
      </c>
      <c r="G516" s="14">
        <v>43325</v>
      </c>
      <c r="H516" s="15">
        <v>0.71460648148147998</v>
      </c>
      <c r="I516" s="14">
        <v>43326</v>
      </c>
      <c r="J516" s="15">
        <v>0</v>
      </c>
      <c r="K516" s="13">
        <v>20</v>
      </c>
      <c r="L516" s="2" t="s">
        <v>64</v>
      </c>
      <c r="M516" s="2" t="s">
        <v>1500</v>
      </c>
      <c r="N516" s="14">
        <v>43332</v>
      </c>
      <c r="O516" s="14">
        <v>43327</v>
      </c>
      <c r="P516" s="2" t="s">
        <v>91</v>
      </c>
      <c r="Q516" s="2" t="s">
        <v>1729</v>
      </c>
      <c r="R516" s="2" t="s">
        <v>80</v>
      </c>
      <c r="S516" s="14">
        <v>43332</v>
      </c>
      <c r="U516" s="2" t="s">
        <v>1666</v>
      </c>
      <c r="V516" s="2" t="s">
        <v>1667</v>
      </c>
      <c r="W516" s="2" t="s">
        <v>70</v>
      </c>
      <c r="X516" s="13">
        <v>146</v>
      </c>
      <c r="Y516" s="2" t="s">
        <v>71</v>
      </c>
      <c r="Z516" s="2" t="s">
        <v>72</v>
      </c>
      <c r="AA516" s="13">
        <v>1000</v>
      </c>
      <c r="AB516" s="2" t="s">
        <v>73</v>
      </c>
      <c r="AC516" s="2" t="s">
        <v>6773</v>
      </c>
      <c r="AD516" s="27"/>
      <c r="AI516" s="2" t="s">
        <v>6153</v>
      </c>
      <c r="AL516" s="2" t="s">
        <v>7235</v>
      </c>
    </row>
    <row r="517" spans="1:38" hidden="1" x14ac:dyDescent="0.2">
      <c r="A517" s="2" t="s">
        <v>1462</v>
      </c>
      <c r="B517" s="2" t="s">
        <v>1730</v>
      </c>
      <c r="C517" s="2" t="s">
        <v>1649</v>
      </c>
      <c r="D517" s="2" t="s">
        <v>1650</v>
      </c>
      <c r="E517" s="13">
        <v>500</v>
      </c>
      <c r="F517" s="13">
        <v>500</v>
      </c>
      <c r="G517" s="14">
        <v>43326</v>
      </c>
      <c r="H517" s="15">
        <v>0.55107638888888999</v>
      </c>
      <c r="I517" s="14">
        <v>43326</v>
      </c>
      <c r="J517" s="15">
        <v>0.69377314814815005</v>
      </c>
      <c r="K517" s="13">
        <v>0</v>
      </c>
      <c r="L517" s="2" t="s">
        <v>64</v>
      </c>
      <c r="M517" s="2" t="s">
        <v>1511</v>
      </c>
      <c r="N517" s="14">
        <v>43329</v>
      </c>
      <c r="O517" s="14">
        <v>43328</v>
      </c>
      <c r="P517" s="2" t="s">
        <v>91</v>
      </c>
      <c r="Q517" s="2" t="s">
        <v>1731</v>
      </c>
      <c r="R517" s="2" t="s">
        <v>80</v>
      </c>
      <c r="S517" s="14">
        <v>43329</v>
      </c>
      <c r="U517" s="2" t="s">
        <v>1486</v>
      </c>
      <c r="V517" s="2" t="s">
        <v>1652</v>
      </c>
      <c r="W517" s="2" t="s">
        <v>70</v>
      </c>
      <c r="X517" s="13">
        <v>146</v>
      </c>
      <c r="Y517" s="2" t="s">
        <v>71</v>
      </c>
      <c r="Z517" s="2" t="s">
        <v>72</v>
      </c>
      <c r="AA517" s="13">
        <v>500</v>
      </c>
      <c r="AB517" s="2" t="s">
        <v>73</v>
      </c>
      <c r="AC517" s="2" t="s">
        <v>6773</v>
      </c>
      <c r="AD517" s="27"/>
      <c r="AI517" s="2" t="s">
        <v>6153</v>
      </c>
      <c r="AL517" s="2" t="s">
        <v>7236</v>
      </c>
    </row>
    <row r="518" spans="1:38" hidden="1" x14ac:dyDescent="0.2">
      <c r="A518" s="2" t="s">
        <v>1462</v>
      </c>
      <c r="B518" s="2" t="s">
        <v>1732</v>
      </c>
      <c r="C518" s="2" t="s">
        <v>1733</v>
      </c>
      <c r="D518" s="2" t="s">
        <v>1734</v>
      </c>
      <c r="E518" s="13">
        <v>1000</v>
      </c>
      <c r="F518" s="13">
        <v>1000</v>
      </c>
      <c r="G518" s="14">
        <v>43326</v>
      </c>
      <c r="H518" s="15">
        <v>0.71460648148147998</v>
      </c>
      <c r="I518" s="14">
        <v>43327</v>
      </c>
      <c r="J518" s="15">
        <v>0</v>
      </c>
      <c r="K518" s="13">
        <v>20</v>
      </c>
      <c r="L518" s="2" t="s">
        <v>64</v>
      </c>
      <c r="M518" s="2" t="s">
        <v>1500</v>
      </c>
      <c r="N518" s="14">
        <v>43335</v>
      </c>
      <c r="O518" s="14">
        <v>43328</v>
      </c>
      <c r="P518" s="2" t="s">
        <v>91</v>
      </c>
      <c r="Q518" s="2" t="s">
        <v>1735</v>
      </c>
      <c r="R518" s="2" t="s">
        <v>80</v>
      </c>
      <c r="S518" s="14">
        <v>43335</v>
      </c>
      <c r="U518" s="2" t="s">
        <v>1523</v>
      </c>
      <c r="V518" s="2" t="s">
        <v>554</v>
      </c>
      <c r="W518" s="2" t="s">
        <v>70</v>
      </c>
      <c r="X518" s="13">
        <v>146</v>
      </c>
      <c r="Y518" s="2" t="s">
        <v>71</v>
      </c>
      <c r="Z518" s="2" t="s">
        <v>72</v>
      </c>
      <c r="AA518" s="13">
        <v>1000</v>
      </c>
      <c r="AB518" s="2" t="s">
        <v>73</v>
      </c>
      <c r="AC518" s="2" t="s">
        <v>6773</v>
      </c>
      <c r="AD518" s="27"/>
      <c r="AI518" s="2" t="s">
        <v>6153</v>
      </c>
      <c r="AL518" s="2" t="s">
        <v>7237</v>
      </c>
    </row>
    <row r="519" spans="1:38" hidden="1" x14ac:dyDescent="0.2">
      <c r="A519" s="2" t="s">
        <v>1462</v>
      </c>
      <c r="B519" s="2" t="s">
        <v>1736</v>
      </c>
      <c r="C519" s="2" t="s">
        <v>1737</v>
      </c>
      <c r="D519" s="2" t="s">
        <v>1738</v>
      </c>
      <c r="E519" s="13">
        <v>225</v>
      </c>
      <c r="F519" s="13">
        <v>225</v>
      </c>
      <c r="G519" s="14">
        <v>43326</v>
      </c>
      <c r="H519" s="15">
        <v>0.93578703703704003</v>
      </c>
      <c r="I519" s="14">
        <v>43327</v>
      </c>
      <c r="J519" s="15">
        <v>0</v>
      </c>
      <c r="K519" s="13">
        <v>20</v>
      </c>
      <c r="L519" s="2" t="s">
        <v>64</v>
      </c>
      <c r="M519" s="2" t="s">
        <v>1739</v>
      </c>
      <c r="N519" s="14">
        <v>43329</v>
      </c>
      <c r="O519" s="14">
        <v>43328</v>
      </c>
      <c r="P519" s="2" t="s">
        <v>91</v>
      </c>
      <c r="Q519" s="2" t="s">
        <v>1740</v>
      </c>
      <c r="R519" s="2" t="s">
        <v>80</v>
      </c>
      <c r="S519" s="14">
        <v>43329</v>
      </c>
      <c r="U519" s="2" t="s">
        <v>1608</v>
      </c>
      <c r="V519" s="2" t="s">
        <v>1741</v>
      </c>
      <c r="W519" s="2" t="s">
        <v>98</v>
      </c>
      <c r="X519" s="13">
        <v>146</v>
      </c>
      <c r="Y519" s="2" t="s">
        <v>71</v>
      </c>
      <c r="Z519" s="2" t="s">
        <v>72</v>
      </c>
      <c r="AA519" s="13">
        <v>225</v>
      </c>
      <c r="AB519" s="2" t="s">
        <v>73</v>
      </c>
      <c r="AD519" s="27"/>
      <c r="AI519" s="2" t="s">
        <v>6153</v>
      </c>
      <c r="AL519" s="2" t="s">
        <v>4806</v>
      </c>
    </row>
    <row r="520" spans="1:38" hidden="1" x14ac:dyDescent="0.2">
      <c r="A520" s="2" t="s">
        <v>1462</v>
      </c>
      <c r="B520" s="2" t="s">
        <v>1742</v>
      </c>
      <c r="C520" s="2" t="s">
        <v>1743</v>
      </c>
      <c r="D520" s="2" t="s">
        <v>1744</v>
      </c>
      <c r="E520" s="13">
        <v>2000</v>
      </c>
      <c r="F520" s="13">
        <v>2000</v>
      </c>
      <c r="G520" s="14">
        <v>43327</v>
      </c>
      <c r="H520" s="15">
        <v>0.42922453703704</v>
      </c>
      <c r="I520" s="14">
        <v>43328</v>
      </c>
      <c r="J520" s="15">
        <v>0</v>
      </c>
      <c r="K520" s="13">
        <v>20</v>
      </c>
      <c r="L520" s="2" t="s">
        <v>64</v>
      </c>
      <c r="M520" s="2" t="s">
        <v>1479</v>
      </c>
      <c r="N520" s="14">
        <v>43332</v>
      </c>
      <c r="O520" s="14">
        <v>43329</v>
      </c>
      <c r="P520" s="2" t="s">
        <v>1745</v>
      </c>
      <c r="Q520" s="2" t="s">
        <v>1746</v>
      </c>
      <c r="R520" s="2" t="s">
        <v>80</v>
      </c>
      <c r="S520" s="14">
        <v>43332</v>
      </c>
      <c r="U520" s="2" t="s">
        <v>1747</v>
      </c>
      <c r="V520" s="2" t="s">
        <v>1748</v>
      </c>
      <c r="W520" s="2" t="s">
        <v>70</v>
      </c>
      <c r="X520" s="13">
        <v>146</v>
      </c>
      <c r="Y520" s="2" t="s">
        <v>71</v>
      </c>
      <c r="Z520" s="2" t="s">
        <v>72</v>
      </c>
      <c r="AA520" s="13">
        <v>2000</v>
      </c>
      <c r="AB520" s="2" t="s">
        <v>73</v>
      </c>
      <c r="AC520" s="2" t="s">
        <v>6773</v>
      </c>
      <c r="AD520" s="27"/>
      <c r="AI520" s="2" t="s">
        <v>6153</v>
      </c>
      <c r="AL520" s="2" t="s">
        <v>7238</v>
      </c>
    </row>
    <row r="521" spans="1:38" hidden="1" x14ac:dyDescent="0.2">
      <c r="A521" s="2" t="s">
        <v>1462</v>
      </c>
      <c r="B521" s="2" t="s">
        <v>4443</v>
      </c>
      <c r="C521" s="2" t="s">
        <v>1713</v>
      </c>
      <c r="D521" s="2" t="s">
        <v>1714</v>
      </c>
      <c r="E521" s="16">
        <v>26.24</v>
      </c>
      <c r="F521" s="16">
        <v>26.24</v>
      </c>
      <c r="G521" s="14">
        <v>43329</v>
      </c>
      <c r="H521" s="15">
        <v>0.99251157407406998</v>
      </c>
      <c r="I521" s="14">
        <v>43330</v>
      </c>
      <c r="J521" s="15">
        <v>0</v>
      </c>
      <c r="K521" s="13">
        <v>0</v>
      </c>
      <c r="L521" s="2" t="s">
        <v>64</v>
      </c>
      <c r="M521" s="2" t="s">
        <v>1715</v>
      </c>
      <c r="N521" s="14">
        <v>43332</v>
      </c>
      <c r="O521" s="14">
        <v>43331</v>
      </c>
      <c r="P521" s="2" t="s">
        <v>91</v>
      </c>
      <c r="Q521" s="2" t="s">
        <v>4444</v>
      </c>
      <c r="R521" s="2" t="s">
        <v>80</v>
      </c>
      <c r="S521" s="14">
        <v>43332</v>
      </c>
      <c r="U521" s="2" t="s">
        <v>1717</v>
      </c>
      <c r="V521" s="2" t="s">
        <v>1718</v>
      </c>
      <c r="W521" s="2" t="s">
        <v>70</v>
      </c>
      <c r="X521" s="13">
        <v>146</v>
      </c>
      <c r="Y521" s="2" t="s">
        <v>71</v>
      </c>
      <c r="Z521" s="2" t="s">
        <v>72</v>
      </c>
      <c r="AA521" s="13">
        <v>25</v>
      </c>
      <c r="AB521" s="2" t="s">
        <v>73</v>
      </c>
      <c r="AC521" s="2" t="s">
        <v>6773</v>
      </c>
      <c r="AD521" s="27"/>
      <c r="AI521" s="2" t="s">
        <v>6153</v>
      </c>
      <c r="AL521" s="2" t="s">
        <v>7239</v>
      </c>
    </row>
    <row r="522" spans="1:38" hidden="1" x14ac:dyDescent="0.2">
      <c r="A522" s="2" t="s">
        <v>1462</v>
      </c>
      <c r="B522" s="2" t="s">
        <v>1749</v>
      </c>
      <c r="C522" s="2" t="s">
        <v>1750</v>
      </c>
      <c r="D522" s="2" t="s">
        <v>1751</v>
      </c>
      <c r="E522" s="13">
        <v>2000</v>
      </c>
      <c r="F522" s="13">
        <v>2000</v>
      </c>
      <c r="G522" s="14">
        <v>43331</v>
      </c>
      <c r="H522" s="15">
        <v>0.42922453703704</v>
      </c>
      <c r="I522" s="14">
        <v>43332</v>
      </c>
      <c r="J522" s="15">
        <v>0</v>
      </c>
      <c r="K522" s="13">
        <v>20</v>
      </c>
      <c r="L522" s="2" t="s">
        <v>64</v>
      </c>
      <c r="M522" s="2" t="s">
        <v>1479</v>
      </c>
      <c r="N522" s="14">
        <v>43335</v>
      </c>
      <c r="O522" s="14">
        <v>43333</v>
      </c>
      <c r="P522" s="2" t="s">
        <v>91</v>
      </c>
      <c r="Q522" s="2" t="s">
        <v>1752</v>
      </c>
      <c r="R522" s="2" t="s">
        <v>80</v>
      </c>
      <c r="S522" s="14">
        <v>43335</v>
      </c>
      <c r="U522" s="2" t="s">
        <v>1753</v>
      </c>
      <c r="V522" s="2" t="s">
        <v>1754</v>
      </c>
      <c r="W522" s="2" t="s">
        <v>70</v>
      </c>
      <c r="X522" s="13">
        <v>146</v>
      </c>
      <c r="Y522" s="2" t="s">
        <v>71</v>
      </c>
      <c r="Z522" s="2" t="s">
        <v>72</v>
      </c>
      <c r="AA522" s="13">
        <v>2000</v>
      </c>
      <c r="AB522" s="2" t="s">
        <v>73</v>
      </c>
      <c r="AC522" s="2" t="s">
        <v>6773</v>
      </c>
      <c r="AD522" s="27"/>
      <c r="AI522" s="2" t="s">
        <v>6153</v>
      </c>
      <c r="AL522" s="2" t="s">
        <v>7240</v>
      </c>
    </row>
    <row r="523" spans="1:38" hidden="1" x14ac:dyDescent="0.2">
      <c r="A523" s="2" t="s">
        <v>1462</v>
      </c>
      <c r="B523" s="2" t="s">
        <v>1755</v>
      </c>
      <c r="C523" s="2" t="s">
        <v>1493</v>
      </c>
      <c r="D523" s="2" t="s">
        <v>1494</v>
      </c>
      <c r="E523" s="16">
        <v>2114.8000000000002</v>
      </c>
      <c r="F523" s="16">
        <v>2114.8000000000002</v>
      </c>
      <c r="G523" s="14">
        <v>43336</v>
      </c>
      <c r="H523" s="15">
        <v>9.0231481481479997E-2</v>
      </c>
      <c r="I523" s="14">
        <v>43336</v>
      </c>
      <c r="J523" s="15">
        <v>0.69377314814815005</v>
      </c>
      <c r="K523" s="13">
        <v>0</v>
      </c>
      <c r="L523" s="2" t="s">
        <v>64</v>
      </c>
      <c r="M523" s="2" t="s">
        <v>1584</v>
      </c>
      <c r="N523" s="14">
        <v>43339</v>
      </c>
      <c r="O523" s="14">
        <v>43338</v>
      </c>
      <c r="P523" s="2" t="s">
        <v>91</v>
      </c>
      <c r="Q523" s="2" t="s">
        <v>1756</v>
      </c>
      <c r="R523" s="2" t="s">
        <v>80</v>
      </c>
      <c r="S523" s="14">
        <v>43339</v>
      </c>
      <c r="U523" s="2" t="s">
        <v>1486</v>
      </c>
      <c r="V523" s="2" t="s">
        <v>1496</v>
      </c>
      <c r="W523" s="2" t="s">
        <v>70</v>
      </c>
      <c r="X523" s="13">
        <v>146</v>
      </c>
      <c r="Y523" s="2" t="s">
        <v>71</v>
      </c>
      <c r="Z523" s="2" t="s">
        <v>72</v>
      </c>
      <c r="AA523" s="13">
        <v>2000</v>
      </c>
      <c r="AB523" s="2" t="s">
        <v>73</v>
      </c>
      <c r="AC523" s="2" t="s">
        <v>6773</v>
      </c>
      <c r="AD523" s="27"/>
      <c r="AI523" s="2" t="s">
        <v>6153</v>
      </c>
      <c r="AL523" s="2" t="s">
        <v>5266</v>
      </c>
    </row>
    <row r="524" spans="1:38" hidden="1" x14ac:dyDescent="0.2">
      <c r="A524" s="2" t="s">
        <v>1462</v>
      </c>
      <c r="B524" s="2" t="s">
        <v>1757</v>
      </c>
      <c r="C524" s="2" t="s">
        <v>1758</v>
      </c>
      <c r="D524" s="2" t="s">
        <v>1759</v>
      </c>
      <c r="E524" s="13">
        <v>1000</v>
      </c>
      <c r="F524" s="13">
        <v>1000</v>
      </c>
      <c r="G524" s="14">
        <v>43336</v>
      </c>
      <c r="H524" s="15">
        <v>0.71460648148147998</v>
      </c>
      <c r="I524" s="14">
        <v>43337</v>
      </c>
      <c r="J524" s="15">
        <v>0</v>
      </c>
      <c r="K524" s="13">
        <v>20</v>
      </c>
      <c r="L524" s="2" t="s">
        <v>64</v>
      </c>
      <c r="M524" s="2" t="s">
        <v>1500</v>
      </c>
      <c r="N524" s="14">
        <v>43339</v>
      </c>
      <c r="O524" s="14">
        <v>43338</v>
      </c>
      <c r="P524" s="2" t="s">
        <v>91</v>
      </c>
      <c r="Q524" s="2" t="s">
        <v>1760</v>
      </c>
      <c r="R524" s="2" t="s">
        <v>80</v>
      </c>
      <c r="S524" s="14">
        <v>43339</v>
      </c>
      <c r="U524" s="2" t="s">
        <v>1533</v>
      </c>
      <c r="V524" s="2" t="s">
        <v>1240</v>
      </c>
      <c r="W524" s="2" t="s">
        <v>70</v>
      </c>
      <c r="X524" s="13">
        <v>146</v>
      </c>
      <c r="Y524" s="2" t="s">
        <v>71</v>
      </c>
      <c r="Z524" s="2" t="s">
        <v>72</v>
      </c>
      <c r="AA524" s="13">
        <v>1000</v>
      </c>
      <c r="AB524" s="2" t="s">
        <v>73</v>
      </c>
      <c r="AC524" s="2" t="s">
        <v>6773</v>
      </c>
      <c r="AD524" s="27"/>
      <c r="AL524" s="2" t="s">
        <v>5267</v>
      </c>
    </row>
    <row r="525" spans="1:38" hidden="1" x14ac:dyDescent="0.2">
      <c r="A525" s="2" t="s">
        <v>1462</v>
      </c>
      <c r="B525" s="2" t="s">
        <v>1761</v>
      </c>
      <c r="C525" s="2" t="s">
        <v>1762</v>
      </c>
      <c r="D525" s="2" t="s">
        <v>1763</v>
      </c>
      <c r="E525" s="13">
        <v>2000</v>
      </c>
      <c r="F525" s="13">
        <v>2000</v>
      </c>
      <c r="G525" s="14">
        <v>43343</v>
      </c>
      <c r="H525" s="15">
        <v>0.42922453703704</v>
      </c>
      <c r="I525" s="14">
        <v>43344</v>
      </c>
      <c r="J525" s="15">
        <v>0</v>
      </c>
      <c r="K525" s="13">
        <v>20</v>
      </c>
      <c r="L525" s="2" t="s">
        <v>64</v>
      </c>
      <c r="M525" s="2" t="s">
        <v>1479</v>
      </c>
      <c r="N525" s="14">
        <v>43346</v>
      </c>
      <c r="O525" s="14">
        <v>43345</v>
      </c>
      <c r="P525" s="2" t="s">
        <v>91</v>
      </c>
      <c r="Q525" s="2" t="s">
        <v>1764</v>
      </c>
      <c r="R525" s="2" t="s">
        <v>80</v>
      </c>
      <c r="S525" s="14">
        <v>43346</v>
      </c>
      <c r="U525" s="2" t="s">
        <v>1694</v>
      </c>
      <c r="V525" s="2" t="s">
        <v>1240</v>
      </c>
      <c r="W525" s="2" t="s">
        <v>70</v>
      </c>
      <c r="X525" s="13">
        <v>146</v>
      </c>
      <c r="Y525" s="2" t="s">
        <v>71</v>
      </c>
      <c r="Z525" s="2" t="s">
        <v>72</v>
      </c>
      <c r="AA525" s="13">
        <v>2000</v>
      </c>
      <c r="AB525" s="2" t="s">
        <v>73</v>
      </c>
      <c r="AC525" s="2" t="s">
        <v>6773</v>
      </c>
      <c r="AD525" s="27"/>
      <c r="AI525" s="2" t="s">
        <v>6153</v>
      </c>
      <c r="AL525" s="2" t="s">
        <v>5268</v>
      </c>
    </row>
    <row r="526" spans="1:38" hidden="1" x14ac:dyDescent="0.2">
      <c r="A526" s="2" t="s">
        <v>1462</v>
      </c>
      <c r="B526" s="2" t="s">
        <v>1765</v>
      </c>
      <c r="C526" s="2" t="s">
        <v>1663</v>
      </c>
      <c r="D526" s="2" t="s">
        <v>1664</v>
      </c>
      <c r="E526" s="13">
        <v>1000</v>
      </c>
      <c r="F526" s="13">
        <v>1000</v>
      </c>
      <c r="G526" s="14">
        <v>43351</v>
      </c>
      <c r="H526" s="15">
        <v>0.71460648148147998</v>
      </c>
      <c r="I526" s="14">
        <v>43352</v>
      </c>
      <c r="J526" s="15">
        <v>0</v>
      </c>
      <c r="K526" s="13">
        <v>20</v>
      </c>
      <c r="L526" s="2" t="s">
        <v>64</v>
      </c>
      <c r="M526" s="2" t="s">
        <v>1500</v>
      </c>
      <c r="N526" s="14">
        <v>43355</v>
      </c>
      <c r="O526" s="14">
        <v>43353</v>
      </c>
      <c r="P526" s="2" t="s">
        <v>91</v>
      </c>
      <c r="Q526" s="2" t="s">
        <v>1766</v>
      </c>
      <c r="R526" s="2" t="s">
        <v>80</v>
      </c>
      <c r="S526" s="14">
        <v>43355</v>
      </c>
      <c r="U526" s="2" t="s">
        <v>1666</v>
      </c>
      <c r="V526" s="2" t="s">
        <v>1667</v>
      </c>
      <c r="W526" s="2" t="s">
        <v>70</v>
      </c>
      <c r="X526" s="13">
        <v>146</v>
      </c>
      <c r="Y526" s="2" t="s">
        <v>71</v>
      </c>
      <c r="Z526" s="2" t="s">
        <v>72</v>
      </c>
      <c r="AA526" s="13">
        <v>1000</v>
      </c>
      <c r="AB526" s="2" t="s">
        <v>73</v>
      </c>
      <c r="AC526" s="2" t="s">
        <v>6773</v>
      </c>
      <c r="AD526" s="27"/>
      <c r="AI526" s="2" t="s">
        <v>6153</v>
      </c>
      <c r="AL526" s="2" t="s">
        <v>5269</v>
      </c>
    </row>
    <row r="527" spans="1:38" hidden="1" x14ac:dyDescent="0.2">
      <c r="A527" s="2" t="s">
        <v>1462</v>
      </c>
      <c r="B527" s="2" t="s">
        <v>1767</v>
      </c>
      <c r="C527" s="2" t="s">
        <v>1768</v>
      </c>
      <c r="D527" s="2" t="s">
        <v>1769</v>
      </c>
      <c r="E527" s="13">
        <v>2000</v>
      </c>
      <c r="F527" s="13">
        <v>2000</v>
      </c>
      <c r="G527" s="14">
        <v>43352</v>
      </c>
      <c r="H527" s="15">
        <v>0.42922453703704</v>
      </c>
      <c r="I527" s="14">
        <v>43353</v>
      </c>
      <c r="J527" s="15">
        <v>0</v>
      </c>
      <c r="K527" s="13">
        <v>20</v>
      </c>
      <c r="L527" s="2" t="s">
        <v>64</v>
      </c>
      <c r="M527" s="2" t="s">
        <v>1479</v>
      </c>
      <c r="N527" s="14">
        <v>43355</v>
      </c>
      <c r="O527" s="14">
        <v>43354</v>
      </c>
      <c r="P527" s="2" t="s">
        <v>404</v>
      </c>
      <c r="Q527" s="2" t="s">
        <v>1770</v>
      </c>
      <c r="R527" s="2" t="s">
        <v>80</v>
      </c>
      <c r="S527" s="14">
        <v>43367</v>
      </c>
      <c r="U527" s="2" t="s">
        <v>1771</v>
      </c>
      <c r="V527" s="2" t="s">
        <v>407</v>
      </c>
      <c r="W527" s="2" t="s">
        <v>70</v>
      </c>
      <c r="X527" s="13">
        <v>146</v>
      </c>
      <c r="Y527" s="2" t="s">
        <v>71</v>
      </c>
      <c r="Z527" s="2" t="s">
        <v>72</v>
      </c>
      <c r="AA527" s="13">
        <v>2000</v>
      </c>
      <c r="AB527" s="2" t="s">
        <v>73</v>
      </c>
      <c r="AC527" s="2" t="s">
        <v>6773</v>
      </c>
      <c r="AD527" s="27"/>
      <c r="AI527" s="2" t="s">
        <v>6153</v>
      </c>
      <c r="AL527" s="2" t="s">
        <v>5270</v>
      </c>
    </row>
    <row r="528" spans="1:38" hidden="1" x14ac:dyDescent="0.2">
      <c r="A528" s="2" t="s">
        <v>1462</v>
      </c>
      <c r="B528" s="2" t="s">
        <v>1772</v>
      </c>
      <c r="C528" s="2" t="s">
        <v>1750</v>
      </c>
      <c r="D528" s="2" t="s">
        <v>1751</v>
      </c>
      <c r="E528" s="16">
        <v>2139.8000000000002</v>
      </c>
      <c r="F528" s="16">
        <v>2139.8000000000002</v>
      </c>
      <c r="G528" s="14">
        <v>43360</v>
      </c>
      <c r="H528" s="15">
        <v>0.38932870370369999</v>
      </c>
      <c r="I528" s="14">
        <v>43361</v>
      </c>
      <c r="J528" s="15">
        <v>0</v>
      </c>
      <c r="K528" s="13">
        <v>20</v>
      </c>
      <c r="L528" s="2" t="s">
        <v>64</v>
      </c>
      <c r="M528" s="2" t="s">
        <v>1773</v>
      </c>
      <c r="N528" s="14">
        <v>43363</v>
      </c>
      <c r="O528" s="14">
        <v>43362</v>
      </c>
      <c r="P528" s="2" t="s">
        <v>91</v>
      </c>
      <c r="Q528" s="2" t="s">
        <v>1774</v>
      </c>
      <c r="R528" s="2" t="s">
        <v>80</v>
      </c>
      <c r="S528" s="14">
        <v>43363</v>
      </c>
      <c r="U528" s="2" t="s">
        <v>1753</v>
      </c>
      <c r="V528" s="2" t="s">
        <v>1754</v>
      </c>
      <c r="W528" s="2" t="s">
        <v>70</v>
      </c>
      <c r="X528" s="13">
        <v>146</v>
      </c>
      <c r="Y528" s="2" t="s">
        <v>71</v>
      </c>
      <c r="Z528" s="2" t="s">
        <v>72</v>
      </c>
      <c r="AA528" s="13">
        <v>2000</v>
      </c>
      <c r="AB528" s="2" t="s">
        <v>73</v>
      </c>
      <c r="AC528" s="2" t="s">
        <v>6773</v>
      </c>
      <c r="AD528" s="27"/>
      <c r="AI528" s="2" t="s">
        <v>6153</v>
      </c>
      <c r="AL528" s="2" t="s">
        <v>5271</v>
      </c>
    </row>
    <row r="529" spans="1:38" hidden="1" x14ac:dyDescent="0.2">
      <c r="A529" s="2" t="s">
        <v>1775</v>
      </c>
      <c r="B529" s="2" t="s">
        <v>1781</v>
      </c>
      <c r="C529" s="2" t="s">
        <v>1782</v>
      </c>
      <c r="D529" s="2" t="s">
        <v>1783</v>
      </c>
      <c r="E529" s="13">
        <v>300</v>
      </c>
      <c r="F529" s="13">
        <v>300</v>
      </c>
      <c r="G529" s="14">
        <v>43286</v>
      </c>
      <c r="H529" s="15">
        <v>0.37450231481481</v>
      </c>
      <c r="I529" s="14">
        <v>43286</v>
      </c>
      <c r="J529" s="15">
        <v>0.45214120370369998</v>
      </c>
      <c r="K529" s="13">
        <v>10</v>
      </c>
      <c r="L529" s="2" t="s">
        <v>64</v>
      </c>
      <c r="M529" s="2" t="s">
        <v>1789</v>
      </c>
      <c r="N529" s="14">
        <v>43290</v>
      </c>
      <c r="O529" s="14">
        <v>43288</v>
      </c>
      <c r="P529" s="2" t="s">
        <v>91</v>
      </c>
      <c r="Q529" s="2" t="s">
        <v>6961</v>
      </c>
      <c r="R529" s="2" t="s">
        <v>80</v>
      </c>
      <c r="S529" s="14">
        <v>43298</v>
      </c>
      <c r="T529" s="2" t="s">
        <v>6453</v>
      </c>
      <c r="U529" s="2" t="s">
        <v>484</v>
      </c>
      <c r="V529" s="2" t="s">
        <v>1785</v>
      </c>
      <c r="W529" s="2" t="s">
        <v>98</v>
      </c>
      <c r="X529" s="13">
        <v>161</v>
      </c>
      <c r="Y529" s="2" t="s">
        <v>71</v>
      </c>
      <c r="Z529" s="2" t="s">
        <v>72</v>
      </c>
      <c r="AA529" s="13">
        <v>300</v>
      </c>
      <c r="AB529" s="2" t="s">
        <v>107</v>
      </c>
      <c r="AC529" s="2" t="s">
        <v>6773</v>
      </c>
      <c r="AD529" s="27">
        <v>43283</v>
      </c>
      <c r="AI529" s="2" t="s">
        <v>6153</v>
      </c>
      <c r="AL529" s="2" t="s">
        <v>5272</v>
      </c>
    </row>
    <row r="530" spans="1:38" hidden="1" x14ac:dyDescent="0.2">
      <c r="A530" s="2" t="s">
        <v>1775</v>
      </c>
      <c r="B530" s="2" t="s">
        <v>1776</v>
      </c>
      <c r="C530" s="2" t="s">
        <v>1777</v>
      </c>
      <c r="D530" s="2" t="s">
        <v>1778</v>
      </c>
      <c r="E530" s="16">
        <v>17.288</v>
      </c>
      <c r="F530" s="16">
        <v>392.28800000000001</v>
      </c>
      <c r="G530" s="14">
        <v>43286</v>
      </c>
      <c r="H530" s="15">
        <v>0.61631944444443998</v>
      </c>
      <c r="I530" s="14">
        <v>43286</v>
      </c>
      <c r="J530" s="15">
        <v>0.71784722222221997</v>
      </c>
      <c r="K530" s="13">
        <v>0</v>
      </c>
      <c r="L530" s="2" t="s">
        <v>64</v>
      </c>
      <c r="M530" s="2" t="s">
        <v>1779</v>
      </c>
      <c r="N530" s="14">
        <v>43290</v>
      </c>
      <c r="O530" s="14">
        <v>43288</v>
      </c>
      <c r="P530" s="2" t="s">
        <v>1573</v>
      </c>
      <c r="Q530" s="2" t="s">
        <v>98</v>
      </c>
      <c r="R530" s="2" t="s">
        <v>131</v>
      </c>
      <c r="S530" s="14"/>
      <c r="T530" s="2" t="s">
        <v>6454</v>
      </c>
      <c r="U530" s="2" t="s">
        <v>1780</v>
      </c>
      <c r="V530" s="2" t="s">
        <v>69</v>
      </c>
      <c r="W530" s="2" t="s">
        <v>70</v>
      </c>
      <c r="X530" s="13">
        <v>161</v>
      </c>
      <c r="Y530" s="2" t="s">
        <v>71</v>
      </c>
      <c r="Z530" s="2" t="s">
        <v>72</v>
      </c>
      <c r="AA530" s="13">
        <v>0</v>
      </c>
      <c r="AB530" s="2" t="s">
        <v>107</v>
      </c>
      <c r="AC530" s="2" t="s">
        <v>6773</v>
      </c>
      <c r="AD530" s="27">
        <v>43263</v>
      </c>
      <c r="AL530" s="2" t="s">
        <v>5273</v>
      </c>
    </row>
    <row r="531" spans="1:38" hidden="1" x14ac:dyDescent="0.2">
      <c r="A531" s="2" t="s">
        <v>1775</v>
      </c>
      <c r="B531" s="2" t="s">
        <v>4102</v>
      </c>
      <c r="C531" s="2" t="s">
        <v>2768</v>
      </c>
      <c r="D531" s="2" t="s">
        <v>2769</v>
      </c>
      <c r="E531" s="13">
        <v>150</v>
      </c>
      <c r="F531" s="13">
        <v>150</v>
      </c>
      <c r="G531" s="14">
        <v>43287</v>
      </c>
      <c r="H531" s="15">
        <v>2.8472222222200002E-3</v>
      </c>
      <c r="I531" s="14">
        <v>43287</v>
      </c>
      <c r="J531" s="15">
        <v>4.1666666666670002E-2</v>
      </c>
      <c r="K531" s="13">
        <v>10</v>
      </c>
      <c r="L531" s="2" t="s">
        <v>64</v>
      </c>
      <c r="M531" s="2" t="s">
        <v>1960</v>
      </c>
      <c r="N531" s="14">
        <v>43292</v>
      </c>
      <c r="O531" s="14">
        <v>43289</v>
      </c>
      <c r="P531" s="2" t="s">
        <v>524</v>
      </c>
      <c r="Q531" s="2" t="s">
        <v>6962</v>
      </c>
      <c r="R531" s="2" t="s">
        <v>80</v>
      </c>
      <c r="S531" s="14">
        <v>43292</v>
      </c>
      <c r="T531" s="2" t="s">
        <v>6455</v>
      </c>
      <c r="U531" s="2" t="s">
        <v>453</v>
      </c>
      <c r="V531" s="2" t="s">
        <v>2772</v>
      </c>
      <c r="W531" s="2" t="s">
        <v>70</v>
      </c>
      <c r="X531" s="13">
        <v>161</v>
      </c>
      <c r="Y531" s="2" t="s">
        <v>71</v>
      </c>
      <c r="Z531" s="2" t="s">
        <v>72</v>
      </c>
      <c r="AA531" s="13">
        <v>75</v>
      </c>
      <c r="AB531" s="2" t="s">
        <v>107</v>
      </c>
      <c r="AC531" s="2" t="s">
        <v>6773</v>
      </c>
      <c r="AD531" s="27">
        <v>43283</v>
      </c>
      <c r="AI531" s="2" t="s">
        <v>6153</v>
      </c>
      <c r="AL531" s="2" t="s">
        <v>5274</v>
      </c>
    </row>
    <row r="532" spans="1:38" hidden="1" x14ac:dyDescent="0.2">
      <c r="A532" s="2" t="s">
        <v>1775</v>
      </c>
      <c r="B532" s="2" t="s">
        <v>1786</v>
      </c>
      <c r="C532" s="2" t="s">
        <v>1787</v>
      </c>
      <c r="D532" s="2" t="s">
        <v>1788</v>
      </c>
      <c r="E532" s="16">
        <v>313.83</v>
      </c>
      <c r="F532" s="16">
        <v>313.83</v>
      </c>
      <c r="G532" s="14">
        <v>43287</v>
      </c>
      <c r="H532" s="15">
        <v>6.25E-2</v>
      </c>
      <c r="I532" s="14">
        <v>43287</v>
      </c>
      <c r="J532" s="15">
        <v>0.14371527777778001</v>
      </c>
      <c r="K532" s="13">
        <v>0</v>
      </c>
      <c r="L532" s="2" t="s">
        <v>64</v>
      </c>
      <c r="M532" s="2" t="s">
        <v>1784</v>
      </c>
      <c r="N532" s="14">
        <v>43291</v>
      </c>
      <c r="O532" s="14">
        <v>43289</v>
      </c>
      <c r="P532" s="2" t="s">
        <v>91</v>
      </c>
      <c r="Q532" s="2" t="s">
        <v>6963</v>
      </c>
      <c r="R532" s="2" t="s">
        <v>80</v>
      </c>
      <c r="S532" s="14">
        <v>43291</v>
      </c>
      <c r="T532" s="2" t="s">
        <v>6456</v>
      </c>
      <c r="U532" s="2" t="s">
        <v>436</v>
      </c>
      <c r="V532" s="2" t="s">
        <v>1790</v>
      </c>
      <c r="W532" s="2" t="s">
        <v>70</v>
      </c>
      <c r="X532" s="13">
        <v>161</v>
      </c>
      <c r="Y532" s="2" t="s">
        <v>71</v>
      </c>
      <c r="Z532" s="2" t="s">
        <v>72</v>
      </c>
      <c r="AA532" s="13">
        <v>300</v>
      </c>
      <c r="AB532" s="2" t="s">
        <v>107</v>
      </c>
      <c r="AC532" s="2" t="s">
        <v>6773</v>
      </c>
      <c r="AD532" s="27">
        <v>43271</v>
      </c>
      <c r="AI532" s="2" t="s">
        <v>6153</v>
      </c>
      <c r="AL532" s="2" t="s">
        <v>5275</v>
      </c>
    </row>
    <row r="533" spans="1:38" hidden="1" x14ac:dyDescent="0.2">
      <c r="A533" s="2" t="s">
        <v>1775</v>
      </c>
      <c r="B533" s="2" t="s">
        <v>1800</v>
      </c>
      <c r="C533" s="2" t="s">
        <v>1801</v>
      </c>
      <c r="D533" s="2" t="s">
        <v>1802</v>
      </c>
      <c r="E533" s="16">
        <v>2092.1999999999998</v>
      </c>
      <c r="F533" s="16">
        <v>2092.1999999999998</v>
      </c>
      <c r="G533" s="14">
        <v>43287</v>
      </c>
      <c r="H533" s="15">
        <v>0.16454861111110999</v>
      </c>
      <c r="I533" s="14">
        <v>43287</v>
      </c>
      <c r="J533" s="15">
        <v>0.70600694444444001</v>
      </c>
      <c r="K533" s="13">
        <v>20</v>
      </c>
      <c r="L533" s="2" t="s">
        <v>64</v>
      </c>
      <c r="M533" s="2" t="s">
        <v>1803</v>
      </c>
      <c r="N533" s="14">
        <v>43287</v>
      </c>
      <c r="O533" s="14">
        <v>43289</v>
      </c>
      <c r="P533" s="2" t="s">
        <v>1804</v>
      </c>
      <c r="Q533" s="2" t="s">
        <v>6964</v>
      </c>
      <c r="R533" s="2" t="s">
        <v>80</v>
      </c>
      <c r="S533" s="14">
        <v>43291</v>
      </c>
      <c r="T533" s="2" t="s">
        <v>6457</v>
      </c>
      <c r="U533" s="2" t="s">
        <v>1805</v>
      </c>
      <c r="V533" s="2" t="s">
        <v>1806</v>
      </c>
      <c r="W533" s="2" t="s">
        <v>70</v>
      </c>
      <c r="X533" s="13">
        <v>161</v>
      </c>
      <c r="Y533" s="2" t="s">
        <v>71</v>
      </c>
      <c r="Z533" s="2" t="s">
        <v>72</v>
      </c>
      <c r="AA533" s="13">
        <v>2000</v>
      </c>
      <c r="AB533" s="2" t="s">
        <v>107</v>
      </c>
      <c r="AC533" s="2" t="s">
        <v>6773</v>
      </c>
      <c r="AD533" s="27">
        <v>43262</v>
      </c>
      <c r="AI533" s="2" t="s">
        <v>6153</v>
      </c>
      <c r="AL533" s="2" t="s">
        <v>5276</v>
      </c>
    </row>
    <row r="534" spans="1:38" hidden="1" x14ac:dyDescent="0.2">
      <c r="A534" s="2" t="s">
        <v>1775</v>
      </c>
      <c r="B534" s="2" t="s">
        <v>1791</v>
      </c>
      <c r="C534" s="2" t="s">
        <v>1792</v>
      </c>
      <c r="D534" s="2" t="s">
        <v>1793</v>
      </c>
      <c r="E534" s="16">
        <v>2092.1999999999998</v>
      </c>
      <c r="F534" s="16">
        <v>2092.1999999999998</v>
      </c>
      <c r="G534" s="14">
        <v>43288</v>
      </c>
      <c r="H534" s="15">
        <v>4.1666666666670002E-2</v>
      </c>
      <c r="I534" s="14">
        <v>43288</v>
      </c>
      <c r="J534" s="15">
        <v>0.583125</v>
      </c>
      <c r="K534" s="13">
        <v>20</v>
      </c>
      <c r="L534" s="2" t="s">
        <v>64</v>
      </c>
      <c r="M534" s="2" t="s">
        <v>1803</v>
      </c>
      <c r="N534" s="14">
        <v>43291</v>
      </c>
      <c r="O534" s="14">
        <v>43290</v>
      </c>
      <c r="P534" s="2" t="s">
        <v>466</v>
      </c>
      <c r="Q534" s="2" t="s">
        <v>6965</v>
      </c>
      <c r="R534" s="2" t="s">
        <v>80</v>
      </c>
      <c r="S534" s="14">
        <v>43291</v>
      </c>
      <c r="T534" s="2" t="s">
        <v>6458</v>
      </c>
      <c r="U534" s="2" t="s">
        <v>468</v>
      </c>
      <c r="V534" s="2" t="s">
        <v>1795</v>
      </c>
      <c r="W534" s="2" t="s">
        <v>70</v>
      </c>
      <c r="X534" s="13">
        <v>161</v>
      </c>
      <c r="Y534" s="2" t="s">
        <v>71</v>
      </c>
      <c r="Z534" s="2" t="s">
        <v>72</v>
      </c>
      <c r="AA534" s="13">
        <v>2000</v>
      </c>
      <c r="AB534" s="2" t="s">
        <v>107</v>
      </c>
      <c r="AC534" s="2" t="s">
        <v>6773</v>
      </c>
      <c r="AD534" s="27">
        <v>43254</v>
      </c>
      <c r="AI534" s="2" t="s">
        <v>6153</v>
      </c>
      <c r="AL534" s="2" t="s">
        <v>5277</v>
      </c>
    </row>
    <row r="535" spans="1:38" hidden="1" x14ac:dyDescent="0.2">
      <c r="A535" s="2" t="s">
        <v>1775</v>
      </c>
      <c r="B535" s="2" t="s">
        <v>1859</v>
      </c>
      <c r="C535" s="2" t="s">
        <v>1860</v>
      </c>
      <c r="D535" s="2" t="s">
        <v>1861</v>
      </c>
      <c r="E535" s="16">
        <v>523.04999999999995</v>
      </c>
      <c r="F535" s="16">
        <v>523.04999999999995</v>
      </c>
      <c r="G535" s="14">
        <v>43288</v>
      </c>
      <c r="H535" s="15">
        <v>0.60395833333333004</v>
      </c>
      <c r="I535" s="14">
        <v>43288</v>
      </c>
      <c r="J535" s="15">
        <v>0.73931712962963003</v>
      </c>
      <c r="K535" s="13">
        <v>20</v>
      </c>
      <c r="L535" s="2" t="s">
        <v>64</v>
      </c>
      <c r="M535" s="2" t="s">
        <v>4445</v>
      </c>
      <c r="N535" s="14">
        <v>43293</v>
      </c>
      <c r="O535" s="14">
        <v>43290</v>
      </c>
      <c r="P535" s="2" t="s">
        <v>1428</v>
      </c>
      <c r="Q535" s="2" t="s">
        <v>1862</v>
      </c>
      <c r="R535" s="2" t="s">
        <v>80</v>
      </c>
      <c r="S535" s="14">
        <v>43293</v>
      </c>
      <c r="T535" s="2" t="s">
        <v>6459</v>
      </c>
      <c r="U535" s="2" t="s">
        <v>1209</v>
      </c>
      <c r="V535" s="2" t="s">
        <v>1863</v>
      </c>
      <c r="W535" s="2" t="s">
        <v>70</v>
      </c>
      <c r="X535" s="13">
        <v>161</v>
      </c>
      <c r="Y535" s="2" t="s">
        <v>71</v>
      </c>
      <c r="Z535" s="2" t="s">
        <v>72</v>
      </c>
      <c r="AA535" s="13">
        <v>500</v>
      </c>
      <c r="AB535" s="2" t="s">
        <v>107</v>
      </c>
      <c r="AC535" s="2" t="s">
        <v>6773</v>
      </c>
      <c r="AD535" s="27">
        <v>43272</v>
      </c>
      <c r="AL535" s="2" t="s">
        <v>5278</v>
      </c>
    </row>
    <row r="536" spans="1:38" hidden="1" x14ac:dyDescent="0.2">
      <c r="A536" s="2" t="s">
        <v>1775</v>
      </c>
      <c r="B536" s="2" t="s">
        <v>1877</v>
      </c>
      <c r="C536" s="2" t="s">
        <v>1878</v>
      </c>
      <c r="D536" s="2" t="s">
        <v>1879</v>
      </c>
      <c r="E536" s="13">
        <v>200</v>
      </c>
      <c r="F536" s="13">
        <v>200</v>
      </c>
      <c r="G536" s="14">
        <v>43288</v>
      </c>
      <c r="H536" s="15">
        <v>0.76015046296295996</v>
      </c>
      <c r="I536" s="14">
        <v>43288</v>
      </c>
      <c r="J536" s="15">
        <v>0.81190972222222002</v>
      </c>
      <c r="K536" s="13">
        <v>0</v>
      </c>
      <c r="L536" s="2" t="s">
        <v>64</v>
      </c>
      <c r="M536" s="2" t="s">
        <v>1856</v>
      </c>
      <c r="N536" s="14">
        <v>43298</v>
      </c>
      <c r="O536" s="14">
        <v>43290</v>
      </c>
      <c r="P536" s="2" t="s">
        <v>504</v>
      </c>
      <c r="Q536" s="2" t="s">
        <v>1880</v>
      </c>
      <c r="R536" s="2" t="s">
        <v>80</v>
      </c>
      <c r="S536" s="14">
        <v>43298</v>
      </c>
      <c r="T536" s="2" t="s">
        <v>6460</v>
      </c>
      <c r="U536" s="2" t="s">
        <v>1209</v>
      </c>
      <c r="V536" s="2" t="s">
        <v>1881</v>
      </c>
      <c r="W536" s="2" t="s">
        <v>70</v>
      </c>
      <c r="X536" s="13">
        <v>161</v>
      </c>
      <c r="Y536" s="2" t="s">
        <v>71</v>
      </c>
      <c r="Z536" s="2" t="s">
        <v>72</v>
      </c>
      <c r="AA536" s="13">
        <v>200</v>
      </c>
      <c r="AB536" s="2" t="s">
        <v>107</v>
      </c>
      <c r="AC536" s="2" t="s">
        <v>6773</v>
      </c>
      <c r="AD536" s="27">
        <v>43259</v>
      </c>
      <c r="AL536" s="2" t="s">
        <v>5279</v>
      </c>
    </row>
    <row r="537" spans="1:38" hidden="1" x14ac:dyDescent="0.2">
      <c r="A537" s="2" t="s">
        <v>1775</v>
      </c>
      <c r="B537" s="2" t="s">
        <v>1796</v>
      </c>
      <c r="C537" s="2" t="s">
        <v>1797</v>
      </c>
      <c r="D537" s="2" t="s">
        <v>1798</v>
      </c>
      <c r="E537" s="13">
        <v>100</v>
      </c>
      <c r="F537" s="13">
        <v>100</v>
      </c>
      <c r="G537" s="14">
        <v>43288</v>
      </c>
      <c r="H537" s="15">
        <v>0.83274305555556005</v>
      </c>
      <c r="I537" s="14">
        <v>43288</v>
      </c>
      <c r="J537" s="15">
        <v>0.85862268518519003</v>
      </c>
      <c r="K537" s="13">
        <v>25</v>
      </c>
      <c r="L537" s="2" t="s">
        <v>64</v>
      </c>
      <c r="M537" s="2" t="s">
        <v>1937</v>
      </c>
      <c r="N537" s="14">
        <v>43290</v>
      </c>
      <c r="O537" s="14">
        <v>43290</v>
      </c>
      <c r="P537" s="2" t="s">
        <v>1573</v>
      </c>
      <c r="Q537" s="2" t="s">
        <v>6966</v>
      </c>
      <c r="R537" s="2" t="s">
        <v>80</v>
      </c>
      <c r="S537" s="14">
        <v>43290</v>
      </c>
      <c r="T537" s="2" t="s">
        <v>6461</v>
      </c>
      <c r="U537" s="2" t="s">
        <v>540</v>
      </c>
      <c r="V537" s="2" t="s">
        <v>221</v>
      </c>
      <c r="W537" s="2" t="s">
        <v>70</v>
      </c>
      <c r="X537" s="13">
        <v>161</v>
      </c>
      <c r="Y537" s="2" t="s">
        <v>71</v>
      </c>
      <c r="Z537" s="2" t="s">
        <v>72</v>
      </c>
      <c r="AA537" s="16">
        <v>95.593000000000004</v>
      </c>
      <c r="AB537" s="2" t="s">
        <v>107</v>
      </c>
      <c r="AC537" s="2" t="s">
        <v>6773</v>
      </c>
      <c r="AD537" s="27">
        <v>43278</v>
      </c>
      <c r="AL537" s="2" t="s">
        <v>5280</v>
      </c>
    </row>
    <row r="538" spans="1:38" x14ac:dyDescent="0.2">
      <c r="A538" s="2" t="s">
        <v>1775</v>
      </c>
      <c r="B538" s="2" t="s">
        <v>4446</v>
      </c>
      <c r="C538" s="2" t="s">
        <v>4447</v>
      </c>
      <c r="D538" s="2" t="s">
        <v>4448</v>
      </c>
      <c r="E538" s="13">
        <v>125</v>
      </c>
      <c r="F538" s="13">
        <v>125</v>
      </c>
      <c r="G538" s="14">
        <v>43289</v>
      </c>
      <c r="H538" s="15">
        <v>2.0833333333330002E-2</v>
      </c>
      <c r="I538" s="14">
        <v>43289</v>
      </c>
      <c r="J538" s="15">
        <v>5.3182870370369999E-2</v>
      </c>
      <c r="K538" s="13">
        <v>25</v>
      </c>
      <c r="L538" s="2" t="s">
        <v>64</v>
      </c>
      <c r="M538" s="2" t="s">
        <v>4449</v>
      </c>
      <c r="N538" s="14">
        <v>43290</v>
      </c>
      <c r="O538" s="14">
        <v>43291</v>
      </c>
      <c r="P538" s="2" t="s">
        <v>91</v>
      </c>
      <c r="Q538" s="2" t="s">
        <v>6967</v>
      </c>
      <c r="R538" s="2" t="s">
        <v>80</v>
      </c>
      <c r="S538" s="14">
        <v>43290</v>
      </c>
      <c r="T538" s="2" t="s">
        <v>6463</v>
      </c>
      <c r="U538" s="2" t="s">
        <v>2250</v>
      </c>
      <c r="V538" s="2" t="s">
        <v>895</v>
      </c>
      <c r="W538" s="2" t="s">
        <v>70</v>
      </c>
      <c r="X538" s="13">
        <v>161</v>
      </c>
      <c r="Y538" s="2" t="s">
        <v>71</v>
      </c>
      <c r="Z538" s="2" t="s">
        <v>72</v>
      </c>
      <c r="AA538" s="13">
        <v>125</v>
      </c>
      <c r="AB538" s="2" t="s">
        <v>107</v>
      </c>
      <c r="AC538" s="2" t="s">
        <v>6773</v>
      </c>
      <c r="AD538" s="27">
        <v>43286</v>
      </c>
      <c r="AL538" s="2" t="s">
        <v>5281</v>
      </c>
    </row>
    <row r="539" spans="1:38" x14ac:dyDescent="0.2">
      <c r="A539" s="2" t="s">
        <v>1775</v>
      </c>
      <c r="B539" s="2" t="s">
        <v>1819</v>
      </c>
      <c r="C539" s="2" t="s">
        <v>1820</v>
      </c>
      <c r="D539" s="2" t="s">
        <v>1821</v>
      </c>
      <c r="E539" s="16">
        <v>1046.0999999999999</v>
      </c>
      <c r="F539" s="16">
        <v>1046.0999999999999</v>
      </c>
      <c r="G539" s="14">
        <v>43289</v>
      </c>
      <c r="H539" s="15">
        <v>7.4016203703700004E-2</v>
      </c>
      <c r="I539" s="14">
        <v>43289</v>
      </c>
      <c r="J539" s="15">
        <v>0.34474537037037001</v>
      </c>
      <c r="K539" s="13">
        <v>0</v>
      </c>
      <c r="L539" s="2" t="s">
        <v>64</v>
      </c>
      <c r="M539" s="2" t="s">
        <v>1909</v>
      </c>
      <c r="N539" s="14">
        <v>43283</v>
      </c>
      <c r="O539" s="14">
        <v>43291</v>
      </c>
      <c r="P539" s="2" t="s">
        <v>91</v>
      </c>
      <c r="Q539" s="2" t="s">
        <v>1823</v>
      </c>
      <c r="R539" s="2" t="s">
        <v>80</v>
      </c>
      <c r="S539" s="14">
        <v>43283</v>
      </c>
      <c r="T539" s="2" t="s">
        <v>6464</v>
      </c>
      <c r="U539" s="2" t="s">
        <v>1244</v>
      </c>
      <c r="V539" s="2" t="s">
        <v>1824</v>
      </c>
      <c r="W539" s="2" t="s">
        <v>70</v>
      </c>
      <c r="X539" s="13">
        <v>161</v>
      </c>
      <c r="Y539" s="2" t="s">
        <v>71</v>
      </c>
      <c r="Z539" s="2" t="s">
        <v>72</v>
      </c>
      <c r="AA539" s="13">
        <v>1000</v>
      </c>
      <c r="AB539" s="2" t="s">
        <v>107</v>
      </c>
      <c r="AC539" s="2" t="s">
        <v>6773</v>
      </c>
      <c r="AD539" s="27">
        <v>43263</v>
      </c>
      <c r="AL539" s="2" t="s">
        <v>5282</v>
      </c>
    </row>
    <row r="540" spans="1:38" x14ac:dyDescent="0.2">
      <c r="A540" s="2" t="s">
        <v>1775</v>
      </c>
      <c r="B540" s="2" t="s">
        <v>1814</v>
      </c>
      <c r="C540" s="2" t="s">
        <v>1815</v>
      </c>
      <c r="D540" s="2" t="s">
        <v>1816</v>
      </c>
      <c r="E540" s="16">
        <v>523.04999999999995</v>
      </c>
      <c r="F540" s="16">
        <v>523.04999999999995</v>
      </c>
      <c r="G540" s="14">
        <v>43289</v>
      </c>
      <c r="H540" s="15">
        <v>0.36557870370369999</v>
      </c>
      <c r="I540" s="14">
        <v>43289</v>
      </c>
      <c r="J540" s="15">
        <v>0.50093750000000004</v>
      </c>
      <c r="K540" s="13">
        <v>0</v>
      </c>
      <c r="L540" s="2" t="s">
        <v>64</v>
      </c>
      <c r="M540" s="2" t="s">
        <v>4445</v>
      </c>
      <c r="N540" s="14">
        <v>43291</v>
      </c>
      <c r="O540" s="14">
        <v>43291</v>
      </c>
      <c r="P540" s="2" t="s">
        <v>459</v>
      </c>
      <c r="Q540" s="2" t="s">
        <v>1817</v>
      </c>
      <c r="R540" s="2" t="s">
        <v>80</v>
      </c>
      <c r="S540" s="14">
        <v>43291</v>
      </c>
      <c r="T540" s="2" t="s">
        <v>6465</v>
      </c>
      <c r="U540" s="2" t="s">
        <v>461</v>
      </c>
      <c r="V540" s="2" t="s">
        <v>1818</v>
      </c>
      <c r="W540" s="2" t="s">
        <v>70</v>
      </c>
      <c r="X540" s="13">
        <v>161</v>
      </c>
      <c r="Y540" s="2" t="s">
        <v>71</v>
      </c>
      <c r="Z540" s="2" t="s">
        <v>72</v>
      </c>
      <c r="AA540" s="13">
        <v>500</v>
      </c>
      <c r="AB540" s="2" t="s">
        <v>107</v>
      </c>
      <c r="AC540" s="2" t="s">
        <v>6773</v>
      </c>
      <c r="AD540" s="27">
        <v>43251</v>
      </c>
      <c r="AI540" s="2" t="s">
        <v>6153</v>
      </c>
      <c r="AL540" s="2" t="s">
        <v>5283</v>
      </c>
    </row>
    <row r="541" spans="1:38" x14ac:dyDescent="0.2">
      <c r="A541" s="2" t="s">
        <v>1775</v>
      </c>
      <c r="B541" s="2" t="s">
        <v>1807</v>
      </c>
      <c r="C541" s="2" t="s">
        <v>1808</v>
      </c>
      <c r="D541" s="2" t="s">
        <v>1809</v>
      </c>
      <c r="E541" s="16">
        <v>523.04999999999995</v>
      </c>
      <c r="F541" s="16">
        <v>523.04999999999995</v>
      </c>
      <c r="G541" s="14">
        <v>43289</v>
      </c>
      <c r="H541" s="15">
        <v>0.52177083333332996</v>
      </c>
      <c r="I541" s="14">
        <v>43289</v>
      </c>
      <c r="J541" s="15">
        <v>0.65712962962962995</v>
      </c>
      <c r="K541" s="13">
        <v>20</v>
      </c>
      <c r="L541" s="2" t="s">
        <v>64</v>
      </c>
      <c r="M541" s="2" t="s">
        <v>4445</v>
      </c>
      <c r="N541" s="14">
        <v>43291</v>
      </c>
      <c r="O541" s="14">
        <v>43291</v>
      </c>
      <c r="P541" s="2" t="s">
        <v>466</v>
      </c>
      <c r="Q541" s="2" t="s">
        <v>1811</v>
      </c>
      <c r="R541" s="2" t="s">
        <v>80</v>
      </c>
      <c r="S541" s="14">
        <v>43291</v>
      </c>
      <c r="T541" s="2" t="s">
        <v>6466</v>
      </c>
      <c r="U541" s="2" t="s">
        <v>1812</v>
      </c>
      <c r="V541" s="2" t="s">
        <v>1813</v>
      </c>
      <c r="W541" s="2" t="s">
        <v>70</v>
      </c>
      <c r="X541" s="13">
        <v>161</v>
      </c>
      <c r="Y541" s="2" t="s">
        <v>71</v>
      </c>
      <c r="Z541" s="2" t="s">
        <v>72</v>
      </c>
      <c r="AA541" s="13">
        <v>500</v>
      </c>
      <c r="AB541" s="2" t="s">
        <v>107</v>
      </c>
      <c r="AC541" s="2" t="s">
        <v>6773</v>
      </c>
      <c r="AD541" s="27">
        <v>43263</v>
      </c>
      <c r="AL541" s="2" t="s">
        <v>5284</v>
      </c>
    </row>
    <row r="542" spans="1:38" x14ac:dyDescent="0.2">
      <c r="A542" s="2" t="s">
        <v>1775</v>
      </c>
      <c r="B542" s="2" t="s">
        <v>1839</v>
      </c>
      <c r="C542" s="2" t="s">
        <v>464</v>
      </c>
      <c r="D542" s="2" t="s">
        <v>465</v>
      </c>
      <c r="E542" s="13">
        <v>100</v>
      </c>
      <c r="F542" s="13">
        <v>100</v>
      </c>
      <c r="G542" s="14">
        <v>43289</v>
      </c>
      <c r="H542" s="15">
        <v>0.79166666666666996</v>
      </c>
      <c r="I542" s="14">
        <v>43289</v>
      </c>
      <c r="J542" s="15">
        <v>0.81754629629630005</v>
      </c>
      <c r="K542" s="13">
        <v>25</v>
      </c>
      <c r="L542" s="2" t="s">
        <v>64</v>
      </c>
      <c r="M542" s="2" t="s">
        <v>1937</v>
      </c>
      <c r="N542" s="14">
        <v>43292</v>
      </c>
      <c r="O542" s="14">
        <v>43291</v>
      </c>
      <c r="P542" s="2" t="s">
        <v>466</v>
      </c>
      <c r="Q542" s="2" t="s">
        <v>6968</v>
      </c>
      <c r="R542" s="2" t="s">
        <v>80</v>
      </c>
      <c r="S542" s="14">
        <v>43292</v>
      </c>
      <c r="T542" s="2" t="s">
        <v>6462</v>
      </c>
      <c r="U542" s="2" t="s">
        <v>468</v>
      </c>
      <c r="V542" s="2" t="s">
        <v>469</v>
      </c>
      <c r="W542" s="2" t="s">
        <v>70</v>
      </c>
      <c r="X542" s="13">
        <v>161</v>
      </c>
      <c r="Y542" s="2" t="s">
        <v>71</v>
      </c>
      <c r="Z542" s="2" t="s">
        <v>72</v>
      </c>
      <c r="AA542" s="13">
        <v>50</v>
      </c>
      <c r="AB542" s="2" t="s">
        <v>107</v>
      </c>
      <c r="AC542" s="2" t="s">
        <v>6773</v>
      </c>
      <c r="AD542" s="27">
        <v>43279</v>
      </c>
      <c r="AL542" s="2" t="s">
        <v>5285</v>
      </c>
    </row>
    <row r="543" spans="1:38" x14ac:dyDescent="0.2">
      <c r="A543" s="2" t="s">
        <v>1775</v>
      </c>
      <c r="B543" s="2" t="s">
        <v>1830</v>
      </c>
      <c r="C543" s="2" t="s">
        <v>1831</v>
      </c>
      <c r="D543" s="2" t="s">
        <v>1832</v>
      </c>
      <c r="E543" s="16">
        <v>523.04999999999995</v>
      </c>
      <c r="F543" s="16">
        <v>523.04999999999995</v>
      </c>
      <c r="G543" s="14">
        <v>43290</v>
      </c>
      <c r="H543" s="15">
        <v>2.0833333333330002E-2</v>
      </c>
      <c r="I543" s="14">
        <v>43290</v>
      </c>
      <c r="J543" s="15">
        <v>0.15619212962963</v>
      </c>
      <c r="K543" s="13">
        <v>20</v>
      </c>
      <c r="L543" s="2" t="s">
        <v>64</v>
      </c>
      <c r="M543" s="2" t="s">
        <v>4445</v>
      </c>
      <c r="N543" s="14">
        <v>43293</v>
      </c>
      <c r="O543" s="14">
        <v>43292</v>
      </c>
      <c r="P543" s="2" t="s">
        <v>466</v>
      </c>
      <c r="Q543" s="2" t="s">
        <v>6969</v>
      </c>
      <c r="R543" s="2" t="s">
        <v>93</v>
      </c>
      <c r="S543" s="14">
        <v>43293</v>
      </c>
      <c r="T543" s="2" t="s">
        <v>6467</v>
      </c>
      <c r="U543" s="2" t="s">
        <v>540</v>
      </c>
      <c r="V543" s="2" t="s">
        <v>1833</v>
      </c>
      <c r="W543" s="2" t="s">
        <v>70</v>
      </c>
      <c r="X543" s="13">
        <v>161</v>
      </c>
      <c r="Y543" s="2" t="s">
        <v>71</v>
      </c>
      <c r="Z543" s="2" t="s">
        <v>72</v>
      </c>
      <c r="AA543" s="13">
        <v>500</v>
      </c>
      <c r="AB543" s="2" t="s">
        <v>107</v>
      </c>
      <c r="AC543" s="2" t="s">
        <v>6773</v>
      </c>
      <c r="AD543" s="27">
        <v>43229</v>
      </c>
      <c r="AL543" s="2" t="s">
        <v>5286</v>
      </c>
    </row>
    <row r="544" spans="1:38" x14ac:dyDescent="0.2">
      <c r="A544" s="2" t="s">
        <v>1775</v>
      </c>
      <c r="B544" s="2" t="s">
        <v>1825</v>
      </c>
      <c r="C544" s="2" t="s">
        <v>1826</v>
      </c>
      <c r="D544" s="2" t="s">
        <v>1827</v>
      </c>
      <c r="E544" s="16">
        <v>1046.0999999999999</v>
      </c>
      <c r="F544" s="16">
        <v>1046.0999999999999</v>
      </c>
      <c r="G544" s="14">
        <v>43290</v>
      </c>
      <c r="H544" s="15">
        <v>0.19785879629629999</v>
      </c>
      <c r="I544" s="14">
        <v>43290</v>
      </c>
      <c r="J544" s="15">
        <v>0.46858796296296001</v>
      </c>
      <c r="K544" s="13">
        <v>0</v>
      </c>
      <c r="L544" s="2" t="s">
        <v>64</v>
      </c>
      <c r="M544" s="2" t="s">
        <v>1909</v>
      </c>
      <c r="N544" s="14">
        <v>43290</v>
      </c>
      <c r="O544" s="14">
        <v>43292</v>
      </c>
      <c r="P544" s="2" t="s">
        <v>1588</v>
      </c>
      <c r="Q544" s="2" t="s">
        <v>1828</v>
      </c>
      <c r="R544" s="2" t="s">
        <v>80</v>
      </c>
      <c r="S544" s="14">
        <v>43291</v>
      </c>
      <c r="T544" s="2" t="s">
        <v>6468</v>
      </c>
      <c r="U544" s="2" t="s">
        <v>1590</v>
      </c>
      <c r="V544" s="2" t="s">
        <v>1829</v>
      </c>
      <c r="W544" s="2" t="s">
        <v>70</v>
      </c>
      <c r="X544" s="13">
        <v>161</v>
      </c>
      <c r="Y544" s="2" t="s">
        <v>71</v>
      </c>
      <c r="Z544" s="2" t="s">
        <v>72</v>
      </c>
      <c r="AA544" s="13">
        <v>1000</v>
      </c>
      <c r="AB544" s="2" t="s">
        <v>107</v>
      </c>
      <c r="AC544" s="2" t="s">
        <v>6773</v>
      </c>
      <c r="AD544" s="27">
        <v>43261</v>
      </c>
      <c r="AI544" s="2" t="s">
        <v>6153</v>
      </c>
      <c r="AL544" s="2" t="s">
        <v>5287</v>
      </c>
    </row>
    <row r="545" spans="1:38" x14ac:dyDescent="0.2">
      <c r="A545" s="2" t="s">
        <v>1775</v>
      </c>
      <c r="B545" s="2" t="s">
        <v>1872</v>
      </c>
      <c r="C545" s="2" t="s">
        <v>1873</v>
      </c>
      <c r="D545" s="2" t="s">
        <v>1874</v>
      </c>
      <c r="E545" s="16">
        <v>679.96500000000003</v>
      </c>
      <c r="F545" s="16">
        <v>679.96500000000003</v>
      </c>
      <c r="G545" s="14">
        <v>43291</v>
      </c>
      <c r="H545" s="15">
        <v>2.0833333333330002E-2</v>
      </c>
      <c r="I545" s="14">
        <v>43291</v>
      </c>
      <c r="J545" s="15">
        <v>0.19680555555556001</v>
      </c>
      <c r="K545" s="13">
        <v>0</v>
      </c>
      <c r="L545" s="2" t="s">
        <v>64</v>
      </c>
      <c r="M545" s="2" t="s">
        <v>4450</v>
      </c>
      <c r="N545" s="14">
        <v>43294</v>
      </c>
      <c r="O545" s="14">
        <v>43293</v>
      </c>
      <c r="P545" s="2" t="s">
        <v>91</v>
      </c>
      <c r="Q545" s="2" t="s">
        <v>1875</v>
      </c>
      <c r="R545" s="2" t="s">
        <v>80</v>
      </c>
      <c r="S545" s="14">
        <v>43294</v>
      </c>
      <c r="T545" s="2" t="s">
        <v>6470</v>
      </c>
      <c r="U545" s="2" t="s">
        <v>1251</v>
      </c>
      <c r="V545" s="2" t="s">
        <v>1876</v>
      </c>
      <c r="W545" s="2" t="s">
        <v>70</v>
      </c>
      <c r="X545" s="13">
        <v>161</v>
      </c>
      <c r="Y545" s="2" t="s">
        <v>71</v>
      </c>
      <c r="Z545" s="2" t="s">
        <v>72</v>
      </c>
      <c r="AA545" s="13">
        <v>650</v>
      </c>
      <c r="AB545" s="2" t="s">
        <v>107</v>
      </c>
      <c r="AC545" s="2" t="s">
        <v>6773</v>
      </c>
      <c r="AD545" s="27">
        <v>43273</v>
      </c>
      <c r="AL545" s="2" t="s">
        <v>5288</v>
      </c>
    </row>
    <row r="546" spans="1:38" x14ac:dyDescent="0.2">
      <c r="A546" s="2" t="s">
        <v>1775</v>
      </c>
      <c r="B546" s="2" t="s">
        <v>1845</v>
      </c>
      <c r="C546" s="2" t="s">
        <v>1826</v>
      </c>
      <c r="D546" s="2" t="s">
        <v>1827</v>
      </c>
      <c r="E546" s="16">
        <v>26.152999999999999</v>
      </c>
      <c r="F546" s="16">
        <v>26.152999999999999</v>
      </c>
      <c r="G546" s="14">
        <v>43291</v>
      </c>
      <c r="H546" s="15">
        <v>0.21763888888888999</v>
      </c>
      <c r="I546" s="14">
        <v>43291</v>
      </c>
      <c r="J546" s="15">
        <v>0.22440972222222</v>
      </c>
      <c r="K546" s="13">
        <v>25</v>
      </c>
      <c r="L546" s="2" t="s">
        <v>64</v>
      </c>
      <c r="M546" s="2" t="s">
        <v>1846</v>
      </c>
      <c r="N546" s="14">
        <v>43292</v>
      </c>
      <c r="O546" s="14">
        <v>43293</v>
      </c>
      <c r="P546" s="2" t="s">
        <v>1588</v>
      </c>
      <c r="Q546" s="2" t="s">
        <v>1847</v>
      </c>
      <c r="R546" s="2" t="s">
        <v>80</v>
      </c>
      <c r="S546" s="14">
        <v>43292</v>
      </c>
      <c r="T546" s="2" t="s">
        <v>6471</v>
      </c>
      <c r="U546" s="2" t="s">
        <v>1590</v>
      </c>
      <c r="V546" s="2" t="s">
        <v>1829</v>
      </c>
      <c r="W546" s="2" t="s">
        <v>70</v>
      </c>
      <c r="X546" s="13">
        <v>161</v>
      </c>
      <c r="Y546" s="2" t="s">
        <v>71</v>
      </c>
      <c r="Z546" s="2" t="s">
        <v>72</v>
      </c>
      <c r="AA546" s="13">
        <v>25</v>
      </c>
      <c r="AB546" s="2" t="s">
        <v>107</v>
      </c>
      <c r="AC546" s="2" t="s">
        <v>6773</v>
      </c>
      <c r="AD546" s="27">
        <v>43280</v>
      </c>
      <c r="AI546" s="2" t="s">
        <v>6153</v>
      </c>
      <c r="AL546" s="2" t="s">
        <v>5289</v>
      </c>
    </row>
    <row r="547" spans="1:38" x14ac:dyDescent="0.2">
      <c r="A547" s="2" t="s">
        <v>1775</v>
      </c>
      <c r="B547" s="2" t="s">
        <v>1848</v>
      </c>
      <c r="C547" s="2" t="s">
        <v>1849</v>
      </c>
      <c r="D547" s="2" t="s">
        <v>1850</v>
      </c>
      <c r="E547" s="13">
        <v>1000</v>
      </c>
      <c r="F547" s="13">
        <v>1000</v>
      </c>
      <c r="G547" s="14">
        <v>43291</v>
      </c>
      <c r="H547" s="15">
        <v>0.31834490740741</v>
      </c>
      <c r="I547" s="14">
        <v>43291</v>
      </c>
      <c r="J547" s="15">
        <v>0.57714120370370003</v>
      </c>
      <c r="K547" s="13">
        <v>20</v>
      </c>
      <c r="L547" s="2" t="s">
        <v>64</v>
      </c>
      <c r="M547" s="2" t="s">
        <v>1822</v>
      </c>
      <c r="N547" s="14">
        <v>43293</v>
      </c>
      <c r="O547" s="14">
        <v>43293</v>
      </c>
      <c r="P547" s="2" t="s">
        <v>91</v>
      </c>
      <c r="Q547" s="2" t="s">
        <v>1851</v>
      </c>
      <c r="R547" s="2" t="s">
        <v>80</v>
      </c>
      <c r="S547" s="14">
        <v>43293</v>
      </c>
      <c r="T547" s="2" t="s">
        <v>6469</v>
      </c>
      <c r="U547" s="2" t="s">
        <v>516</v>
      </c>
      <c r="V547" s="2" t="s">
        <v>1852</v>
      </c>
      <c r="W547" s="2" t="s">
        <v>70</v>
      </c>
      <c r="X547" s="13">
        <v>161</v>
      </c>
      <c r="Y547" s="2" t="s">
        <v>71</v>
      </c>
      <c r="Z547" s="2" t="s">
        <v>72</v>
      </c>
      <c r="AA547" s="13">
        <v>1000</v>
      </c>
      <c r="AB547" s="2" t="s">
        <v>73</v>
      </c>
      <c r="AC547" s="2" t="s">
        <v>6773</v>
      </c>
      <c r="AD547" s="27">
        <v>43259</v>
      </c>
      <c r="AI547" s="2" t="s">
        <v>6153</v>
      </c>
      <c r="AL547" s="2" t="s">
        <v>7241</v>
      </c>
    </row>
    <row r="548" spans="1:38" x14ac:dyDescent="0.2">
      <c r="A548" s="2" t="s">
        <v>1775</v>
      </c>
      <c r="B548" s="2" t="s">
        <v>1840</v>
      </c>
      <c r="C548" s="2" t="s">
        <v>1841</v>
      </c>
      <c r="D548" s="2" t="s">
        <v>1842</v>
      </c>
      <c r="E548" s="13">
        <v>2000</v>
      </c>
      <c r="F548" s="13">
        <v>2000</v>
      </c>
      <c r="G548" s="14">
        <v>43291</v>
      </c>
      <c r="H548" s="15">
        <v>0.79166666666666996</v>
      </c>
      <c r="I548" s="14">
        <v>43292</v>
      </c>
      <c r="J548" s="15">
        <v>0.30925925925926001</v>
      </c>
      <c r="K548" s="13">
        <v>20</v>
      </c>
      <c r="L548" s="2" t="s">
        <v>64</v>
      </c>
      <c r="M548" s="2" t="s">
        <v>1794</v>
      </c>
      <c r="N548" s="14">
        <v>43293</v>
      </c>
      <c r="O548" s="14">
        <v>43294</v>
      </c>
      <c r="P548" s="2" t="s">
        <v>91</v>
      </c>
      <c r="Q548" s="2" t="s">
        <v>1843</v>
      </c>
      <c r="R548" s="2" t="s">
        <v>80</v>
      </c>
      <c r="S548" s="14">
        <v>43293</v>
      </c>
      <c r="T548" s="2" t="s">
        <v>6472</v>
      </c>
      <c r="U548" s="2" t="s">
        <v>516</v>
      </c>
      <c r="V548" s="2" t="s">
        <v>1844</v>
      </c>
      <c r="W548" s="2" t="s">
        <v>70</v>
      </c>
      <c r="X548" s="13">
        <v>161</v>
      </c>
      <c r="Y548" s="2" t="s">
        <v>71</v>
      </c>
      <c r="Z548" s="2" t="s">
        <v>72</v>
      </c>
      <c r="AA548" s="13">
        <v>2000</v>
      </c>
      <c r="AB548" s="2" t="s">
        <v>73</v>
      </c>
      <c r="AC548" s="2" t="s">
        <v>6773</v>
      </c>
      <c r="AD548" s="27">
        <v>43259</v>
      </c>
      <c r="AI548" s="2" t="s">
        <v>6153</v>
      </c>
      <c r="AL548" s="2" t="s">
        <v>7242</v>
      </c>
    </row>
    <row r="549" spans="1:38" x14ac:dyDescent="0.2">
      <c r="A549" s="2" t="s">
        <v>1775</v>
      </c>
      <c r="B549" s="2" t="s">
        <v>1853</v>
      </c>
      <c r="C549" s="2" t="s">
        <v>1854</v>
      </c>
      <c r="D549" s="2" t="s">
        <v>1855</v>
      </c>
      <c r="E549" s="13">
        <v>200</v>
      </c>
      <c r="F549" s="13">
        <v>200</v>
      </c>
      <c r="G549" s="14">
        <v>43292</v>
      </c>
      <c r="H549" s="15">
        <v>0.52689814814814995</v>
      </c>
      <c r="I549" s="14">
        <v>43292</v>
      </c>
      <c r="J549" s="15">
        <v>0.57865740740741001</v>
      </c>
      <c r="K549" s="13">
        <v>0</v>
      </c>
      <c r="L549" s="2" t="s">
        <v>64</v>
      </c>
      <c r="M549" s="2" t="s">
        <v>1856</v>
      </c>
      <c r="N549" s="14">
        <v>43290</v>
      </c>
      <c r="O549" s="14">
        <v>43294</v>
      </c>
      <c r="P549" s="2" t="s">
        <v>1419</v>
      </c>
      <c r="Q549" s="2" t="s">
        <v>1857</v>
      </c>
      <c r="R549" s="2" t="s">
        <v>80</v>
      </c>
      <c r="S549" s="14">
        <v>43290</v>
      </c>
      <c r="T549" s="2" t="s">
        <v>6473</v>
      </c>
      <c r="U549" s="2" t="s">
        <v>484</v>
      </c>
      <c r="V549" s="2" t="s">
        <v>1858</v>
      </c>
      <c r="W549" s="2" t="s">
        <v>70</v>
      </c>
      <c r="X549" s="13">
        <v>161</v>
      </c>
      <c r="Y549" s="2" t="s">
        <v>71</v>
      </c>
      <c r="Z549" s="2" t="s">
        <v>72</v>
      </c>
      <c r="AA549" s="13">
        <v>200</v>
      </c>
      <c r="AB549" s="2" t="s">
        <v>73</v>
      </c>
      <c r="AC549" s="2" t="s">
        <v>6773</v>
      </c>
      <c r="AD549" s="27">
        <v>43262</v>
      </c>
      <c r="AL549" s="2" t="s">
        <v>5290</v>
      </c>
    </row>
    <row r="550" spans="1:38" x14ac:dyDescent="0.2">
      <c r="A550" s="2" t="s">
        <v>1775</v>
      </c>
      <c r="B550" s="2" t="s">
        <v>1923</v>
      </c>
      <c r="C550" s="2" t="s">
        <v>1924</v>
      </c>
      <c r="D550" s="2" t="s">
        <v>1925</v>
      </c>
      <c r="E550" s="13">
        <v>500</v>
      </c>
      <c r="F550" s="13">
        <v>500</v>
      </c>
      <c r="G550" s="14">
        <v>43292</v>
      </c>
      <c r="H550" s="15">
        <v>0.59949074074074005</v>
      </c>
      <c r="I550" s="14">
        <v>43292</v>
      </c>
      <c r="J550" s="15">
        <v>0.72888888888889003</v>
      </c>
      <c r="K550" s="13">
        <v>20</v>
      </c>
      <c r="L550" s="2" t="s">
        <v>64</v>
      </c>
      <c r="M550" s="2" t="s">
        <v>1810</v>
      </c>
      <c r="N550" s="14">
        <v>43298</v>
      </c>
      <c r="O550" s="14">
        <v>43294</v>
      </c>
      <c r="P550" s="2" t="s">
        <v>91</v>
      </c>
      <c r="Q550" s="2" t="s">
        <v>1926</v>
      </c>
      <c r="R550" s="2" t="s">
        <v>80</v>
      </c>
      <c r="S550" s="14">
        <v>43298</v>
      </c>
      <c r="T550" s="2" t="s">
        <v>6474</v>
      </c>
      <c r="U550" s="2" t="s">
        <v>495</v>
      </c>
      <c r="V550" s="2" t="s">
        <v>1927</v>
      </c>
      <c r="W550" s="2" t="s">
        <v>98</v>
      </c>
      <c r="X550" s="13">
        <v>161</v>
      </c>
      <c r="Y550" s="2" t="s">
        <v>71</v>
      </c>
      <c r="Z550" s="2" t="s">
        <v>72</v>
      </c>
      <c r="AA550" s="13">
        <v>500</v>
      </c>
      <c r="AB550" s="2" t="s">
        <v>73</v>
      </c>
      <c r="AC550" s="2" t="s">
        <v>6773</v>
      </c>
      <c r="AD550" s="27">
        <v>43271</v>
      </c>
      <c r="AL550" s="2" t="s">
        <v>5291</v>
      </c>
    </row>
    <row r="551" spans="1:38" x14ac:dyDescent="0.2">
      <c r="A551" s="2" t="s">
        <v>1775</v>
      </c>
      <c r="B551" s="2" t="s">
        <v>1866</v>
      </c>
      <c r="C551" s="2" t="s">
        <v>1867</v>
      </c>
      <c r="D551" s="2" t="s">
        <v>1868</v>
      </c>
      <c r="E551" s="13">
        <v>500</v>
      </c>
      <c r="F551" s="13">
        <v>500</v>
      </c>
      <c r="G551" s="14">
        <v>43292</v>
      </c>
      <c r="H551" s="15">
        <v>0.74972222222221996</v>
      </c>
      <c r="I551" s="14">
        <v>43292</v>
      </c>
      <c r="J551" s="15">
        <v>0.87912037037037005</v>
      </c>
      <c r="K551" s="13">
        <v>0</v>
      </c>
      <c r="L551" s="2" t="s">
        <v>64</v>
      </c>
      <c r="M551" s="2" t="s">
        <v>1810</v>
      </c>
      <c r="N551" s="14">
        <v>43293</v>
      </c>
      <c r="O551" s="14">
        <v>43294</v>
      </c>
      <c r="P551" s="2" t="s">
        <v>1682</v>
      </c>
      <c r="Q551" s="2" t="s">
        <v>1869</v>
      </c>
      <c r="R551" s="2" t="s">
        <v>80</v>
      </c>
      <c r="S551" s="14">
        <v>43293</v>
      </c>
      <c r="T551" s="2" t="s">
        <v>6475</v>
      </c>
      <c r="U551" s="2" t="s">
        <v>1870</v>
      </c>
      <c r="V551" s="2" t="s">
        <v>1871</v>
      </c>
      <c r="W551" s="2" t="s">
        <v>70</v>
      </c>
      <c r="X551" s="13">
        <v>161</v>
      </c>
      <c r="Y551" s="2" t="s">
        <v>71</v>
      </c>
      <c r="Z551" s="2" t="s">
        <v>72</v>
      </c>
      <c r="AA551" s="13">
        <v>500</v>
      </c>
      <c r="AB551" s="2" t="s">
        <v>73</v>
      </c>
      <c r="AC551" s="2" t="s">
        <v>6773</v>
      </c>
      <c r="AD551" s="27">
        <v>43259</v>
      </c>
      <c r="AI551" s="2" t="s">
        <v>6153</v>
      </c>
      <c r="AL551" s="2" t="s">
        <v>5292</v>
      </c>
    </row>
    <row r="552" spans="1:38" x14ac:dyDescent="0.2">
      <c r="A552" s="2" t="s">
        <v>1775</v>
      </c>
      <c r="B552" s="2" t="s">
        <v>1918</v>
      </c>
      <c r="C552" s="2" t="s">
        <v>1919</v>
      </c>
      <c r="D552" s="2" t="s">
        <v>1920</v>
      </c>
      <c r="E552" s="13">
        <v>500</v>
      </c>
      <c r="F552" s="13">
        <v>500</v>
      </c>
      <c r="G552" s="14">
        <v>43292</v>
      </c>
      <c r="H552" s="15">
        <v>0.95833333333333004</v>
      </c>
      <c r="I552" s="14">
        <v>43293</v>
      </c>
      <c r="J552" s="15">
        <v>8.7731481481479995E-2</v>
      </c>
      <c r="K552" s="13">
        <v>20</v>
      </c>
      <c r="L552" s="2" t="s">
        <v>64</v>
      </c>
      <c r="M552" s="2" t="s">
        <v>1810</v>
      </c>
      <c r="N552" s="14">
        <v>43297</v>
      </c>
      <c r="O552" s="14">
        <v>43295</v>
      </c>
      <c r="P552" s="2" t="s">
        <v>1682</v>
      </c>
      <c r="Q552" s="2" t="s">
        <v>1921</v>
      </c>
      <c r="R552" s="2" t="s">
        <v>80</v>
      </c>
      <c r="S552" s="14">
        <v>43297</v>
      </c>
      <c r="T552" s="2" t="s">
        <v>6476</v>
      </c>
      <c r="U552" s="2" t="s">
        <v>1870</v>
      </c>
      <c r="V552" s="2" t="s">
        <v>1922</v>
      </c>
      <c r="W552" s="2" t="s">
        <v>70</v>
      </c>
      <c r="X552" s="13">
        <v>161</v>
      </c>
      <c r="Y552" s="2" t="s">
        <v>71</v>
      </c>
      <c r="Z552" s="2" t="s">
        <v>72</v>
      </c>
      <c r="AA552" s="13">
        <v>500</v>
      </c>
      <c r="AB552" s="2" t="s">
        <v>73</v>
      </c>
      <c r="AC552" s="2" t="s">
        <v>6773</v>
      </c>
      <c r="AD552" s="27">
        <v>43258</v>
      </c>
      <c r="AL552" s="2" t="s">
        <v>5293</v>
      </c>
    </row>
    <row r="553" spans="1:38" x14ac:dyDescent="0.2">
      <c r="A553" s="2" t="s">
        <v>1775</v>
      </c>
      <c r="B553" s="2" t="s">
        <v>1882</v>
      </c>
      <c r="C553" s="2" t="s">
        <v>1241</v>
      </c>
      <c r="D553" s="2" t="s">
        <v>1242</v>
      </c>
      <c r="E553" s="13">
        <v>350</v>
      </c>
      <c r="F553" s="13">
        <v>350</v>
      </c>
      <c r="G553" s="14">
        <v>43293</v>
      </c>
      <c r="H553" s="15">
        <v>0.125</v>
      </c>
      <c r="I553" s="14">
        <v>43293</v>
      </c>
      <c r="J553" s="15">
        <v>0.2155787037037</v>
      </c>
      <c r="K553" s="13">
        <v>20</v>
      </c>
      <c r="L553" s="2" t="s">
        <v>64</v>
      </c>
      <c r="M553" s="2" t="s">
        <v>1883</v>
      </c>
      <c r="N553" s="14">
        <v>43292</v>
      </c>
      <c r="O553" s="14">
        <v>43293</v>
      </c>
      <c r="P553" s="2" t="s">
        <v>91</v>
      </c>
      <c r="Q553" s="2" t="s">
        <v>1884</v>
      </c>
      <c r="R553" s="2" t="s">
        <v>80</v>
      </c>
      <c r="S553" s="14">
        <v>43292</v>
      </c>
      <c r="T553" s="2" t="s">
        <v>6477</v>
      </c>
      <c r="U553" s="2" t="s">
        <v>1244</v>
      </c>
      <c r="V553" s="2" t="s">
        <v>1245</v>
      </c>
      <c r="W553" s="2" t="s">
        <v>98</v>
      </c>
      <c r="X553" s="13">
        <v>161</v>
      </c>
      <c r="Y553" s="2" t="s">
        <v>71</v>
      </c>
      <c r="Z553" s="2" t="s">
        <v>72</v>
      </c>
      <c r="AA553" s="13">
        <v>350</v>
      </c>
      <c r="AB553" s="2" t="s">
        <v>73</v>
      </c>
      <c r="AC553" s="2" t="s">
        <v>6773</v>
      </c>
      <c r="AD553" s="27">
        <v>43250</v>
      </c>
      <c r="AL553" s="2" t="s">
        <v>5294</v>
      </c>
    </row>
    <row r="554" spans="1:38" x14ac:dyDescent="0.2">
      <c r="A554" s="2" t="s">
        <v>1775</v>
      </c>
      <c r="B554" s="2" t="s">
        <v>1900</v>
      </c>
      <c r="C554" s="2" t="s">
        <v>1901</v>
      </c>
      <c r="D554" s="2" t="s">
        <v>1902</v>
      </c>
      <c r="E554" s="13">
        <v>25</v>
      </c>
      <c r="F554" s="13">
        <v>25</v>
      </c>
      <c r="G554" s="14">
        <v>43293</v>
      </c>
      <c r="H554" s="15">
        <v>0.33333333333332998</v>
      </c>
      <c r="I554" s="14">
        <v>43293</v>
      </c>
      <c r="J554" s="15">
        <v>0.33980324074073998</v>
      </c>
      <c r="K554" s="13">
        <v>0</v>
      </c>
      <c r="L554" s="2" t="s">
        <v>64</v>
      </c>
      <c r="M554" s="2" t="s">
        <v>1903</v>
      </c>
      <c r="N554" s="14">
        <v>43301</v>
      </c>
      <c r="O554" s="14">
        <v>43295</v>
      </c>
      <c r="P554" s="2" t="s">
        <v>91</v>
      </c>
      <c r="Q554" s="2" t="s">
        <v>1904</v>
      </c>
      <c r="R554" s="2" t="s">
        <v>80</v>
      </c>
      <c r="S554" s="14">
        <v>43301</v>
      </c>
      <c r="T554" s="2" t="s">
        <v>6478</v>
      </c>
      <c r="U554" s="2" t="s">
        <v>1905</v>
      </c>
      <c r="V554" s="2" t="s">
        <v>407</v>
      </c>
      <c r="W554" s="2" t="s">
        <v>70</v>
      </c>
      <c r="X554" s="13">
        <v>161</v>
      </c>
      <c r="Y554" s="2" t="s">
        <v>71</v>
      </c>
      <c r="Z554" s="2" t="s">
        <v>72</v>
      </c>
      <c r="AA554" s="13">
        <v>25</v>
      </c>
      <c r="AB554" s="2" t="s">
        <v>73</v>
      </c>
      <c r="AC554" s="2" t="s">
        <v>6773</v>
      </c>
      <c r="AD554" s="27">
        <v>43238</v>
      </c>
      <c r="AI554" s="2" t="s">
        <v>6153</v>
      </c>
      <c r="AL554" s="2" t="s">
        <v>5295</v>
      </c>
    </row>
    <row r="555" spans="1:38" x14ac:dyDescent="0.2">
      <c r="A555" s="2" t="s">
        <v>1775</v>
      </c>
      <c r="B555" s="2" t="s">
        <v>1934</v>
      </c>
      <c r="C555" s="2" t="s">
        <v>1935</v>
      </c>
      <c r="D555" s="2" t="s">
        <v>1936</v>
      </c>
      <c r="E555" s="13">
        <v>100</v>
      </c>
      <c r="F555" s="13">
        <v>100</v>
      </c>
      <c r="G555" s="14">
        <v>43293</v>
      </c>
      <c r="H555" s="15">
        <v>0.45833333333332998</v>
      </c>
      <c r="I555" s="14">
        <v>43293</v>
      </c>
      <c r="J555" s="15">
        <v>0.48421296296296001</v>
      </c>
      <c r="K555" s="13">
        <v>0</v>
      </c>
      <c r="L555" s="2" t="s">
        <v>64</v>
      </c>
      <c r="M555" s="2" t="s">
        <v>1937</v>
      </c>
      <c r="N555" s="14">
        <v>43298</v>
      </c>
      <c r="O555" s="14">
        <v>43295</v>
      </c>
      <c r="P555" s="2" t="s">
        <v>91</v>
      </c>
      <c r="Q555" s="2" t="s">
        <v>1938</v>
      </c>
      <c r="R555" s="2" t="s">
        <v>80</v>
      </c>
      <c r="S555" s="14">
        <v>43298</v>
      </c>
      <c r="T555" s="2" t="s">
        <v>6479</v>
      </c>
      <c r="U555" s="2" t="s">
        <v>1216</v>
      </c>
      <c r="V555" s="2" t="s">
        <v>1939</v>
      </c>
      <c r="W555" s="2" t="s">
        <v>98</v>
      </c>
      <c r="X555" s="13">
        <v>161</v>
      </c>
      <c r="Y555" s="2" t="s">
        <v>71</v>
      </c>
      <c r="Z555" s="2" t="s">
        <v>72</v>
      </c>
      <c r="AA555" s="13">
        <v>100</v>
      </c>
      <c r="AB555" s="2" t="s">
        <v>73</v>
      </c>
      <c r="AC555" s="2" t="s">
        <v>6773</v>
      </c>
      <c r="AD555" s="27">
        <v>43270</v>
      </c>
      <c r="AL555" s="2" t="s">
        <v>5296</v>
      </c>
    </row>
    <row r="556" spans="1:38" x14ac:dyDescent="0.2">
      <c r="A556" s="2" t="s">
        <v>1775</v>
      </c>
      <c r="B556" s="2" t="s">
        <v>1890</v>
      </c>
      <c r="C556" s="2" t="s">
        <v>1891</v>
      </c>
      <c r="D556" s="2" t="s">
        <v>1892</v>
      </c>
      <c r="E556" s="13">
        <v>2000</v>
      </c>
      <c r="F556" s="13">
        <v>2000</v>
      </c>
      <c r="G556" s="14">
        <v>43293</v>
      </c>
      <c r="H556" s="15">
        <v>0.875</v>
      </c>
      <c r="I556" s="14">
        <v>43294</v>
      </c>
      <c r="J556" s="15">
        <v>0.39259259259259</v>
      </c>
      <c r="K556" s="13">
        <v>0</v>
      </c>
      <c r="L556" s="2" t="s">
        <v>64</v>
      </c>
      <c r="M556" s="2" t="s">
        <v>1794</v>
      </c>
      <c r="N556" s="14">
        <v>43290</v>
      </c>
      <c r="O556" s="14">
        <v>43296</v>
      </c>
      <c r="P556" s="2" t="s">
        <v>91</v>
      </c>
      <c r="Q556" s="2" t="s">
        <v>1893</v>
      </c>
      <c r="R556" s="2" t="s">
        <v>80</v>
      </c>
      <c r="S556" s="14">
        <v>43290</v>
      </c>
      <c r="T556" s="2" t="s">
        <v>6480</v>
      </c>
      <c r="U556" s="2" t="s">
        <v>280</v>
      </c>
      <c r="V556" s="2" t="s">
        <v>1894</v>
      </c>
      <c r="W556" s="2" t="s">
        <v>70</v>
      </c>
      <c r="X556" s="13">
        <v>161</v>
      </c>
      <c r="Y556" s="2" t="s">
        <v>71</v>
      </c>
      <c r="Z556" s="2" t="s">
        <v>72</v>
      </c>
      <c r="AA556" s="13">
        <v>2000</v>
      </c>
      <c r="AB556" s="2" t="s">
        <v>73</v>
      </c>
      <c r="AC556" s="2" t="s">
        <v>6773</v>
      </c>
      <c r="AD556" s="27">
        <v>43262</v>
      </c>
      <c r="AI556" s="2" t="s">
        <v>6153</v>
      </c>
      <c r="AL556" s="2" t="s">
        <v>5297</v>
      </c>
    </row>
    <row r="557" spans="1:38" x14ac:dyDescent="0.2">
      <c r="A557" s="2" t="s">
        <v>1775</v>
      </c>
      <c r="B557" s="2" t="s">
        <v>4451</v>
      </c>
      <c r="C557" s="2" t="s">
        <v>1930</v>
      </c>
      <c r="D557" s="2" t="s">
        <v>1931</v>
      </c>
      <c r="E557" s="16">
        <v>2092.1999999999998</v>
      </c>
      <c r="F557" s="16">
        <v>2092.1999999999998</v>
      </c>
      <c r="G557" s="14">
        <v>43294</v>
      </c>
      <c r="H557" s="15">
        <v>0.5</v>
      </c>
      <c r="I557" s="14">
        <v>43295</v>
      </c>
      <c r="J557" s="15">
        <v>4.1458333333330002E-2</v>
      </c>
      <c r="K557" s="13">
        <v>0</v>
      </c>
      <c r="L557" s="2" t="s">
        <v>64</v>
      </c>
      <c r="M557" s="2" t="s">
        <v>1803</v>
      </c>
      <c r="N557" s="14">
        <v>43297</v>
      </c>
      <c r="O557" s="14">
        <v>43297</v>
      </c>
      <c r="P557" s="2" t="s">
        <v>1745</v>
      </c>
      <c r="Q557" s="2" t="s">
        <v>1932</v>
      </c>
      <c r="R557" s="2" t="s">
        <v>80</v>
      </c>
      <c r="S557" s="14">
        <v>43297</v>
      </c>
      <c r="T557" s="2" t="s">
        <v>6481</v>
      </c>
      <c r="U557" s="2" t="s">
        <v>1590</v>
      </c>
      <c r="V557" s="2" t="s">
        <v>1933</v>
      </c>
      <c r="W557" s="2" t="s">
        <v>70</v>
      </c>
      <c r="X557" s="13">
        <v>161</v>
      </c>
      <c r="Y557" s="2" t="s">
        <v>71</v>
      </c>
      <c r="Z557" s="2" t="s">
        <v>72</v>
      </c>
      <c r="AA557" s="13">
        <v>2000</v>
      </c>
      <c r="AB557" s="2" t="s">
        <v>73</v>
      </c>
      <c r="AC557" s="2" t="s">
        <v>6773</v>
      </c>
      <c r="AD557" s="27">
        <v>43287</v>
      </c>
      <c r="AI557" s="2" t="s">
        <v>6153</v>
      </c>
      <c r="AL557" s="2" t="s">
        <v>5298</v>
      </c>
    </row>
    <row r="558" spans="1:38" x14ac:dyDescent="0.2">
      <c r="A558" s="2" t="s">
        <v>1775</v>
      </c>
      <c r="B558" s="2" t="s">
        <v>1940</v>
      </c>
      <c r="C558" s="2" t="s">
        <v>1941</v>
      </c>
      <c r="D558" s="2" t="s">
        <v>1942</v>
      </c>
      <c r="E558" s="16">
        <v>1054.4000000000001</v>
      </c>
      <c r="F558" s="16">
        <v>1054.4000000000001</v>
      </c>
      <c r="G558" s="14">
        <v>43295</v>
      </c>
      <c r="H558" s="15">
        <v>0.125</v>
      </c>
      <c r="I558" s="14">
        <v>43295</v>
      </c>
      <c r="J558" s="15">
        <v>0.39788194444444003</v>
      </c>
      <c r="K558" s="13">
        <v>20</v>
      </c>
      <c r="L558" s="2" t="s">
        <v>64</v>
      </c>
      <c r="M558" s="2" t="s">
        <v>1928</v>
      </c>
      <c r="N558" s="14">
        <v>43301</v>
      </c>
      <c r="O558" s="14">
        <v>43297</v>
      </c>
      <c r="P558" s="2" t="s">
        <v>1943</v>
      </c>
      <c r="Q558" s="2" t="s">
        <v>1944</v>
      </c>
      <c r="R558" s="2" t="s">
        <v>80</v>
      </c>
      <c r="S558" s="14">
        <v>43301</v>
      </c>
      <c r="T558" s="2" t="s">
        <v>6482</v>
      </c>
      <c r="U558" s="2" t="s">
        <v>1945</v>
      </c>
      <c r="V558" s="2" t="s">
        <v>1946</v>
      </c>
      <c r="W558" s="2" t="s">
        <v>70</v>
      </c>
      <c r="X558" s="13">
        <v>161</v>
      </c>
      <c r="Y558" s="2" t="s">
        <v>71</v>
      </c>
      <c r="Z558" s="2" t="s">
        <v>72</v>
      </c>
      <c r="AA558" s="13">
        <v>1000</v>
      </c>
      <c r="AB558" s="2" t="s">
        <v>73</v>
      </c>
      <c r="AC558" s="2" t="s">
        <v>6773</v>
      </c>
      <c r="AD558" s="27">
        <v>43276</v>
      </c>
      <c r="AI558" s="2" t="s">
        <v>6153</v>
      </c>
      <c r="AL558" s="2" t="s">
        <v>5299</v>
      </c>
    </row>
    <row r="559" spans="1:38" x14ac:dyDescent="0.2">
      <c r="A559" s="2" t="s">
        <v>1775</v>
      </c>
      <c r="B559" s="2" t="s">
        <v>3104</v>
      </c>
      <c r="C559" s="2" t="s">
        <v>2010</v>
      </c>
      <c r="D559" s="2" t="s">
        <v>2011</v>
      </c>
      <c r="E559" s="16">
        <v>523.04999999999995</v>
      </c>
      <c r="F559" s="16">
        <v>523.04999999999995</v>
      </c>
      <c r="G559" s="14">
        <v>43295</v>
      </c>
      <c r="H559" s="15">
        <v>0.58333333333333004</v>
      </c>
      <c r="I559" s="14">
        <v>43295</v>
      </c>
      <c r="J559" s="15">
        <v>0.71870370370369996</v>
      </c>
      <c r="K559" s="13">
        <v>20</v>
      </c>
      <c r="L559" s="2" t="s">
        <v>64</v>
      </c>
      <c r="M559" s="2" t="s">
        <v>2037</v>
      </c>
      <c r="N559" s="14">
        <v>43299</v>
      </c>
      <c r="O559" s="14">
        <v>43297</v>
      </c>
      <c r="P559" s="2" t="s">
        <v>478</v>
      </c>
      <c r="Q559" s="2" t="s">
        <v>3105</v>
      </c>
      <c r="R559" s="2" t="s">
        <v>80</v>
      </c>
      <c r="S559" s="14">
        <v>43299</v>
      </c>
      <c r="T559" s="2" t="s">
        <v>6483</v>
      </c>
      <c r="U559" s="2" t="s">
        <v>540</v>
      </c>
      <c r="V559" s="2" t="s">
        <v>163</v>
      </c>
      <c r="W559" s="2" t="s">
        <v>70</v>
      </c>
      <c r="X559" s="13">
        <v>161</v>
      </c>
      <c r="Y559" s="2" t="s">
        <v>71</v>
      </c>
      <c r="Z559" s="2" t="s">
        <v>72</v>
      </c>
      <c r="AA559" s="13">
        <v>500</v>
      </c>
      <c r="AB559" s="2" t="s">
        <v>73</v>
      </c>
      <c r="AC559" s="2" t="s">
        <v>6773</v>
      </c>
      <c r="AD559" s="27">
        <v>43271</v>
      </c>
      <c r="AL559" s="2" t="s">
        <v>5300</v>
      </c>
    </row>
    <row r="560" spans="1:38" x14ac:dyDescent="0.2">
      <c r="A560" s="2" t="s">
        <v>1775</v>
      </c>
      <c r="B560" s="2" t="s">
        <v>1947</v>
      </c>
      <c r="C560" s="2" t="s">
        <v>1948</v>
      </c>
      <c r="D560" s="2" t="s">
        <v>1949</v>
      </c>
      <c r="E560" s="13">
        <v>300</v>
      </c>
      <c r="F560" s="13">
        <v>300</v>
      </c>
      <c r="G560" s="14">
        <v>43295</v>
      </c>
      <c r="H560" s="15">
        <v>0.875</v>
      </c>
      <c r="I560" s="14">
        <v>43295</v>
      </c>
      <c r="J560" s="15">
        <v>0.95263888888889003</v>
      </c>
      <c r="K560" s="13">
        <v>0</v>
      </c>
      <c r="L560" s="2" t="s">
        <v>64</v>
      </c>
      <c r="M560" s="2" t="s">
        <v>1789</v>
      </c>
      <c r="N560" s="14">
        <v>43300</v>
      </c>
      <c r="O560" s="14">
        <v>43297</v>
      </c>
      <c r="P560" s="2" t="s">
        <v>91</v>
      </c>
      <c r="Q560" s="2" t="s">
        <v>1950</v>
      </c>
      <c r="R560" s="2" t="s">
        <v>80</v>
      </c>
      <c r="S560" s="14">
        <v>43300</v>
      </c>
      <c r="T560" s="2" t="s">
        <v>6484</v>
      </c>
      <c r="U560" s="2" t="s">
        <v>484</v>
      </c>
      <c r="V560" s="2" t="s">
        <v>1951</v>
      </c>
      <c r="W560" s="2" t="s">
        <v>70</v>
      </c>
      <c r="X560" s="13">
        <v>161</v>
      </c>
      <c r="Y560" s="2" t="s">
        <v>71</v>
      </c>
      <c r="Z560" s="2" t="s">
        <v>72</v>
      </c>
      <c r="AA560" s="13">
        <v>300</v>
      </c>
      <c r="AB560" s="2" t="s">
        <v>73</v>
      </c>
      <c r="AC560" s="2" t="s">
        <v>6773</v>
      </c>
      <c r="AD560" s="27">
        <v>43271</v>
      </c>
      <c r="AL560" s="2" t="s">
        <v>5301</v>
      </c>
    </row>
    <row r="561" spans="1:38" hidden="1" x14ac:dyDescent="0.2">
      <c r="A561" s="2" t="s">
        <v>1775</v>
      </c>
      <c r="B561" s="2" t="s">
        <v>1912</v>
      </c>
      <c r="C561" s="2" t="s">
        <v>1913</v>
      </c>
      <c r="D561" s="2" t="s">
        <v>1914</v>
      </c>
      <c r="E561" s="13">
        <v>500</v>
      </c>
      <c r="F561" s="13">
        <v>500</v>
      </c>
      <c r="G561" s="14">
        <v>43296</v>
      </c>
      <c r="H561" s="15">
        <v>4.1666666666670002E-2</v>
      </c>
      <c r="I561" s="14">
        <v>43296</v>
      </c>
      <c r="J561" s="15">
        <v>0.17106481481481001</v>
      </c>
      <c r="K561" s="13">
        <v>0</v>
      </c>
      <c r="L561" s="2" t="s">
        <v>64</v>
      </c>
      <c r="M561" s="2" t="s">
        <v>1810</v>
      </c>
      <c r="N561" s="14">
        <v>43297</v>
      </c>
      <c r="O561" s="14">
        <v>43298</v>
      </c>
      <c r="P561" s="2" t="s">
        <v>1915</v>
      </c>
      <c r="Q561" s="2" t="s">
        <v>1916</v>
      </c>
      <c r="R561" s="2" t="s">
        <v>80</v>
      </c>
      <c r="S561" s="14">
        <v>43297</v>
      </c>
      <c r="T561" s="2" t="s">
        <v>6485</v>
      </c>
      <c r="U561" s="2" t="s">
        <v>1905</v>
      </c>
      <c r="V561" s="2" t="s">
        <v>1917</v>
      </c>
      <c r="W561" s="2" t="s">
        <v>70</v>
      </c>
      <c r="X561" s="13">
        <v>161</v>
      </c>
      <c r="Y561" s="2" t="s">
        <v>71</v>
      </c>
      <c r="Z561" s="2" t="s">
        <v>72</v>
      </c>
      <c r="AA561" s="13">
        <v>500</v>
      </c>
      <c r="AB561" s="2" t="s">
        <v>73</v>
      </c>
      <c r="AC561" s="2" t="s">
        <v>6773</v>
      </c>
      <c r="AD561" s="27">
        <v>43270</v>
      </c>
      <c r="AI561" s="2" t="s">
        <v>6153</v>
      </c>
      <c r="AL561" s="2" t="s">
        <v>5302</v>
      </c>
    </row>
    <row r="562" spans="1:38" hidden="1" x14ac:dyDescent="0.2">
      <c r="A562" s="2" t="s">
        <v>1775</v>
      </c>
      <c r="B562" s="2" t="s">
        <v>1885</v>
      </c>
      <c r="C562" s="2" t="s">
        <v>1886</v>
      </c>
      <c r="D562" s="2" t="s">
        <v>1887</v>
      </c>
      <c r="E562" s="13">
        <v>300</v>
      </c>
      <c r="F562" s="13">
        <v>300</v>
      </c>
      <c r="G562" s="14">
        <v>43296</v>
      </c>
      <c r="H562" s="15">
        <v>0.29166666666667002</v>
      </c>
      <c r="I562" s="14">
        <v>43296</v>
      </c>
      <c r="J562" s="15">
        <v>0.36930555555555999</v>
      </c>
      <c r="K562" s="13">
        <v>20</v>
      </c>
      <c r="L562" s="2" t="s">
        <v>64</v>
      </c>
      <c r="M562" s="2" t="s">
        <v>1789</v>
      </c>
      <c r="N562" s="14">
        <v>43292</v>
      </c>
      <c r="O562" s="14">
        <v>43296</v>
      </c>
      <c r="P562" s="2" t="s">
        <v>91</v>
      </c>
      <c r="Q562" s="2" t="s">
        <v>1888</v>
      </c>
      <c r="R562" s="2" t="s">
        <v>80</v>
      </c>
      <c r="S562" s="14">
        <v>43292</v>
      </c>
      <c r="T562" s="2" t="s">
        <v>6486</v>
      </c>
      <c r="U562" s="2" t="s">
        <v>1244</v>
      </c>
      <c r="V562" s="2" t="s">
        <v>1889</v>
      </c>
      <c r="W562" s="2" t="s">
        <v>98</v>
      </c>
      <c r="X562" s="13">
        <v>161</v>
      </c>
      <c r="Y562" s="2" t="s">
        <v>71</v>
      </c>
      <c r="Z562" s="2" t="s">
        <v>72</v>
      </c>
      <c r="AA562" s="13">
        <v>300</v>
      </c>
      <c r="AB562" s="2" t="s">
        <v>73</v>
      </c>
      <c r="AC562" s="2" t="s">
        <v>6773</v>
      </c>
      <c r="AD562" s="27">
        <v>43251</v>
      </c>
      <c r="AI562" s="2" t="s">
        <v>6153</v>
      </c>
      <c r="AL562" s="2" t="s">
        <v>5303</v>
      </c>
    </row>
    <row r="563" spans="1:38" hidden="1" x14ac:dyDescent="0.2">
      <c r="A563" s="2" t="s">
        <v>1775</v>
      </c>
      <c r="B563" s="2" t="s">
        <v>1895</v>
      </c>
      <c r="C563" s="2" t="s">
        <v>1896</v>
      </c>
      <c r="D563" s="2" t="s">
        <v>1897</v>
      </c>
      <c r="E563" s="13">
        <v>1000</v>
      </c>
      <c r="F563" s="13">
        <v>1000</v>
      </c>
      <c r="G563" s="14">
        <v>43296</v>
      </c>
      <c r="H563" s="15">
        <v>0.45833333333332998</v>
      </c>
      <c r="I563" s="14">
        <v>43296</v>
      </c>
      <c r="J563" s="15">
        <v>0.71712962962963001</v>
      </c>
      <c r="K563" s="13">
        <v>0</v>
      </c>
      <c r="L563" s="2" t="s">
        <v>64</v>
      </c>
      <c r="M563" s="2" t="s">
        <v>1822</v>
      </c>
      <c r="N563" s="14">
        <v>43299</v>
      </c>
      <c r="O563" s="14">
        <v>43298</v>
      </c>
      <c r="P563" s="2" t="s">
        <v>91</v>
      </c>
      <c r="Q563" s="2" t="s">
        <v>1898</v>
      </c>
      <c r="R563" s="2" t="s">
        <v>80</v>
      </c>
      <c r="S563" s="14">
        <v>43299</v>
      </c>
      <c r="T563" s="2" t="s">
        <v>6487</v>
      </c>
      <c r="U563" s="2" t="s">
        <v>280</v>
      </c>
      <c r="V563" s="2" t="s">
        <v>1899</v>
      </c>
      <c r="W563" s="2" t="s">
        <v>70</v>
      </c>
      <c r="X563" s="13">
        <v>161</v>
      </c>
      <c r="Y563" s="2" t="s">
        <v>71</v>
      </c>
      <c r="Z563" s="2" t="s">
        <v>72</v>
      </c>
      <c r="AA563" s="13">
        <v>1000</v>
      </c>
      <c r="AB563" s="2" t="s">
        <v>73</v>
      </c>
      <c r="AC563" s="2" t="s">
        <v>6773</v>
      </c>
      <c r="AD563" s="27">
        <v>43249</v>
      </c>
      <c r="AI563" s="2" t="s">
        <v>6153</v>
      </c>
      <c r="AL563" s="2" t="s">
        <v>5304</v>
      </c>
    </row>
    <row r="564" spans="1:38" hidden="1" x14ac:dyDescent="0.2">
      <c r="A564" s="2" t="s">
        <v>1775</v>
      </c>
      <c r="B564" s="2" t="s">
        <v>4452</v>
      </c>
      <c r="C564" s="2" t="s">
        <v>4453</v>
      </c>
      <c r="D564" s="2" t="s">
        <v>4454</v>
      </c>
      <c r="E564" s="16">
        <v>26.152000000000001</v>
      </c>
      <c r="F564" s="16">
        <v>26.152000000000001</v>
      </c>
      <c r="G564" s="14">
        <v>43296</v>
      </c>
      <c r="H564" s="15">
        <v>0.49321759259259002</v>
      </c>
      <c r="I564" s="14">
        <v>43296</v>
      </c>
      <c r="J564" s="15">
        <v>0.49998842592593001</v>
      </c>
      <c r="K564" s="13">
        <v>25</v>
      </c>
      <c r="L564" s="2" t="s">
        <v>64</v>
      </c>
      <c r="M564" s="2" t="s">
        <v>1846</v>
      </c>
      <c r="N564" s="14">
        <v>43298</v>
      </c>
      <c r="O564" s="14">
        <v>43298</v>
      </c>
      <c r="P564" s="2" t="s">
        <v>91</v>
      </c>
      <c r="Q564" s="2" t="s">
        <v>4455</v>
      </c>
      <c r="R564" s="2" t="s">
        <v>80</v>
      </c>
      <c r="S564" s="14">
        <v>43298</v>
      </c>
      <c r="T564" s="2" t="s">
        <v>6488</v>
      </c>
      <c r="U564" s="2" t="s">
        <v>489</v>
      </c>
      <c r="V564" s="2" t="s">
        <v>4456</v>
      </c>
      <c r="W564" s="2" t="s">
        <v>70</v>
      </c>
      <c r="X564" s="13">
        <v>161</v>
      </c>
      <c r="Y564" s="2" t="s">
        <v>71</v>
      </c>
      <c r="Z564" s="2" t="s">
        <v>72</v>
      </c>
      <c r="AA564" s="13">
        <v>25</v>
      </c>
      <c r="AB564" s="2" t="s">
        <v>73</v>
      </c>
      <c r="AC564" s="2" t="s">
        <v>6773</v>
      </c>
      <c r="AD564" s="27">
        <v>43286</v>
      </c>
      <c r="AI564" s="2" t="s">
        <v>6153</v>
      </c>
      <c r="AL564" s="2" t="s">
        <v>5305</v>
      </c>
    </row>
    <row r="565" spans="1:38" hidden="1" x14ac:dyDescent="0.2">
      <c r="A565" s="2" t="s">
        <v>1775</v>
      </c>
      <c r="B565" s="2" t="s">
        <v>1974</v>
      </c>
      <c r="C565" s="2" t="s">
        <v>1886</v>
      </c>
      <c r="D565" s="2" t="s">
        <v>1887</v>
      </c>
      <c r="E565" s="16">
        <v>366.13499999999999</v>
      </c>
      <c r="F565" s="16">
        <v>366.13499999999999</v>
      </c>
      <c r="G565" s="14">
        <v>43296</v>
      </c>
      <c r="H565" s="15">
        <v>0.79166666666666996</v>
      </c>
      <c r="I565" s="14">
        <v>43296</v>
      </c>
      <c r="J565" s="15">
        <v>0.88642361111111001</v>
      </c>
      <c r="K565" s="13">
        <v>20</v>
      </c>
      <c r="L565" s="2" t="s">
        <v>64</v>
      </c>
      <c r="M565" s="2" t="s">
        <v>4104</v>
      </c>
      <c r="N565" s="14">
        <v>43299</v>
      </c>
      <c r="O565" s="14">
        <v>43296</v>
      </c>
      <c r="P565" s="2" t="s">
        <v>91</v>
      </c>
      <c r="Q565" s="2" t="s">
        <v>1975</v>
      </c>
      <c r="R565" s="2" t="s">
        <v>80</v>
      </c>
      <c r="S565" s="14">
        <v>43299</v>
      </c>
      <c r="T565" s="2" t="s">
        <v>6489</v>
      </c>
      <c r="U565" s="2" t="s">
        <v>1244</v>
      </c>
      <c r="V565" s="2" t="s">
        <v>1889</v>
      </c>
      <c r="W565" s="2" t="s">
        <v>98</v>
      </c>
      <c r="X565" s="13">
        <v>161</v>
      </c>
      <c r="Y565" s="2" t="s">
        <v>71</v>
      </c>
      <c r="Z565" s="2" t="s">
        <v>72</v>
      </c>
      <c r="AA565" s="13">
        <v>350</v>
      </c>
      <c r="AB565" s="2" t="s">
        <v>73</v>
      </c>
      <c r="AC565" s="2" t="s">
        <v>6773</v>
      </c>
      <c r="AD565" s="27">
        <v>43278</v>
      </c>
      <c r="AI565" s="2" t="s">
        <v>6153</v>
      </c>
      <c r="AL565" s="2" t="s">
        <v>5306</v>
      </c>
    </row>
    <row r="566" spans="1:38" hidden="1" x14ac:dyDescent="0.2">
      <c r="A566" s="2" t="s">
        <v>1775</v>
      </c>
      <c r="B566" s="2" t="s">
        <v>1957</v>
      </c>
      <c r="C566" s="2" t="s">
        <v>1958</v>
      </c>
      <c r="D566" s="2" t="s">
        <v>1959</v>
      </c>
      <c r="E566" s="13">
        <v>150</v>
      </c>
      <c r="F566" s="13">
        <v>150</v>
      </c>
      <c r="G566" s="14">
        <v>43296</v>
      </c>
      <c r="H566" s="15">
        <v>0.95833333333333004</v>
      </c>
      <c r="I566" s="14">
        <v>43296</v>
      </c>
      <c r="J566" s="15">
        <v>0.99715277777778</v>
      </c>
      <c r="K566" s="13">
        <v>0</v>
      </c>
      <c r="L566" s="2" t="s">
        <v>64</v>
      </c>
      <c r="M566" s="2" t="s">
        <v>1960</v>
      </c>
      <c r="N566" s="14">
        <v>43299</v>
      </c>
      <c r="O566" s="14">
        <v>43298</v>
      </c>
      <c r="P566" s="2" t="s">
        <v>1961</v>
      </c>
      <c r="Q566" s="2" t="s">
        <v>1962</v>
      </c>
      <c r="R566" s="2" t="s">
        <v>80</v>
      </c>
      <c r="S566" s="14">
        <v>43298</v>
      </c>
      <c r="T566" s="2" t="s">
        <v>6490</v>
      </c>
      <c r="U566" s="2" t="s">
        <v>1963</v>
      </c>
      <c r="V566" s="2" t="s">
        <v>1964</v>
      </c>
      <c r="W566" s="2" t="s">
        <v>70</v>
      </c>
      <c r="X566" s="13">
        <v>161</v>
      </c>
      <c r="Y566" s="2" t="s">
        <v>71</v>
      </c>
      <c r="Z566" s="2" t="s">
        <v>72</v>
      </c>
      <c r="AA566" s="13">
        <v>150</v>
      </c>
      <c r="AB566" s="2" t="s">
        <v>73</v>
      </c>
      <c r="AC566" s="2" t="s">
        <v>6773</v>
      </c>
      <c r="AD566" s="27">
        <v>43271</v>
      </c>
      <c r="AL566" s="2" t="s">
        <v>5307</v>
      </c>
    </row>
    <row r="567" spans="1:38" hidden="1" x14ac:dyDescent="0.2">
      <c r="A567" s="2" t="s">
        <v>1775</v>
      </c>
      <c r="B567" s="2" t="s">
        <v>1952</v>
      </c>
      <c r="C567" s="2" t="s">
        <v>1953</v>
      </c>
      <c r="D567" s="2" t="s">
        <v>1954</v>
      </c>
      <c r="E567" s="13">
        <v>500</v>
      </c>
      <c r="F567" s="13">
        <v>500</v>
      </c>
      <c r="G567" s="14">
        <v>43297</v>
      </c>
      <c r="H567" s="15">
        <v>0.125</v>
      </c>
      <c r="I567" s="14">
        <v>43297</v>
      </c>
      <c r="J567" s="15">
        <v>0.25439814814814998</v>
      </c>
      <c r="K567" s="13">
        <v>0</v>
      </c>
      <c r="L567" s="2" t="s">
        <v>64</v>
      </c>
      <c r="M567" s="2" t="s">
        <v>1810</v>
      </c>
      <c r="N567" s="14">
        <v>43299</v>
      </c>
      <c r="O567" s="14">
        <v>43299</v>
      </c>
      <c r="P567" s="2" t="s">
        <v>524</v>
      </c>
      <c r="Q567" s="2" t="s">
        <v>1955</v>
      </c>
      <c r="R567" s="2" t="s">
        <v>80</v>
      </c>
      <c r="S567" s="14">
        <v>43299</v>
      </c>
      <c r="T567" s="2" t="s">
        <v>6491</v>
      </c>
      <c r="U567" s="2" t="s">
        <v>461</v>
      </c>
      <c r="V567" s="2" t="s">
        <v>1956</v>
      </c>
      <c r="W567" s="2" t="s">
        <v>70</v>
      </c>
      <c r="X567" s="13">
        <v>161</v>
      </c>
      <c r="Y567" s="2" t="s">
        <v>71</v>
      </c>
      <c r="Z567" s="2" t="s">
        <v>72</v>
      </c>
      <c r="AA567" s="13">
        <v>500</v>
      </c>
      <c r="AB567" s="2" t="s">
        <v>73</v>
      </c>
      <c r="AC567" s="2" t="s">
        <v>6773</v>
      </c>
      <c r="AD567" s="27">
        <v>43271</v>
      </c>
      <c r="AI567" s="2" t="s">
        <v>6153</v>
      </c>
      <c r="AL567" s="2" t="s">
        <v>5308</v>
      </c>
    </row>
    <row r="568" spans="1:38" hidden="1" x14ac:dyDescent="0.2">
      <c r="A568" s="2" t="s">
        <v>1775</v>
      </c>
      <c r="B568" s="2" t="s">
        <v>1592</v>
      </c>
      <c r="C568" s="2" t="s">
        <v>1593</v>
      </c>
      <c r="D568" s="2" t="s">
        <v>1594</v>
      </c>
      <c r="E568" s="16">
        <v>1046.0999999999999</v>
      </c>
      <c r="F568" s="16">
        <v>1046.0999999999999</v>
      </c>
      <c r="G568" s="14">
        <v>43297</v>
      </c>
      <c r="H568" s="15">
        <v>0.375</v>
      </c>
      <c r="I568" s="14">
        <v>43297</v>
      </c>
      <c r="J568" s="15">
        <v>0.64572916666667002</v>
      </c>
      <c r="K568" s="13">
        <v>20</v>
      </c>
      <c r="L568" s="2" t="s">
        <v>64</v>
      </c>
      <c r="M568" s="2" t="s">
        <v>1909</v>
      </c>
      <c r="N568" s="14">
        <v>43298</v>
      </c>
      <c r="O568" s="14">
        <v>43299</v>
      </c>
      <c r="P568" s="2" t="s">
        <v>91</v>
      </c>
      <c r="Q568" s="2" t="s">
        <v>1595</v>
      </c>
      <c r="R568" s="2" t="s">
        <v>80</v>
      </c>
      <c r="S568" s="14">
        <v>43298</v>
      </c>
      <c r="T568" s="2" t="s">
        <v>6492</v>
      </c>
      <c r="U568" s="2" t="s">
        <v>429</v>
      </c>
      <c r="V568" s="2" t="s">
        <v>1596</v>
      </c>
      <c r="W568" s="2" t="s">
        <v>70</v>
      </c>
      <c r="X568" s="13">
        <v>161</v>
      </c>
      <c r="Y568" s="2" t="s">
        <v>71</v>
      </c>
      <c r="Z568" s="2" t="s">
        <v>72</v>
      </c>
      <c r="AA568" s="13">
        <v>1000</v>
      </c>
      <c r="AB568" s="2" t="s">
        <v>73</v>
      </c>
      <c r="AC568" s="2" t="s">
        <v>6773</v>
      </c>
      <c r="AD568" s="27">
        <v>43264</v>
      </c>
      <c r="AL568" s="2" t="s">
        <v>5309</v>
      </c>
    </row>
    <row r="569" spans="1:38" hidden="1" x14ac:dyDescent="0.2">
      <c r="A569" s="2" t="s">
        <v>1775</v>
      </c>
      <c r="B569" s="2" t="s">
        <v>1976</v>
      </c>
      <c r="C569" s="2" t="s">
        <v>1977</v>
      </c>
      <c r="D569" s="2" t="s">
        <v>1978</v>
      </c>
      <c r="E569" s="13">
        <v>2000</v>
      </c>
      <c r="F569" s="13">
        <v>2000</v>
      </c>
      <c r="G569" s="14">
        <v>43297</v>
      </c>
      <c r="H569" s="15">
        <v>0.41666666666667002</v>
      </c>
      <c r="I569" s="14">
        <v>43297</v>
      </c>
      <c r="J569" s="15">
        <v>0.93425925925926001</v>
      </c>
      <c r="K569" s="13">
        <v>20</v>
      </c>
      <c r="L569" s="2" t="s">
        <v>64</v>
      </c>
      <c r="M569" s="2" t="s">
        <v>1794</v>
      </c>
      <c r="N569" s="14">
        <v>43301</v>
      </c>
      <c r="O569" s="14">
        <v>43299</v>
      </c>
      <c r="P569" s="2" t="s">
        <v>91</v>
      </c>
      <c r="Q569" s="2" t="s">
        <v>1979</v>
      </c>
      <c r="R569" s="2" t="s">
        <v>80</v>
      </c>
      <c r="S569" s="14">
        <v>43301</v>
      </c>
      <c r="T569" s="2" t="s">
        <v>6493</v>
      </c>
      <c r="U569" s="2" t="s">
        <v>1805</v>
      </c>
      <c r="V569" s="2" t="s">
        <v>1980</v>
      </c>
      <c r="W569" s="2" t="s">
        <v>70</v>
      </c>
      <c r="X569" s="13">
        <v>161</v>
      </c>
      <c r="Y569" s="2" t="s">
        <v>71</v>
      </c>
      <c r="Z569" s="2" t="s">
        <v>72</v>
      </c>
      <c r="AA569" s="13">
        <v>2000</v>
      </c>
      <c r="AB569" s="2" t="s">
        <v>73</v>
      </c>
      <c r="AC569" s="2" t="s">
        <v>6773</v>
      </c>
      <c r="AD569" s="27">
        <v>43273</v>
      </c>
      <c r="AI569" s="2" t="s">
        <v>6153</v>
      </c>
      <c r="AL569" s="2" t="s">
        <v>5310</v>
      </c>
    </row>
    <row r="570" spans="1:38" hidden="1" x14ac:dyDescent="0.2">
      <c r="A570" s="2" t="s">
        <v>1775</v>
      </c>
      <c r="B570" s="2" t="s">
        <v>1576</v>
      </c>
      <c r="C570" s="2" t="s">
        <v>1577</v>
      </c>
      <c r="D570" s="2" t="s">
        <v>1578</v>
      </c>
      <c r="E570" s="16">
        <v>2092.1999999999998</v>
      </c>
      <c r="F570" s="16">
        <v>2092.1999999999998</v>
      </c>
      <c r="G570" s="14">
        <v>43297</v>
      </c>
      <c r="H570" s="15">
        <v>0.5</v>
      </c>
      <c r="I570" s="14">
        <v>43298</v>
      </c>
      <c r="J570" s="15">
        <v>4.1458333333330002E-2</v>
      </c>
      <c r="K570" s="13">
        <v>0</v>
      </c>
      <c r="L570" s="2" t="s">
        <v>64</v>
      </c>
      <c r="M570" s="2" t="s">
        <v>1803</v>
      </c>
      <c r="N570" s="14">
        <v>43290</v>
      </c>
      <c r="O570" s="14">
        <v>43300</v>
      </c>
      <c r="P570" s="2" t="s">
        <v>91</v>
      </c>
      <c r="Q570" s="2" t="s">
        <v>1579</v>
      </c>
      <c r="R570" s="2" t="s">
        <v>80</v>
      </c>
      <c r="S570" s="14">
        <v>43290</v>
      </c>
      <c r="T570" s="2" t="s">
        <v>6494</v>
      </c>
      <c r="U570" s="2" t="s">
        <v>1580</v>
      </c>
      <c r="V570" s="2" t="s">
        <v>1581</v>
      </c>
      <c r="W570" s="2" t="s">
        <v>70</v>
      </c>
      <c r="X570" s="13">
        <v>161</v>
      </c>
      <c r="Y570" s="2" t="s">
        <v>71</v>
      </c>
      <c r="Z570" s="2" t="s">
        <v>72</v>
      </c>
      <c r="AA570" s="13">
        <v>2000</v>
      </c>
      <c r="AB570" s="2" t="s">
        <v>73</v>
      </c>
      <c r="AC570" s="2" t="s">
        <v>6773</v>
      </c>
      <c r="AD570" s="27">
        <v>43262</v>
      </c>
      <c r="AI570" s="2" t="s">
        <v>6153</v>
      </c>
      <c r="AL570" s="2" t="s">
        <v>5311</v>
      </c>
    </row>
    <row r="571" spans="1:38" hidden="1" x14ac:dyDescent="0.2">
      <c r="A571" s="2" t="s">
        <v>1775</v>
      </c>
      <c r="B571" s="2" t="s">
        <v>4457</v>
      </c>
      <c r="C571" s="2" t="s">
        <v>4458</v>
      </c>
      <c r="D571" s="2" t="s">
        <v>4459</v>
      </c>
      <c r="E571" s="16">
        <v>313.83</v>
      </c>
      <c r="F571" s="16">
        <v>313.83</v>
      </c>
      <c r="G571" s="14">
        <v>43298</v>
      </c>
      <c r="H571" s="15">
        <v>0.34542824074074002</v>
      </c>
      <c r="I571" s="14">
        <v>43298</v>
      </c>
      <c r="J571" s="15">
        <v>0.42664351851852</v>
      </c>
      <c r="K571" s="13">
        <v>0</v>
      </c>
      <c r="L571" s="2" t="s">
        <v>64</v>
      </c>
      <c r="M571" s="2" t="s">
        <v>1784</v>
      </c>
      <c r="N571" s="14">
        <v>43301</v>
      </c>
      <c r="O571" s="14">
        <v>43300</v>
      </c>
      <c r="P571" s="2" t="s">
        <v>91</v>
      </c>
      <c r="Q571" s="2" t="s">
        <v>4460</v>
      </c>
      <c r="R571" s="2" t="s">
        <v>80</v>
      </c>
      <c r="S571" s="14">
        <v>43301</v>
      </c>
      <c r="T571" s="2" t="s">
        <v>6495</v>
      </c>
      <c r="U571" s="2" t="s">
        <v>540</v>
      </c>
      <c r="V571" s="2" t="s">
        <v>4461</v>
      </c>
      <c r="W571" s="2" t="s">
        <v>70</v>
      </c>
      <c r="X571" s="13">
        <v>161</v>
      </c>
      <c r="Y571" s="2" t="s">
        <v>71</v>
      </c>
      <c r="Z571" s="2" t="s">
        <v>72</v>
      </c>
      <c r="AA571" s="13">
        <v>300</v>
      </c>
      <c r="AB571" s="2" t="s">
        <v>73</v>
      </c>
      <c r="AC571" s="2" t="s">
        <v>6773</v>
      </c>
      <c r="AD571" s="27">
        <v>43286</v>
      </c>
      <c r="AI571" s="2" t="s">
        <v>6153</v>
      </c>
      <c r="AL571" s="2" t="s">
        <v>5312</v>
      </c>
    </row>
    <row r="572" spans="1:38" hidden="1" x14ac:dyDescent="0.2">
      <c r="A572" s="2" t="s">
        <v>1775</v>
      </c>
      <c r="B572" s="2" t="s">
        <v>1981</v>
      </c>
      <c r="C572" s="2" t="s">
        <v>1982</v>
      </c>
      <c r="D572" s="2" t="s">
        <v>1983</v>
      </c>
      <c r="E572" s="13">
        <v>3000</v>
      </c>
      <c r="F572" s="13">
        <v>3000</v>
      </c>
      <c r="G572" s="14">
        <v>43298</v>
      </c>
      <c r="H572" s="15">
        <v>0.86233796296295995</v>
      </c>
      <c r="I572" s="14">
        <v>43299</v>
      </c>
      <c r="J572" s="15">
        <v>0.63873842592593</v>
      </c>
      <c r="K572" s="13">
        <v>20</v>
      </c>
      <c r="L572" s="2" t="s">
        <v>64</v>
      </c>
      <c r="M572" s="2" t="s">
        <v>1966</v>
      </c>
      <c r="N572" s="14">
        <v>43312</v>
      </c>
      <c r="O572" s="14">
        <v>43301</v>
      </c>
      <c r="P572" s="2" t="s">
        <v>91</v>
      </c>
      <c r="Q572" s="2" t="s">
        <v>1984</v>
      </c>
      <c r="R572" s="2" t="s">
        <v>80</v>
      </c>
      <c r="S572" s="14">
        <v>43312</v>
      </c>
      <c r="T572" s="2" t="s">
        <v>6496</v>
      </c>
      <c r="U572" s="2" t="s">
        <v>1985</v>
      </c>
      <c r="V572" s="2" t="s">
        <v>1986</v>
      </c>
      <c r="W572" s="2" t="s">
        <v>70</v>
      </c>
      <c r="X572" s="13">
        <v>161</v>
      </c>
      <c r="Y572" s="2" t="s">
        <v>71</v>
      </c>
      <c r="Z572" s="2" t="s">
        <v>72</v>
      </c>
      <c r="AA572" s="13">
        <v>3000</v>
      </c>
      <c r="AB572" s="2" t="s">
        <v>73</v>
      </c>
      <c r="AC572" s="2" t="s">
        <v>6773</v>
      </c>
      <c r="AD572" s="27">
        <v>43266</v>
      </c>
      <c r="AI572" s="2" t="s">
        <v>6153</v>
      </c>
      <c r="AL572" s="2" t="s">
        <v>5313</v>
      </c>
    </row>
    <row r="573" spans="1:38" hidden="1" x14ac:dyDescent="0.2">
      <c r="A573" s="2" t="s">
        <v>1775</v>
      </c>
      <c r="B573" s="2" t="s">
        <v>1987</v>
      </c>
      <c r="C573" s="2" t="s">
        <v>1988</v>
      </c>
      <c r="D573" s="2" t="s">
        <v>1989</v>
      </c>
      <c r="E573" s="16">
        <v>313.83</v>
      </c>
      <c r="F573" s="16">
        <v>313.83</v>
      </c>
      <c r="G573" s="14">
        <v>43300</v>
      </c>
      <c r="H573" s="15">
        <v>8.8796296296299995E-2</v>
      </c>
      <c r="I573" s="14">
        <v>43300</v>
      </c>
      <c r="J573" s="15">
        <v>0.17001157407407</v>
      </c>
      <c r="K573" s="13">
        <v>0</v>
      </c>
      <c r="L573" s="2" t="s">
        <v>64</v>
      </c>
      <c r="M573" s="2" t="s">
        <v>1784</v>
      </c>
      <c r="N573" s="14">
        <v>43305</v>
      </c>
      <c r="O573" s="14">
        <v>43302</v>
      </c>
      <c r="P573" s="2" t="s">
        <v>459</v>
      </c>
      <c r="Q573" s="2" t="s">
        <v>1990</v>
      </c>
      <c r="R573" s="2" t="s">
        <v>80</v>
      </c>
      <c r="S573" s="14">
        <v>43305</v>
      </c>
      <c r="T573" s="2" t="s">
        <v>6497</v>
      </c>
      <c r="U573" s="2" t="s">
        <v>1991</v>
      </c>
      <c r="V573" s="2" t="s">
        <v>1992</v>
      </c>
      <c r="W573" s="2" t="s">
        <v>70</v>
      </c>
      <c r="X573" s="13">
        <v>161</v>
      </c>
      <c r="Y573" s="2" t="s">
        <v>71</v>
      </c>
      <c r="Z573" s="2" t="s">
        <v>72</v>
      </c>
      <c r="AA573" s="13">
        <v>300</v>
      </c>
      <c r="AB573" s="2" t="s">
        <v>73</v>
      </c>
      <c r="AC573" s="2" t="s">
        <v>6773</v>
      </c>
      <c r="AD573" s="27">
        <v>43277</v>
      </c>
      <c r="AL573" s="2" t="s">
        <v>5314</v>
      </c>
    </row>
    <row r="574" spans="1:38" hidden="1" x14ac:dyDescent="0.2">
      <c r="A574" s="2" t="s">
        <v>1775</v>
      </c>
      <c r="B574" s="2" t="s">
        <v>1993</v>
      </c>
      <c r="C574" s="2" t="s">
        <v>1994</v>
      </c>
      <c r="D574" s="2" t="s">
        <v>1995</v>
      </c>
      <c r="E574" s="16">
        <v>1046.0999999999999</v>
      </c>
      <c r="F574" s="16">
        <v>1046.0999999999999</v>
      </c>
      <c r="G574" s="14">
        <v>43300</v>
      </c>
      <c r="H574" s="15">
        <v>0.19084490740741</v>
      </c>
      <c r="I574" s="14">
        <v>43300</v>
      </c>
      <c r="J574" s="15">
        <v>0.46157407407406997</v>
      </c>
      <c r="K574" s="13">
        <v>0</v>
      </c>
      <c r="L574" s="2" t="s">
        <v>64</v>
      </c>
      <c r="M574" s="2" t="s">
        <v>1909</v>
      </c>
      <c r="N574" s="14">
        <v>43304</v>
      </c>
      <c r="O574" s="14">
        <v>43302</v>
      </c>
      <c r="P574" s="2" t="s">
        <v>466</v>
      </c>
      <c r="Q574" s="2" t="s">
        <v>1996</v>
      </c>
      <c r="R574" s="2" t="s">
        <v>80</v>
      </c>
      <c r="S574" s="14">
        <v>43304</v>
      </c>
      <c r="T574" s="2" t="s">
        <v>6498</v>
      </c>
      <c r="U574" s="2" t="s">
        <v>468</v>
      </c>
      <c r="V574" s="2" t="s">
        <v>1997</v>
      </c>
      <c r="W574" s="2" t="s">
        <v>70</v>
      </c>
      <c r="X574" s="13">
        <v>161</v>
      </c>
      <c r="Y574" s="2" t="s">
        <v>71</v>
      </c>
      <c r="Z574" s="2" t="s">
        <v>72</v>
      </c>
      <c r="AA574" s="13">
        <v>1000</v>
      </c>
      <c r="AB574" s="2" t="s">
        <v>73</v>
      </c>
      <c r="AC574" s="2" t="s">
        <v>6773</v>
      </c>
      <c r="AD574" s="27">
        <v>43276</v>
      </c>
      <c r="AL574" s="2" t="s">
        <v>5315</v>
      </c>
    </row>
    <row r="575" spans="1:38" hidden="1" x14ac:dyDescent="0.2">
      <c r="A575" s="2" t="s">
        <v>1775</v>
      </c>
      <c r="B575" s="2" t="s">
        <v>1998</v>
      </c>
      <c r="C575" s="2" t="s">
        <v>1999</v>
      </c>
      <c r="D575" s="2" t="s">
        <v>2000</v>
      </c>
      <c r="E575" s="16">
        <v>1987.59</v>
      </c>
      <c r="F575" s="16">
        <v>1987.59</v>
      </c>
      <c r="G575" s="14">
        <v>43300</v>
      </c>
      <c r="H575" s="15">
        <v>0.48240740740741</v>
      </c>
      <c r="I575" s="14">
        <v>43300</v>
      </c>
      <c r="J575" s="15">
        <v>0.99679398148148002</v>
      </c>
      <c r="K575" s="13">
        <v>0</v>
      </c>
      <c r="L575" s="2" t="s">
        <v>64</v>
      </c>
      <c r="M575" s="2" t="s">
        <v>2001</v>
      </c>
      <c r="N575" s="14">
        <v>43304</v>
      </c>
      <c r="O575" s="14">
        <v>43302</v>
      </c>
      <c r="P575" s="2" t="s">
        <v>2002</v>
      </c>
      <c r="Q575" s="2" t="s">
        <v>2003</v>
      </c>
      <c r="R575" s="2" t="s">
        <v>80</v>
      </c>
      <c r="S575" s="14">
        <v>43304</v>
      </c>
      <c r="T575" s="2" t="s">
        <v>6499</v>
      </c>
      <c r="U575" s="2" t="s">
        <v>526</v>
      </c>
      <c r="V575" s="2" t="s">
        <v>69</v>
      </c>
      <c r="W575" s="2" t="s">
        <v>70</v>
      </c>
      <c r="X575" s="13">
        <v>161</v>
      </c>
      <c r="Y575" s="2" t="s">
        <v>71</v>
      </c>
      <c r="Z575" s="2" t="s">
        <v>72</v>
      </c>
      <c r="AA575" s="13">
        <v>1900</v>
      </c>
      <c r="AB575" s="2" t="s">
        <v>73</v>
      </c>
      <c r="AC575" s="2" t="s">
        <v>6773</v>
      </c>
      <c r="AD575" s="27">
        <v>43248</v>
      </c>
      <c r="AI575" s="2" t="s">
        <v>6153</v>
      </c>
      <c r="AL575" s="2" t="s">
        <v>5316</v>
      </c>
    </row>
    <row r="576" spans="1:38" hidden="1" x14ac:dyDescent="0.2">
      <c r="A576" s="2" t="s">
        <v>1775</v>
      </c>
      <c r="B576" s="2" t="s">
        <v>2004</v>
      </c>
      <c r="C576" s="2" t="s">
        <v>2005</v>
      </c>
      <c r="D576" s="2" t="s">
        <v>2006</v>
      </c>
      <c r="E576" s="13">
        <v>100</v>
      </c>
      <c r="F576" s="13">
        <v>100</v>
      </c>
      <c r="G576" s="14">
        <v>43300</v>
      </c>
      <c r="H576" s="15">
        <v>0.97412037037037003</v>
      </c>
      <c r="I576" s="14">
        <v>43301</v>
      </c>
      <c r="J576" s="15">
        <v>0</v>
      </c>
      <c r="K576" s="13">
        <v>0</v>
      </c>
      <c r="L576" s="2" t="s">
        <v>64</v>
      </c>
      <c r="M576" s="2" t="s">
        <v>1937</v>
      </c>
      <c r="N576" s="14">
        <v>43304</v>
      </c>
      <c r="O576" s="14">
        <v>43302</v>
      </c>
      <c r="P576" s="2" t="s">
        <v>459</v>
      </c>
      <c r="Q576" s="2" t="s">
        <v>2007</v>
      </c>
      <c r="R576" s="2" t="s">
        <v>80</v>
      </c>
      <c r="S576" s="14">
        <v>43304</v>
      </c>
      <c r="T576" s="2" t="s">
        <v>6500</v>
      </c>
      <c r="U576" s="2" t="s">
        <v>461</v>
      </c>
      <c r="V576" s="2" t="s">
        <v>2008</v>
      </c>
      <c r="W576" s="2" t="s">
        <v>70</v>
      </c>
      <c r="X576" s="13">
        <v>161</v>
      </c>
      <c r="Y576" s="2" t="s">
        <v>71</v>
      </c>
      <c r="Z576" s="2" t="s">
        <v>72</v>
      </c>
      <c r="AA576" s="13">
        <v>100</v>
      </c>
      <c r="AB576" s="2" t="s">
        <v>73</v>
      </c>
      <c r="AC576" s="2" t="s">
        <v>6773</v>
      </c>
      <c r="AD576" s="27">
        <v>43238</v>
      </c>
      <c r="AI576" s="2" t="s">
        <v>6153</v>
      </c>
      <c r="AL576" s="2" t="s">
        <v>5317</v>
      </c>
    </row>
    <row r="577" spans="1:38" hidden="1" x14ac:dyDescent="0.2">
      <c r="A577" s="2" t="s">
        <v>1775</v>
      </c>
      <c r="B577" s="2" t="s">
        <v>2009</v>
      </c>
      <c r="C577" s="2" t="s">
        <v>2010</v>
      </c>
      <c r="D577" s="2" t="s">
        <v>2011</v>
      </c>
      <c r="E577" s="13">
        <v>100</v>
      </c>
      <c r="F577" s="13">
        <v>100</v>
      </c>
      <c r="G577" s="14">
        <v>43301</v>
      </c>
      <c r="H577" s="15">
        <v>4.3819444444439998E-2</v>
      </c>
      <c r="I577" s="14">
        <v>43301</v>
      </c>
      <c r="J577" s="15">
        <v>6.969907407407E-2</v>
      </c>
      <c r="K577" s="13">
        <v>0</v>
      </c>
      <c r="L577" s="2" t="s">
        <v>64</v>
      </c>
      <c r="M577" s="2" t="s">
        <v>1937</v>
      </c>
      <c r="N577" s="14">
        <v>43305</v>
      </c>
      <c r="O577" s="14">
        <v>43303</v>
      </c>
      <c r="P577" s="2" t="s">
        <v>478</v>
      </c>
      <c r="Q577" s="2" t="s">
        <v>2012</v>
      </c>
      <c r="R577" s="2" t="s">
        <v>80</v>
      </c>
      <c r="S577" s="14">
        <v>43305</v>
      </c>
      <c r="T577" s="2" t="s">
        <v>6501</v>
      </c>
      <c r="U577" s="2" t="s">
        <v>540</v>
      </c>
      <c r="V577" s="2" t="s">
        <v>163</v>
      </c>
      <c r="W577" s="2" t="s">
        <v>70</v>
      </c>
      <c r="X577" s="13">
        <v>161</v>
      </c>
      <c r="Y577" s="2" t="s">
        <v>71</v>
      </c>
      <c r="Z577" s="2" t="s">
        <v>72</v>
      </c>
      <c r="AA577" s="13">
        <v>100</v>
      </c>
      <c r="AB577" s="2" t="s">
        <v>73</v>
      </c>
      <c r="AC577" s="2" t="s">
        <v>6773</v>
      </c>
      <c r="AD577" s="27">
        <v>43277</v>
      </c>
      <c r="AL577" s="2" t="s">
        <v>5318</v>
      </c>
    </row>
    <row r="578" spans="1:38" hidden="1" x14ac:dyDescent="0.2">
      <c r="A578" s="2" t="s">
        <v>1775</v>
      </c>
      <c r="B578" s="2" t="s">
        <v>2013</v>
      </c>
      <c r="C578" s="2" t="s">
        <v>2014</v>
      </c>
      <c r="D578" s="2" t="s">
        <v>2015</v>
      </c>
      <c r="E578" s="13">
        <v>100</v>
      </c>
      <c r="F578" s="13">
        <v>100</v>
      </c>
      <c r="G578" s="14">
        <v>43301</v>
      </c>
      <c r="H578" s="15">
        <v>9.0532407407410004E-2</v>
      </c>
      <c r="I578" s="14">
        <v>43301</v>
      </c>
      <c r="J578" s="15">
        <v>0.11641203703704001</v>
      </c>
      <c r="K578" s="13">
        <v>0</v>
      </c>
      <c r="L578" s="2" t="s">
        <v>64</v>
      </c>
      <c r="M578" s="2" t="s">
        <v>1937</v>
      </c>
      <c r="N578" s="14">
        <v>43304</v>
      </c>
      <c r="O578" s="14">
        <v>43303</v>
      </c>
      <c r="P578" s="2" t="s">
        <v>1573</v>
      </c>
      <c r="Q578" s="2" t="s">
        <v>2016</v>
      </c>
      <c r="R578" s="2" t="s">
        <v>80</v>
      </c>
      <c r="S578" s="14">
        <v>43304</v>
      </c>
      <c r="T578" s="2" t="s">
        <v>6502</v>
      </c>
      <c r="U578" s="2" t="s">
        <v>495</v>
      </c>
      <c r="V578" s="2" t="s">
        <v>2017</v>
      </c>
      <c r="W578" s="2" t="s">
        <v>70</v>
      </c>
      <c r="X578" s="13">
        <v>161</v>
      </c>
      <c r="Y578" s="2" t="s">
        <v>71</v>
      </c>
      <c r="Z578" s="2" t="s">
        <v>72</v>
      </c>
      <c r="AA578" s="13">
        <v>100</v>
      </c>
      <c r="AB578" s="2" t="s">
        <v>73</v>
      </c>
      <c r="AC578" s="2" t="s">
        <v>6773</v>
      </c>
      <c r="AD578" s="27">
        <v>43276</v>
      </c>
      <c r="AI578" s="2" t="s">
        <v>6153</v>
      </c>
      <c r="AL578" s="2" t="s">
        <v>5319</v>
      </c>
    </row>
    <row r="579" spans="1:38" hidden="1" x14ac:dyDescent="0.2">
      <c r="A579" s="2" t="s">
        <v>1775</v>
      </c>
      <c r="B579" s="2" t="s">
        <v>4462</v>
      </c>
      <c r="C579" s="2" t="s">
        <v>4463</v>
      </c>
      <c r="D579" s="2" t="s">
        <v>4464</v>
      </c>
      <c r="E579" s="16">
        <v>1046.0999999999999</v>
      </c>
      <c r="F579" s="16">
        <v>1046.0999999999999</v>
      </c>
      <c r="G579" s="14">
        <v>43301</v>
      </c>
      <c r="H579" s="15">
        <v>0.2084375</v>
      </c>
      <c r="I579" s="14">
        <v>43301</v>
      </c>
      <c r="J579" s="15">
        <v>0.47916666666667002</v>
      </c>
      <c r="K579" s="13">
        <v>20</v>
      </c>
      <c r="L579" s="2" t="s">
        <v>64</v>
      </c>
      <c r="M579" s="2" t="s">
        <v>1909</v>
      </c>
      <c r="N579" s="14">
        <v>43312</v>
      </c>
      <c r="O579" s="14">
        <v>43303</v>
      </c>
      <c r="P579" s="2" t="s">
        <v>91</v>
      </c>
      <c r="Q579" s="2" t="s">
        <v>4465</v>
      </c>
      <c r="R579" s="2" t="s">
        <v>80</v>
      </c>
      <c r="S579" s="14">
        <v>43305</v>
      </c>
      <c r="T579" s="2" t="s">
        <v>6503</v>
      </c>
      <c r="U579" s="2" t="s">
        <v>484</v>
      </c>
      <c r="V579" s="2" t="s">
        <v>4466</v>
      </c>
      <c r="W579" s="2" t="s">
        <v>70</v>
      </c>
      <c r="X579" s="13">
        <v>161</v>
      </c>
      <c r="Y579" s="2" t="s">
        <v>71</v>
      </c>
      <c r="Z579" s="2" t="s">
        <v>72</v>
      </c>
      <c r="AA579" s="13">
        <v>1000</v>
      </c>
      <c r="AB579" s="2" t="s">
        <v>73</v>
      </c>
      <c r="AC579" s="2" t="s">
        <v>6773</v>
      </c>
      <c r="AD579" s="27">
        <v>43284</v>
      </c>
      <c r="AI579" s="2" t="s">
        <v>6153</v>
      </c>
      <c r="AL579" s="2" t="s">
        <v>5320</v>
      </c>
    </row>
    <row r="580" spans="1:38" hidden="1" x14ac:dyDescent="0.2">
      <c r="A580" s="2" t="s">
        <v>1775</v>
      </c>
      <c r="B580" s="2" t="s">
        <v>2116</v>
      </c>
      <c r="C580" s="2" t="s">
        <v>2117</v>
      </c>
      <c r="D580" s="2" t="s">
        <v>2118</v>
      </c>
      <c r="E580" s="13">
        <v>100</v>
      </c>
      <c r="F580" s="13">
        <v>100</v>
      </c>
      <c r="G580" s="14">
        <v>43301</v>
      </c>
      <c r="H580" s="15">
        <v>0.5</v>
      </c>
      <c r="I580" s="14">
        <v>43301</v>
      </c>
      <c r="J580" s="15">
        <v>0.52587962962962997</v>
      </c>
      <c r="K580" s="13">
        <v>20</v>
      </c>
      <c r="L580" s="2" t="s">
        <v>64</v>
      </c>
      <c r="M580" s="2" t="s">
        <v>1937</v>
      </c>
      <c r="N580" s="14">
        <v>43304</v>
      </c>
      <c r="O580" s="14">
        <v>43303</v>
      </c>
      <c r="P580" s="2" t="s">
        <v>91</v>
      </c>
      <c r="Q580" s="2" t="s">
        <v>2119</v>
      </c>
      <c r="R580" s="2" t="s">
        <v>80</v>
      </c>
      <c r="S580" s="14">
        <v>43304</v>
      </c>
      <c r="T580" s="2" t="s">
        <v>6504</v>
      </c>
      <c r="U580" s="2" t="s">
        <v>1244</v>
      </c>
      <c r="V580" s="2" t="s">
        <v>2120</v>
      </c>
      <c r="W580" s="2" t="s">
        <v>98</v>
      </c>
      <c r="X580" s="13">
        <v>161</v>
      </c>
      <c r="Y580" s="2" t="s">
        <v>71</v>
      </c>
      <c r="Z580" s="2" t="s">
        <v>72</v>
      </c>
      <c r="AA580" s="13">
        <v>100</v>
      </c>
      <c r="AB580" s="2" t="s">
        <v>73</v>
      </c>
      <c r="AC580" s="2" t="s">
        <v>6773</v>
      </c>
      <c r="AD580" s="27">
        <v>43251</v>
      </c>
      <c r="AL580" s="2" t="s">
        <v>5321</v>
      </c>
    </row>
    <row r="581" spans="1:38" hidden="1" x14ac:dyDescent="0.2">
      <c r="A581" s="2" t="s">
        <v>1775</v>
      </c>
      <c r="B581" s="2" t="s">
        <v>2018</v>
      </c>
      <c r="C581" s="2" t="s">
        <v>2019</v>
      </c>
      <c r="D581" s="2" t="s">
        <v>2020</v>
      </c>
      <c r="E581" s="13">
        <v>1000</v>
      </c>
      <c r="F581" s="13">
        <v>1000</v>
      </c>
      <c r="G581" s="14">
        <v>43301</v>
      </c>
      <c r="H581" s="15">
        <v>0.74120370370370003</v>
      </c>
      <c r="I581" s="14">
        <v>43302</v>
      </c>
      <c r="J581" s="15">
        <v>0</v>
      </c>
      <c r="K581" s="13">
        <v>20</v>
      </c>
      <c r="L581" s="2" t="s">
        <v>64</v>
      </c>
      <c r="M581" s="2" t="s">
        <v>1822</v>
      </c>
      <c r="N581" s="14">
        <v>43304</v>
      </c>
      <c r="O581" s="14">
        <v>43303</v>
      </c>
      <c r="P581" s="2" t="s">
        <v>440</v>
      </c>
      <c r="Q581" s="2" t="s">
        <v>2021</v>
      </c>
      <c r="R581" s="2" t="s">
        <v>80</v>
      </c>
      <c r="S581" s="14">
        <v>43306</v>
      </c>
      <c r="T581" s="2" t="s">
        <v>6505</v>
      </c>
      <c r="U581" s="2" t="s">
        <v>1209</v>
      </c>
      <c r="V581" s="2" t="s">
        <v>2022</v>
      </c>
      <c r="W581" s="2" t="s">
        <v>70</v>
      </c>
      <c r="X581" s="13">
        <v>161</v>
      </c>
      <c r="Y581" s="2" t="s">
        <v>71</v>
      </c>
      <c r="Z581" s="2" t="s">
        <v>72</v>
      </c>
      <c r="AA581" s="13">
        <v>1000</v>
      </c>
      <c r="AB581" s="2" t="s">
        <v>73</v>
      </c>
      <c r="AC581" s="2" t="s">
        <v>6773</v>
      </c>
      <c r="AD581" s="27">
        <v>43213</v>
      </c>
      <c r="AL581" s="2" t="s">
        <v>5322</v>
      </c>
    </row>
    <row r="582" spans="1:38" hidden="1" x14ac:dyDescent="0.2">
      <c r="A582" s="2" t="s">
        <v>1775</v>
      </c>
      <c r="B582" s="2" t="s">
        <v>2023</v>
      </c>
      <c r="C582" s="2" t="s">
        <v>2024</v>
      </c>
      <c r="D582" s="2" t="s">
        <v>2025</v>
      </c>
      <c r="E582" s="13">
        <v>500</v>
      </c>
      <c r="F582" s="13">
        <v>500</v>
      </c>
      <c r="G582" s="14">
        <v>43301</v>
      </c>
      <c r="H582" s="15">
        <v>0.87060185185185002</v>
      </c>
      <c r="I582" s="14">
        <v>43302</v>
      </c>
      <c r="J582" s="15">
        <v>0</v>
      </c>
      <c r="K582" s="13">
        <v>0</v>
      </c>
      <c r="L582" s="2" t="s">
        <v>64</v>
      </c>
      <c r="M582" s="2" t="s">
        <v>1810</v>
      </c>
      <c r="N582" s="14">
        <v>43306</v>
      </c>
      <c r="O582" s="14">
        <v>43303</v>
      </c>
      <c r="P582" s="2" t="s">
        <v>2026</v>
      </c>
      <c r="Q582" s="2" t="s">
        <v>2027</v>
      </c>
      <c r="R582" s="2" t="s">
        <v>80</v>
      </c>
      <c r="S582" s="14">
        <v>43306</v>
      </c>
      <c r="T582" s="2" t="s">
        <v>6506</v>
      </c>
      <c r="U582" s="2" t="s">
        <v>1209</v>
      </c>
      <c r="V582" s="2" t="s">
        <v>2028</v>
      </c>
      <c r="W582" s="2" t="s">
        <v>70</v>
      </c>
      <c r="X582" s="13">
        <v>161</v>
      </c>
      <c r="Y582" s="2" t="s">
        <v>71</v>
      </c>
      <c r="Z582" s="2" t="s">
        <v>72</v>
      </c>
      <c r="AA582" s="13">
        <v>500</v>
      </c>
      <c r="AB582" s="2" t="s">
        <v>73</v>
      </c>
      <c r="AC582" s="2" t="s">
        <v>6773</v>
      </c>
      <c r="AD582" s="27">
        <v>43259</v>
      </c>
      <c r="AL582" s="2" t="s">
        <v>5323</v>
      </c>
    </row>
    <row r="583" spans="1:38" hidden="1" x14ac:dyDescent="0.2">
      <c r="A583" s="2" t="s">
        <v>1775</v>
      </c>
      <c r="B583" s="2" t="s">
        <v>2029</v>
      </c>
      <c r="C583" s="2" t="s">
        <v>2030</v>
      </c>
      <c r="D583" s="2" t="s">
        <v>2031</v>
      </c>
      <c r="E583" s="13">
        <v>500</v>
      </c>
      <c r="F583" s="13">
        <v>500</v>
      </c>
      <c r="G583" s="14">
        <v>43301</v>
      </c>
      <c r="H583" s="15">
        <v>0.87060185185185002</v>
      </c>
      <c r="I583" s="14">
        <v>43302</v>
      </c>
      <c r="J583" s="15">
        <v>0</v>
      </c>
      <c r="K583" s="13">
        <v>0</v>
      </c>
      <c r="L583" s="2" t="s">
        <v>64</v>
      </c>
      <c r="M583" s="2" t="s">
        <v>1810</v>
      </c>
      <c r="N583" s="14">
        <v>43306</v>
      </c>
      <c r="O583" s="14">
        <v>43303</v>
      </c>
      <c r="P583" s="2" t="s">
        <v>91</v>
      </c>
      <c r="Q583" s="2" t="s">
        <v>2032</v>
      </c>
      <c r="R583" s="2" t="s">
        <v>80</v>
      </c>
      <c r="S583" s="14">
        <v>43306</v>
      </c>
      <c r="T583" s="2" t="s">
        <v>6507</v>
      </c>
      <c r="U583" s="2" t="s">
        <v>1209</v>
      </c>
      <c r="V583" s="2" t="s">
        <v>2033</v>
      </c>
      <c r="W583" s="2" t="s">
        <v>70</v>
      </c>
      <c r="X583" s="13">
        <v>161</v>
      </c>
      <c r="Y583" s="2" t="s">
        <v>71</v>
      </c>
      <c r="Z583" s="2" t="s">
        <v>72</v>
      </c>
      <c r="AA583" s="13">
        <v>500</v>
      </c>
      <c r="AB583" s="2" t="s">
        <v>73</v>
      </c>
      <c r="AC583" s="2" t="s">
        <v>6773</v>
      </c>
      <c r="AD583" s="27">
        <v>43259</v>
      </c>
      <c r="AI583" s="2" t="s">
        <v>6153</v>
      </c>
      <c r="AL583" s="2" t="s">
        <v>5324</v>
      </c>
    </row>
    <row r="584" spans="1:38" hidden="1" x14ac:dyDescent="0.2">
      <c r="A584" s="2" t="s">
        <v>1775</v>
      </c>
      <c r="B584" s="2" t="s">
        <v>4467</v>
      </c>
      <c r="C584" s="2" t="s">
        <v>2117</v>
      </c>
      <c r="D584" s="2" t="s">
        <v>2118</v>
      </c>
      <c r="E584" s="16">
        <v>52.305</v>
      </c>
      <c r="F584" s="16">
        <v>52.305</v>
      </c>
      <c r="G584" s="14">
        <v>43302</v>
      </c>
      <c r="H584" s="15">
        <v>0.17282407407406999</v>
      </c>
      <c r="I584" s="14">
        <v>43302</v>
      </c>
      <c r="J584" s="15">
        <v>0.18636574074074</v>
      </c>
      <c r="K584" s="13">
        <v>20</v>
      </c>
      <c r="L584" s="2" t="s">
        <v>64</v>
      </c>
      <c r="M584" s="2" t="s">
        <v>1799</v>
      </c>
      <c r="N584" s="14">
        <v>43305</v>
      </c>
      <c r="O584" s="14">
        <v>43304</v>
      </c>
      <c r="P584" s="2" t="s">
        <v>91</v>
      </c>
      <c r="Q584" s="2" t="s">
        <v>4468</v>
      </c>
      <c r="R584" s="2" t="s">
        <v>80</v>
      </c>
      <c r="S584" s="14">
        <v>43305</v>
      </c>
      <c r="T584" s="2" t="s">
        <v>6508</v>
      </c>
      <c r="U584" s="2" t="s">
        <v>1244</v>
      </c>
      <c r="V584" s="2" t="s">
        <v>2120</v>
      </c>
      <c r="W584" s="2" t="s">
        <v>98</v>
      </c>
      <c r="X584" s="13">
        <v>161</v>
      </c>
      <c r="Y584" s="2" t="s">
        <v>71</v>
      </c>
      <c r="Z584" s="2" t="s">
        <v>72</v>
      </c>
      <c r="AA584" s="13">
        <v>50</v>
      </c>
      <c r="AB584" s="2" t="s">
        <v>73</v>
      </c>
      <c r="AC584" s="2" t="s">
        <v>6773</v>
      </c>
      <c r="AD584" s="27">
        <v>43284</v>
      </c>
      <c r="AL584" s="2" t="s">
        <v>5325</v>
      </c>
    </row>
    <row r="585" spans="1:38" hidden="1" x14ac:dyDescent="0.2">
      <c r="A585" s="2" t="s">
        <v>1775</v>
      </c>
      <c r="B585" s="2" t="s">
        <v>2034</v>
      </c>
      <c r="C585" s="2" t="s">
        <v>2035</v>
      </c>
      <c r="D585" s="2" t="s">
        <v>2036</v>
      </c>
      <c r="E585" s="16">
        <v>523.04999999999995</v>
      </c>
      <c r="F585" s="16">
        <v>523.04999999999995</v>
      </c>
      <c r="G585" s="14">
        <v>43302</v>
      </c>
      <c r="H585" s="15">
        <v>0.20719907407407001</v>
      </c>
      <c r="I585" s="14">
        <v>43302</v>
      </c>
      <c r="J585" s="15">
        <v>0.34256944444443999</v>
      </c>
      <c r="K585" s="13">
        <v>0</v>
      </c>
      <c r="L585" s="2" t="s">
        <v>64</v>
      </c>
      <c r="M585" s="2" t="s">
        <v>2037</v>
      </c>
      <c r="N585" s="14">
        <v>43305</v>
      </c>
      <c r="O585" s="14">
        <v>43304</v>
      </c>
      <c r="P585" s="2" t="s">
        <v>2038</v>
      </c>
      <c r="Q585" s="2" t="s">
        <v>2039</v>
      </c>
      <c r="R585" s="2" t="s">
        <v>80</v>
      </c>
      <c r="S585" s="14">
        <v>43305</v>
      </c>
      <c r="T585" s="2" t="s">
        <v>6509</v>
      </c>
      <c r="U585" s="2" t="s">
        <v>1216</v>
      </c>
      <c r="V585" s="2" t="s">
        <v>2040</v>
      </c>
      <c r="W585" s="2" t="s">
        <v>70</v>
      </c>
      <c r="X585" s="13">
        <v>161</v>
      </c>
      <c r="Y585" s="2" t="s">
        <v>71</v>
      </c>
      <c r="Z585" s="2" t="s">
        <v>72</v>
      </c>
      <c r="AA585" s="13">
        <v>500</v>
      </c>
      <c r="AB585" s="2" t="s">
        <v>73</v>
      </c>
      <c r="AC585" s="2" t="s">
        <v>6773</v>
      </c>
      <c r="AD585" s="27">
        <v>43277</v>
      </c>
      <c r="AL585" s="2" t="s">
        <v>5326</v>
      </c>
    </row>
    <row r="586" spans="1:38" hidden="1" x14ac:dyDescent="0.2">
      <c r="A586" s="2" t="s">
        <v>1775</v>
      </c>
      <c r="B586" s="2" t="s">
        <v>2041</v>
      </c>
      <c r="C586" s="2" t="s">
        <v>2042</v>
      </c>
      <c r="D586" s="2" t="s">
        <v>2043</v>
      </c>
      <c r="E586" s="16">
        <v>209.22</v>
      </c>
      <c r="F586" s="16">
        <v>209.22</v>
      </c>
      <c r="G586" s="14">
        <v>43302</v>
      </c>
      <c r="H586" s="15">
        <v>0.36340277777778002</v>
      </c>
      <c r="I586" s="14">
        <v>43302</v>
      </c>
      <c r="J586" s="15">
        <v>0.41754629629630002</v>
      </c>
      <c r="K586" s="13">
        <v>0</v>
      </c>
      <c r="L586" s="2" t="s">
        <v>64</v>
      </c>
      <c r="M586" s="2" t="s">
        <v>2044</v>
      </c>
      <c r="N586" s="14">
        <v>43305</v>
      </c>
      <c r="O586" s="14">
        <v>43304</v>
      </c>
      <c r="P586" s="2" t="s">
        <v>2038</v>
      </c>
      <c r="Q586" s="2" t="s">
        <v>2045</v>
      </c>
      <c r="R586" s="2" t="s">
        <v>80</v>
      </c>
      <c r="S586" s="14">
        <v>43305</v>
      </c>
      <c r="T586" s="2" t="s">
        <v>6510</v>
      </c>
      <c r="U586" s="2" t="s">
        <v>429</v>
      </c>
      <c r="V586" s="2" t="s">
        <v>2046</v>
      </c>
      <c r="W586" s="2" t="s">
        <v>70</v>
      </c>
      <c r="X586" s="13">
        <v>161</v>
      </c>
      <c r="Y586" s="2" t="s">
        <v>71</v>
      </c>
      <c r="Z586" s="2" t="s">
        <v>72</v>
      </c>
      <c r="AA586" s="13">
        <v>200</v>
      </c>
      <c r="AB586" s="2" t="s">
        <v>73</v>
      </c>
      <c r="AC586" s="2" t="s">
        <v>6773</v>
      </c>
      <c r="AD586" s="27">
        <v>43277</v>
      </c>
      <c r="AL586" s="2" t="s">
        <v>5327</v>
      </c>
    </row>
    <row r="587" spans="1:38" hidden="1" x14ac:dyDescent="0.2">
      <c r="A587" s="2" t="s">
        <v>1775</v>
      </c>
      <c r="B587" s="2" t="s">
        <v>2047</v>
      </c>
      <c r="C587" s="2" t="s">
        <v>2048</v>
      </c>
      <c r="D587" s="2" t="s">
        <v>2049</v>
      </c>
      <c r="E587" s="13">
        <v>1000</v>
      </c>
      <c r="F587" s="13">
        <v>1000</v>
      </c>
      <c r="G587" s="14">
        <v>43302</v>
      </c>
      <c r="H587" s="15">
        <v>0.43837962962963001</v>
      </c>
      <c r="I587" s="14">
        <v>43302</v>
      </c>
      <c r="J587" s="15">
        <v>0.69717592592593003</v>
      </c>
      <c r="K587" s="13">
        <v>20</v>
      </c>
      <c r="L587" s="2" t="s">
        <v>64</v>
      </c>
      <c r="M587" s="2" t="s">
        <v>1822</v>
      </c>
      <c r="N587" s="14">
        <v>43291</v>
      </c>
      <c r="O587" s="14">
        <v>43304</v>
      </c>
      <c r="P587" s="2" t="s">
        <v>91</v>
      </c>
      <c r="Q587" s="2" t="s">
        <v>2050</v>
      </c>
      <c r="R587" s="2" t="s">
        <v>80</v>
      </c>
      <c r="S587" s="14">
        <v>43304</v>
      </c>
      <c r="T587" s="2" t="s">
        <v>6511</v>
      </c>
      <c r="U587" s="2" t="s">
        <v>516</v>
      </c>
      <c r="V587" s="2" t="s">
        <v>2051</v>
      </c>
      <c r="W587" s="2" t="s">
        <v>70</v>
      </c>
      <c r="X587" s="13">
        <v>161</v>
      </c>
      <c r="Y587" s="2" t="s">
        <v>71</v>
      </c>
      <c r="Z587" s="2" t="s">
        <v>72</v>
      </c>
      <c r="AA587" s="13">
        <v>1000</v>
      </c>
      <c r="AB587" s="2" t="s">
        <v>73</v>
      </c>
      <c r="AC587" s="2" t="s">
        <v>6773</v>
      </c>
      <c r="AD587" s="27">
        <v>43243</v>
      </c>
      <c r="AI587" s="2" t="s">
        <v>6153</v>
      </c>
      <c r="AL587" s="2" t="s">
        <v>5328</v>
      </c>
    </row>
    <row r="588" spans="1:38" hidden="1" x14ac:dyDescent="0.2">
      <c r="A588" s="2" t="s">
        <v>1775</v>
      </c>
      <c r="B588" s="2" t="s">
        <v>2052</v>
      </c>
      <c r="C588" s="2" t="s">
        <v>2053</v>
      </c>
      <c r="D588" s="2" t="s">
        <v>2054</v>
      </c>
      <c r="E588" s="13">
        <v>1000</v>
      </c>
      <c r="F588" s="13">
        <v>1000</v>
      </c>
      <c r="G588" s="14">
        <v>43302</v>
      </c>
      <c r="H588" s="15">
        <v>0.74120370370370003</v>
      </c>
      <c r="I588" s="14">
        <v>43303</v>
      </c>
      <c r="J588" s="15">
        <v>0</v>
      </c>
      <c r="K588" s="13">
        <v>0</v>
      </c>
      <c r="L588" s="2" t="s">
        <v>64</v>
      </c>
      <c r="M588" s="2" t="s">
        <v>1822</v>
      </c>
      <c r="N588" s="14">
        <v>43306</v>
      </c>
      <c r="O588" s="14">
        <v>43304</v>
      </c>
      <c r="P588" s="2" t="s">
        <v>2038</v>
      </c>
      <c r="Q588" s="2" t="s">
        <v>2055</v>
      </c>
      <c r="R588" s="2" t="s">
        <v>80</v>
      </c>
      <c r="S588" s="14">
        <v>43306</v>
      </c>
      <c r="T588" s="2" t="s">
        <v>6512</v>
      </c>
      <c r="U588" s="2" t="s">
        <v>256</v>
      </c>
      <c r="V588" s="2" t="s">
        <v>2056</v>
      </c>
      <c r="W588" s="2" t="s">
        <v>70</v>
      </c>
      <c r="X588" s="13">
        <v>161</v>
      </c>
      <c r="Y588" s="2" t="s">
        <v>71</v>
      </c>
      <c r="Z588" s="2" t="s">
        <v>72</v>
      </c>
      <c r="AA588" s="13">
        <v>1000</v>
      </c>
      <c r="AB588" s="2" t="s">
        <v>73</v>
      </c>
      <c r="AC588" s="2" t="s">
        <v>6773</v>
      </c>
      <c r="AD588" s="27">
        <v>43264</v>
      </c>
      <c r="AL588" s="2" t="s">
        <v>5329</v>
      </c>
    </row>
    <row r="589" spans="1:38" hidden="1" x14ac:dyDescent="0.2">
      <c r="A589" s="2" t="s">
        <v>1775</v>
      </c>
      <c r="B589" s="2" t="s">
        <v>2057</v>
      </c>
      <c r="C589" s="2" t="s">
        <v>2058</v>
      </c>
      <c r="D589" s="2" t="s">
        <v>2059</v>
      </c>
      <c r="E589" s="16">
        <v>313.83</v>
      </c>
      <c r="F589" s="16">
        <v>313.83</v>
      </c>
      <c r="G589" s="14">
        <v>43303</v>
      </c>
      <c r="H589" s="15">
        <v>0.12155092592593</v>
      </c>
      <c r="I589" s="14">
        <v>43303</v>
      </c>
      <c r="J589" s="15">
        <v>0.20276620370369999</v>
      </c>
      <c r="K589" s="13">
        <v>0</v>
      </c>
      <c r="L589" s="2" t="s">
        <v>64</v>
      </c>
      <c r="M589" s="2" t="s">
        <v>1784</v>
      </c>
      <c r="N589" s="14">
        <v>43306</v>
      </c>
      <c r="O589" s="14">
        <v>43305</v>
      </c>
      <c r="P589" s="2" t="s">
        <v>91</v>
      </c>
      <c r="Q589" s="2" t="s">
        <v>2060</v>
      </c>
      <c r="R589" s="2" t="s">
        <v>80</v>
      </c>
      <c r="S589" s="14">
        <v>43306</v>
      </c>
      <c r="T589" s="2" t="s">
        <v>6513</v>
      </c>
      <c r="U589" s="2" t="s">
        <v>442</v>
      </c>
      <c r="V589" s="2" t="s">
        <v>2061</v>
      </c>
      <c r="W589" s="2" t="s">
        <v>70</v>
      </c>
      <c r="X589" s="13">
        <v>161</v>
      </c>
      <c r="Y589" s="2" t="s">
        <v>71</v>
      </c>
      <c r="Z589" s="2" t="s">
        <v>72</v>
      </c>
      <c r="AA589" s="13">
        <v>300</v>
      </c>
      <c r="AB589" s="2" t="s">
        <v>73</v>
      </c>
      <c r="AC589" s="2" t="s">
        <v>6773</v>
      </c>
      <c r="AD589" s="27">
        <v>43278</v>
      </c>
      <c r="AI589" s="2" t="s">
        <v>6153</v>
      </c>
      <c r="AL589" s="2" t="s">
        <v>5330</v>
      </c>
    </row>
    <row r="590" spans="1:38" hidden="1" x14ac:dyDescent="0.2">
      <c r="A590" s="2" t="s">
        <v>1775</v>
      </c>
      <c r="B590" s="2" t="s">
        <v>2062</v>
      </c>
      <c r="C590" s="2" t="s">
        <v>2063</v>
      </c>
      <c r="D590" s="2" t="s">
        <v>2064</v>
      </c>
      <c r="E590" s="13">
        <v>3000</v>
      </c>
      <c r="F590" s="13">
        <v>3000</v>
      </c>
      <c r="G590" s="14">
        <v>43303</v>
      </c>
      <c r="H590" s="15">
        <v>0.22359953703704</v>
      </c>
      <c r="I590" s="14">
        <v>43304</v>
      </c>
      <c r="J590" s="15">
        <v>0</v>
      </c>
      <c r="K590" s="13">
        <v>0</v>
      </c>
      <c r="L590" s="2" t="s">
        <v>64</v>
      </c>
      <c r="M590" s="2" t="s">
        <v>1966</v>
      </c>
      <c r="N590" s="14">
        <v>43307</v>
      </c>
      <c r="O590" s="14">
        <v>43305</v>
      </c>
      <c r="P590" s="2" t="s">
        <v>91</v>
      </c>
      <c r="Q590" s="2" t="s">
        <v>2065</v>
      </c>
      <c r="R590" s="2" t="s">
        <v>80</v>
      </c>
      <c r="S590" s="14">
        <v>43307</v>
      </c>
      <c r="T590" s="2" t="s">
        <v>6514</v>
      </c>
      <c r="U590" s="2" t="s">
        <v>2066</v>
      </c>
      <c r="V590" s="2" t="s">
        <v>2067</v>
      </c>
      <c r="W590" s="2" t="s">
        <v>70</v>
      </c>
      <c r="X590" s="13">
        <v>161</v>
      </c>
      <c r="Y590" s="2" t="s">
        <v>71</v>
      </c>
      <c r="Z590" s="2" t="s">
        <v>72</v>
      </c>
      <c r="AA590" s="13">
        <v>3000</v>
      </c>
      <c r="AB590" s="2" t="s">
        <v>73</v>
      </c>
      <c r="AC590" s="2" t="s">
        <v>6773</v>
      </c>
      <c r="AD590" s="27">
        <v>43257</v>
      </c>
      <c r="AL590" s="2" t="s">
        <v>5331</v>
      </c>
    </row>
    <row r="591" spans="1:38" hidden="1" x14ac:dyDescent="0.2">
      <c r="A591" s="2" t="s">
        <v>1775</v>
      </c>
      <c r="B591" s="2" t="s">
        <v>4469</v>
      </c>
      <c r="C591" s="2" t="s">
        <v>4470</v>
      </c>
      <c r="D591" s="2" t="s">
        <v>4471</v>
      </c>
      <c r="E591" s="16">
        <v>1120.5</v>
      </c>
      <c r="F591" s="16">
        <v>1120.5</v>
      </c>
      <c r="G591" s="14">
        <v>43304</v>
      </c>
      <c r="H591" s="15">
        <v>0.48679398148148001</v>
      </c>
      <c r="I591" s="14">
        <v>43304</v>
      </c>
      <c r="J591" s="15">
        <v>0.77678240740741</v>
      </c>
      <c r="K591" s="13">
        <v>20</v>
      </c>
      <c r="L591" s="2" t="s">
        <v>64</v>
      </c>
      <c r="M591" s="2" t="s">
        <v>4472</v>
      </c>
      <c r="N591" s="14">
        <v>43307</v>
      </c>
      <c r="O591" s="14">
        <v>43306</v>
      </c>
      <c r="P591" s="2" t="s">
        <v>4473</v>
      </c>
      <c r="Q591" s="2" t="s">
        <v>4474</v>
      </c>
      <c r="R591" s="2" t="s">
        <v>80</v>
      </c>
      <c r="S591" s="14">
        <v>43307</v>
      </c>
      <c r="T591" s="2" t="s">
        <v>6515</v>
      </c>
      <c r="U591" s="2" t="s">
        <v>4475</v>
      </c>
      <c r="V591" s="2" t="s">
        <v>4476</v>
      </c>
      <c r="W591" s="2" t="s">
        <v>70</v>
      </c>
      <c r="X591" s="13">
        <v>161</v>
      </c>
      <c r="Y591" s="2" t="s">
        <v>71</v>
      </c>
      <c r="Z591" s="2" t="s">
        <v>72</v>
      </c>
      <c r="AA591" s="13">
        <v>1000</v>
      </c>
      <c r="AB591" s="2" t="s">
        <v>73</v>
      </c>
      <c r="AC591" s="2" t="s">
        <v>6773</v>
      </c>
      <c r="AD591" s="27">
        <v>43286</v>
      </c>
      <c r="AL591" s="2" t="s">
        <v>5332</v>
      </c>
    </row>
    <row r="592" spans="1:38" hidden="1" x14ac:dyDescent="0.2">
      <c r="A592" s="2" t="s">
        <v>1775</v>
      </c>
      <c r="B592" s="2" t="s">
        <v>2068</v>
      </c>
      <c r="C592" s="2" t="s">
        <v>2069</v>
      </c>
      <c r="D592" s="2" t="s">
        <v>2070</v>
      </c>
      <c r="E592" s="16">
        <v>601.50699999999995</v>
      </c>
      <c r="F592" s="16">
        <v>601.50699999999995</v>
      </c>
      <c r="G592" s="14">
        <v>43304</v>
      </c>
      <c r="H592" s="15">
        <v>0.79761574074074004</v>
      </c>
      <c r="I592" s="14">
        <v>43304</v>
      </c>
      <c r="J592" s="15">
        <v>0.95328703703703999</v>
      </c>
      <c r="K592" s="13">
        <v>0</v>
      </c>
      <c r="L592" s="2" t="s">
        <v>64</v>
      </c>
      <c r="M592" s="2" t="s">
        <v>2071</v>
      </c>
      <c r="N592" s="14">
        <v>43307</v>
      </c>
      <c r="O592" s="14">
        <v>43306</v>
      </c>
      <c r="P592" s="2" t="s">
        <v>2038</v>
      </c>
      <c r="Q592" s="2" t="s">
        <v>2072</v>
      </c>
      <c r="R592" s="2" t="s">
        <v>80</v>
      </c>
      <c r="S592" s="14">
        <v>43307</v>
      </c>
      <c r="T592" s="2" t="s">
        <v>6516</v>
      </c>
      <c r="U592" s="2" t="s">
        <v>495</v>
      </c>
      <c r="V592" s="2" t="s">
        <v>2073</v>
      </c>
      <c r="W592" s="2" t="s">
        <v>70</v>
      </c>
      <c r="X592" s="13">
        <v>161</v>
      </c>
      <c r="Y592" s="2" t="s">
        <v>71</v>
      </c>
      <c r="Z592" s="2" t="s">
        <v>72</v>
      </c>
      <c r="AA592" s="13">
        <v>575</v>
      </c>
      <c r="AB592" s="2" t="s">
        <v>73</v>
      </c>
      <c r="AC592" s="2" t="s">
        <v>6773</v>
      </c>
      <c r="AD592" s="27">
        <v>43279</v>
      </c>
      <c r="AL592" s="2" t="s">
        <v>5333</v>
      </c>
    </row>
    <row r="593" spans="1:38" hidden="1" x14ac:dyDescent="0.2">
      <c r="A593" s="2" t="s">
        <v>1775</v>
      </c>
      <c r="B593" s="2" t="s">
        <v>2074</v>
      </c>
      <c r="C593" s="2" t="s">
        <v>2075</v>
      </c>
      <c r="D593" s="2" t="s">
        <v>2076</v>
      </c>
      <c r="E593" s="13">
        <v>100</v>
      </c>
      <c r="F593" s="13">
        <v>100</v>
      </c>
      <c r="G593" s="14">
        <v>43304</v>
      </c>
      <c r="H593" s="15">
        <v>0.97412037037037003</v>
      </c>
      <c r="I593" s="14">
        <v>43305</v>
      </c>
      <c r="J593" s="15">
        <v>0</v>
      </c>
      <c r="K593" s="13">
        <v>0</v>
      </c>
      <c r="L593" s="2" t="s">
        <v>64</v>
      </c>
      <c r="M593" s="2" t="s">
        <v>1937</v>
      </c>
      <c r="N593" s="14">
        <v>43307</v>
      </c>
      <c r="O593" s="14">
        <v>43306</v>
      </c>
      <c r="P593" s="2" t="s">
        <v>524</v>
      </c>
      <c r="Q593" s="2" t="s">
        <v>2077</v>
      </c>
      <c r="R593" s="2" t="s">
        <v>80</v>
      </c>
      <c r="S593" s="14">
        <v>43307</v>
      </c>
      <c r="T593" s="2" t="s">
        <v>6517</v>
      </c>
      <c r="U593" s="2" t="s">
        <v>484</v>
      </c>
      <c r="V593" s="2" t="s">
        <v>2078</v>
      </c>
      <c r="W593" s="2" t="s">
        <v>70</v>
      </c>
      <c r="X593" s="13">
        <v>161</v>
      </c>
      <c r="Y593" s="2" t="s">
        <v>71</v>
      </c>
      <c r="Z593" s="2" t="s">
        <v>72</v>
      </c>
      <c r="AA593" s="13">
        <v>100</v>
      </c>
      <c r="AB593" s="2" t="s">
        <v>73</v>
      </c>
      <c r="AC593" s="2" t="s">
        <v>6773</v>
      </c>
      <c r="AD593" s="27">
        <v>43279</v>
      </c>
      <c r="AI593" s="2" t="s">
        <v>6153</v>
      </c>
      <c r="AL593" s="2" t="s">
        <v>5334</v>
      </c>
    </row>
    <row r="594" spans="1:38" hidden="1" x14ac:dyDescent="0.2">
      <c r="A594" s="2" t="s">
        <v>1775</v>
      </c>
      <c r="B594" s="2" t="s">
        <v>2111</v>
      </c>
      <c r="C594" s="2" t="s">
        <v>2112</v>
      </c>
      <c r="D594" s="2" t="s">
        <v>2113</v>
      </c>
      <c r="E594" s="13">
        <v>2000</v>
      </c>
      <c r="F594" s="13">
        <v>2000</v>
      </c>
      <c r="G594" s="14">
        <v>43305</v>
      </c>
      <c r="H594" s="15">
        <v>0.38035879629629998</v>
      </c>
      <c r="I594" s="14">
        <v>43305</v>
      </c>
      <c r="J594" s="15">
        <v>0.89795138888889003</v>
      </c>
      <c r="K594" s="13">
        <v>0</v>
      </c>
      <c r="L594" s="2" t="s">
        <v>64</v>
      </c>
      <c r="M594" s="2" t="s">
        <v>1794</v>
      </c>
      <c r="N594" s="14">
        <v>43311</v>
      </c>
      <c r="O594" s="14">
        <v>43307</v>
      </c>
      <c r="P594" s="2" t="s">
        <v>1910</v>
      </c>
      <c r="Q594" s="2" t="s">
        <v>2114</v>
      </c>
      <c r="R594" s="2" t="s">
        <v>80</v>
      </c>
      <c r="S594" s="14">
        <v>43313</v>
      </c>
      <c r="U594" s="2" t="s">
        <v>1985</v>
      </c>
      <c r="V594" s="2" t="s">
        <v>2115</v>
      </c>
      <c r="W594" s="2" t="s">
        <v>70</v>
      </c>
      <c r="X594" s="13">
        <v>0</v>
      </c>
      <c r="Y594" s="2" t="s">
        <v>71</v>
      </c>
      <c r="Z594" s="2" t="s">
        <v>72</v>
      </c>
      <c r="AA594" s="13">
        <v>2000</v>
      </c>
      <c r="AB594" s="2" t="s">
        <v>95</v>
      </c>
      <c r="AC594" s="2" t="s">
        <v>6773</v>
      </c>
      <c r="AD594" s="27"/>
      <c r="AI594" s="2" t="s">
        <v>6153</v>
      </c>
      <c r="AL594" s="2" t="s">
        <v>7243</v>
      </c>
    </row>
    <row r="595" spans="1:38" hidden="1" x14ac:dyDescent="0.2">
      <c r="A595" s="2" t="s">
        <v>1775</v>
      </c>
      <c r="B595" s="2" t="s">
        <v>2079</v>
      </c>
      <c r="C595" s="2" t="s">
        <v>1782</v>
      </c>
      <c r="D595" s="2" t="s">
        <v>1783</v>
      </c>
      <c r="E595" s="16">
        <v>313.83</v>
      </c>
      <c r="F595" s="16">
        <v>313.83</v>
      </c>
      <c r="G595" s="14">
        <v>43305</v>
      </c>
      <c r="H595" s="15">
        <v>0.91878472222221996</v>
      </c>
      <c r="I595" s="14">
        <v>43306</v>
      </c>
      <c r="J595" s="15">
        <v>0</v>
      </c>
      <c r="K595" s="13">
        <v>20</v>
      </c>
      <c r="L595" s="2" t="s">
        <v>64</v>
      </c>
      <c r="M595" s="2" t="s">
        <v>1784</v>
      </c>
      <c r="N595" s="14">
        <v>43308</v>
      </c>
      <c r="O595" s="14">
        <v>43307</v>
      </c>
      <c r="P595" s="2" t="s">
        <v>91</v>
      </c>
      <c r="Q595" s="2" t="s">
        <v>2080</v>
      </c>
      <c r="R595" s="2" t="s">
        <v>80</v>
      </c>
      <c r="S595" s="14">
        <v>43308</v>
      </c>
      <c r="T595" s="2" t="s">
        <v>6518</v>
      </c>
      <c r="U595" s="2" t="s">
        <v>484</v>
      </c>
      <c r="V595" s="2" t="s">
        <v>1785</v>
      </c>
      <c r="W595" s="2" t="s">
        <v>98</v>
      </c>
      <c r="X595" s="13">
        <v>161</v>
      </c>
      <c r="Y595" s="2" t="s">
        <v>71</v>
      </c>
      <c r="Z595" s="2" t="s">
        <v>72</v>
      </c>
      <c r="AA595" s="13">
        <v>300</v>
      </c>
      <c r="AB595" s="2" t="s">
        <v>73</v>
      </c>
      <c r="AC595" s="2" t="s">
        <v>6773</v>
      </c>
      <c r="AD595" s="27">
        <v>43283</v>
      </c>
      <c r="AI595" s="2" t="s">
        <v>6153</v>
      </c>
      <c r="AL595" s="2" t="s">
        <v>5335</v>
      </c>
    </row>
    <row r="596" spans="1:38" hidden="1" x14ac:dyDescent="0.2">
      <c r="A596" s="2" t="s">
        <v>1775</v>
      </c>
      <c r="B596" s="2" t="s">
        <v>1906</v>
      </c>
      <c r="C596" s="2" t="s">
        <v>1907</v>
      </c>
      <c r="D596" s="2" t="s">
        <v>1908</v>
      </c>
      <c r="E596" s="16">
        <v>5230.5</v>
      </c>
      <c r="F596" s="16">
        <v>5230.5</v>
      </c>
      <c r="G596" s="14">
        <v>43306</v>
      </c>
      <c r="H596" s="15">
        <v>2.0833333333330002E-2</v>
      </c>
      <c r="I596" s="14">
        <v>43307</v>
      </c>
      <c r="J596" s="15">
        <v>0.37447916666667003</v>
      </c>
      <c r="K596" s="13">
        <v>20</v>
      </c>
      <c r="L596" s="2" t="s">
        <v>64</v>
      </c>
      <c r="M596" s="2" t="s">
        <v>4477</v>
      </c>
      <c r="N596" s="14">
        <v>43318</v>
      </c>
      <c r="O596" s="14">
        <v>43309</v>
      </c>
      <c r="P596" s="2" t="s">
        <v>1910</v>
      </c>
      <c r="Q596" s="2" t="s">
        <v>98</v>
      </c>
      <c r="R596" s="2" t="s">
        <v>131</v>
      </c>
      <c r="S596" s="14"/>
      <c r="T596" s="2" t="s">
        <v>6519</v>
      </c>
      <c r="U596" s="2" t="s">
        <v>1805</v>
      </c>
      <c r="V596" s="2" t="s">
        <v>1911</v>
      </c>
      <c r="W596" s="2" t="s">
        <v>70</v>
      </c>
      <c r="X596" s="13">
        <v>161</v>
      </c>
      <c r="Y596" s="2" t="s">
        <v>71</v>
      </c>
      <c r="Z596" s="2" t="s">
        <v>72</v>
      </c>
      <c r="AA596" s="13">
        <v>5000</v>
      </c>
      <c r="AB596" s="2" t="s">
        <v>73</v>
      </c>
      <c r="AC596" s="2" t="s">
        <v>6773</v>
      </c>
      <c r="AD596" s="27">
        <v>43255</v>
      </c>
      <c r="AI596" s="2" t="s">
        <v>6153</v>
      </c>
      <c r="AL596" s="2" t="s">
        <v>5336</v>
      </c>
    </row>
    <row r="597" spans="1:38" hidden="1" x14ac:dyDescent="0.2">
      <c r="A597" s="2" t="s">
        <v>1775</v>
      </c>
      <c r="B597" s="2" t="s">
        <v>4478</v>
      </c>
      <c r="C597" s="2" t="s">
        <v>4479</v>
      </c>
      <c r="D597" s="2" t="s">
        <v>4480</v>
      </c>
      <c r="E597" s="13">
        <v>2000</v>
      </c>
      <c r="F597" s="13">
        <v>2000</v>
      </c>
      <c r="G597" s="14">
        <v>43307</v>
      </c>
      <c r="H597" s="15">
        <v>0.46491898148147998</v>
      </c>
      <c r="I597" s="14">
        <v>43307</v>
      </c>
      <c r="J597" s="15">
        <v>0.98251157407406997</v>
      </c>
      <c r="K597" s="13">
        <v>20</v>
      </c>
      <c r="L597" s="2" t="s">
        <v>64</v>
      </c>
      <c r="M597" s="2" t="s">
        <v>1794</v>
      </c>
      <c r="N597" s="14">
        <v>43314</v>
      </c>
      <c r="O597" s="14">
        <v>43309</v>
      </c>
      <c r="P597" s="2" t="s">
        <v>91</v>
      </c>
      <c r="Q597" s="2" t="s">
        <v>4481</v>
      </c>
      <c r="R597" s="2" t="s">
        <v>80</v>
      </c>
      <c r="S597" s="14">
        <v>43314</v>
      </c>
      <c r="T597" s="2" t="s">
        <v>6520</v>
      </c>
      <c r="U597" s="2" t="s">
        <v>4482</v>
      </c>
      <c r="V597" s="2" t="s">
        <v>4483</v>
      </c>
      <c r="W597" s="2" t="s">
        <v>70</v>
      </c>
      <c r="X597" s="13">
        <v>161</v>
      </c>
      <c r="Y597" s="2" t="s">
        <v>71</v>
      </c>
      <c r="Z597" s="2" t="s">
        <v>72</v>
      </c>
      <c r="AA597" s="13">
        <v>2000</v>
      </c>
      <c r="AB597" s="2" t="s">
        <v>73</v>
      </c>
      <c r="AC597" s="2" t="s">
        <v>6773</v>
      </c>
      <c r="AD597" s="27">
        <v>43286</v>
      </c>
      <c r="AI597" s="2" t="s">
        <v>6153</v>
      </c>
      <c r="AL597" s="2" t="s">
        <v>5337</v>
      </c>
    </row>
    <row r="598" spans="1:38" hidden="1" x14ac:dyDescent="0.2">
      <c r="A598" s="2" t="s">
        <v>1775</v>
      </c>
      <c r="B598" s="2" t="s">
        <v>4484</v>
      </c>
      <c r="C598" s="2" t="s">
        <v>4485</v>
      </c>
      <c r="D598" s="2" t="s">
        <v>4486</v>
      </c>
      <c r="E598" s="16">
        <v>523.04999999999995</v>
      </c>
      <c r="F598" s="16">
        <v>523.04999999999995</v>
      </c>
      <c r="G598" s="14">
        <v>43308</v>
      </c>
      <c r="H598" s="15">
        <v>3.3449074074100001E-3</v>
      </c>
      <c r="I598" s="14">
        <v>43308</v>
      </c>
      <c r="J598" s="15">
        <v>0.13871527777778001</v>
      </c>
      <c r="K598" s="13">
        <v>0</v>
      </c>
      <c r="L598" s="2" t="s">
        <v>64</v>
      </c>
      <c r="M598" s="2" t="s">
        <v>2037</v>
      </c>
      <c r="N598" s="14">
        <v>43312</v>
      </c>
      <c r="O598" s="14">
        <v>43310</v>
      </c>
      <c r="P598" s="2" t="s">
        <v>2038</v>
      </c>
      <c r="Q598" s="2" t="s">
        <v>4487</v>
      </c>
      <c r="R598" s="2" t="s">
        <v>80</v>
      </c>
      <c r="S598" s="14">
        <v>43312</v>
      </c>
      <c r="T598" s="2" t="s">
        <v>6521</v>
      </c>
      <c r="U598" s="2" t="s">
        <v>495</v>
      </c>
      <c r="V598" s="2" t="s">
        <v>4488</v>
      </c>
      <c r="W598" s="2" t="s">
        <v>70</v>
      </c>
      <c r="X598" s="13">
        <v>161</v>
      </c>
      <c r="Y598" s="2" t="s">
        <v>71</v>
      </c>
      <c r="Z598" s="2" t="s">
        <v>72</v>
      </c>
      <c r="AA598" s="13">
        <v>500</v>
      </c>
      <c r="AB598" s="2" t="s">
        <v>73</v>
      </c>
      <c r="AC598" s="2" t="s">
        <v>6773</v>
      </c>
      <c r="AD598" s="27">
        <v>43286</v>
      </c>
      <c r="AL598" s="2" t="s">
        <v>5338</v>
      </c>
    </row>
    <row r="599" spans="1:38" hidden="1" x14ac:dyDescent="0.2">
      <c r="A599" s="2" t="s">
        <v>1775</v>
      </c>
      <c r="B599" s="2" t="s">
        <v>4105</v>
      </c>
      <c r="C599" s="2" t="s">
        <v>4106</v>
      </c>
      <c r="D599" s="2" t="s">
        <v>4107</v>
      </c>
      <c r="E599" s="16">
        <v>2092.1999999999998</v>
      </c>
      <c r="F599" s="16">
        <v>2092.1999999999998</v>
      </c>
      <c r="G599" s="14">
        <v>43308</v>
      </c>
      <c r="H599" s="15">
        <v>0.15954861111110999</v>
      </c>
      <c r="I599" s="14">
        <v>43308</v>
      </c>
      <c r="J599" s="15">
        <v>0.70100694444444001</v>
      </c>
      <c r="K599" s="13">
        <v>0</v>
      </c>
      <c r="L599" s="2" t="s">
        <v>64</v>
      </c>
      <c r="M599" s="2" t="s">
        <v>1803</v>
      </c>
      <c r="N599" s="14">
        <v>43311</v>
      </c>
      <c r="O599" s="14">
        <v>43310</v>
      </c>
      <c r="P599" s="2" t="s">
        <v>1961</v>
      </c>
      <c r="Q599" s="2" t="s">
        <v>4108</v>
      </c>
      <c r="R599" s="2" t="s">
        <v>80</v>
      </c>
      <c r="S599" s="14">
        <v>43311</v>
      </c>
      <c r="T599" s="2" t="s">
        <v>6522</v>
      </c>
      <c r="U599" s="2" t="s">
        <v>1963</v>
      </c>
      <c r="V599" s="2" t="s">
        <v>4109</v>
      </c>
      <c r="W599" s="2" t="s">
        <v>70</v>
      </c>
      <c r="X599" s="13">
        <v>161</v>
      </c>
      <c r="Y599" s="2" t="s">
        <v>71</v>
      </c>
      <c r="Z599" s="2" t="s">
        <v>72</v>
      </c>
      <c r="AA599" s="13">
        <v>2000</v>
      </c>
      <c r="AB599" s="2" t="s">
        <v>73</v>
      </c>
      <c r="AC599" s="2" t="s">
        <v>6773</v>
      </c>
      <c r="AD599" s="27">
        <v>43283</v>
      </c>
      <c r="AI599" s="2" t="s">
        <v>6153</v>
      </c>
      <c r="AL599" s="2" t="s">
        <v>5339</v>
      </c>
    </row>
    <row r="600" spans="1:38" hidden="1" x14ac:dyDescent="0.2">
      <c r="A600" s="2" t="s">
        <v>1775</v>
      </c>
      <c r="B600" s="2" t="s">
        <v>2081</v>
      </c>
      <c r="C600" s="2" t="s">
        <v>2082</v>
      </c>
      <c r="D600" s="2" t="s">
        <v>2083</v>
      </c>
      <c r="E600" s="13">
        <v>100</v>
      </c>
      <c r="F600" s="13">
        <v>100</v>
      </c>
      <c r="G600" s="14">
        <v>43308</v>
      </c>
      <c r="H600" s="15">
        <v>0.72184027777778004</v>
      </c>
      <c r="I600" s="14">
        <v>43308</v>
      </c>
      <c r="J600" s="15">
        <v>0.74771990740741001</v>
      </c>
      <c r="K600" s="13">
        <v>0</v>
      </c>
      <c r="L600" s="2" t="s">
        <v>64</v>
      </c>
      <c r="M600" s="2" t="s">
        <v>1937</v>
      </c>
      <c r="N600" s="14">
        <v>43311</v>
      </c>
      <c r="O600" s="14">
        <v>43310</v>
      </c>
      <c r="P600" s="2" t="s">
        <v>1573</v>
      </c>
      <c r="Q600" s="2" t="s">
        <v>2084</v>
      </c>
      <c r="R600" s="2" t="s">
        <v>80</v>
      </c>
      <c r="S600" s="14">
        <v>43311</v>
      </c>
      <c r="T600" s="2" t="s">
        <v>6523</v>
      </c>
      <c r="U600" s="2" t="s">
        <v>468</v>
      </c>
      <c r="V600" s="2" t="s">
        <v>2085</v>
      </c>
      <c r="W600" s="2" t="s">
        <v>70</v>
      </c>
      <c r="X600" s="13">
        <v>161</v>
      </c>
      <c r="Y600" s="2" t="s">
        <v>71</v>
      </c>
      <c r="Z600" s="2" t="s">
        <v>72</v>
      </c>
      <c r="AA600" s="13">
        <v>100</v>
      </c>
      <c r="AB600" s="2" t="s">
        <v>73</v>
      </c>
      <c r="AC600" s="2" t="s">
        <v>6772</v>
      </c>
      <c r="AD600" s="27">
        <v>43283</v>
      </c>
      <c r="AL600" s="2" t="s">
        <v>7244</v>
      </c>
    </row>
    <row r="601" spans="1:38" hidden="1" x14ac:dyDescent="0.2">
      <c r="A601" s="2" t="s">
        <v>1775</v>
      </c>
      <c r="B601" s="2" t="s">
        <v>2086</v>
      </c>
      <c r="C601" s="2" t="s">
        <v>1958</v>
      </c>
      <c r="D601" s="2" t="s">
        <v>1959</v>
      </c>
      <c r="E601" s="16">
        <v>313.83</v>
      </c>
      <c r="F601" s="16">
        <v>313.83</v>
      </c>
      <c r="G601" s="14">
        <v>43308</v>
      </c>
      <c r="H601" s="15">
        <v>0.76855324074074005</v>
      </c>
      <c r="I601" s="14">
        <v>43308</v>
      </c>
      <c r="J601" s="15">
        <v>0.84976851851851998</v>
      </c>
      <c r="K601" s="13">
        <v>0</v>
      </c>
      <c r="L601" s="2" t="s">
        <v>64</v>
      </c>
      <c r="M601" s="2" t="s">
        <v>1784</v>
      </c>
      <c r="N601" s="14">
        <v>43311</v>
      </c>
      <c r="O601" s="14">
        <v>43310</v>
      </c>
      <c r="P601" s="2" t="s">
        <v>1961</v>
      </c>
      <c r="Q601" s="2" t="s">
        <v>2087</v>
      </c>
      <c r="R601" s="2" t="s">
        <v>80</v>
      </c>
      <c r="S601" s="14">
        <v>43311</v>
      </c>
      <c r="T601" s="2" t="s">
        <v>6524</v>
      </c>
      <c r="U601" s="2" t="s">
        <v>1963</v>
      </c>
      <c r="V601" s="2" t="s">
        <v>1964</v>
      </c>
      <c r="W601" s="2" t="s">
        <v>70</v>
      </c>
      <c r="X601" s="13">
        <v>161</v>
      </c>
      <c r="Y601" s="2" t="s">
        <v>71</v>
      </c>
      <c r="Z601" s="2" t="s">
        <v>72</v>
      </c>
      <c r="AA601" s="13">
        <v>300</v>
      </c>
      <c r="AB601" s="2" t="s">
        <v>73</v>
      </c>
      <c r="AC601" s="2" t="s">
        <v>6773</v>
      </c>
      <c r="AD601" s="27">
        <v>43283</v>
      </c>
      <c r="AL601" s="2" t="s">
        <v>5340</v>
      </c>
    </row>
    <row r="602" spans="1:38" hidden="1" x14ac:dyDescent="0.2">
      <c r="A602" s="2" t="s">
        <v>1775</v>
      </c>
      <c r="B602" s="2" t="s">
        <v>2088</v>
      </c>
      <c r="C602" s="2" t="s">
        <v>2089</v>
      </c>
      <c r="D602" s="2" t="s">
        <v>2090</v>
      </c>
      <c r="E602" s="13">
        <v>500</v>
      </c>
      <c r="F602" s="13">
        <v>500</v>
      </c>
      <c r="G602" s="14">
        <v>43308</v>
      </c>
      <c r="H602" s="15">
        <v>0.87060185185185002</v>
      </c>
      <c r="I602" s="14">
        <v>43309</v>
      </c>
      <c r="J602" s="15">
        <v>0</v>
      </c>
      <c r="K602" s="13">
        <v>0</v>
      </c>
      <c r="L602" s="2" t="s">
        <v>64</v>
      </c>
      <c r="M602" s="2" t="s">
        <v>1810</v>
      </c>
      <c r="N602" s="14">
        <v>43312</v>
      </c>
      <c r="O602" s="14">
        <v>43310</v>
      </c>
      <c r="P602" s="2" t="s">
        <v>91</v>
      </c>
      <c r="Q602" s="2" t="s">
        <v>2091</v>
      </c>
      <c r="R602" s="2" t="s">
        <v>80</v>
      </c>
      <c r="S602" s="14">
        <v>43312</v>
      </c>
      <c r="T602" s="2" t="s">
        <v>6525</v>
      </c>
      <c r="U602" s="2" t="s">
        <v>2092</v>
      </c>
      <c r="V602" s="2" t="s">
        <v>2093</v>
      </c>
      <c r="W602" s="2" t="s">
        <v>70</v>
      </c>
      <c r="X602" s="13">
        <v>161</v>
      </c>
      <c r="Y602" s="2" t="s">
        <v>71</v>
      </c>
      <c r="Z602" s="2" t="s">
        <v>72</v>
      </c>
      <c r="AA602" s="13">
        <v>500</v>
      </c>
      <c r="AB602" s="2" t="s">
        <v>73</v>
      </c>
      <c r="AC602" s="2" t="s">
        <v>6773</v>
      </c>
      <c r="AD602" s="27">
        <v>43258</v>
      </c>
      <c r="AI602" s="2" t="s">
        <v>6153</v>
      </c>
      <c r="AL602" s="2" t="s">
        <v>5341</v>
      </c>
    </row>
    <row r="603" spans="1:38" hidden="1" x14ac:dyDescent="0.2">
      <c r="A603" s="2" t="s">
        <v>1775</v>
      </c>
      <c r="B603" s="2" t="s">
        <v>4489</v>
      </c>
      <c r="C603" s="2" t="s">
        <v>4490</v>
      </c>
      <c r="D603" s="2" t="s">
        <v>4491</v>
      </c>
      <c r="E603" s="16">
        <v>156.91499999999999</v>
      </c>
      <c r="F603" s="16">
        <v>156.91499999999999</v>
      </c>
      <c r="G603" s="14">
        <v>43309</v>
      </c>
      <c r="H603" s="15">
        <v>4.0370370370370001E-2</v>
      </c>
      <c r="I603" s="14">
        <v>43309</v>
      </c>
      <c r="J603" s="15">
        <v>8.0983796296299995E-2</v>
      </c>
      <c r="K603" s="13">
        <v>0</v>
      </c>
      <c r="L603" s="2" t="s">
        <v>64</v>
      </c>
      <c r="M603" s="2" t="s">
        <v>4492</v>
      </c>
      <c r="N603" s="14">
        <v>43312</v>
      </c>
      <c r="O603" s="14">
        <v>43311</v>
      </c>
      <c r="P603" s="2" t="s">
        <v>91</v>
      </c>
      <c r="Q603" s="2" t="s">
        <v>4493</v>
      </c>
      <c r="R603" s="2" t="s">
        <v>80</v>
      </c>
      <c r="S603" s="14">
        <v>43312</v>
      </c>
      <c r="T603" s="2" t="s">
        <v>6526</v>
      </c>
      <c r="U603" s="2" t="s">
        <v>461</v>
      </c>
      <c r="V603" s="2" t="s">
        <v>4494</v>
      </c>
      <c r="W603" s="2" t="s">
        <v>70</v>
      </c>
      <c r="X603" s="13">
        <v>161</v>
      </c>
      <c r="Y603" s="2" t="s">
        <v>71</v>
      </c>
      <c r="Z603" s="2" t="s">
        <v>72</v>
      </c>
      <c r="AA603" s="13">
        <v>150</v>
      </c>
      <c r="AB603" s="2" t="s">
        <v>73</v>
      </c>
      <c r="AC603" s="2" t="s">
        <v>6773</v>
      </c>
      <c r="AD603" s="27">
        <v>43284</v>
      </c>
      <c r="AI603" s="2" t="s">
        <v>6153</v>
      </c>
      <c r="AL603" s="2" t="s">
        <v>5342</v>
      </c>
    </row>
    <row r="604" spans="1:38" hidden="1" x14ac:dyDescent="0.2">
      <c r="A604" s="2" t="s">
        <v>1775</v>
      </c>
      <c r="B604" s="2" t="s">
        <v>2094</v>
      </c>
      <c r="C604" s="2" t="s">
        <v>2095</v>
      </c>
      <c r="D604" s="2" t="s">
        <v>2096</v>
      </c>
      <c r="E604" s="16">
        <v>2092.1999999999998</v>
      </c>
      <c r="F604" s="16">
        <v>2092.1999999999998</v>
      </c>
      <c r="G604" s="14">
        <v>43309</v>
      </c>
      <c r="H604" s="15">
        <v>0.10181712962962999</v>
      </c>
      <c r="I604" s="14">
        <v>43309</v>
      </c>
      <c r="J604" s="15">
        <v>0.64327546296296001</v>
      </c>
      <c r="K604" s="13">
        <v>20</v>
      </c>
      <c r="L604" s="2" t="s">
        <v>64</v>
      </c>
      <c r="M604" s="2" t="s">
        <v>1803</v>
      </c>
      <c r="N604" s="14">
        <v>43312</v>
      </c>
      <c r="O604" s="14">
        <v>43311</v>
      </c>
      <c r="P604" s="2" t="s">
        <v>1588</v>
      </c>
      <c r="Q604" s="2" t="s">
        <v>2097</v>
      </c>
      <c r="R604" s="2" t="s">
        <v>80</v>
      </c>
      <c r="S604" s="14">
        <v>43312</v>
      </c>
      <c r="T604" s="2" t="s">
        <v>6527</v>
      </c>
      <c r="U604" s="2" t="s">
        <v>1985</v>
      </c>
      <c r="V604" s="2" t="s">
        <v>2098</v>
      </c>
      <c r="W604" s="2" t="s">
        <v>70</v>
      </c>
      <c r="X604" s="13">
        <v>161</v>
      </c>
      <c r="Y604" s="2" t="s">
        <v>71</v>
      </c>
      <c r="Z604" s="2" t="s">
        <v>72</v>
      </c>
      <c r="AA604" s="13">
        <v>2000</v>
      </c>
      <c r="AB604" s="2" t="s">
        <v>73</v>
      </c>
      <c r="AC604" s="2" t="s">
        <v>6773</v>
      </c>
      <c r="AD604" s="27">
        <v>43279</v>
      </c>
      <c r="AI604" s="2" t="s">
        <v>6153</v>
      </c>
      <c r="AL604" s="2" t="s">
        <v>5343</v>
      </c>
    </row>
    <row r="605" spans="1:38" hidden="1" x14ac:dyDescent="0.2">
      <c r="A605" s="2" t="s">
        <v>1775</v>
      </c>
      <c r="B605" s="2" t="s">
        <v>2099</v>
      </c>
      <c r="C605" s="2" t="s">
        <v>1913</v>
      </c>
      <c r="D605" s="2" t="s">
        <v>1914</v>
      </c>
      <c r="E605" s="16">
        <v>523.04999999999995</v>
      </c>
      <c r="F605" s="16">
        <v>523.04999999999995</v>
      </c>
      <c r="G605" s="14">
        <v>43309</v>
      </c>
      <c r="H605" s="15">
        <v>0.66410879629630004</v>
      </c>
      <c r="I605" s="14">
        <v>43309</v>
      </c>
      <c r="J605" s="15">
        <v>0.79947916666666996</v>
      </c>
      <c r="K605" s="13">
        <v>0</v>
      </c>
      <c r="L605" s="2" t="s">
        <v>64</v>
      </c>
      <c r="M605" s="2" t="s">
        <v>2037</v>
      </c>
      <c r="N605" s="14">
        <v>43312</v>
      </c>
      <c r="O605" s="14">
        <v>43311</v>
      </c>
      <c r="P605" s="2" t="s">
        <v>1915</v>
      </c>
      <c r="Q605" s="2" t="s">
        <v>2100</v>
      </c>
      <c r="R605" s="2" t="s">
        <v>80</v>
      </c>
      <c r="S605" s="14">
        <v>43312</v>
      </c>
      <c r="T605" s="2" t="s">
        <v>6528</v>
      </c>
      <c r="U605" s="2" t="s">
        <v>1905</v>
      </c>
      <c r="V605" s="2" t="s">
        <v>1917</v>
      </c>
      <c r="W605" s="2" t="s">
        <v>70</v>
      </c>
      <c r="X605" s="13">
        <v>161</v>
      </c>
      <c r="Y605" s="2" t="s">
        <v>71</v>
      </c>
      <c r="Z605" s="2" t="s">
        <v>72</v>
      </c>
      <c r="AA605" s="13">
        <v>500</v>
      </c>
      <c r="AB605" s="2" t="s">
        <v>73</v>
      </c>
      <c r="AC605" s="2" t="s">
        <v>6773</v>
      </c>
      <c r="AD605" s="27">
        <v>43278</v>
      </c>
      <c r="AI605" s="2" t="s">
        <v>6153</v>
      </c>
      <c r="AL605" s="2" t="s">
        <v>5344</v>
      </c>
    </row>
    <row r="606" spans="1:38" hidden="1" x14ac:dyDescent="0.2">
      <c r="A606" s="2" t="s">
        <v>1775</v>
      </c>
      <c r="B606" s="2" t="s">
        <v>2101</v>
      </c>
      <c r="C606" s="2" t="s">
        <v>2102</v>
      </c>
      <c r="D606" s="2" t="s">
        <v>2103</v>
      </c>
      <c r="E606" s="16">
        <v>313.83</v>
      </c>
      <c r="F606" s="16">
        <v>313.83</v>
      </c>
      <c r="G606" s="14">
        <v>43309</v>
      </c>
      <c r="H606" s="15">
        <v>0.8203125</v>
      </c>
      <c r="I606" s="14">
        <v>43309</v>
      </c>
      <c r="J606" s="15">
        <v>0.90152777777778004</v>
      </c>
      <c r="K606" s="13">
        <v>0</v>
      </c>
      <c r="L606" s="2" t="s">
        <v>64</v>
      </c>
      <c r="M606" s="2" t="s">
        <v>1784</v>
      </c>
      <c r="N606" s="14">
        <v>43312</v>
      </c>
      <c r="O606" s="14">
        <v>43311</v>
      </c>
      <c r="P606" s="2" t="s">
        <v>91</v>
      </c>
      <c r="Q606" s="2" t="s">
        <v>2104</v>
      </c>
      <c r="R606" s="2" t="s">
        <v>80</v>
      </c>
      <c r="S606" s="14">
        <v>43312</v>
      </c>
      <c r="T606" s="2" t="s">
        <v>6529</v>
      </c>
      <c r="U606" s="2" t="s">
        <v>280</v>
      </c>
      <c r="V606" s="2" t="s">
        <v>2105</v>
      </c>
      <c r="W606" s="2" t="s">
        <v>70</v>
      </c>
      <c r="X606" s="13">
        <v>161</v>
      </c>
      <c r="Y606" s="2" t="s">
        <v>71</v>
      </c>
      <c r="Z606" s="2" t="s">
        <v>72</v>
      </c>
      <c r="AA606" s="13">
        <v>300</v>
      </c>
      <c r="AB606" s="2" t="s">
        <v>73</v>
      </c>
      <c r="AC606" s="2" t="s">
        <v>6773</v>
      </c>
      <c r="AD606" s="27">
        <v>43276</v>
      </c>
      <c r="AI606" s="2" t="s">
        <v>6153</v>
      </c>
      <c r="AL606" s="2" t="s">
        <v>5345</v>
      </c>
    </row>
    <row r="607" spans="1:38" hidden="1" x14ac:dyDescent="0.2">
      <c r="A607" s="2" t="s">
        <v>1775</v>
      </c>
      <c r="B607" s="2" t="s">
        <v>2106</v>
      </c>
      <c r="C607" s="2" t="s">
        <v>2107</v>
      </c>
      <c r="D607" s="2" t="s">
        <v>2108</v>
      </c>
      <c r="E607" s="13">
        <v>300</v>
      </c>
      <c r="F607" s="13">
        <v>300</v>
      </c>
      <c r="G607" s="14">
        <v>43309</v>
      </c>
      <c r="H607" s="15">
        <v>0.92236111111110997</v>
      </c>
      <c r="I607" s="14">
        <v>43310</v>
      </c>
      <c r="J607" s="15">
        <v>0</v>
      </c>
      <c r="K607" s="13">
        <v>0</v>
      </c>
      <c r="L607" s="2" t="s">
        <v>64</v>
      </c>
      <c r="M607" s="2" t="s">
        <v>1789</v>
      </c>
      <c r="N607" s="14">
        <v>43312</v>
      </c>
      <c r="O607" s="14">
        <v>43311</v>
      </c>
      <c r="P607" s="2" t="s">
        <v>91</v>
      </c>
      <c r="Q607" s="2" t="s">
        <v>2109</v>
      </c>
      <c r="R607" s="2" t="s">
        <v>80</v>
      </c>
      <c r="S607" s="14">
        <v>43312</v>
      </c>
      <c r="T607" s="2" t="s">
        <v>6530</v>
      </c>
      <c r="U607" s="2" t="s">
        <v>280</v>
      </c>
      <c r="V607" s="2" t="s">
        <v>2110</v>
      </c>
      <c r="W607" s="2" t="s">
        <v>70</v>
      </c>
      <c r="X607" s="13">
        <v>161</v>
      </c>
      <c r="Y607" s="2" t="s">
        <v>71</v>
      </c>
      <c r="Z607" s="2" t="s">
        <v>72</v>
      </c>
      <c r="AA607" s="13">
        <v>300</v>
      </c>
      <c r="AB607" s="2" t="s">
        <v>73</v>
      </c>
      <c r="AC607" s="2" t="s">
        <v>6773</v>
      </c>
      <c r="AD607" s="27">
        <v>43263</v>
      </c>
      <c r="AI607" s="2" t="s">
        <v>6153</v>
      </c>
      <c r="AL607" s="2" t="s">
        <v>5346</v>
      </c>
    </row>
    <row r="608" spans="1:38" hidden="1" x14ac:dyDescent="0.2">
      <c r="A608" s="2" t="s">
        <v>1775</v>
      </c>
      <c r="B608" s="2" t="s">
        <v>4110</v>
      </c>
      <c r="C608" s="2" t="s">
        <v>4111</v>
      </c>
      <c r="D608" s="2" t="s">
        <v>4112</v>
      </c>
      <c r="E608" s="16">
        <v>627.66</v>
      </c>
      <c r="F608" s="16">
        <v>627.66</v>
      </c>
      <c r="G608" s="14">
        <v>43310</v>
      </c>
      <c r="H608" s="15">
        <v>0.29913194444444002</v>
      </c>
      <c r="I608" s="14">
        <v>43310</v>
      </c>
      <c r="J608" s="15">
        <v>0.46157407407406997</v>
      </c>
      <c r="K608" s="13">
        <v>20</v>
      </c>
      <c r="L608" s="2" t="s">
        <v>64</v>
      </c>
      <c r="M608" s="2" t="s">
        <v>4113</v>
      </c>
      <c r="N608" s="14">
        <v>43311</v>
      </c>
      <c r="O608" s="14">
        <v>43310</v>
      </c>
      <c r="P608" s="2" t="s">
        <v>91</v>
      </c>
      <c r="Q608" s="2" t="s">
        <v>4114</v>
      </c>
      <c r="R608" s="2" t="s">
        <v>80</v>
      </c>
      <c r="S608" s="14">
        <v>43311</v>
      </c>
      <c r="T608" s="2" t="s">
        <v>6531</v>
      </c>
      <c r="U608" s="2" t="s">
        <v>484</v>
      </c>
      <c r="V608" s="2" t="s">
        <v>4115</v>
      </c>
      <c r="W608" s="2" t="s">
        <v>98</v>
      </c>
      <c r="X608" s="13">
        <v>161</v>
      </c>
      <c r="Y608" s="2" t="s">
        <v>71</v>
      </c>
      <c r="Z608" s="2" t="s">
        <v>72</v>
      </c>
      <c r="AA608" s="13">
        <v>600</v>
      </c>
      <c r="AB608" s="2" t="s">
        <v>73</v>
      </c>
      <c r="AC608" s="2" t="s">
        <v>6773</v>
      </c>
      <c r="AD608" s="27">
        <v>43283</v>
      </c>
      <c r="AL608" s="2" t="s">
        <v>5347</v>
      </c>
    </row>
    <row r="609" spans="1:38" hidden="1" x14ac:dyDescent="0.2">
      <c r="A609" s="2" t="s">
        <v>1775</v>
      </c>
      <c r="B609" s="2" t="s">
        <v>4495</v>
      </c>
      <c r="C609" s="2" t="s">
        <v>4496</v>
      </c>
      <c r="D609" s="2" t="s">
        <v>4497</v>
      </c>
      <c r="E609" s="16">
        <v>523.04999999999995</v>
      </c>
      <c r="F609" s="16">
        <v>523.04999999999995</v>
      </c>
      <c r="G609" s="14">
        <v>43311</v>
      </c>
      <c r="H609" s="15">
        <v>0.30233796296296001</v>
      </c>
      <c r="I609" s="14">
        <v>43311</v>
      </c>
      <c r="J609" s="15">
        <v>0.43770833333332998</v>
      </c>
      <c r="K609" s="13">
        <v>0</v>
      </c>
      <c r="L609" s="2" t="s">
        <v>64</v>
      </c>
      <c r="M609" s="2" t="s">
        <v>2037</v>
      </c>
      <c r="N609" s="14">
        <v>43314</v>
      </c>
      <c r="O609" s="14">
        <v>43313</v>
      </c>
      <c r="P609" s="2" t="s">
        <v>2038</v>
      </c>
      <c r="Q609" s="2" t="s">
        <v>4498</v>
      </c>
      <c r="R609" s="2" t="s">
        <v>80</v>
      </c>
      <c r="S609" s="14">
        <v>43314</v>
      </c>
      <c r="T609" s="2" t="s">
        <v>6532</v>
      </c>
      <c r="U609" s="2" t="s">
        <v>495</v>
      </c>
      <c r="V609" s="2" t="s">
        <v>4499</v>
      </c>
      <c r="W609" s="2" t="s">
        <v>70</v>
      </c>
      <c r="X609" s="13">
        <v>161</v>
      </c>
      <c r="Y609" s="2" t="s">
        <v>71</v>
      </c>
      <c r="Z609" s="2" t="s">
        <v>72</v>
      </c>
      <c r="AA609" s="13">
        <v>500</v>
      </c>
      <c r="AB609" s="2" t="s">
        <v>73</v>
      </c>
      <c r="AC609" s="2" t="s">
        <v>6773</v>
      </c>
      <c r="AD609" s="27">
        <v>43286</v>
      </c>
      <c r="AL609" s="2" t="s">
        <v>5348</v>
      </c>
    </row>
    <row r="610" spans="1:38" hidden="1" x14ac:dyDescent="0.2">
      <c r="A610" s="2" t="s">
        <v>1775</v>
      </c>
      <c r="B610" s="2" t="s">
        <v>4500</v>
      </c>
      <c r="C610" s="2" t="s">
        <v>1275</v>
      </c>
      <c r="D610" s="2" t="s">
        <v>1276</v>
      </c>
      <c r="E610" s="16">
        <v>2092.1999999999998</v>
      </c>
      <c r="F610" s="16">
        <v>2092.1999999999998</v>
      </c>
      <c r="G610" s="14">
        <v>43311</v>
      </c>
      <c r="H610" s="15">
        <v>0.45854166666667001</v>
      </c>
      <c r="I610" s="14">
        <v>43312</v>
      </c>
      <c r="J610" s="15">
        <v>0</v>
      </c>
      <c r="K610" s="13">
        <v>0</v>
      </c>
      <c r="L610" s="2" t="s">
        <v>64</v>
      </c>
      <c r="M610" s="2" t="s">
        <v>1803</v>
      </c>
      <c r="N610" s="14">
        <v>43314</v>
      </c>
      <c r="O610" s="14">
        <v>43313</v>
      </c>
      <c r="P610" s="2" t="s">
        <v>2002</v>
      </c>
      <c r="Q610" s="2" t="s">
        <v>4501</v>
      </c>
      <c r="R610" s="2" t="s">
        <v>80</v>
      </c>
      <c r="S610" s="14">
        <v>43314</v>
      </c>
      <c r="T610" s="2" t="s">
        <v>6533</v>
      </c>
      <c r="U610" s="2" t="s">
        <v>484</v>
      </c>
      <c r="V610" s="2" t="s">
        <v>1279</v>
      </c>
      <c r="W610" s="2" t="s">
        <v>70</v>
      </c>
      <c r="X610" s="13">
        <v>161</v>
      </c>
      <c r="Y610" s="2" t="s">
        <v>71</v>
      </c>
      <c r="Z610" s="2" t="s">
        <v>72</v>
      </c>
      <c r="AA610" s="13">
        <v>2000</v>
      </c>
      <c r="AB610" s="2" t="s">
        <v>73</v>
      </c>
      <c r="AC610" s="2" t="s">
        <v>6773</v>
      </c>
      <c r="AD610" s="27">
        <v>43286</v>
      </c>
      <c r="AI610" s="2" t="s">
        <v>6153</v>
      </c>
      <c r="AL610" s="2" t="s">
        <v>5349</v>
      </c>
    </row>
    <row r="611" spans="1:38" hidden="1" x14ac:dyDescent="0.2">
      <c r="A611" s="2" t="s">
        <v>1775</v>
      </c>
      <c r="B611" s="2" t="s">
        <v>2121</v>
      </c>
      <c r="C611" s="2" t="s">
        <v>2122</v>
      </c>
      <c r="D611" s="2" t="s">
        <v>2123</v>
      </c>
      <c r="E611" s="13">
        <v>2000</v>
      </c>
      <c r="F611" s="13">
        <v>2000</v>
      </c>
      <c r="G611" s="14">
        <v>43312</v>
      </c>
      <c r="H611" s="15">
        <v>0.125</v>
      </c>
      <c r="I611" s="14">
        <v>43312</v>
      </c>
      <c r="J611" s="15">
        <v>0.64259259259259005</v>
      </c>
      <c r="K611" s="13">
        <v>0</v>
      </c>
      <c r="L611" s="2" t="s">
        <v>64</v>
      </c>
      <c r="M611" s="2" t="s">
        <v>1794</v>
      </c>
      <c r="N611" s="14">
        <v>43322</v>
      </c>
      <c r="O611" s="14">
        <v>43314</v>
      </c>
      <c r="P611" s="2" t="s">
        <v>91</v>
      </c>
      <c r="Q611" s="2" t="s">
        <v>2124</v>
      </c>
      <c r="R611" s="2" t="s">
        <v>80</v>
      </c>
      <c r="S611" s="14">
        <v>43322</v>
      </c>
      <c r="T611" s="2" t="s">
        <v>6534</v>
      </c>
      <c r="U611" s="2" t="s">
        <v>1590</v>
      </c>
      <c r="V611" s="2" t="s">
        <v>2125</v>
      </c>
      <c r="W611" s="2" t="s">
        <v>70</v>
      </c>
      <c r="X611" s="13">
        <v>161</v>
      </c>
      <c r="Y611" s="2" t="s">
        <v>71</v>
      </c>
      <c r="Z611" s="2" t="s">
        <v>72</v>
      </c>
      <c r="AA611" s="13">
        <v>2000</v>
      </c>
      <c r="AB611" s="2" t="s">
        <v>73</v>
      </c>
      <c r="AC611" s="2" t="s">
        <v>6773</v>
      </c>
      <c r="AD611" s="27">
        <v>43271</v>
      </c>
      <c r="AI611" s="2" t="s">
        <v>6153</v>
      </c>
      <c r="AL611" s="2" t="s">
        <v>5350</v>
      </c>
    </row>
    <row r="612" spans="1:38" hidden="1" x14ac:dyDescent="0.2">
      <c r="A612" s="2" t="s">
        <v>1775</v>
      </c>
      <c r="B612" s="2" t="s">
        <v>4502</v>
      </c>
      <c r="C612" s="2" t="s">
        <v>4503</v>
      </c>
      <c r="D612" s="2" t="s">
        <v>4504</v>
      </c>
      <c r="E612" s="13">
        <v>100</v>
      </c>
      <c r="F612" s="13">
        <v>100</v>
      </c>
      <c r="G612" s="14">
        <v>43313</v>
      </c>
      <c r="H612" s="15">
        <v>0.97412037037037003</v>
      </c>
      <c r="I612" s="14">
        <v>43314</v>
      </c>
      <c r="J612" s="15">
        <v>0</v>
      </c>
      <c r="K612" s="13">
        <v>20</v>
      </c>
      <c r="L612" s="2" t="s">
        <v>64</v>
      </c>
      <c r="M612" s="2" t="s">
        <v>1937</v>
      </c>
      <c r="N612" s="14">
        <v>43314</v>
      </c>
      <c r="O612" s="14">
        <v>43313</v>
      </c>
      <c r="P612" s="2" t="s">
        <v>91</v>
      </c>
      <c r="Q612" s="2" t="s">
        <v>4505</v>
      </c>
      <c r="R612" s="2" t="s">
        <v>80</v>
      </c>
      <c r="S612" s="14">
        <v>43314</v>
      </c>
      <c r="T612" s="2" t="s">
        <v>6535</v>
      </c>
      <c r="U612" s="2" t="s">
        <v>468</v>
      </c>
      <c r="V612" s="2" t="s">
        <v>4506</v>
      </c>
      <c r="W612" s="2" t="s">
        <v>70</v>
      </c>
      <c r="X612" s="13">
        <v>161</v>
      </c>
      <c r="Y612" s="2" t="s">
        <v>71</v>
      </c>
      <c r="Z612" s="2" t="s">
        <v>72</v>
      </c>
      <c r="AA612" s="13">
        <v>100</v>
      </c>
      <c r="AB612" s="2" t="s">
        <v>73</v>
      </c>
      <c r="AC612" s="2" t="s">
        <v>6773</v>
      </c>
      <c r="AD612" s="27">
        <v>43286</v>
      </c>
      <c r="AL612" s="2" t="s">
        <v>5351</v>
      </c>
    </row>
    <row r="613" spans="1:38" hidden="1" x14ac:dyDescent="0.2">
      <c r="A613" s="2" t="s">
        <v>1775</v>
      </c>
      <c r="B613" s="2" t="s">
        <v>4507</v>
      </c>
      <c r="C613" s="2" t="s">
        <v>4508</v>
      </c>
      <c r="D613" s="2" t="s">
        <v>4509</v>
      </c>
      <c r="E613" s="16">
        <v>523.04999999999995</v>
      </c>
      <c r="F613" s="16">
        <v>523.04999999999995</v>
      </c>
      <c r="G613" s="14">
        <v>43317</v>
      </c>
      <c r="H613" s="15">
        <v>0.86462962962962997</v>
      </c>
      <c r="I613" s="14">
        <v>43318</v>
      </c>
      <c r="J613" s="15">
        <v>0</v>
      </c>
      <c r="K613" s="13">
        <v>0</v>
      </c>
      <c r="L613" s="2" t="s">
        <v>64</v>
      </c>
      <c r="M613" s="2" t="s">
        <v>2037</v>
      </c>
      <c r="N613" s="14">
        <v>43320</v>
      </c>
      <c r="O613" s="14">
        <v>43319</v>
      </c>
      <c r="P613" s="2" t="s">
        <v>2038</v>
      </c>
      <c r="Q613" s="2" t="s">
        <v>4510</v>
      </c>
      <c r="R613" s="2" t="s">
        <v>80</v>
      </c>
      <c r="S613" s="14">
        <v>43320</v>
      </c>
      <c r="T613" s="2" t="s">
        <v>6536</v>
      </c>
      <c r="U613" s="2" t="s">
        <v>256</v>
      </c>
      <c r="V613" s="2" t="s">
        <v>4511</v>
      </c>
      <c r="W613" s="2" t="s">
        <v>70</v>
      </c>
      <c r="X613" s="13">
        <v>161</v>
      </c>
      <c r="Y613" s="2" t="s">
        <v>71</v>
      </c>
      <c r="Z613" s="2" t="s">
        <v>72</v>
      </c>
      <c r="AA613" s="13">
        <v>500</v>
      </c>
      <c r="AB613" s="2" t="s">
        <v>73</v>
      </c>
      <c r="AC613" s="2" t="s">
        <v>6773</v>
      </c>
      <c r="AD613" s="27">
        <v>43284</v>
      </c>
      <c r="AL613" s="2" t="s">
        <v>5352</v>
      </c>
    </row>
    <row r="614" spans="1:38" hidden="1" x14ac:dyDescent="0.2">
      <c r="A614" s="2" t="s">
        <v>1775</v>
      </c>
      <c r="B614" s="2" t="s">
        <v>2126</v>
      </c>
      <c r="C614" s="2" t="s">
        <v>2127</v>
      </c>
      <c r="D614" s="2" t="s">
        <v>2128</v>
      </c>
      <c r="E614" s="16">
        <v>2092.1999999999998</v>
      </c>
      <c r="F614" s="16">
        <v>2092.1999999999998</v>
      </c>
      <c r="G614" s="14">
        <v>43320</v>
      </c>
      <c r="H614" s="15">
        <v>0.92144675925926001</v>
      </c>
      <c r="I614" s="14">
        <v>43321</v>
      </c>
      <c r="J614" s="15">
        <v>0.46290509259259</v>
      </c>
      <c r="K614" s="13">
        <v>0</v>
      </c>
      <c r="L614" s="2" t="s">
        <v>64</v>
      </c>
      <c r="M614" s="2" t="s">
        <v>1803</v>
      </c>
      <c r="N614" s="14">
        <v>43326</v>
      </c>
      <c r="O614" s="14">
        <v>43323</v>
      </c>
      <c r="P614" s="2" t="s">
        <v>1915</v>
      </c>
      <c r="Q614" s="2" t="s">
        <v>2129</v>
      </c>
      <c r="R614" s="2" t="s">
        <v>80</v>
      </c>
      <c r="S614" s="14">
        <v>43326</v>
      </c>
      <c r="T614" s="2" t="s">
        <v>6537</v>
      </c>
      <c r="U614" s="2" t="s">
        <v>1209</v>
      </c>
      <c r="V614" s="2" t="s">
        <v>2130</v>
      </c>
      <c r="W614" s="2" t="s">
        <v>70</v>
      </c>
      <c r="X614" s="13">
        <v>161</v>
      </c>
      <c r="Y614" s="2" t="s">
        <v>71</v>
      </c>
      <c r="Z614" s="2" t="s">
        <v>72</v>
      </c>
      <c r="AA614" s="13">
        <v>2000</v>
      </c>
      <c r="AB614" s="2" t="s">
        <v>73</v>
      </c>
      <c r="AC614" s="2" t="s">
        <v>6773</v>
      </c>
      <c r="AD614" s="27">
        <v>43279</v>
      </c>
      <c r="AI614" s="2" t="s">
        <v>6153</v>
      </c>
      <c r="AL614" s="2" t="s">
        <v>5353</v>
      </c>
    </row>
    <row r="615" spans="1:38" hidden="1" x14ac:dyDescent="0.2">
      <c r="A615" s="2" t="s">
        <v>1775</v>
      </c>
      <c r="B615" s="2" t="s">
        <v>2134</v>
      </c>
      <c r="C615" s="2" t="s">
        <v>1339</v>
      </c>
      <c r="D615" s="2" t="s">
        <v>1340</v>
      </c>
      <c r="E615" s="13">
        <v>2000</v>
      </c>
      <c r="F615" s="13">
        <v>2000</v>
      </c>
      <c r="G615" s="14">
        <v>43322</v>
      </c>
      <c r="H615" s="15">
        <v>0.48240740740741</v>
      </c>
      <c r="I615" s="14">
        <v>43323</v>
      </c>
      <c r="J615" s="15">
        <v>0</v>
      </c>
      <c r="K615" s="13">
        <v>0</v>
      </c>
      <c r="L615" s="2" t="s">
        <v>64</v>
      </c>
      <c r="M615" s="2" t="s">
        <v>1794</v>
      </c>
      <c r="N615" s="14">
        <v>43326</v>
      </c>
      <c r="O615" s="14">
        <v>43324</v>
      </c>
      <c r="P615" s="2" t="s">
        <v>524</v>
      </c>
      <c r="Q615" s="2" t="s">
        <v>2135</v>
      </c>
      <c r="R615" s="2" t="s">
        <v>80</v>
      </c>
      <c r="S615" s="14">
        <v>43326</v>
      </c>
      <c r="U615" s="2" t="s">
        <v>399</v>
      </c>
      <c r="V615" s="2" t="s">
        <v>1342</v>
      </c>
      <c r="W615" s="2" t="s">
        <v>70</v>
      </c>
      <c r="X615" s="13">
        <v>161</v>
      </c>
      <c r="Y615" s="2" t="s">
        <v>71</v>
      </c>
      <c r="Z615" s="2" t="s">
        <v>72</v>
      </c>
      <c r="AA615" s="13">
        <v>2000</v>
      </c>
      <c r="AB615" s="2" t="s">
        <v>73</v>
      </c>
      <c r="AC615" s="2" t="s">
        <v>6773</v>
      </c>
      <c r="AD615" s="27"/>
      <c r="AI615" s="2" t="s">
        <v>6153</v>
      </c>
      <c r="AL615" s="2" t="s">
        <v>7245</v>
      </c>
    </row>
    <row r="616" spans="1:38" hidden="1" x14ac:dyDescent="0.2">
      <c r="A616" s="2" t="s">
        <v>1775</v>
      </c>
      <c r="B616" s="2" t="s">
        <v>2136</v>
      </c>
      <c r="C616" s="2" t="s">
        <v>2137</v>
      </c>
      <c r="D616" s="2" t="s">
        <v>2138</v>
      </c>
      <c r="E616" s="16">
        <v>523.04999999999995</v>
      </c>
      <c r="F616" s="16">
        <v>523.04999999999995</v>
      </c>
      <c r="G616" s="14">
        <v>43323</v>
      </c>
      <c r="H616" s="15">
        <v>0.40796296296295997</v>
      </c>
      <c r="I616" s="14">
        <v>43323</v>
      </c>
      <c r="J616" s="15">
        <v>0.54333333333333</v>
      </c>
      <c r="K616" s="13">
        <v>0</v>
      </c>
      <c r="L616" s="2" t="s">
        <v>64</v>
      </c>
      <c r="M616" s="2" t="s">
        <v>2037</v>
      </c>
      <c r="N616" s="14">
        <v>43326</v>
      </c>
      <c r="O616" s="14">
        <v>43325</v>
      </c>
      <c r="P616" s="2" t="s">
        <v>2038</v>
      </c>
      <c r="Q616" s="2" t="s">
        <v>2139</v>
      </c>
      <c r="R616" s="2" t="s">
        <v>80</v>
      </c>
      <c r="S616" s="14">
        <v>43326</v>
      </c>
      <c r="U616" s="2" t="s">
        <v>495</v>
      </c>
      <c r="V616" s="2" t="s">
        <v>2140</v>
      </c>
      <c r="W616" s="2" t="s">
        <v>70</v>
      </c>
      <c r="X616" s="13">
        <v>161</v>
      </c>
      <c r="Y616" s="2" t="s">
        <v>71</v>
      </c>
      <c r="Z616" s="2" t="s">
        <v>72</v>
      </c>
      <c r="AA616" s="13">
        <v>500</v>
      </c>
      <c r="AB616" s="2" t="s">
        <v>73</v>
      </c>
      <c r="AD616" s="27"/>
      <c r="AL616" s="2" t="s">
        <v>4814</v>
      </c>
    </row>
    <row r="617" spans="1:38" hidden="1" x14ac:dyDescent="0.2">
      <c r="A617" s="2" t="s">
        <v>1775</v>
      </c>
      <c r="B617" s="2" t="s">
        <v>2141</v>
      </c>
      <c r="C617" s="2" t="s">
        <v>2142</v>
      </c>
      <c r="D617" s="2" t="s">
        <v>2143</v>
      </c>
      <c r="E617" s="16">
        <v>523.04999999999995</v>
      </c>
      <c r="F617" s="16">
        <v>523.04999999999995</v>
      </c>
      <c r="G617" s="14">
        <v>43323</v>
      </c>
      <c r="H617" s="15">
        <v>0.56416666666667004</v>
      </c>
      <c r="I617" s="14">
        <v>43323</v>
      </c>
      <c r="J617" s="15">
        <v>0.69953703703703995</v>
      </c>
      <c r="K617" s="13">
        <v>0</v>
      </c>
      <c r="L617" s="2" t="s">
        <v>64</v>
      </c>
      <c r="M617" s="2" t="s">
        <v>2037</v>
      </c>
      <c r="N617" s="14">
        <v>43326</v>
      </c>
      <c r="O617" s="14">
        <v>43325</v>
      </c>
      <c r="P617" s="2" t="s">
        <v>2038</v>
      </c>
      <c r="Q617" s="2" t="s">
        <v>2144</v>
      </c>
      <c r="R617" s="2" t="s">
        <v>80</v>
      </c>
      <c r="S617" s="14">
        <v>43326</v>
      </c>
      <c r="U617" s="2" t="s">
        <v>495</v>
      </c>
      <c r="V617" s="2" t="s">
        <v>2145</v>
      </c>
      <c r="W617" s="2" t="s">
        <v>70</v>
      </c>
      <c r="X617" s="13">
        <v>161</v>
      </c>
      <c r="Y617" s="2" t="s">
        <v>71</v>
      </c>
      <c r="Z617" s="2" t="s">
        <v>72</v>
      </c>
      <c r="AA617" s="13">
        <v>500</v>
      </c>
      <c r="AB617" s="2" t="s">
        <v>73</v>
      </c>
      <c r="AC617" s="2" t="s">
        <v>6773</v>
      </c>
      <c r="AD617" s="27"/>
      <c r="AI617" s="2" t="s">
        <v>6153</v>
      </c>
      <c r="AL617" s="2" t="s">
        <v>7246</v>
      </c>
    </row>
    <row r="618" spans="1:38" hidden="1" x14ac:dyDescent="0.2">
      <c r="A618" s="2" t="s">
        <v>1775</v>
      </c>
      <c r="B618" s="2" t="s">
        <v>2146</v>
      </c>
      <c r="C618" s="2" t="s">
        <v>2019</v>
      </c>
      <c r="D618" s="2" t="s">
        <v>2020</v>
      </c>
      <c r="E618" s="13">
        <v>1000</v>
      </c>
      <c r="F618" s="13">
        <v>1000</v>
      </c>
      <c r="G618" s="14">
        <v>43323</v>
      </c>
      <c r="H618" s="15">
        <v>0.74120370370370003</v>
      </c>
      <c r="I618" s="14">
        <v>43324</v>
      </c>
      <c r="J618" s="15">
        <v>0</v>
      </c>
      <c r="K618" s="13">
        <v>20</v>
      </c>
      <c r="L618" s="2" t="s">
        <v>64</v>
      </c>
      <c r="M618" s="2" t="s">
        <v>1822</v>
      </c>
      <c r="N618" s="14">
        <v>43327</v>
      </c>
      <c r="O618" s="14">
        <v>43325</v>
      </c>
      <c r="P618" s="2" t="s">
        <v>440</v>
      </c>
      <c r="Q618" s="2" t="s">
        <v>2147</v>
      </c>
      <c r="R618" s="2" t="s">
        <v>80</v>
      </c>
      <c r="S618" s="14">
        <v>43329</v>
      </c>
      <c r="U618" s="2" t="s">
        <v>1209</v>
      </c>
      <c r="V618" s="2" t="s">
        <v>2022</v>
      </c>
      <c r="W618" s="2" t="s">
        <v>70</v>
      </c>
      <c r="X618" s="13">
        <v>161</v>
      </c>
      <c r="Y618" s="2" t="s">
        <v>71</v>
      </c>
      <c r="Z618" s="2" t="s">
        <v>72</v>
      </c>
      <c r="AA618" s="13">
        <v>1000</v>
      </c>
      <c r="AB618" s="2" t="s">
        <v>73</v>
      </c>
      <c r="AC618" s="2" t="s">
        <v>6773</v>
      </c>
      <c r="AD618" s="27"/>
      <c r="AL618" s="2" t="s">
        <v>7247</v>
      </c>
    </row>
    <row r="619" spans="1:38" hidden="1" x14ac:dyDescent="0.2">
      <c r="A619" s="2" t="s">
        <v>1775</v>
      </c>
      <c r="B619" s="2" t="s">
        <v>2148</v>
      </c>
      <c r="C619" s="2" t="s">
        <v>2030</v>
      </c>
      <c r="D619" s="2" t="s">
        <v>2031</v>
      </c>
      <c r="E619" s="13">
        <v>2000</v>
      </c>
      <c r="F619" s="13">
        <v>2000</v>
      </c>
      <c r="G619" s="14">
        <v>43324</v>
      </c>
      <c r="H619" s="15">
        <v>0.48240740740741</v>
      </c>
      <c r="I619" s="14">
        <v>43325</v>
      </c>
      <c r="J619" s="15">
        <v>0</v>
      </c>
      <c r="K619" s="13">
        <v>0</v>
      </c>
      <c r="L619" s="2" t="s">
        <v>64</v>
      </c>
      <c r="M619" s="2" t="s">
        <v>1794</v>
      </c>
      <c r="N619" s="14">
        <v>43327</v>
      </c>
      <c r="O619" s="14">
        <v>43326</v>
      </c>
      <c r="P619" s="2" t="s">
        <v>91</v>
      </c>
      <c r="Q619" s="2" t="s">
        <v>2149</v>
      </c>
      <c r="R619" s="2" t="s">
        <v>80</v>
      </c>
      <c r="S619" s="14">
        <v>43327</v>
      </c>
      <c r="U619" s="2" t="s">
        <v>1209</v>
      </c>
      <c r="V619" s="2" t="s">
        <v>2033</v>
      </c>
      <c r="W619" s="2" t="s">
        <v>70</v>
      </c>
      <c r="X619" s="13">
        <v>161</v>
      </c>
      <c r="Y619" s="2" t="s">
        <v>71</v>
      </c>
      <c r="Z619" s="2" t="s">
        <v>72</v>
      </c>
      <c r="AA619" s="13">
        <v>2000</v>
      </c>
      <c r="AB619" s="2" t="s">
        <v>73</v>
      </c>
      <c r="AC619" s="2" t="s">
        <v>6773</v>
      </c>
      <c r="AD619" s="27"/>
      <c r="AI619" s="2" t="s">
        <v>6153</v>
      </c>
      <c r="AL619" s="2" t="s">
        <v>7248</v>
      </c>
    </row>
    <row r="620" spans="1:38" hidden="1" x14ac:dyDescent="0.2">
      <c r="A620" s="2" t="s">
        <v>1775</v>
      </c>
      <c r="B620" s="2" t="s">
        <v>2150</v>
      </c>
      <c r="C620" s="2" t="s">
        <v>1878</v>
      </c>
      <c r="D620" s="2" t="s">
        <v>1879</v>
      </c>
      <c r="E620" s="13">
        <v>100</v>
      </c>
      <c r="F620" s="13">
        <v>100</v>
      </c>
      <c r="G620" s="14">
        <v>43325</v>
      </c>
      <c r="H620" s="15">
        <v>0.97412037037037003</v>
      </c>
      <c r="I620" s="14">
        <v>43326</v>
      </c>
      <c r="J620" s="15">
        <v>0</v>
      </c>
      <c r="K620" s="13">
        <v>0</v>
      </c>
      <c r="L620" s="2" t="s">
        <v>64</v>
      </c>
      <c r="M620" s="2" t="s">
        <v>1937</v>
      </c>
      <c r="N620" s="14">
        <v>43328</v>
      </c>
      <c r="O620" s="14">
        <v>43327</v>
      </c>
      <c r="P620" s="2" t="s">
        <v>504</v>
      </c>
      <c r="Q620" s="2" t="s">
        <v>2151</v>
      </c>
      <c r="R620" s="2" t="s">
        <v>80</v>
      </c>
      <c r="S620" s="14">
        <v>43328</v>
      </c>
      <c r="U620" s="2" t="s">
        <v>1209</v>
      </c>
      <c r="V620" s="2" t="s">
        <v>1881</v>
      </c>
      <c r="W620" s="2" t="s">
        <v>70</v>
      </c>
      <c r="X620" s="13">
        <v>161</v>
      </c>
      <c r="Y620" s="2" t="s">
        <v>71</v>
      </c>
      <c r="Z620" s="2" t="s">
        <v>72</v>
      </c>
      <c r="AA620" s="13">
        <v>100</v>
      </c>
      <c r="AB620" s="2" t="s">
        <v>73</v>
      </c>
      <c r="AC620" s="2" t="s">
        <v>6773</v>
      </c>
      <c r="AD620" s="27"/>
      <c r="AL620" s="2" t="s">
        <v>7249</v>
      </c>
    </row>
    <row r="621" spans="1:38" hidden="1" x14ac:dyDescent="0.2">
      <c r="A621" s="2" t="s">
        <v>1775</v>
      </c>
      <c r="B621" s="2" t="s">
        <v>2152</v>
      </c>
      <c r="C621" s="2" t="s">
        <v>2153</v>
      </c>
      <c r="D621" s="2" t="s">
        <v>2154</v>
      </c>
      <c r="E621" s="16">
        <v>2092.1999999999998</v>
      </c>
      <c r="F621" s="16">
        <v>2092.1999999999998</v>
      </c>
      <c r="G621" s="14">
        <v>43328</v>
      </c>
      <c r="H621" s="15">
        <v>0.56848379629629997</v>
      </c>
      <c r="I621" s="14">
        <v>43329</v>
      </c>
      <c r="J621" s="15">
        <v>0.10994212962963</v>
      </c>
      <c r="K621" s="13">
        <v>0</v>
      </c>
      <c r="L621" s="2" t="s">
        <v>64</v>
      </c>
      <c r="M621" s="2" t="s">
        <v>1803</v>
      </c>
      <c r="N621" s="14">
        <v>43333</v>
      </c>
      <c r="O621" s="14">
        <v>43331</v>
      </c>
      <c r="P621" s="2" t="s">
        <v>1682</v>
      </c>
      <c r="Q621" s="2" t="s">
        <v>2155</v>
      </c>
      <c r="R621" s="2" t="s">
        <v>80</v>
      </c>
      <c r="S621" s="14">
        <v>43333</v>
      </c>
      <c r="U621" s="2" t="s">
        <v>2156</v>
      </c>
      <c r="V621" s="2" t="s">
        <v>221</v>
      </c>
      <c r="W621" s="2" t="s">
        <v>70</v>
      </c>
      <c r="X621" s="13">
        <v>161</v>
      </c>
      <c r="Y621" s="2" t="s">
        <v>71</v>
      </c>
      <c r="Z621" s="2" t="s">
        <v>72</v>
      </c>
      <c r="AA621" s="13">
        <v>2000</v>
      </c>
      <c r="AB621" s="2" t="s">
        <v>73</v>
      </c>
      <c r="AC621" s="2" t="s">
        <v>6773</v>
      </c>
      <c r="AD621" s="27"/>
      <c r="AI621" s="2" t="s">
        <v>6153</v>
      </c>
      <c r="AL621" s="2" t="s">
        <v>7250</v>
      </c>
    </row>
    <row r="622" spans="1:38" hidden="1" x14ac:dyDescent="0.2">
      <c r="A622" s="2" t="s">
        <v>1775</v>
      </c>
      <c r="B622" s="2" t="s">
        <v>2157</v>
      </c>
      <c r="C622" s="2" t="s">
        <v>1901</v>
      </c>
      <c r="D622" s="2" t="s">
        <v>1902</v>
      </c>
      <c r="E622" s="13">
        <v>25</v>
      </c>
      <c r="F622" s="13">
        <v>25</v>
      </c>
      <c r="G622" s="14">
        <v>43329</v>
      </c>
      <c r="H622" s="15">
        <v>0.71390046296295995</v>
      </c>
      <c r="I622" s="14">
        <v>43329</v>
      </c>
      <c r="J622" s="15">
        <v>0.72037037037036999</v>
      </c>
      <c r="K622" s="13">
        <v>0</v>
      </c>
      <c r="L622" s="2" t="s">
        <v>64</v>
      </c>
      <c r="M622" s="2" t="s">
        <v>1903</v>
      </c>
      <c r="N622" s="14">
        <v>43332</v>
      </c>
      <c r="O622" s="14">
        <v>43331</v>
      </c>
      <c r="P622" s="2" t="s">
        <v>91</v>
      </c>
      <c r="Q622" s="2" t="s">
        <v>2158</v>
      </c>
      <c r="R622" s="2" t="s">
        <v>80</v>
      </c>
      <c r="S622" s="14">
        <v>43332</v>
      </c>
      <c r="U622" s="2" t="s">
        <v>1905</v>
      </c>
      <c r="V622" s="2" t="s">
        <v>407</v>
      </c>
      <c r="W622" s="2" t="s">
        <v>70</v>
      </c>
      <c r="X622" s="13">
        <v>161</v>
      </c>
      <c r="Y622" s="2" t="s">
        <v>71</v>
      </c>
      <c r="Z622" s="2" t="s">
        <v>72</v>
      </c>
      <c r="AA622" s="13">
        <v>25</v>
      </c>
      <c r="AB622" s="2" t="s">
        <v>73</v>
      </c>
      <c r="AC622" s="2" t="s">
        <v>6773</v>
      </c>
      <c r="AD622" s="27"/>
      <c r="AI622" s="2" t="s">
        <v>6153</v>
      </c>
      <c r="AL622" s="2" t="s">
        <v>7251</v>
      </c>
    </row>
    <row r="623" spans="1:38" hidden="1" x14ac:dyDescent="0.2">
      <c r="A623" s="2" t="s">
        <v>1775</v>
      </c>
      <c r="B623" s="2" t="s">
        <v>2159</v>
      </c>
      <c r="C623" s="2" t="s">
        <v>1896</v>
      </c>
      <c r="D623" s="2" t="s">
        <v>1897</v>
      </c>
      <c r="E623" s="13">
        <v>1000</v>
      </c>
      <c r="F623" s="13">
        <v>1000</v>
      </c>
      <c r="G623" s="14">
        <v>43329</v>
      </c>
      <c r="H623" s="15">
        <v>0.74120370370370003</v>
      </c>
      <c r="I623" s="14">
        <v>43330</v>
      </c>
      <c r="J623" s="15">
        <v>0</v>
      </c>
      <c r="K623" s="13">
        <v>0</v>
      </c>
      <c r="L623" s="2" t="s">
        <v>64</v>
      </c>
      <c r="M623" s="2" t="s">
        <v>1822</v>
      </c>
      <c r="N623" s="14">
        <v>43333</v>
      </c>
      <c r="O623" s="14">
        <v>43331</v>
      </c>
      <c r="P623" s="2" t="s">
        <v>91</v>
      </c>
      <c r="Q623" s="2" t="s">
        <v>2160</v>
      </c>
      <c r="R623" s="2" t="s">
        <v>80</v>
      </c>
      <c r="S623" s="14">
        <v>43333</v>
      </c>
      <c r="U623" s="2" t="s">
        <v>280</v>
      </c>
      <c r="V623" s="2" t="s">
        <v>1899</v>
      </c>
      <c r="W623" s="2" t="s">
        <v>70</v>
      </c>
      <c r="X623" s="13">
        <v>161</v>
      </c>
      <c r="Y623" s="2" t="s">
        <v>71</v>
      </c>
      <c r="Z623" s="2" t="s">
        <v>72</v>
      </c>
      <c r="AA623" s="13">
        <v>1000</v>
      </c>
      <c r="AB623" s="2" t="s">
        <v>73</v>
      </c>
      <c r="AC623" s="2" t="s">
        <v>6773</v>
      </c>
      <c r="AD623" s="27"/>
      <c r="AI623" s="2" t="s">
        <v>6153</v>
      </c>
      <c r="AL623" s="2" t="s">
        <v>7252</v>
      </c>
    </row>
    <row r="624" spans="1:38" hidden="1" x14ac:dyDescent="0.2">
      <c r="A624" s="2" t="s">
        <v>1775</v>
      </c>
      <c r="B624" s="2" t="s">
        <v>2161</v>
      </c>
      <c r="C624" s="2" t="s">
        <v>1878</v>
      </c>
      <c r="D624" s="2" t="s">
        <v>1879</v>
      </c>
      <c r="E624" s="13">
        <v>1000</v>
      </c>
      <c r="F624" s="13">
        <v>1000</v>
      </c>
      <c r="G624" s="14">
        <v>43330</v>
      </c>
      <c r="H624" s="15">
        <v>0.74120370370370003</v>
      </c>
      <c r="I624" s="14">
        <v>43331</v>
      </c>
      <c r="J624" s="15">
        <v>0</v>
      </c>
      <c r="K624" s="13">
        <v>0</v>
      </c>
      <c r="L624" s="2" t="s">
        <v>64</v>
      </c>
      <c r="M624" s="2" t="s">
        <v>1822</v>
      </c>
      <c r="N624" s="14">
        <v>43333</v>
      </c>
      <c r="O624" s="14">
        <v>43332</v>
      </c>
      <c r="P624" s="2" t="s">
        <v>504</v>
      </c>
      <c r="Q624" s="2" t="s">
        <v>2162</v>
      </c>
      <c r="R624" s="2" t="s">
        <v>80</v>
      </c>
      <c r="S624" s="14">
        <v>43333</v>
      </c>
      <c r="U624" s="2" t="s">
        <v>1209</v>
      </c>
      <c r="V624" s="2" t="s">
        <v>1881</v>
      </c>
      <c r="W624" s="2" t="s">
        <v>70</v>
      </c>
      <c r="X624" s="13">
        <v>161</v>
      </c>
      <c r="Y624" s="2" t="s">
        <v>71</v>
      </c>
      <c r="Z624" s="2" t="s">
        <v>72</v>
      </c>
      <c r="AA624" s="13">
        <v>1000</v>
      </c>
      <c r="AB624" s="2" t="s">
        <v>73</v>
      </c>
      <c r="AC624" s="2" t="s">
        <v>6773</v>
      </c>
      <c r="AD624" s="27"/>
      <c r="AL624" s="2" t="s">
        <v>7253</v>
      </c>
    </row>
    <row r="625" spans="1:38" hidden="1" x14ac:dyDescent="0.2">
      <c r="A625" s="2" t="s">
        <v>1775</v>
      </c>
      <c r="B625" s="2" t="s">
        <v>2163</v>
      </c>
      <c r="C625" s="2" t="s">
        <v>2127</v>
      </c>
      <c r="D625" s="2" t="s">
        <v>2128</v>
      </c>
      <c r="E625" s="13">
        <v>2000</v>
      </c>
      <c r="F625" s="13">
        <v>2000</v>
      </c>
      <c r="G625" s="14">
        <v>43337</v>
      </c>
      <c r="H625" s="15">
        <v>0.48240740740741</v>
      </c>
      <c r="I625" s="14">
        <v>43338</v>
      </c>
      <c r="J625" s="15">
        <v>0</v>
      </c>
      <c r="K625" s="13">
        <v>20</v>
      </c>
      <c r="L625" s="2" t="s">
        <v>64</v>
      </c>
      <c r="M625" s="2" t="s">
        <v>1794</v>
      </c>
      <c r="N625" s="14">
        <v>43340</v>
      </c>
      <c r="O625" s="14">
        <v>43339</v>
      </c>
      <c r="P625" s="2" t="s">
        <v>1915</v>
      </c>
      <c r="Q625" s="2" t="s">
        <v>2164</v>
      </c>
      <c r="R625" s="2" t="s">
        <v>80</v>
      </c>
      <c r="S625" s="14">
        <v>43340</v>
      </c>
      <c r="U625" s="2" t="s">
        <v>1209</v>
      </c>
      <c r="V625" s="2" t="s">
        <v>2130</v>
      </c>
      <c r="W625" s="2" t="s">
        <v>70</v>
      </c>
      <c r="X625" s="13">
        <v>161</v>
      </c>
      <c r="Y625" s="2" t="s">
        <v>71</v>
      </c>
      <c r="Z625" s="2" t="s">
        <v>72</v>
      </c>
      <c r="AA625" s="13">
        <v>2000</v>
      </c>
      <c r="AB625" s="2" t="s">
        <v>73</v>
      </c>
      <c r="AC625" s="2" t="s">
        <v>6773</v>
      </c>
      <c r="AD625" s="27"/>
      <c r="AI625" s="2" t="s">
        <v>6153</v>
      </c>
      <c r="AL625" s="2" t="s">
        <v>5354</v>
      </c>
    </row>
    <row r="626" spans="1:38" hidden="1" x14ac:dyDescent="0.2">
      <c r="A626" s="2" t="s">
        <v>1775</v>
      </c>
      <c r="B626" s="2" t="s">
        <v>4512</v>
      </c>
      <c r="C626" s="2" t="s">
        <v>4513</v>
      </c>
      <c r="D626" s="2" t="s">
        <v>4514</v>
      </c>
      <c r="E626" s="16">
        <v>5230.5</v>
      </c>
      <c r="F626" s="16">
        <v>5230.5</v>
      </c>
      <c r="G626" s="14">
        <v>43349</v>
      </c>
      <c r="H626" s="15">
        <v>0.64635416666667</v>
      </c>
      <c r="I626" s="14">
        <v>43351</v>
      </c>
      <c r="J626" s="15">
        <v>0</v>
      </c>
      <c r="K626" s="13">
        <v>0</v>
      </c>
      <c r="L626" s="2" t="s">
        <v>64</v>
      </c>
      <c r="M626" s="2" t="s">
        <v>4477</v>
      </c>
      <c r="N626" s="14">
        <v>43353</v>
      </c>
      <c r="O626" s="14">
        <v>43352</v>
      </c>
      <c r="P626" s="2" t="s">
        <v>91</v>
      </c>
      <c r="Q626" s="2" t="s">
        <v>4515</v>
      </c>
      <c r="R626" s="2" t="s">
        <v>80</v>
      </c>
      <c r="S626" s="14">
        <v>43353</v>
      </c>
      <c r="U626" s="2" t="s">
        <v>516</v>
      </c>
      <c r="V626" s="2" t="s">
        <v>4516</v>
      </c>
      <c r="W626" s="2" t="s">
        <v>70</v>
      </c>
      <c r="X626" s="13">
        <v>161</v>
      </c>
      <c r="Y626" s="2" t="s">
        <v>71</v>
      </c>
      <c r="Z626" s="2" t="s">
        <v>72</v>
      </c>
      <c r="AA626" s="13">
        <v>5000</v>
      </c>
      <c r="AB626" s="2" t="s">
        <v>73</v>
      </c>
      <c r="AC626" s="2" t="s">
        <v>6773</v>
      </c>
      <c r="AD626" s="27"/>
      <c r="AI626" s="2" t="s">
        <v>6153</v>
      </c>
      <c r="AL626" s="2" t="s">
        <v>5355</v>
      </c>
    </row>
    <row r="627" spans="1:38" hidden="1" x14ac:dyDescent="0.2">
      <c r="A627" s="2" t="s">
        <v>1775</v>
      </c>
      <c r="B627" s="2" t="s">
        <v>4517</v>
      </c>
      <c r="C627" s="2" t="s">
        <v>1339</v>
      </c>
      <c r="D627" s="2" t="s">
        <v>1340</v>
      </c>
      <c r="E627" s="13">
        <v>2000</v>
      </c>
      <c r="F627" s="13">
        <v>2000</v>
      </c>
      <c r="G627" s="14">
        <v>43353</v>
      </c>
      <c r="H627" s="15">
        <v>0.48240740740741</v>
      </c>
      <c r="I627" s="14">
        <v>43354</v>
      </c>
      <c r="J627" s="15">
        <v>0</v>
      </c>
      <c r="K627" s="13">
        <v>0</v>
      </c>
      <c r="L627" s="2" t="s">
        <v>64</v>
      </c>
      <c r="M627" s="2" t="s">
        <v>1794</v>
      </c>
      <c r="N627" s="14">
        <v>43356</v>
      </c>
      <c r="O627" s="14">
        <v>43355</v>
      </c>
      <c r="P627" s="2" t="s">
        <v>524</v>
      </c>
      <c r="Q627" s="2" t="s">
        <v>4518</v>
      </c>
      <c r="R627" s="2" t="s">
        <v>80</v>
      </c>
      <c r="S627" s="14">
        <v>43356</v>
      </c>
      <c r="U627" s="2" t="s">
        <v>399</v>
      </c>
      <c r="V627" s="2" t="s">
        <v>1342</v>
      </c>
      <c r="W627" s="2" t="s">
        <v>70</v>
      </c>
      <c r="X627" s="13">
        <v>161</v>
      </c>
      <c r="Y627" s="2" t="s">
        <v>71</v>
      </c>
      <c r="Z627" s="2" t="s">
        <v>72</v>
      </c>
      <c r="AA627" s="13">
        <v>2000</v>
      </c>
      <c r="AB627" s="2" t="s">
        <v>73</v>
      </c>
      <c r="AC627" s="2" t="s">
        <v>6773</v>
      </c>
      <c r="AD627" s="27"/>
      <c r="AI627" s="2" t="s">
        <v>6153</v>
      </c>
      <c r="AL627" s="2" t="s">
        <v>5356</v>
      </c>
    </row>
    <row r="628" spans="1:38" hidden="1" x14ac:dyDescent="0.2">
      <c r="A628" s="2" t="s">
        <v>1775</v>
      </c>
      <c r="B628" s="2" t="s">
        <v>2165</v>
      </c>
      <c r="C628" s="2" t="s">
        <v>2166</v>
      </c>
      <c r="D628" s="2" t="s">
        <v>2167</v>
      </c>
      <c r="E628" s="16">
        <v>1046.0999999999999</v>
      </c>
      <c r="F628" s="16">
        <v>1046.0999999999999</v>
      </c>
      <c r="G628" s="14">
        <v>43358</v>
      </c>
      <c r="H628" s="15">
        <v>0.19084490740741</v>
      </c>
      <c r="I628" s="14">
        <v>43358</v>
      </c>
      <c r="J628" s="15">
        <v>0.46157407407406997</v>
      </c>
      <c r="K628" s="13">
        <v>0</v>
      </c>
      <c r="L628" s="2" t="s">
        <v>64</v>
      </c>
      <c r="M628" s="2" t="s">
        <v>1909</v>
      </c>
      <c r="N628" s="14">
        <v>43361</v>
      </c>
      <c r="O628" s="14">
        <v>43360</v>
      </c>
      <c r="P628" s="2" t="s">
        <v>2168</v>
      </c>
      <c r="Q628" s="2" t="s">
        <v>2169</v>
      </c>
      <c r="R628" s="2" t="s">
        <v>80</v>
      </c>
      <c r="S628" s="14">
        <v>43361</v>
      </c>
      <c r="U628" s="2" t="s">
        <v>495</v>
      </c>
      <c r="V628" s="2" t="s">
        <v>2170</v>
      </c>
      <c r="W628" s="2" t="s">
        <v>70</v>
      </c>
      <c r="X628" s="13">
        <v>161</v>
      </c>
      <c r="Y628" s="2" t="s">
        <v>71</v>
      </c>
      <c r="Z628" s="2" t="s">
        <v>72</v>
      </c>
      <c r="AA628" s="13">
        <v>1000</v>
      </c>
      <c r="AB628" s="2" t="s">
        <v>73</v>
      </c>
      <c r="AC628" s="2" t="s">
        <v>6773</v>
      </c>
      <c r="AD628" s="27"/>
      <c r="AI628" s="2" t="s">
        <v>6153</v>
      </c>
      <c r="AL628" s="2" t="s">
        <v>5357</v>
      </c>
    </row>
    <row r="629" spans="1:38" hidden="1" x14ac:dyDescent="0.2">
      <c r="A629" s="2" t="s">
        <v>1775</v>
      </c>
      <c r="B629" s="2" t="s">
        <v>2171</v>
      </c>
      <c r="C629" s="2" t="s">
        <v>2030</v>
      </c>
      <c r="D629" s="2" t="s">
        <v>2031</v>
      </c>
      <c r="E629" s="13">
        <v>2000</v>
      </c>
      <c r="F629" s="13">
        <v>2000</v>
      </c>
      <c r="G629" s="14">
        <v>43358</v>
      </c>
      <c r="H629" s="15">
        <v>0.48240740740741</v>
      </c>
      <c r="I629" s="14">
        <v>43359</v>
      </c>
      <c r="J629" s="15">
        <v>0</v>
      </c>
      <c r="K629" s="13">
        <v>0</v>
      </c>
      <c r="L629" s="2" t="s">
        <v>64</v>
      </c>
      <c r="M629" s="2" t="s">
        <v>1794</v>
      </c>
      <c r="N629" s="14">
        <v>43361</v>
      </c>
      <c r="O629" s="14">
        <v>43360</v>
      </c>
      <c r="P629" s="2" t="s">
        <v>91</v>
      </c>
      <c r="Q629" s="2" t="s">
        <v>2172</v>
      </c>
      <c r="R629" s="2" t="s">
        <v>80</v>
      </c>
      <c r="S629" s="14">
        <v>43361</v>
      </c>
      <c r="U629" s="2" t="s">
        <v>1209</v>
      </c>
      <c r="V629" s="2" t="s">
        <v>2033</v>
      </c>
      <c r="W629" s="2" t="s">
        <v>70</v>
      </c>
      <c r="X629" s="13">
        <v>161</v>
      </c>
      <c r="Y629" s="2" t="s">
        <v>71</v>
      </c>
      <c r="Z629" s="2" t="s">
        <v>72</v>
      </c>
      <c r="AA629" s="13">
        <v>2000</v>
      </c>
      <c r="AB629" s="2" t="s">
        <v>73</v>
      </c>
      <c r="AC629" s="2" t="s">
        <v>6773</v>
      </c>
      <c r="AD629" s="27"/>
      <c r="AI629" s="2" t="s">
        <v>6153</v>
      </c>
      <c r="AL629" s="2" t="s">
        <v>5358</v>
      </c>
    </row>
    <row r="630" spans="1:38" hidden="1" x14ac:dyDescent="0.2">
      <c r="A630" s="2" t="s">
        <v>1775</v>
      </c>
      <c r="B630" s="2" t="s">
        <v>2173</v>
      </c>
      <c r="C630" s="2" t="s">
        <v>2019</v>
      </c>
      <c r="D630" s="2" t="s">
        <v>2020</v>
      </c>
      <c r="E630" s="13">
        <v>1000</v>
      </c>
      <c r="F630" s="13">
        <v>1000</v>
      </c>
      <c r="G630" s="14">
        <v>43364</v>
      </c>
      <c r="H630" s="15">
        <v>0.74120370370370003</v>
      </c>
      <c r="I630" s="14">
        <v>43365</v>
      </c>
      <c r="J630" s="15">
        <v>0</v>
      </c>
      <c r="K630" s="13">
        <v>20</v>
      </c>
      <c r="L630" s="2" t="s">
        <v>64</v>
      </c>
      <c r="M630" s="2" t="s">
        <v>1822</v>
      </c>
      <c r="N630" s="14">
        <v>43367</v>
      </c>
      <c r="O630" s="14">
        <v>43366</v>
      </c>
      <c r="P630" s="2" t="s">
        <v>440</v>
      </c>
      <c r="Q630" s="2" t="s">
        <v>2174</v>
      </c>
      <c r="R630" s="2" t="s">
        <v>80</v>
      </c>
      <c r="S630" s="14">
        <v>43367</v>
      </c>
      <c r="U630" s="2" t="s">
        <v>1209</v>
      </c>
      <c r="V630" s="2" t="s">
        <v>2022</v>
      </c>
      <c r="W630" s="2" t="s">
        <v>70</v>
      </c>
      <c r="X630" s="13">
        <v>161</v>
      </c>
      <c r="Y630" s="2" t="s">
        <v>71</v>
      </c>
      <c r="Z630" s="2" t="s">
        <v>72</v>
      </c>
      <c r="AA630" s="13">
        <v>1000</v>
      </c>
      <c r="AB630" s="2" t="s">
        <v>73</v>
      </c>
      <c r="AC630" s="2" t="s">
        <v>6773</v>
      </c>
      <c r="AD630" s="27"/>
      <c r="AL630" s="2" t="s">
        <v>5359</v>
      </c>
    </row>
    <row r="631" spans="1:38" hidden="1" x14ac:dyDescent="0.2">
      <c r="A631" s="2" t="s">
        <v>1775</v>
      </c>
      <c r="B631" s="2" t="s">
        <v>6970</v>
      </c>
      <c r="C631" s="2" t="s">
        <v>2131</v>
      </c>
      <c r="D631" s="2" t="s">
        <v>2132</v>
      </c>
      <c r="E631" s="16">
        <v>1994.8140000000001</v>
      </c>
      <c r="F631" s="16">
        <v>1994.8140000000001</v>
      </c>
      <c r="G631" s="14">
        <v>43366</v>
      </c>
      <c r="H631" s="15">
        <v>0.48372685185184999</v>
      </c>
      <c r="I631" s="14">
        <v>43366</v>
      </c>
      <c r="J631" s="15">
        <v>0.99998842592592996</v>
      </c>
      <c r="K631" s="13">
        <v>20</v>
      </c>
      <c r="L631" s="2" t="s">
        <v>64</v>
      </c>
      <c r="M631" s="2" t="s">
        <v>6971</v>
      </c>
      <c r="N631" s="14">
        <v>43361</v>
      </c>
      <c r="O631" s="14">
        <v>43368</v>
      </c>
      <c r="P631" s="2" t="s">
        <v>2002</v>
      </c>
      <c r="Q631" s="2" t="s">
        <v>2133</v>
      </c>
      <c r="R631" s="2" t="s">
        <v>80</v>
      </c>
      <c r="S631" s="14">
        <v>43361</v>
      </c>
      <c r="U631" s="2" t="s">
        <v>1355</v>
      </c>
      <c r="V631" s="2" t="s">
        <v>69</v>
      </c>
      <c r="W631" s="2" t="s">
        <v>70</v>
      </c>
      <c r="X631" s="13">
        <v>161</v>
      </c>
      <c r="Y631" s="2" t="s">
        <v>71</v>
      </c>
      <c r="Z631" s="2" t="s">
        <v>72</v>
      </c>
      <c r="AA631" s="16">
        <v>1994.8140000000001</v>
      </c>
      <c r="AB631" s="2" t="s">
        <v>73</v>
      </c>
      <c r="AC631" s="2" t="s">
        <v>6773</v>
      </c>
      <c r="AD631" s="27"/>
      <c r="AL631" s="2" t="s">
        <v>7254</v>
      </c>
    </row>
    <row r="632" spans="1:38" hidden="1" x14ac:dyDescent="0.2">
      <c r="A632" s="2" t="s">
        <v>1775</v>
      </c>
      <c r="B632" s="2" t="s">
        <v>4519</v>
      </c>
      <c r="C632" s="2" t="s">
        <v>1860</v>
      </c>
      <c r="D632" s="2" t="s">
        <v>1861</v>
      </c>
      <c r="E632" s="16">
        <v>523.04999999999995</v>
      </c>
      <c r="F632" s="16">
        <v>523.04999999999995</v>
      </c>
      <c r="G632" s="14">
        <v>43367</v>
      </c>
      <c r="H632" s="15">
        <v>0.86462962962962997</v>
      </c>
      <c r="I632" s="14">
        <v>43368</v>
      </c>
      <c r="J632" s="15">
        <v>0</v>
      </c>
      <c r="K632" s="13">
        <v>20</v>
      </c>
      <c r="L632" s="2" t="s">
        <v>64</v>
      </c>
      <c r="M632" s="2" t="s">
        <v>2037</v>
      </c>
      <c r="N632" s="14">
        <v>43370</v>
      </c>
      <c r="O632" s="14">
        <v>43369</v>
      </c>
      <c r="P632" s="2" t="s">
        <v>1428</v>
      </c>
      <c r="Q632" s="2" t="s">
        <v>4520</v>
      </c>
      <c r="R632" s="2" t="s">
        <v>80</v>
      </c>
      <c r="S632" s="14">
        <v>43370</v>
      </c>
      <c r="U632" s="2" t="s">
        <v>1209</v>
      </c>
      <c r="V632" s="2" t="s">
        <v>1863</v>
      </c>
      <c r="W632" s="2" t="s">
        <v>70</v>
      </c>
      <c r="X632" s="13">
        <v>161</v>
      </c>
      <c r="Y632" s="2" t="s">
        <v>71</v>
      </c>
      <c r="Z632" s="2" t="s">
        <v>72</v>
      </c>
      <c r="AA632" s="13">
        <v>500</v>
      </c>
      <c r="AB632" s="2" t="s">
        <v>73</v>
      </c>
      <c r="AC632" s="2" t="s">
        <v>6773</v>
      </c>
      <c r="AD632" s="27"/>
      <c r="AL632" s="2" t="s">
        <v>5360</v>
      </c>
    </row>
    <row r="633" spans="1:38" hidden="1" x14ac:dyDescent="0.2">
      <c r="A633" s="2" t="s">
        <v>2175</v>
      </c>
      <c r="B633" s="2" t="s">
        <v>408</v>
      </c>
      <c r="C633" s="2" t="s">
        <v>409</v>
      </c>
      <c r="D633" s="2" t="s">
        <v>410</v>
      </c>
      <c r="E633" s="13">
        <v>5000</v>
      </c>
      <c r="F633" s="13">
        <v>5000</v>
      </c>
      <c r="G633" s="14">
        <v>43287</v>
      </c>
      <c r="H633" s="15">
        <v>2.0833333333330002E-2</v>
      </c>
      <c r="I633" s="14">
        <v>43287</v>
      </c>
      <c r="J633" s="15">
        <v>0.28999999999999998</v>
      </c>
      <c r="K633" s="13">
        <v>0</v>
      </c>
      <c r="L633" s="2" t="s">
        <v>64</v>
      </c>
      <c r="M633" s="2" t="s">
        <v>2205</v>
      </c>
      <c r="N633" s="14">
        <v>43299</v>
      </c>
      <c r="O633" s="14">
        <v>43289</v>
      </c>
      <c r="P633" s="2" t="s">
        <v>404</v>
      </c>
      <c r="Q633" s="2" t="s">
        <v>412</v>
      </c>
      <c r="R633" s="2" t="s">
        <v>80</v>
      </c>
      <c r="S633" s="14">
        <v>43299</v>
      </c>
      <c r="T633" s="2" t="s">
        <v>6538</v>
      </c>
      <c r="U633" s="2" t="s">
        <v>280</v>
      </c>
      <c r="V633" s="2" t="s">
        <v>413</v>
      </c>
      <c r="W633" s="2" t="s">
        <v>70</v>
      </c>
      <c r="X633" s="13">
        <v>774</v>
      </c>
      <c r="Y633" s="2" t="s">
        <v>71</v>
      </c>
      <c r="Z633" s="2" t="s">
        <v>72</v>
      </c>
      <c r="AA633" s="13">
        <v>5000</v>
      </c>
      <c r="AB633" s="2" t="s">
        <v>107</v>
      </c>
      <c r="AC633" s="2" t="s">
        <v>6773</v>
      </c>
      <c r="AD633" s="27">
        <v>43255</v>
      </c>
      <c r="AI633" s="2" t="s">
        <v>6153</v>
      </c>
      <c r="AL633" s="2" t="s">
        <v>5361</v>
      </c>
    </row>
    <row r="634" spans="1:38" hidden="1" x14ac:dyDescent="0.2">
      <c r="A634" s="2" t="s">
        <v>2175</v>
      </c>
      <c r="B634" s="2" t="s">
        <v>2178</v>
      </c>
      <c r="C634" s="2" t="s">
        <v>529</v>
      </c>
      <c r="D634" s="2" t="s">
        <v>530</v>
      </c>
      <c r="E634" s="13">
        <v>20400</v>
      </c>
      <c r="F634" s="13">
        <v>20400</v>
      </c>
      <c r="G634" s="14">
        <v>43287</v>
      </c>
      <c r="H634" s="15">
        <v>0.31083333333333002</v>
      </c>
      <c r="I634" s="14">
        <v>43288</v>
      </c>
      <c r="J634" s="15">
        <v>0.40902777777777999</v>
      </c>
      <c r="K634" s="13">
        <v>0</v>
      </c>
      <c r="L634" s="2" t="s">
        <v>64</v>
      </c>
      <c r="M634" s="2" t="s">
        <v>2176</v>
      </c>
      <c r="N634" s="14">
        <v>43282</v>
      </c>
      <c r="O634" s="14">
        <v>43290</v>
      </c>
      <c r="P634" s="2" t="s">
        <v>91</v>
      </c>
      <c r="Q634" s="2" t="s">
        <v>2177</v>
      </c>
      <c r="R634" s="2" t="s">
        <v>80</v>
      </c>
      <c r="S634" s="14">
        <v>43291</v>
      </c>
      <c r="T634" s="2" t="s">
        <v>6539</v>
      </c>
      <c r="U634" s="2" t="s">
        <v>429</v>
      </c>
      <c r="V634" s="2" t="s">
        <v>163</v>
      </c>
      <c r="W634" s="2" t="s">
        <v>70</v>
      </c>
      <c r="X634" s="13">
        <v>774</v>
      </c>
      <c r="Y634" s="2" t="s">
        <v>71</v>
      </c>
      <c r="Z634" s="2" t="s">
        <v>72</v>
      </c>
      <c r="AA634" s="13">
        <v>20400</v>
      </c>
      <c r="AB634" s="2" t="s">
        <v>107</v>
      </c>
      <c r="AC634" s="2" t="s">
        <v>6772</v>
      </c>
      <c r="AD634" s="27">
        <v>43271</v>
      </c>
      <c r="AL634" s="2" t="s">
        <v>5362</v>
      </c>
    </row>
    <row r="635" spans="1:38" hidden="1" x14ac:dyDescent="0.2">
      <c r="A635" s="2" t="s">
        <v>2175</v>
      </c>
      <c r="B635" s="2" t="s">
        <v>2194</v>
      </c>
      <c r="C635" s="2" t="s">
        <v>476</v>
      </c>
      <c r="D635" s="2" t="s">
        <v>477</v>
      </c>
      <c r="E635" s="13">
        <v>10200</v>
      </c>
      <c r="F635" s="13">
        <v>10200</v>
      </c>
      <c r="G635" s="14">
        <v>43288</v>
      </c>
      <c r="H635" s="15">
        <v>0.42986111111110997</v>
      </c>
      <c r="I635" s="14">
        <v>43288</v>
      </c>
      <c r="J635" s="15">
        <v>0.97895833333333004</v>
      </c>
      <c r="K635" s="13">
        <v>0</v>
      </c>
      <c r="L635" s="2" t="s">
        <v>64</v>
      </c>
      <c r="M635" s="2" t="s">
        <v>4521</v>
      </c>
      <c r="N635" s="14">
        <v>43301</v>
      </c>
      <c r="O635" s="14">
        <v>43290</v>
      </c>
      <c r="P635" s="2" t="s">
        <v>91</v>
      </c>
      <c r="Q635" s="2" t="s">
        <v>2196</v>
      </c>
      <c r="R635" s="2" t="s">
        <v>80</v>
      </c>
      <c r="S635" s="14">
        <v>43301</v>
      </c>
      <c r="T635" s="2" t="s">
        <v>6540</v>
      </c>
      <c r="U635" s="2" t="s">
        <v>256</v>
      </c>
      <c r="V635" s="2" t="s">
        <v>163</v>
      </c>
      <c r="W635" s="2" t="s">
        <v>70</v>
      </c>
      <c r="X635" s="13">
        <v>774</v>
      </c>
      <c r="Y635" s="2" t="s">
        <v>71</v>
      </c>
      <c r="Z635" s="2" t="s">
        <v>72</v>
      </c>
      <c r="AA635" s="13">
        <v>10000</v>
      </c>
      <c r="AB635" s="2" t="s">
        <v>107</v>
      </c>
      <c r="AC635" s="2" t="s">
        <v>6773</v>
      </c>
      <c r="AD635" s="27">
        <v>43273</v>
      </c>
      <c r="AL635" s="2" t="s">
        <v>5363</v>
      </c>
    </row>
    <row r="636" spans="1:38" x14ac:dyDescent="0.2">
      <c r="A636" s="2" t="s">
        <v>2175</v>
      </c>
      <c r="B636" s="2" t="s">
        <v>2929</v>
      </c>
      <c r="C636" s="2" t="s">
        <v>2181</v>
      </c>
      <c r="D636" s="2" t="s">
        <v>2182</v>
      </c>
      <c r="E636" s="13">
        <v>10100</v>
      </c>
      <c r="F636" s="13">
        <v>10100</v>
      </c>
      <c r="G636" s="14">
        <v>43289</v>
      </c>
      <c r="H636" s="15">
        <v>2.0833333333330002E-2</v>
      </c>
      <c r="I636" s="14">
        <v>43289</v>
      </c>
      <c r="J636" s="15">
        <v>0.56454861111110999</v>
      </c>
      <c r="K636" s="13">
        <v>0</v>
      </c>
      <c r="L636" s="2" t="s">
        <v>64</v>
      </c>
      <c r="M636" s="2" t="s">
        <v>4522</v>
      </c>
      <c r="N636" s="14">
        <v>43289</v>
      </c>
      <c r="O636" s="14">
        <v>43291</v>
      </c>
      <c r="P636" s="2" t="s">
        <v>2183</v>
      </c>
      <c r="Q636" s="2" t="s">
        <v>2188</v>
      </c>
      <c r="R636" s="2" t="s">
        <v>93</v>
      </c>
      <c r="S636" s="14">
        <v>43293</v>
      </c>
      <c r="T636" s="2" t="s">
        <v>6541</v>
      </c>
      <c r="U636" s="2" t="s">
        <v>1568</v>
      </c>
      <c r="V636" s="2" t="s">
        <v>1240</v>
      </c>
      <c r="W636" s="2" t="s">
        <v>70</v>
      </c>
      <c r="X636" s="13">
        <v>774</v>
      </c>
      <c r="Y636" s="2" t="s">
        <v>71</v>
      </c>
      <c r="Z636" s="2" t="s">
        <v>72</v>
      </c>
      <c r="AA636" s="13">
        <v>10000</v>
      </c>
      <c r="AB636" s="2" t="s">
        <v>107</v>
      </c>
      <c r="AC636" s="2" t="s">
        <v>6772</v>
      </c>
      <c r="AD636" s="27">
        <v>43283</v>
      </c>
      <c r="AI636" s="2" t="s">
        <v>6153</v>
      </c>
      <c r="AL636" s="2" t="s">
        <v>5364</v>
      </c>
    </row>
    <row r="637" spans="1:38" x14ac:dyDescent="0.2">
      <c r="A637" s="2" t="s">
        <v>2175</v>
      </c>
      <c r="B637" s="2" t="s">
        <v>4523</v>
      </c>
      <c r="C637" s="2" t="s">
        <v>3065</v>
      </c>
      <c r="D637" s="2" t="s">
        <v>3066</v>
      </c>
      <c r="E637" s="13">
        <v>23230</v>
      </c>
      <c r="F637" s="13">
        <v>23230</v>
      </c>
      <c r="G637" s="14">
        <v>43290</v>
      </c>
      <c r="H637" s="15">
        <v>2.0833333333330002E-2</v>
      </c>
      <c r="I637" s="14">
        <v>43291</v>
      </c>
      <c r="J637" s="15">
        <v>0.27137731481480998</v>
      </c>
      <c r="K637" s="13">
        <v>0</v>
      </c>
      <c r="L637" s="2" t="s">
        <v>64</v>
      </c>
      <c r="M637" s="2" t="s">
        <v>4524</v>
      </c>
      <c r="N637" s="14">
        <v>43292</v>
      </c>
      <c r="O637" s="14">
        <v>43293</v>
      </c>
      <c r="P637" s="2" t="s">
        <v>2279</v>
      </c>
      <c r="Q637" s="2" t="s">
        <v>4525</v>
      </c>
      <c r="R637" s="2" t="s">
        <v>80</v>
      </c>
      <c r="S637" s="14">
        <v>43297</v>
      </c>
      <c r="T637" s="2" t="s">
        <v>6542</v>
      </c>
      <c r="U637" s="2" t="s">
        <v>1486</v>
      </c>
      <c r="V637" s="2" t="s">
        <v>1240</v>
      </c>
      <c r="W637" s="2" t="s">
        <v>70</v>
      </c>
      <c r="X637" s="13">
        <v>774</v>
      </c>
      <c r="Y637" s="2" t="s">
        <v>71</v>
      </c>
      <c r="Z637" s="2" t="s">
        <v>72</v>
      </c>
      <c r="AA637" s="13">
        <v>23000</v>
      </c>
      <c r="AB637" s="2" t="s">
        <v>107</v>
      </c>
      <c r="AC637" s="2" t="s">
        <v>6772</v>
      </c>
      <c r="AD637" s="27">
        <v>43285</v>
      </c>
      <c r="AI637" s="2" t="s">
        <v>6153</v>
      </c>
      <c r="AL637" s="2" t="s">
        <v>5365</v>
      </c>
    </row>
    <row r="638" spans="1:38" x14ac:dyDescent="0.2">
      <c r="A638" s="2" t="s">
        <v>2175</v>
      </c>
      <c r="B638" s="2" t="s">
        <v>2180</v>
      </c>
      <c r="C638" s="2" t="s">
        <v>2181</v>
      </c>
      <c r="D638" s="2" t="s">
        <v>2182</v>
      </c>
      <c r="E638" s="13">
        <v>11110</v>
      </c>
      <c r="F638" s="13">
        <v>11110</v>
      </c>
      <c r="G638" s="14">
        <v>43291</v>
      </c>
      <c r="H638" s="15">
        <v>0.29221064814815001</v>
      </c>
      <c r="I638" s="14">
        <v>43291</v>
      </c>
      <c r="J638" s="15">
        <v>0.89030092592593002</v>
      </c>
      <c r="K638" s="13">
        <v>0</v>
      </c>
      <c r="L638" s="2" t="s">
        <v>64</v>
      </c>
      <c r="M638" s="2" t="s">
        <v>4526</v>
      </c>
      <c r="N638" s="14">
        <v>43276</v>
      </c>
      <c r="O638" s="14">
        <v>43293</v>
      </c>
      <c r="P638" s="2" t="s">
        <v>2183</v>
      </c>
      <c r="Q638" s="2" t="s">
        <v>2188</v>
      </c>
      <c r="R638" s="2" t="s">
        <v>93</v>
      </c>
      <c r="S638" s="14">
        <v>43293</v>
      </c>
      <c r="T638" s="2" t="s">
        <v>6543</v>
      </c>
      <c r="U638" s="2" t="s">
        <v>1568</v>
      </c>
      <c r="V638" s="2" t="s">
        <v>1240</v>
      </c>
      <c r="W638" s="2" t="s">
        <v>70</v>
      </c>
      <c r="X638" s="13">
        <v>774</v>
      </c>
      <c r="Y638" s="2" t="s">
        <v>71</v>
      </c>
      <c r="Z638" s="2" t="s">
        <v>72</v>
      </c>
      <c r="AA638" s="13">
        <v>11000</v>
      </c>
      <c r="AB638" s="2" t="s">
        <v>107</v>
      </c>
      <c r="AC638" s="2" t="s">
        <v>6772</v>
      </c>
      <c r="AD638" s="27">
        <v>43283</v>
      </c>
      <c r="AI638" s="2" t="s">
        <v>6153</v>
      </c>
      <c r="AL638" s="2" t="s">
        <v>5366</v>
      </c>
    </row>
    <row r="639" spans="1:38" x14ac:dyDescent="0.2">
      <c r="A639" s="2" t="s">
        <v>2175</v>
      </c>
      <c r="B639" s="2" t="s">
        <v>3141</v>
      </c>
      <c r="C639" s="2" t="s">
        <v>1758</v>
      </c>
      <c r="D639" s="2" t="s">
        <v>1759</v>
      </c>
      <c r="E639" s="13">
        <v>10100</v>
      </c>
      <c r="F639" s="13">
        <v>10100</v>
      </c>
      <c r="G639" s="14">
        <v>43292</v>
      </c>
      <c r="H639" s="15">
        <v>0.31305555555555997</v>
      </c>
      <c r="I639" s="14">
        <v>43292</v>
      </c>
      <c r="J639" s="15">
        <v>0.85677083333333004</v>
      </c>
      <c r="K639" s="13">
        <v>20</v>
      </c>
      <c r="L639" s="2" t="s">
        <v>64</v>
      </c>
      <c r="M639" s="2" t="s">
        <v>4522</v>
      </c>
      <c r="N639" s="14">
        <v>43292</v>
      </c>
      <c r="O639" s="14">
        <v>43294</v>
      </c>
      <c r="P639" s="2" t="s">
        <v>91</v>
      </c>
      <c r="Q639" s="2" t="s">
        <v>3143</v>
      </c>
      <c r="R639" s="2" t="s">
        <v>80</v>
      </c>
      <c r="S639" s="14">
        <v>43292</v>
      </c>
      <c r="T639" s="2" t="s">
        <v>6544</v>
      </c>
      <c r="U639" s="2" t="s">
        <v>1533</v>
      </c>
      <c r="V639" s="2" t="s">
        <v>1240</v>
      </c>
      <c r="W639" s="2" t="s">
        <v>70</v>
      </c>
      <c r="X639" s="13">
        <v>774</v>
      </c>
      <c r="Y639" s="2" t="s">
        <v>71</v>
      </c>
      <c r="Z639" s="2" t="s">
        <v>72</v>
      </c>
      <c r="AA639" s="13">
        <v>10000</v>
      </c>
      <c r="AB639" s="2" t="s">
        <v>73</v>
      </c>
      <c r="AC639" s="2" t="s">
        <v>6773</v>
      </c>
      <c r="AD639" s="27">
        <v>43178</v>
      </c>
      <c r="AL639" s="2" t="s">
        <v>5367</v>
      </c>
    </row>
    <row r="640" spans="1:38" x14ac:dyDescent="0.2">
      <c r="A640" s="2" t="s">
        <v>2175</v>
      </c>
      <c r="B640" s="2" t="s">
        <v>2535</v>
      </c>
      <c r="C640" s="2" t="s">
        <v>2536</v>
      </c>
      <c r="D640" s="2" t="s">
        <v>2537</v>
      </c>
      <c r="E640" s="13">
        <v>10200</v>
      </c>
      <c r="F640" s="13">
        <v>10200</v>
      </c>
      <c r="G640" s="14">
        <v>43292</v>
      </c>
      <c r="H640" s="15">
        <v>0.87760416666666996</v>
      </c>
      <c r="I640" s="14">
        <v>43293</v>
      </c>
      <c r="J640" s="15">
        <v>0.42670138888888998</v>
      </c>
      <c r="K640" s="13">
        <v>20</v>
      </c>
      <c r="L640" s="2" t="s">
        <v>64</v>
      </c>
      <c r="M640" s="2" t="s">
        <v>4521</v>
      </c>
      <c r="N640" s="14">
        <v>43286</v>
      </c>
      <c r="O640" s="14">
        <v>43295</v>
      </c>
      <c r="P640" s="2" t="s">
        <v>91</v>
      </c>
      <c r="Q640" s="2" t="s">
        <v>2538</v>
      </c>
      <c r="R640" s="2" t="s">
        <v>80</v>
      </c>
      <c r="S640" s="14">
        <v>43297</v>
      </c>
      <c r="T640" s="2" t="s">
        <v>6546</v>
      </c>
      <c r="U640" s="2" t="s">
        <v>418</v>
      </c>
      <c r="V640" s="2" t="s">
        <v>163</v>
      </c>
      <c r="W640" s="2" t="s">
        <v>70</v>
      </c>
      <c r="X640" s="13">
        <v>774</v>
      </c>
      <c r="Y640" s="2" t="s">
        <v>71</v>
      </c>
      <c r="Z640" s="2" t="s">
        <v>72</v>
      </c>
      <c r="AA640" s="13">
        <v>10000</v>
      </c>
      <c r="AB640" s="2" t="s">
        <v>73</v>
      </c>
      <c r="AC640" s="2" t="s">
        <v>6773</v>
      </c>
      <c r="AD640" s="27">
        <v>43215</v>
      </c>
      <c r="AL640" s="2" t="s">
        <v>5368</v>
      </c>
    </row>
    <row r="641" spans="1:38" x14ac:dyDescent="0.2">
      <c r="A641" s="2" t="s">
        <v>2175</v>
      </c>
      <c r="B641" s="2" t="s">
        <v>2212</v>
      </c>
      <c r="C641" s="2" t="s">
        <v>2213</v>
      </c>
      <c r="D641" s="2" t="s">
        <v>2214</v>
      </c>
      <c r="E641" s="16">
        <v>15299.999</v>
      </c>
      <c r="F641" s="16">
        <v>15299.999</v>
      </c>
      <c r="G641" s="14">
        <v>43293</v>
      </c>
      <c r="H641" s="15">
        <v>0.44753472222222002</v>
      </c>
      <c r="I641" s="14">
        <v>43294</v>
      </c>
      <c r="J641" s="15">
        <v>0.27118055555555998</v>
      </c>
      <c r="K641" s="13">
        <v>0</v>
      </c>
      <c r="L641" s="2" t="s">
        <v>64</v>
      </c>
      <c r="M641" s="2" t="s">
        <v>2215</v>
      </c>
      <c r="N641" s="14">
        <v>43297</v>
      </c>
      <c r="O641" s="14">
        <v>43296</v>
      </c>
      <c r="P641" s="2" t="s">
        <v>91</v>
      </c>
      <c r="Q641" s="2" t="s">
        <v>2216</v>
      </c>
      <c r="R641" s="2" t="s">
        <v>80</v>
      </c>
      <c r="S641" s="14">
        <v>43297</v>
      </c>
      <c r="T641" s="2" t="s">
        <v>6547</v>
      </c>
      <c r="U641" s="2" t="s">
        <v>418</v>
      </c>
      <c r="V641" s="2" t="s">
        <v>2217</v>
      </c>
      <c r="W641" s="2" t="s">
        <v>70</v>
      </c>
      <c r="X641" s="13">
        <v>774</v>
      </c>
      <c r="Y641" s="2" t="s">
        <v>71</v>
      </c>
      <c r="Z641" s="2" t="s">
        <v>72</v>
      </c>
      <c r="AA641" s="13">
        <v>15000</v>
      </c>
      <c r="AB641" s="2" t="s">
        <v>73</v>
      </c>
      <c r="AC641" s="2" t="s">
        <v>6773</v>
      </c>
      <c r="AD641" s="27">
        <v>43279</v>
      </c>
      <c r="AL641" s="2" t="s">
        <v>5369</v>
      </c>
    </row>
    <row r="642" spans="1:38" x14ac:dyDescent="0.2">
      <c r="A642" s="2" t="s">
        <v>2175</v>
      </c>
      <c r="B642" s="2" t="s">
        <v>2593</v>
      </c>
      <c r="C642" s="2" t="s">
        <v>2594</v>
      </c>
      <c r="D642" s="2" t="s">
        <v>2595</v>
      </c>
      <c r="E642" s="13">
        <v>15000</v>
      </c>
      <c r="F642" s="13">
        <v>15000</v>
      </c>
      <c r="G642" s="14">
        <v>43294</v>
      </c>
      <c r="H642" s="15">
        <v>0.29201388888889002</v>
      </c>
      <c r="I642" s="14">
        <v>43295</v>
      </c>
      <c r="J642" s="15">
        <v>9.9502314814810006E-2</v>
      </c>
      <c r="K642" s="13">
        <v>0</v>
      </c>
      <c r="L642" s="2" t="s">
        <v>64</v>
      </c>
      <c r="M642" s="2" t="s">
        <v>4527</v>
      </c>
      <c r="N642" s="14">
        <v>43297</v>
      </c>
      <c r="O642" s="14">
        <v>43297</v>
      </c>
      <c r="P642" s="2" t="s">
        <v>483</v>
      </c>
      <c r="Q642" s="2" t="s">
        <v>2597</v>
      </c>
      <c r="R642" s="2" t="s">
        <v>80</v>
      </c>
      <c r="S642" s="14">
        <v>43297</v>
      </c>
      <c r="T642" s="2" t="s">
        <v>6548</v>
      </c>
      <c r="U642" s="2" t="s">
        <v>1324</v>
      </c>
      <c r="V642" s="2" t="s">
        <v>2217</v>
      </c>
      <c r="W642" s="2" t="s">
        <v>70</v>
      </c>
      <c r="X642" s="13">
        <v>774</v>
      </c>
      <c r="Y642" s="2" t="s">
        <v>71</v>
      </c>
      <c r="Z642" s="2" t="s">
        <v>72</v>
      </c>
      <c r="AA642" s="13">
        <v>15000</v>
      </c>
      <c r="AB642" s="2" t="s">
        <v>73</v>
      </c>
      <c r="AC642" s="2" t="s">
        <v>6773</v>
      </c>
      <c r="AD642" s="27">
        <v>43279</v>
      </c>
      <c r="AL642" s="2" t="s">
        <v>5370</v>
      </c>
    </row>
    <row r="643" spans="1:38" x14ac:dyDescent="0.2">
      <c r="A643" s="2" t="s">
        <v>2175</v>
      </c>
      <c r="B643" s="2" t="s">
        <v>2554</v>
      </c>
      <c r="C643" s="2" t="s">
        <v>2555</v>
      </c>
      <c r="D643" s="2" t="s">
        <v>2556</v>
      </c>
      <c r="E643" s="16">
        <v>19440.800999999999</v>
      </c>
      <c r="F643" s="16">
        <v>19440.800999999999</v>
      </c>
      <c r="G643" s="14">
        <v>43295</v>
      </c>
      <c r="H643" s="15">
        <v>0.12033564814815</v>
      </c>
      <c r="I643" s="14">
        <v>43296</v>
      </c>
      <c r="J643" s="15">
        <v>0.16688657407407001</v>
      </c>
      <c r="K643" s="13">
        <v>0</v>
      </c>
      <c r="L643" s="2" t="s">
        <v>64</v>
      </c>
      <c r="M643" s="2" t="s">
        <v>4528</v>
      </c>
      <c r="N643" s="14">
        <v>43308</v>
      </c>
      <c r="O643" s="14">
        <v>43298</v>
      </c>
      <c r="P643" s="2" t="s">
        <v>91</v>
      </c>
      <c r="Q643" s="2" t="s">
        <v>2557</v>
      </c>
      <c r="R643" s="2" t="s">
        <v>80</v>
      </c>
      <c r="S643" s="14">
        <v>43298</v>
      </c>
      <c r="T643" s="2" t="s">
        <v>6549</v>
      </c>
      <c r="U643" s="2" t="s">
        <v>1355</v>
      </c>
      <c r="V643" s="2" t="s">
        <v>163</v>
      </c>
      <c r="W643" s="2" t="s">
        <v>70</v>
      </c>
      <c r="X643" s="13">
        <v>774</v>
      </c>
      <c r="Y643" s="2" t="s">
        <v>71</v>
      </c>
      <c r="Z643" s="2" t="s">
        <v>72</v>
      </c>
      <c r="AA643" s="13">
        <v>19000</v>
      </c>
      <c r="AB643" s="2" t="s">
        <v>73</v>
      </c>
      <c r="AC643" s="2" t="s">
        <v>6773</v>
      </c>
      <c r="AD643" s="27">
        <v>43266</v>
      </c>
      <c r="AL643" s="2" t="s">
        <v>5371</v>
      </c>
    </row>
    <row r="644" spans="1:38" hidden="1" x14ac:dyDescent="0.2">
      <c r="A644" s="2" t="s">
        <v>2175</v>
      </c>
      <c r="B644" s="2" t="s">
        <v>2208</v>
      </c>
      <c r="C644" s="2" t="s">
        <v>1322</v>
      </c>
      <c r="D644" s="2" t="s">
        <v>1323</v>
      </c>
      <c r="E644" s="13">
        <v>10000</v>
      </c>
      <c r="F644" s="13">
        <v>10000</v>
      </c>
      <c r="G644" s="14">
        <v>43308</v>
      </c>
      <c r="H644" s="15">
        <v>0.46166666666667</v>
      </c>
      <c r="I644" s="14">
        <v>43309</v>
      </c>
      <c r="J644" s="15">
        <v>0</v>
      </c>
      <c r="K644" s="13">
        <v>20</v>
      </c>
      <c r="L644" s="2" t="s">
        <v>64</v>
      </c>
      <c r="M644" s="2" t="s">
        <v>2195</v>
      </c>
      <c r="N644" s="14">
        <v>43315</v>
      </c>
      <c r="O644" s="14">
        <v>43310</v>
      </c>
      <c r="P644" s="2" t="s">
        <v>91</v>
      </c>
      <c r="Q644" s="2" t="s">
        <v>2209</v>
      </c>
      <c r="R644" s="2" t="s">
        <v>80</v>
      </c>
      <c r="S644" s="14">
        <v>43312</v>
      </c>
      <c r="T644" s="2" t="s">
        <v>6550</v>
      </c>
      <c r="U644" s="2" t="s">
        <v>1324</v>
      </c>
      <c r="V644" s="2" t="s">
        <v>163</v>
      </c>
      <c r="W644" s="2" t="s">
        <v>70</v>
      </c>
      <c r="X644" s="13">
        <v>774</v>
      </c>
      <c r="Y644" s="2" t="s">
        <v>71</v>
      </c>
      <c r="Z644" s="2" t="s">
        <v>72</v>
      </c>
      <c r="AA644" s="13">
        <v>10000</v>
      </c>
      <c r="AB644" s="2" t="s">
        <v>73</v>
      </c>
      <c r="AC644" s="2" t="s">
        <v>6773</v>
      </c>
      <c r="AD644" s="27">
        <v>43080</v>
      </c>
      <c r="AL644" s="2" t="s">
        <v>5372</v>
      </c>
    </row>
    <row r="645" spans="1:38" hidden="1" x14ac:dyDescent="0.2">
      <c r="A645" s="2" t="s">
        <v>2175</v>
      </c>
      <c r="B645" s="2" t="s">
        <v>4529</v>
      </c>
      <c r="C645" s="2" t="s">
        <v>4530</v>
      </c>
      <c r="D645" s="2" t="s">
        <v>4531</v>
      </c>
      <c r="E645" s="13">
        <v>3042</v>
      </c>
      <c r="F645" s="13">
        <v>3042</v>
      </c>
      <c r="G645" s="14">
        <v>43311</v>
      </c>
      <c r="H645" s="15">
        <v>0.83623842592593001</v>
      </c>
      <c r="I645" s="14">
        <v>43312</v>
      </c>
      <c r="J645" s="15">
        <v>0</v>
      </c>
      <c r="K645" s="13">
        <v>20</v>
      </c>
      <c r="L645" s="2" t="s">
        <v>64</v>
      </c>
      <c r="M645" s="2" t="s">
        <v>4532</v>
      </c>
      <c r="N645" s="14">
        <v>43314</v>
      </c>
      <c r="O645" s="14">
        <v>43313</v>
      </c>
      <c r="P645" s="2" t="s">
        <v>4533</v>
      </c>
      <c r="Q645" s="2" t="s">
        <v>4534</v>
      </c>
      <c r="R645" s="2" t="s">
        <v>80</v>
      </c>
      <c r="S645" s="14">
        <v>43314</v>
      </c>
      <c r="T645" s="2" t="s">
        <v>6551</v>
      </c>
      <c r="U645" s="2" t="s">
        <v>4482</v>
      </c>
      <c r="V645" s="2" t="s">
        <v>4535</v>
      </c>
      <c r="W645" s="2" t="s">
        <v>70</v>
      </c>
      <c r="X645" s="13">
        <v>774</v>
      </c>
      <c r="Y645" s="2" t="s">
        <v>71</v>
      </c>
      <c r="Z645" s="2" t="s">
        <v>72</v>
      </c>
      <c r="AA645" s="13">
        <v>3000</v>
      </c>
      <c r="AB645" s="2" t="s">
        <v>73</v>
      </c>
      <c r="AC645" s="2" t="s">
        <v>6773</v>
      </c>
      <c r="AD645" s="27">
        <v>43286</v>
      </c>
      <c r="AI645" s="2" t="s">
        <v>6153</v>
      </c>
      <c r="AL645" s="2" t="s">
        <v>5373</v>
      </c>
    </row>
    <row r="646" spans="1:38" hidden="1" x14ac:dyDescent="0.2">
      <c r="A646" s="2" t="s">
        <v>2175</v>
      </c>
      <c r="B646" s="2" t="s">
        <v>2202</v>
      </c>
      <c r="C646" s="2" t="s">
        <v>2203</v>
      </c>
      <c r="D646" s="2" t="s">
        <v>2204</v>
      </c>
      <c r="E646" s="13">
        <v>5000</v>
      </c>
      <c r="F646" s="13">
        <v>5000</v>
      </c>
      <c r="G646" s="14">
        <v>43314</v>
      </c>
      <c r="H646" s="15">
        <v>0.79166666666666996</v>
      </c>
      <c r="I646" s="14">
        <v>43315</v>
      </c>
      <c r="J646" s="15">
        <v>6.0833333333329999E-2</v>
      </c>
      <c r="K646" s="13">
        <v>0</v>
      </c>
      <c r="L646" s="2" t="s">
        <v>64</v>
      </c>
      <c r="M646" s="2" t="s">
        <v>2205</v>
      </c>
      <c r="N646" s="14">
        <v>43320</v>
      </c>
      <c r="O646" s="14">
        <v>43317</v>
      </c>
      <c r="P646" s="2" t="s">
        <v>91</v>
      </c>
      <c r="Q646" s="2" t="s">
        <v>2206</v>
      </c>
      <c r="R646" s="2" t="s">
        <v>80</v>
      </c>
      <c r="S646" s="14">
        <v>43320</v>
      </c>
      <c r="T646" s="2" t="s">
        <v>6552</v>
      </c>
      <c r="U646" s="2" t="s">
        <v>489</v>
      </c>
      <c r="V646" s="2" t="s">
        <v>2207</v>
      </c>
      <c r="W646" s="2" t="s">
        <v>70</v>
      </c>
      <c r="X646" s="13">
        <v>774</v>
      </c>
      <c r="Y646" s="2" t="s">
        <v>71</v>
      </c>
      <c r="Z646" s="2" t="s">
        <v>72</v>
      </c>
      <c r="AA646" s="13">
        <v>5000</v>
      </c>
      <c r="AB646" s="2" t="s">
        <v>73</v>
      </c>
      <c r="AC646" s="2" t="s">
        <v>6773</v>
      </c>
      <c r="AD646" s="27">
        <v>43270</v>
      </c>
      <c r="AI646" s="2" t="s">
        <v>6153</v>
      </c>
      <c r="AL646" s="2" t="s">
        <v>5374</v>
      </c>
    </row>
    <row r="647" spans="1:38" hidden="1" x14ac:dyDescent="0.2">
      <c r="A647" s="2" t="s">
        <v>2175</v>
      </c>
      <c r="B647" s="2" t="s">
        <v>2210</v>
      </c>
      <c r="C647" s="2" t="s">
        <v>2181</v>
      </c>
      <c r="D647" s="2" t="s">
        <v>2182</v>
      </c>
      <c r="E647" s="13">
        <v>20200</v>
      </c>
      <c r="F647" s="13">
        <v>20200</v>
      </c>
      <c r="G647" s="14">
        <v>43317</v>
      </c>
      <c r="H647" s="15">
        <v>6.8101851851849998E-2</v>
      </c>
      <c r="I647" s="14">
        <v>43318</v>
      </c>
      <c r="J647" s="15">
        <v>0.15552083333333</v>
      </c>
      <c r="K647" s="13">
        <v>0</v>
      </c>
      <c r="L647" s="2" t="s">
        <v>64</v>
      </c>
      <c r="M647" s="2" t="s">
        <v>2211</v>
      </c>
      <c r="N647" s="14">
        <v>43320</v>
      </c>
      <c r="O647" s="14">
        <v>43320</v>
      </c>
      <c r="P647" s="2" t="s">
        <v>2183</v>
      </c>
      <c r="Q647" s="2" t="s">
        <v>4536</v>
      </c>
      <c r="R647" s="2" t="s">
        <v>80</v>
      </c>
      <c r="S647" s="14">
        <v>43335</v>
      </c>
      <c r="U647" s="2" t="s">
        <v>1568</v>
      </c>
      <c r="V647" s="2" t="s">
        <v>1240</v>
      </c>
      <c r="W647" s="2" t="s">
        <v>70</v>
      </c>
      <c r="X647" s="13">
        <v>0</v>
      </c>
      <c r="Y647" s="2" t="s">
        <v>71</v>
      </c>
      <c r="Z647" s="2" t="s">
        <v>72</v>
      </c>
      <c r="AA647" s="13">
        <v>20000</v>
      </c>
      <c r="AB647" s="2" t="s">
        <v>95</v>
      </c>
      <c r="AC647" s="2" t="s">
        <v>6772</v>
      </c>
      <c r="AD647" s="27"/>
      <c r="AI647" s="2" t="s">
        <v>6153</v>
      </c>
      <c r="AL647" s="2" t="s">
        <v>5375</v>
      </c>
    </row>
    <row r="648" spans="1:38" hidden="1" x14ac:dyDescent="0.2">
      <c r="A648" s="2" t="s">
        <v>2175</v>
      </c>
      <c r="B648" s="2" t="s">
        <v>2218</v>
      </c>
      <c r="C648" s="2" t="s">
        <v>498</v>
      </c>
      <c r="D648" s="2" t="s">
        <v>499</v>
      </c>
      <c r="E648" s="13">
        <v>20000</v>
      </c>
      <c r="F648" s="13">
        <v>20000</v>
      </c>
      <c r="G648" s="14">
        <v>43324</v>
      </c>
      <c r="H648" s="15">
        <v>0.92333333333333001</v>
      </c>
      <c r="I648" s="14">
        <v>43325</v>
      </c>
      <c r="J648" s="15">
        <v>0.99998842592592996</v>
      </c>
      <c r="K648" s="13">
        <v>0</v>
      </c>
      <c r="L648" s="2" t="s">
        <v>64</v>
      </c>
      <c r="M648" s="2" t="s">
        <v>2186</v>
      </c>
      <c r="N648" s="14">
        <v>43327</v>
      </c>
      <c r="O648" s="14">
        <v>43327</v>
      </c>
      <c r="P648" s="2" t="s">
        <v>91</v>
      </c>
      <c r="Q648" s="2" t="s">
        <v>98</v>
      </c>
      <c r="R648" s="2" t="s">
        <v>131</v>
      </c>
      <c r="S648" s="14"/>
      <c r="U648" s="2" t="s">
        <v>495</v>
      </c>
      <c r="V648" s="2" t="s">
        <v>163</v>
      </c>
      <c r="W648" s="2" t="s">
        <v>70</v>
      </c>
      <c r="X648" s="13">
        <v>0</v>
      </c>
      <c r="Y648" s="2" t="s">
        <v>71</v>
      </c>
      <c r="Z648" s="2" t="s">
        <v>72</v>
      </c>
      <c r="AA648" s="13">
        <v>20000</v>
      </c>
      <c r="AB648" s="2" t="s">
        <v>95</v>
      </c>
      <c r="AC648" s="2" t="s">
        <v>6772</v>
      </c>
      <c r="AD648" s="27"/>
      <c r="AL648" s="2" t="s">
        <v>7255</v>
      </c>
    </row>
    <row r="649" spans="1:38" hidden="1" x14ac:dyDescent="0.2">
      <c r="A649" s="2" t="s">
        <v>2219</v>
      </c>
      <c r="B649" s="2" t="s">
        <v>2251</v>
      </c>
      <c r="C649" s="2" t="s">
        <v>2252</v>
      </c>
      <c r="D649" s="2" t="s">
        <v>2253</v>
      </c>
      <c r="E649" s="13">
        <v>20000</v>
      </c>
      <c r="F649" s="13">
        <v>20000</v>
      </c>
      <c r="G649" s="14">
        <v>43287</v>
      </c>
      <c r="H649" s="15">
        <v>8.3333333333329998E-2</v>
      </c>
      <c r="I649" s="14">
        <v>43288</v>
      </c>
      <c r="J649" s="15">
        <v>0.16981481481481001</v>
      </c>
      <c r="K649" s="13">
        <v>0</v>
      </c>
      <c r="L649" s="2" t="s">
        <v>64</v>
      </c>
      <c r="M649" s="2" t="s">
        <v>2248</v>
      </c>
      <c r="N649" s="14">
        <v>43296</v>
      </c>
      <c r="O649" s="14">
        <v>43290</v>
      </c>
      <c r="P649" s="2" t="s">
        <v>524</v>
      </c>
      <c r="Q649" s="2" t="s">
        <v>98</v>
      </c>
      <c r="R649" s="2" t="s">
        <v>131</v>
      </c>
      <c r="S649" s="14"/>
      <c r="T649" s="2" t="s">
        <v>6553</v>
      </c>
      <c r="U649" s="2" t="s">
        <v>1324</v>
      </c>
      <c r="V649" s="2" t="s">
        <v>2254</v>
      </c>
      <c r="W649" s="2" t="s">
        <v>70</v>
      </c>
      <c r="X649" s="13">
        <v>767</v>
      </c>
      <c r="Y649" s="2" t="s">
        <v>71</v>
      </c>
      <c r="Z649" s="2" t="s">
        <v>72</v>
      </c>
      <c r="AA649" s="13">
        <v>20000</v>
      </c>
      <c r="AB649" s="2" t="s">
        <v>107</v>
      </c>
      <c r="AC649" s="2" t="s">
        <v>6772</v>
      </c>
      <c r="AD649" s="27">
        <v>43283</v>
      </c>
      <c r="AL649" s="2" t="s">
        <v>5376</v>
      </c>
    </row>
    <row r="650" spans="1:38" hidden="1" x14ac:dyDescent="0.2">
      <c r="A650" s="2" t="s">
        <v>2219</v>
      </c>
      <c r="B650" s="2" t="s">
        <v>6972</v>
      </c>
      <c r="C650" s="2" t="s">
        <v>2237</v>
      </c>
      <c r="D650" s="2" t="s">
        <v>2238</v>
      </c>
      <c r="E650" s="13">
        <v>0</v>
      </c>
      <c r="F650" s="13">
        <v>10000</v>
      </c>
      <c r="G650" s="14">
        <v>43288</v>
      </c>
      <c r="H650" s="15">
        <v>0.24318287037037001</v>
      </c>
      <c r="I650" s="14">
        <v>43288</v>
      </c>
      <c r="J650" s="15">
        <v>0.78642361111111003</v>
      </c>
      <c r="K650" s="13">
        <v>20</v>
      </c>
      <c r="L650" s="2" t="s">
        <v>64</v>
      </c>
      <c r="M650" s="2" t="s">
        <v>2233</v>
      </c>
      <c r="N650" s="14">
        <v>43291</v>
      </c>
      <c r="O650" s="14">
        <v>43290</v>
      </c>
      <c r="P650" s="2" t="s">
        <v>2239</v>
      </c>
      <c r="Q650" s="2" t="s">
        <v>98</v>
      </c>
      <c r="R650" s="2" t="s">
        <v>131</v>
      </c>
      <c r="S650" s="14"/>
      <c r="T650" s="2" t="s">
        <v>7116</v>
      </c>
      <c r="U650" s="2" t="s">
        <v>1533</v>
      </c>
      <c r="V650" s="2" t="s">
        <v>81</v>
      </c>
      <c r="W650" s="2" t="s">
        <v>70</v>
      </c>
      <c r="X650" s="13">
        <v>767</v>
      </c>
      <c r="Y650" s="2" t="s">
        <v>71</v>
      </c>
      <c r="Z650" s="2" t="s">
        <v>72</v>
      </c>
      <c r="AA650" s="13">
        <v>0</v>
      </c>
      <c r="AB650" s="2" t="s">
        <v>107</v>
      </c>
      <c r="AC650" s="2" t="s">
        <v>6773</v>
      </c>
      <c r="AD650" s="27">
        <v>43178</v>
      </c>
      <c r="AL650" s="2" t="s">
        <v>7256</v>
      </c>
    </row>
    <row r="651" spans="1:38" x14ac:dyDescent="0.2">
      <c r="A651" s="2" t="s">
        <v>2219</v>
      </c>
      <c r="B651" s="2" t="s">
        <v>4537</v>
      </c>
      <c r="C651" s="2" t="s">
        <v>2224</v>
      </c>
      <c r="D651" s="2" t="s">
        <v>2225</v>
      </c>
      <c r="E651" s="13">
        <v>20254</v>
      </c>
      <c r="F651" s="13">
        <v>20254</v>
      </c>
      <c r="G651" s="14">
        <v>43289</v>
      </c>
      <c r="H651" s="15">
        <v>4.1666666666670002E-2</v>
      </c>
      <c r="I651" s="14">
        <v>43290</v>
      </c>
      <c r="J651" s="15">
        <v>0.14194444444443999</v>
      </c>
      <c r="K651" s="13">
        <v>0</v>
      </c>
      <c r="L651" s="2" t="s">
        <v>64</v>
      </c>
      <c r="M651" s="2" t="s">
        <v>2226</v>
      </c>
      <c r="N651" s="14">
        <v>43292</v>
      </c>
      <c r="O651" s="14">
        <v>43292</v>
      </c>
      <c r="P651" s="2" t="s">
        <v>2227</v>
      </c>
      <c r="Q651" s="2" t="s">
        <v>98</v>
      </c>
      <c r="R651" s="2" t="s">
        <v>131</v>
      </c>
      <c r="S651" s="14"/>
      <c r="T651" s="2" t="s">
        <v>6554</v>
      </c>
      <c r="U651" s="2" t="s">
        <v>2228</v>
      </c>
      <c r="V651" s="2" t="s">
        <v>2229</v>
      </c>
      <c r="W651" s="2" t="s">
        <v>70</v>
      </c>
      <c r="X651" s="13">
        <v>767</v>
      </c>
      <c r="Y651" s="2" t="s">
        <v>71</v>
      </c>
      <c r="Z651" s="2" t="s">
        <v>72</v>
      </c>
      <c r="AA651" s="13">
        <v>20000</v>
      </c>
      <c r="AB651" s="2" t="s">
        <v>107</v>
      </c>
      <c r="AC651" s="2" t="s">
        <v>6772</v>
      </c>
      <c r="AD651" s="27">
        <v>43284</v>
      </c>
      <c r="AI651" s="2" t="s">
        <v>6153</v>
      </c>
      <c r="AL651" s="2" t="s">
        <v>5377</v>
      </c>
    </row>
    <row r="652" spans="1:38" x14ac:dyDescent="0.2">
      <c r="A652" s="2" t="s">
        <v>2219</v>
      </c>
      <c r="B652" s="2" t="s">
        <v>2230</v>
      </c>
      <c r="C652" s="2" t="s">
        <v>2231</v>
      </c>
      <c r="D652" s="2" t="s">
        <v>2232</v>
      </c>
      <c r="E652" s="13">
        <v>10100</v>
      </c>
      <c r="F652" s="13">
        <v>10100</v>
      </c>
      <c r="G652" s="14">
        <v>43290</v>
      </c>
      <c r="H652" s="15">
        <v>0.16277777777777999</v>
      </c>
      <c r="I652" s="14">
        <v>43290</v>
      </c>
      <c r="J652" s="15">
        <v>0.71144675925926004</v>
      </c>
      <c r="K652" s="13">
        <v>20</v>
      </c>
      <c r="L652" s="2" t="s">
        <v>64</v>
      </c>
      <c r="M652" s="2" t="s">
        <v>2393</v>
      </c>
      <c r="N652" s="14">
        <v>43326</v>
      </c>
      <c r="O652" s="14">
        <v>43292</v>
      </c>
      <c r="P652" s="2" t="s">
        <v>2199</v>
      </c>
      <c r="Q652" s="2" t="s">
        <v>2234</v>
      </c>
      <c r="R652" s="2" t="s">
        <v>80</v>
      </c>
      <c r="S652" s="14">
        <v>43326</v>
      </c>
      <c r="T652" s="2" t="s">
        <v>6555</v>
      </c>
      <c r="U652" s="2" t="s">
        <v>2235</v>
      </c>
      <c r="V652" s="2" t="s">
        <v>2236</v>
      </c>
      <c r="W652" s="2" t="s">
        <v>70</v>
      </c>
      <c r="X652" s="13">
        <v>767</v>
      </c>
      <c r="Y652" s="2" t="s">
        <v>71</v>
      </c>
      <c r="Z652" s="2" t="s">
        <v>72</v>
      </c>
      <c r="AA652" s="13">
        <v>10000</v>
      </c>
      <c r="AB652" s="2" t="s">
        <v>107</v>
      </c>
      <c r="AC652" s="2" t="s">
        <v>6773</v>
      </c>
      <c r="AD652" s="27">
        <v>43180</v>
      </c>
      <c r="AL652" s="2" t="s">
        <v>5378</v>
      </c>
    </row>
    <row r="653" spans="1:38" x14ac:dyDescent="0.2">
      <c r="A653" s="2" t="s">
        <v>2219</v>
      </c>
      <c r="B653" s="2" t="s">
        <v>2240</v>
      </c>
      <c r="C653" s="2" t="s">
        <v>2241</v>
      </c>
      <c r="D653" s="2" t="s">
        <v>2242</v>
      </c>
      <c r="E653" s="13">
        <v>10100</v>
      </c>
      <c r="F653" s="13">
        <v>10100</v>
      </c>
      <c r="G653" s="14">
        <v>43291</v>
      </c>
      <c r="H653" s="15">
        <v>2.0833333333330002E-2</v>
      </c>
      <c r="I653" s="14">
        <v>43291</v>
      </c>
      <c r="J653" s="15">
        <v>0.56950231481480995</v>
      </c>
      <c r="K653" s="13">
        <v>20</v>
      </c>
      <c r="L653" s="2" t="s">
        <v>64</v>
      </c>
      <c r="M653" s="2" t="s">
        <v>2393</v>
      </c>
      <c r="N653" s="14">
        <v>43284</v>
      </c>
      <c r="O653" s="14">
        <v>43293</v>
      </c>
      <c r="P653" s="2" t="s">
        <v>2239</v>
      </c>
      <c r="Q653" s="2" t="s">
        <v>2243</v>
      </c>
      <c r="R653" s="2" t="s">
        <v>80</v>
      </c>
      <c r="S653" s="14">
        <v>43297</v>
      </c>
      <c r="T653" s="2" t="s">
        <v>6556</v>
      </c>
      <c r="U653" s="2" t="s">
        <v>2244</v>
      </c>
      <c r="V653" s="2" t="s">
        <v>81</v>
      </c>
      <c r="W653" s="2" t="s">
        <v>70</v>
      </c>
      <c r="X653" s="13">
        <v>767</v>
      </c>
      <c r="Y653" s="2" t="s">
        <v>71</v>
      </c>
      <c r="Z653" s="2" t="s">
        <v>72</v>
      </c>
      <c r="AA653" s="13">
        <v>10000</v>
      </c>
      <c r="AB653" s="2" t="s">
        <v>107</v>
      </c>
      <c r="AC653" s="2" t="s">
        <v>6773</v>
      </c>
      <c r="AD653" s="27">
        <v>43185</v>
      </c>
      <c r="AL653" s="2" t="s">
        <v>5379</v>
      </c>
    </row>
    <row r="654" spans="1:38" x14ac:dyDescent="0.2">
      <c r="A654" s="2" t="s">
        <v>2219</v>
      </c>
      <c r="B654" s="2" t="s">
        <v>2328</v>
      </c>
      <c r="C654" s="2" t="s">
        <v>1758</v>
      </c>
      <c r="D654" s="2" t="s">
        <v>1759</v>
      </c>
      <c r="E654" s="13">
        <v>10000</v>
      </c>
      <c r="F654" s="13">
        <v>10000</v>
      </c>
      <c r="G654" s="14">
        <v>43291</v>
      </c>
      <c r="H654" s="15">
        <v>0.64740740740740998</v>
      </c>
      <c r="I654" s="14">
        <v>43292</v>
      </c>
      <c r="J654" s="15">
        <v>0.19064814814815001</v>
      </c>
      <c r="K654" s="13">
        <v>20</v>
      </c>
      <c r="L654" s="2" t="s">
        <v>64</v>
      </c>
      <c r="M654" s="2" t="s">
        <v>2233</v>
      </c>
      <c r="N654" s="14">
        <v>43319</v>
      </c>
      <c r="O654" s="14">
        <v>43314</v>
      </c>
      <c r="P654" s="2" t="s">
        <v>2279</v>
      </c>
      <c r="Q654" s="2" t="s">
        <v>2329</v>
      </c>
      <c r="R654" s="2" t="s">
        <v>80</v>
      </c>
      <c r="S654" s="14">
        <v>43319</v>
      </c>
      <c r="T654" s="2" t="s">
        <v>6545</v>
      </c>
      <c r="U654" s="2" t="s">
        <v>1533</v>
      </c>
      <c r="V654" s="2" t="s">
        <v>1240</v>
      </c>
      <c r="W654" s="2" t="s">
        <v>70</v>
      </c>
      <c r="X654" s="13">
        <v>767</v>
      </c>
      <c r="Y654" s="2" t="s">
        <v>71</v>
      </c>
      <c r="Z654" s="2" t="s">
        <v>72</v>
      </c>
      <c r="AA654" s="13">
        <v>10000</v>
      </c>
      <c r="AB654" s="2" t="s">
        <v>73</v>
      </c>
      <c r="AC654" s="2" t="s">
        <v>6773</v>
      </c>
      <c r="AD654" s="27">
        <v>43178</v>
      </c>
      <c r="AL654" s="2" t="s">
        <v>7257</v>
      </c>
    </row>
    <row r="655" spans="1:38" x14ac:dyDescent="0.2">
      <c r="A655" s="2" t="s">
        <v>2219</v>
      </c>
      <c r="B655" s="2" t="s">
        <v>4538</v>
      </c>
      <c r="C655" s="2" t="s">
        <v>2321</v>
      </c>
      <c r="D655" s="2" t="s">
        <v>2322</v>
      </c>
      <c r="E655" s="13">
        <v>20248</v>
      </c>
      <c r="F655" s="13">
        <v>20248</v>
      </c>
      <c r="G655" s="14">
        <v>43292</v>
      </c>
      <c r="H655" s="15">
        <v>0.25314814814815001</v>
      </c>
      <c r="I655" s="14">
        <v>43293</v>
      </c>
      <c r="J655" s="15">
        <v>0.35310185185185</v>
      </c>
      <c r="K655" s="13">
        <v>0</v>
      </c>
      <c r="L655" s="2" t="s">
        <v>64</v>
      </c>
      <c r="M655" s="2" t="s">
        <v>4117</v>
      </c>
      <c r="N655" s="14">
        <v>43292</v>
      </c>
      <c r="O655" s="14">
        <v>43295</v>
      </c>
      <c r="P655" s="2" t="s">
        <v>2323</v>
      </c>
      <c r="Q655" s="2" t="s">
        <v>4539</v>
      </c>
      <c r="R655" s="2" t="s">
        <v>80</v>
      </c>
      <c r="S655" s="14">
        <v>43306</v>
      </c>
      <c r="T655" s="2" t="s">
        <v>6558</v>
      </c>
      <c r="U655" s="2" t="s">
        <v>1273</v>
      </c>
      <c r="V655" s="2" t="s">
        <v>2325</v>
      </c>
      <c r="W655" s="2" t="s">
        <v>70</v>
      </c>
      <c r="X655" s="13">
        <v>767</v>
      </c>
      <c r="Y655" s="2" t="s">
        <v>71</v>
      </c>
      <c r="Z655" s="2" t="s">
        <v>72</v>
      </c>
      <c r="AA655" s="13">
        <v>20000</v>
      </c>
      <c r="AB655" s="2" t="s">
        <v>73</v>
      </c>
      <c r="AC655" s="2" t="s">
        <v>6772</v>
      </c>
      <c r="AD655" s="27">
        <v>43284</v>
      </c>
      <c r="AI655" s="2" t="s">
        <v>6153</v>
      </c>
      <c r="AL655" s="2" t="s">
        <v>5380</v>
      </c>
    </row>
    <row r="656" spans="1:38" x14ac:dyDescent="0.2">
      <c r="A656" s="2" t="s">
        <v>2219</v>
      </c>
      <c r="B656" s="2" t="s">
        <v>2245</v>
      </c>
      <c r="C656" s="2" t="s">
        <v>2246</v>
      </c>
      <c r="D656" s="2" t="s">
        <v>2247</v>
      </c>
      <c r="E656" s="13">
        <v>20000</v>
      </c>
      <c r="F656" s="13">
        <v>20000</v>
      </c>
      <c r="G656" s="14">
        <v>43293</v>
      </c>
      <c r="H656" s="15">
        <v>0.37393518518518998</v>
      </c>
      <c r="I656" s="14">
        <v>43294</v>
      </c>
      <c r="J656" s="15">
        <v>0.46041666666667003</v>
      </c>
      <c r="K656" s="13">
        <v>20</v>
      </c>
      <c r="L656" s="2" t="s">
        <v>64</v>
      </c>
      <c r="M656" s="2" t="s">
        <v>2248</v>
      </c>
      <c r="N656" s="14">
        <v>43294</v>
      </c>
      <c r="O656" s="14">
        <v>43296</v>
      </c>
      <c r="P656" s="2" t="s">
        <v>91</v>
      </c>
      <c r="Q656" s="2" t="s">
        <v>2249</v>
      </c>
      <c r="R656" s="2" t="s">
        <v>80</v>
      </c>
      <c r="S656" s="14">
        <v>43294</v>
      </c>
      <c r="T656" s="2" t="s">
        <v>6557</v>
      </c>
      <c r="U656" s="2" t="s">
        <v>2250</v>
      </c>
      <c r="V656" s="2" t="s">
        <v>69</v>
      </c>
      <c r="W656" s="2" t="s">
        <v>70</v>
      </c>
      <c r="X656" s="13">
        <v>767</v>
      </c>
      <c r="Y656" s="2" t="s">
        <v>71</v>
      </c>
      <c r="Z656" s="2" t="s">
        <v>72</v>
      </c>
      <c r="AA656" s="13">
        <v>20000</v>
      </c>
      <c r="AB656" s="2" t="s">
        <v>73</v>
      </c>
      <c r="AC656" s="2" t="s">
        <v>6773</v>
      </c>
      <c r="AD656" s="27">
        <v>43252</v>
      </c>
      <c r="AL656" s="2" t="s">
        <v>7258</v>
      </c>
    </row>
    <row r="657" spans="1:38" x14ac:dyDescent="0.2">
      <c r="A657" s="2" t="s">
        <v>2219</v>
      </c>
      <c r="B657" s="2" t="s">
        <v>2268</v>
      </c>
      <c r="C657" s="2" t="s">
        <v>2246</v>
      </c>
      <c r="D657" s="2" t="s">
        <v>2247</v>
      </c>
      <c r="E657" s="13">
        <v>20000</v>
      </c>
      <c r="F657" s="13">
        <v>20000</v>
      </c>
      <c r="G657" s="14">
        <v>43294</v>
      </c>
      <c r="H657" s="15">
        <v>0.48125000000000001</v>
      </c>
      <c r="I657" s="14">
        <v>43295</v>
      </c>
      <c r="J657" s="15">
        <v>0.56773148148148</v>
      </c>
      <c r="K657" s="13">
        <v>20</v>
      </c>
      <c r="L657" s="2" t="s">
        <v>64</v>
      </c>
      <c r="M657" s="2" t="s">
        <v>2248</v>
      </c>
      <c r="N657" s="14">
        <v>43300</v>
      </c>
      <c r="O657" s="14">
        <v>43297</v>
      </c>
      <c r="P657" s="2" t="s">
        <v>91</v>
      </c>
      <c r="Q657" s="2" t="s">
        <v>2269</v>
      </c>
      <c r="R657" s="2" t="s">
        <v>80</v>
      </c>
      <c r="S657" s="14">
        <v>43300</v>
      </c>
      <c r="T657" s="2" t="s">
        <v>6559</v>
      </c>
      <c r="U657" s="2" t="s">
        <v>2250</v>
      </c>
      <c r="V657" s="2" t="s">
        <v>69</v>
      </c>
      <c r="W657" s="2" t="s">
        <v>70</v>
      </c>
      <c r="X657" s="13">
        <v>767</v>
      </c>
      <c r="Y657" s="2" t="s">
        <v>71</v>
      </c>
      <c r="Z657" s="2" t="s">
        <v>72</v>
      </c>
      <c r="AA657" s="13">
        <v>20000</v>
      </c>
      <c r="AB657" s="2" t="s">
        <v>73</v>
      </c>
      <c r="AC657" s="2" t="s">
        <v>6773</v>
      </c>
      <c r="AD657" s="27">
        <v>43254</v>
      </c>
      <c r="AL657" s="2" t="s">
        <v>5381</v>
      </c>
    </row>
    <row r="658" spans="1:38" x14ac:dyDescent="0.2">
      <c r="A658" s="2" t="s">
        <v>2219</v>
      </c>
      <c r="B658" s="2" t="s">
        <v>2255</v>
      </c>
      <c r="C658" s="2" t="s">
        <v>2252</v>
      </c>
      <c r="D658" s="2" t="s">
        <v>2253</v>
      </c>
      <c r="E658" s="13">
        <v>20000</v>
      </c>
      <c r="F658" s="13">
        <v>20000</v>
      </c>
      <c r="G658" s="14">
        <v>43295</v>
      </c>
      <c r="H658" s="15">
        <v>0.58856481481481004</v>
      </c>
      <c r="I658" s="14">
        <v>43296</v>
      </c>
      <c r="J658" s="15">
        <v>0.67504629629629997</v>
      </c>
      <c r="K658" s="13">
        <v>0</v>
      </c>
      <c r="L658" s="2" t="s">
        <v>64</v>
      </c>
      <c r="M658" s="2" t="s">
        <v>2248</v>
      </c>
      <c r="N658" s="14">
        <v>43297</v>
      </c>
      <c r="O658" s="14">
        <v>43298</v>
      </c>
      <c r="P658" s="2" t="s">
        <v>524</v>
      </c>
      <c r="Q658" s="2" t="s">
        <v>98</v>
      </c>
      <c r="R658" s="2" t="s">
        <v>131</v>
      </c>
      <c r="S658" s="14"/>
      <c r="U658" s="2" t="s">
        <v>1324</v>
      </c>
      <c r="V658" s="2" t="s">
        <v>2254</v>
      </c>
      <c r="W658" s="2" t="s">
        <v>70</v>
      </c>
      <c r="X658" s="13">
        <v>0</v>
      </c>
      <c r="Y658" s="2" t="s">
        <v>71</v>
      </c>
      <c r="Z658" s="2" t="s">
        <v>72</v>
      </c>
      <c r="AA658" s="13">
        <v>20000</v>
      </c>
      <c r="AB658" s="2" t="s">
        <v>95</v>
      </c>
      <c r="AC658" s="2" t="s">
        <v>6772</v>
      </c>
      <c r="AD658" s="27"/>
      <c r="AL658" s="2" t="s">
        <v>5382</v>
      </c>
    </row>
    <row r="659" spans="1:38" hidden="1" x14ac:dyDescent="0.2">
      <c r="A659" s="2" t="s">
        <v>2219</v>
      </c>
      <c r="B659" s="2" t="s">
        <v>2256</v>
      </c>
      <c r="C659" s="2" t="s">
        <v>2257</v>
      </c>
      <c r="D659" s="2" t="s">
        <v>2258</v>
      </c>
      <c r="E659" s="13">
        <v>10000</v>
      </c>
      <c r="F659" s="13">
        <v>10000</v>
      </c>
      <c r="G659" s="14">
        <v>43296</v>
      </c>
      <c r="H659" s="15">
        <v>0.69587962962963001</v>
      </c>
      <c r="I659" s="14">
        <v>43297</v>
      </c>
      <c r="J659" s="15">
        <v>0.23912037037037001</v>
      </c>
      <c r="K659" s="13">
        <v>0</v>
      </c>
      <c r="L659" s="2" t="s">
        <v>64</v>
      </c>
      <c r="M659" s="2" t="s">
        <v>2233</v>
      </c>
      <c r="N659" s="14">
        <v>43300</v>
      </c>
      <c r="O659" s="14">
        <v>43299</v>
      </c>
      <c r="P659" s="2" t="s">
        <v>91</v>
      </c>
      <c r="Q659" s="2" t="s">
        <v>2259</v>
      </c>
      <c r="R659" s="2" t="s">
        <v>80</v>
      </c>
      <c r="S659" s="14">
        <v>43297</v>
      </c>
      <c r="T659" s="2" t="s">
        <v>6560</v>
      </c>
      <c r="U659" s="2" t="s">
        <v>1467</v>
      </c>
      <c r="V659" s="2" t="s">
        <v>2260</v>
      </c>
      <c r="W659" s="2" t="s">
        <v>70</v>
      </c>
      <c r="X659" s="13">
        <v>767</v>
      </c>
      <c r="Y659" s="2" t="s">
        <v>71</v>
      </c>
      <c r="Z659" s="2" t="s">
        <v>72</v>
      </c>
      <c r="AA659" s="13">
        <v>10000</v>
      </c>
      <c r="AB659" s="2" t="s">
        <v>73</v>
      </c>
      <c r="AC659" s="2" t="s">
        <v>6773</v>
      </c>
      <c r="AD659" s="27">
        <v>43235</v>
      </c>
      <c r="AI659" s="2" t="s">
        <v>6153</v>
      </c>
      <c r="AL659" s="2" t="s">
        <v>5383</v>
      </c>
    </row>
    <row r="660" spans="1:38" hidden="1" x14ac:dyDescent="0.2">
      <c r="A660" s="2" t="s">
        <v>2219</v>
      </c>
      <c r="B660" s="2" t="s">
        <v>2270</v>
      </c>
      <c r="C660" s="2" t="s">
        <v>2271</v>
      </c>
      <c r="D660" s="2" t="s">
        <v>2272</v>
      </c>
      <c r="E660" s="13">
        <v>5000</v>
      </c>
      <c r="F660" s="13">
        <v>5000</v>
      </c>
      <c r="G660" s="14">
        <v>43297</v>
      </c>
      <c r="H660" s="15">
        <v>0.25995370370370002</v>
      </c>
      <c r="I660" s="14">
        <v>43297</v>
      </c>
      <c r="J660" s="15">
        <v>0.53157407407406998</v>
      </c>
      <c r="K660" s="13">
        <v>0</v>
      </c>
      <c r="L660" s="2" t="s">
        <v>64</v>
      </c>
      <c r="M660" s="2" t="s">
        <v>2262</v>
      </c>
      <c r="N660" s="14">
        <v>43300</v>
      </c>
      <c r="O660" s="14">
        <v>43299</v>
      </c>
      <c r="P660" s="2" t="s">
        <v>91</v>
      </c>
      <c r="Q660" s="2" t="s">
        <v>2273</v>
      </c>
      <c r="R660" s="2" t="s">
        <v>80</v>
      </c>
      <c r="S660" s="14">
        <v>43300</v>
      </c>
      <c r="T660" s="2" t="s">
        <v>6561</v>
      </c>
      <c r="U660" s="2" t="s">
        <v>1805</v>
      </c>
      <c r="V660" s="2" t="s">
        <v>2274</v>
      </c>
      <c r="W660" s="2" t="s">
        <v>70</v>
      </c>
      <c r="X660" s="13">
        <v>767</v>
      </c>
      <c r="Y660" s="2" t="s">
        <v>71</v>
      </c>
      <c r="Z660" s="2" t="s">
        <v>72</v>
      </c>
      <c r="AA660" s="13">
        <v>5000</v>
      </c>
      <c r="AB660" s="2" t="s">
        <v>73</v>
      </c>
      <c r="AC660" s="2" t="s">
        <v>6773</v>
      </c>
      <c r="AD660" s="27">
        <v>43227</v>
      </c>
      <c r="AI660" s="2" t="s">
        <v>6153</v>
      </c>
      <c r="AL660" s="2" t="s">
        <v>5384</v>
      </c>
    </row>
    <row r="661" spans="1:38" hidden="1" x14ac:dyDescent="0.2">
      <c r="A661" s="2" t="s">
        <v>2219</v>
      </c>
      <c r="B661" s="2" t="s">
        <v>2264</v>
      </c>
      <c r="C661" s="2" t="s">
        <v>2265</v>
      </c>
      <c r="D661" s="2" t="s">
        <v>2266</v>
      </c>
      <c r="E661" s="13">
        <v>10000</v>
      </c>
      <c r="F661" s="13">
        <v>10000</v>
      </c>
      <c r="G661" s="14">
        <v>43297</v>
      </c>
      <c r="H661" s="15">
        <v>0.55240740740741001</v>
      </c>
      <c r="I661" s="14">
        <v>43298</v>
      </c>
      <c r="J661" s="15">
        <v>9.5648148148149995E-2</v>
      </c>
      <c r="K661" s="13">
        <v>0</v>
      </c>
      <c r="L661" s="2" t="s">
        <v>64</v>
      </c>
      <c r="M661" s="2" t="s">
        <v>2233</v>
      </c>
      <c r="N661" s="14">
        <v>43301</v>
      </c>
      <c r="O661" s="14">
        <v>43300</v>
      </c>
      <c r="P661" s="2" t="s">
        <v>1239</v>
      </c>
      <c r="Q661" s="2" t="s">
        <v>2267</v>
      </c>
      <c r="R661" s="2" t="s">
        <v>80</v>
      </c>
      <c r="S661" s="14">
        <v>43299</v>
      </c>
      <c r="T661" s="2" t="s">
        <v>6562</v>
      </c>
      <c r="U661" s="2" t="s">
        <v>2228</v>
      </c>
      <c r="V661" s="2" t="s">
        <v>1240</v>
      </c>
      <c r="W661" s="2" t="s">
        <v>70</v>
      </c>
      <c r="X661" s="13">
        <v>767</v>
      </c>
      <c r="Y661" s="2" t="s">
        <v>71</v>
      </c>
      <c r="Z661" s="2" t="s">
        <v>72</v>
      </c>
      <c r="AA661" s="13">
        <v>10000</v>
      </c>
      <c r="AB661" s="2" t="s">
        <v>73</v>
      </c>
      <c r="AC661" s="2" t="s">
        <v>6773</v>
      </c>
      <c r="AD661" s="27">
        <v>43273</v>
      </c>
      <c r="AL661" s="2" t="s">
        <v>5385</v>
      </c>
    </row>
    <row r="662" spans="1:38" hidden="1" x14ac:dyDescent="0.2">
      <c r="A662" s="2" t="s">
        <v>2219</v>
      </c>
      <c r="B662" s="2" t="s">
        <v>2275</v>
      </c>
      <c r="C662" s="2" t="s">
        <v>2276</v>
      </c>
      <c r="D662" s="2" t="s">
        <v>2277</v>
      </c>
      <c r="E662" s="13">
        <v>15000</v>
      </c>
      <c r="F662" s="13">
        <v>15000</v>
      </c>
      <c r="G662" s="14">
        <v>43298</v>
      </c>
      <c r="H662" s="15">
        <v>0.11648148148148001</v>
      </c>
      <c r="I662" s="14">
        <v>43298</v>
      </c>
      <c r="J662" s="15">
        <v>0.93134259259259</v>
      </c>
      <c r="K662" s="13">
        <v>0</v>
      </c>
      <c r="L662" s="2" t="s">
        <v>64</v>
      </c>
      <c r="M662" s="2" t="s">
        <v>2278</v>
      </c>
      <c r="N662" s="14">
        <v>43305</v>
      </c>
      <c r="O662" s="14">
        <v>43300</v>
      </c>
      <c r="P662" s="2" t="s">
        <v>2279</v>
      </c>
      <c r="Q662" s="2" t="s">
        <v>2280</v>
      </c>
      <c r="R662" s="2" t="s">
        <v>80</v>
      </c>
      <c r="S662" s="14">
        <v>43305</v>
      </c>
      <c r="T662" s="2" t="s">
        <v>6563</v>
      </c>
      <c r="U662" s="2" t="s">
        <v>2281</v>
      </c>
      <c r="V662" s="2" t="s">
        <v>1240</v>
      </c>
      <c r="W662" s="2" t="s">
        <v>70</v>
      </c>
      <c r="X662" s="13">
        <v>767</v>
      </c>
      <c r="Y662" s="2" t="s">
        <v>71</v>
      </c>
      <c r="Z662" s="2" t="s">
        <v>72</v>
      </c>
      <c r="AA662" s="13">
        <v>15000</v>
      </c>
      <c r="AB662" s="2" t="s">
        <v>73</v>
      </c>
      <c r="AC662" s="2" t="s">
        <v>6773</v>
      </c>
      <c r="AD662" s="27">
        <v>43264</v>
      </c>
      <c r="AL662" s="2" t="s">
        <v>5386</v>
      </c>
    </row>
    <row r="663" spans="1:38" hidden="1" x14ac:dyDescent="0.2">
      <c r="A663" s="2" t="s">
        <v>2219</v>
      </c>
      <c r="B663" s="2" t="s">
        <v>2346</v>
      </c>
      <c r="C663" s="2" t="s">
        <v>2276</v>
      </c>
      <c r="D663" s="2" t="s">
        <v>2277</v>
      </c>
      <c r="E663" s="13">
        <v>12120</v>
      </c>
      <c r="F663" s="13">
        <v>12120</v>
      </c>
      <c r="G663" s="14">
        <v>43298</v>
      </c>
      <c r="H663" s="15">
        <v>0.95217592592593003</v>
      </c>
      <c r="I663" s="14">
        <v>43299</v>
      </c>
      <c r="J663" s="15">
        <v>0.61059027777777997</v>
      </c>
      <c r="K663" s="13">
        <v>20</v>
      </c>
      <c r="L663" s="2" t="s">
        <v>64</v>
      </c>
      <c r="M663" s="2" t="s">
        <v>2347</v>
      </c>
      <c r="N663" s="14">
        <v>43306</v>
      </c>
      <c r="O663" s="14">
        <v>43301</v>
      </c>
      <c r="P663" s="2" t="s">
        <v>2279</v>
      </c>
      <c r="Q663" s="2" t="s">
        <v>2348</v>
      </c>
      <c r="R663" s="2" t="s">
        <v>80</v>
      </c>
      <c r="S663" s="14">
        <v>43306</v>
      </c>
      <c r="T663" s="2" t="s">
        <v>6564</v>
      </c>
      <c r="U663" s="2" t="s">
        <v>2281</v>
      </c>
      <c r="V663" s="2" t="s">
        <v>1240</v>
      </c>
      <c r="W663" s="2" t="s">
        <v>70</v>
      </c>
      <c r="X663" s="13">
        <v>767</v>
      </c>
      <c r="Y663" s="2" t="s">
        <v>71</v>
      </c>
      <c r="Z663" s="2" t="s">
        <v>72</v>
      </c>
      <c r="AA663" s="13">
        <v>12000</v>
      </c>
      <c r="AB663" s="2" t="s">
        <v>73</v>
      </c>
      <c r="AC663" s="2" t="s">
        <v>6773</v>
      </c>
      <c r="AD663" s="27">
        <v>43278</v>
      </c>
      <c r="AL663" s="2" t="s">
        <v>5387</v>
      </c>
    </row>
    <row r="664" spans="1:38" hidden="1" x14ac:dyDescent="0.2">
      <c r="A664" s="2" t="s">
        <v>2219</v>
      </c>
      <c r="B664" s="2" t="s">
        <v>2282</v>
      </c>
      <c r="C664" s="2" t="s">
        <v>2241</v>
      </c>
      <c r="D664" s="2" t="s">
        <v>2242</v>
      </c>
      <c r="E664" s="13">
        <v>20000</v>
      </c>
      <c r="F664" s="13">
        <v>20000</v>
      </c>
      <c r="G664" s="14">
        <v>43299</v>
      </c>
      <c r="H664" s="15">
        <v>0.63142361111111001</v>
      </c>
      <c r="I664" s="14">
        <v>43300</v>
      </c>
      <c r="J664" s="15">
        <v>0.71790509259259006</v>
      </c>
      <c r="K664" s="13">
        <v>20</v>
      </c>
      <c r="L664" s="2" t="s">
        <v>64</v>
      </c>
      <c r="M664" s="2" t="s">
        <v>2248</v>
      </c>
      <c r="N664" s="14">
        <v>43304</v>
      </c>
      <c r="O664" s="14">
        <v>43302</v>
      </c>
      <c r="P664" s="2" t="s">
        <v>2239</v>
      </c>
      <c r="Q664" s="2" t="s">
        <v>2283</v>
      </c>
      <c r="R664" s="2" t="s">
        <v>80</v>
      </c>
      <c r="S664" s="14">
        <v>43304</v>
      </c>
      <c r="T664" s="2" t="s">
        <v>6565</v>
      </c>
      <c r="U664" s="2" t="s">
        <v>2244</v>
      </c>
      <c r="V664" s="2" t="s">
        <v>81</v>
      </c>
      <c r="W664" s="2" t="s">
        <v>70</v>
      </c>
      <c r="X664" s="13">
        <v>767</v>
      </c>
      <c r="Y664" s="2" t="s">
        <v>71</v>
      </c>
      <c r="Z664" s="2" t="s">
        <v>72</v>
      </c>
      <c r="AA664" s="13">
        <v>20000</v>
      </c>
      <c r="AB664" s="2" t="s">
        <v>73</v>
      </c>
      <c r="AC664" s="2" t="s">
        <v>6773</v>
      </c>
      <c r="AD664" s="27">
        <v>43175</v>
      </c>
      <c r="AL664" s="2" t="s">
        <v>5388</v>
      </c>
    </row>
    <row r="665" spans="1:38" hidden="1" x14ac:dyDescent="0.2">
      <c r="A665" s="2" t="s">
        <v>2219</v>
      </c>
      <c r="B665" s="2" t="s">
        <v>2284</v>
      </c>
      <c r="C665" s="2" t="s">
        <v>2252</v>
      </c>
      <c r="D665" s="2" t="s">
        <v>2253</v>
      </c>
      <c r="E665" s="13">
        <v>20000</v>
      </c>
      <c r="F665" s="13">
        <v>20000</v>
      </c>
      <c r="G665" s="14">
        <v>43300</v>
      </c>
      <c r="H665" s="15">
        <v>0.83333333333333004</v>
      </c>
      <c r="I665" s="14">
        <v>43301</v>
      </c>
      <c r="J665" s="15">
        <v>0.91981481481480998</v>
      </c>
      <c r="K665" s="13">
        <v>0</v>
      </c>
      <c r="L665" s="2" t="s">
        <v>64</v>
      </c>
      <c r="M665" s="2" t="s">
        <v>2248</v>
      </c>
      <c r="N665" s="14">
        <v>43305</v>
      </c>
      <c r="O665" s="14">
        <v>43303</v>
      </c>
      <c r="P665" s="2" t="s">
        <v>524</v>
      </c>
      <c r="Q665" s="2" t="s">
        <v>2545</v>
      </c>
      <c r="R665" s="2" t="s">
        <v>80</v>
      </c>
      <c r="S665" s="14">
        <v>43305</v>
      </c>
      <c r="U665" s="2" t="s">
        <v>1324</v>
      </c>
      <c r="V665" s="2" t="s">
        <v>2254</v>
      </c>
      <c r="W665" s="2" t="s">
        <v>70</v>
      </c>
      <c r="X665" s="13">
        <v>0</v>
      </c>
      <c r="Y665" s="2" t="s">
        <v>71</v>
      </c>
      <c r="Z665" s="2" t="s">
        <v>72</v>
      </c>
      <c r="AA665" s="13">
        <v>20000</v>
      </c>
      <c r="AB665" s="2" t="s">
        <v>95</v>
      </c>
      <c r="AC665" s="2" t="s">
        <v>6772</v>
      </c>
      <c r="AD665" s="27"/>
      <c r="AL665" s="2" t="s">
        <v>5389</v>
      </c>
    </row>
    <row r="666" spans="1:38" hidden="1" x14ac:dyDescent="0.2">
      <c r="A666" s="2" t="s">
        <v>2219</v>
      </c>
      <c r="B666" s="2" t="s">
        <v>2598</v>
      </c>
      <c r="C666" s="2" t="s">
        <v>2599</v>
      </c>
      <c r="D666" s="2" t="s">
        <v>2600</v>
      </c>
      <c r="E666" s="16">
        <v>20399.999</v>
      </c>
      <c r="F666" s="16">
        <v>20399.999</v>
      </c>
      <c r="G666" s="14">
        <v>43302</v>
      </c>
      <c r="H666" s="15">
        <v>0</v>
      </c>
      <c r="I666" s="14">
        <v>43303</v>
      </c>
      <c r="J666" s="15">
        <v>0.10821759259259001</v>
      </c>
      <c r="K666" s="13">
        <v>20</v>
      </c>
      <c r="L666" s="2" t="s">
        <v>64</v>
      </c>
      <c r="M666" s="2" t="s">
        <v>4540</v>
      </c>
      <c r="N666" s="14">
        <v>43321</v>
      </c>
      <c r="O666" s="14">
        <v>43305</v>
      </c>
      <c r="P666" s="2" t="s">
        <v>91</v>
      </c>
      <c r="Q666" s="2" t="s">
        <v>2601</v>
      </c>
      <c r="R666" s="2" t="s">
        <v>93</v>
      </c>
      <c r="S666" s="14">
        <v>43321</v>
      </c>
      <c r="T666" s="2" t="s">
        <v>6566</v>
      </c>
      <c r="U666" s="2" t="s">
        <v>1345</v>
      </c>
      <c r="V666" s="2" t="s">
        <v>2602</v>
      </c>
      <c r="W666" s="2" t="s">
        <v>70</v>
      </c>
      <c r="X666" s="13">
        <v>0</v>
      </c>
      <c r="Y666" s="2" t="s">
        <v>71</v>
      </c>
      <c r="Z666" s="2" t="s">
        <v>72</v>
      </c>
      <c r="AA666" s="13">
        <v>20000</v>
      </c>
      <c r="AB666" s="2" t="s">
        <v>73</v>
      </c>
      <c r="AC666" s="2" t="s">
        <v>6773</v>
      </c>
      <c r="AD666" s="27">
        <v>43223</v>
      </c>
      <c r="AL666" s="2" t="s">
        <v>5390</v>
      </c>
    </row>
    <row r="667" spans="1:38" hidden="1" x14ac:dyDescent="0.2">
      <c r="A667" s="2" t="s">
        <v>2219</v>
      </c>
      <c r="B667" s="2" t="s">
        <v>2287</v>
      </c>
      <c r="C667" s="2" t="s">
        <v>2276</v>
      </c>
      <c r="D667" s="2" t="s">
        <v>2277</v>
      </c>
      <c r="E667" s="13">
        <v>5000</v>
      </c>
      <c r="F667" s="13">
        <v>5000</v>
      </c>
      <c r="G667" s="14">
        <v>43304</v>
      </c>
      <c r="H667" s="15">
        <v>0.72837962962962999</v>
      </c>
      <c r="I667" s="14">
        <v>43305</v>
      </c>
      <c r="J667" s="15">
        <v>0</v>
      </c>
      <c r="K667" s="13">
        <v>20</v>
      </c>
      <c r="L667" s="2" t="s">
        <v>64</v>
      </c>
      <c r="M667" s="2" t="s">
        <v>2262</v>
      </c>
      <c r="N667" s="14">
        <v>43308</v>
      </c>
      <c r="O667" s="14">
        <v>43306</v>
      </c>
      <c r="P667" s="2" t="s">
        <v>2279</v>
      </c>
      <c r="Q667" s="2" t="s">
        <v>2288</v>
      </c>
      <c r="R667" s="2" t="s">
        <v>80</v>
      </c>
      <c r="S667" s="14">
        <v>43308</v>
      </c>
      <c r="T667" s="2" t="s">
        <v>6567</v>
      </c>
      <c r="U667" s="2" t="s">
        <v>2281</v>
      </c>
      <c r="V667" s="2" t="s">
        <v>1240</v>
      </c>
      <c r="W667" s="2" t="s">
        <v>70</v>
      </c>
      <c r="X667" s="13">
        <v>767</v>
      </c>
      <c r="Y667" s="2" t="s">
        <v>71</v>
      </c>
      <c r="Z667" s="2" t="s">
        <v>72</v>
      </c>
      <c r="AA667" s="13">
        <v>5000</v>
      </c>
      <c r="AB667" s="2" t="s">
        <v>73</v>
      </c>
      <c r="AC667" s="2" t="s">
        <v>6773</v>
      </c>
      <c r="AD667" s="27">
        <v>43230</v>
      </c>
      <c r="AL667" s="2" t="s">
        <v>5391</v>
      </c>
    </row>
    <row r="668" spans="1:38" hidden="1" x14ac:dyDescent="0.2">
      <c r="A668" s="2" t="s">
        <v>2219</v>
      </c>
      <c r="B668" s="2" t="s">
        <v>2289</v>
      </c>
      <c r="C668" s="2" t="s">
        <v>2224</v>
      </c>
      <c r="D668" s="2" t="s">
        <v>2225</v>
      </c>
      <c r="E668" s="13">
        <v>20000</v>
      </c>
      <c r="F668" s="13">
        <v>20000</v>
      </c>
      <c r="G668" s="14">
        <v>43304</v>
      </c>
      <c r="H668" s="15">
        <v>0.91350694444444003</v>
      </c>
      <c r="I668" s="14">
        <v>43305</v>
      </c>
      <c r="J668" s="15">
        <v>0.99998842592592996</v>
      </c>
      <c r="K668" s="13">
        <v>0</v>
      </c>
      <c r="L668" s="2" t="s">
        <v>64</v>
      </c>
      <c r="M668" s="2" t="s">
        <v>2248</v>
      </c>
      <c r="N668" s="14">
        <v>43307</v>
      </c>
      <c r="O668" s="14">
        <v>43307</v>
      </c>
      <c r="P668" s="2" t="s">
        <v>2227</v>
      </c>
      <c r="Q668" s="2" t="s">
        <v>6973</v>
      </c>
      <c r="R668" s="2" t="s">
        <v>80</v>
      </c>
      <c r="S668" s="14">
        <v>43311</v>
      </c>
      <c r="U668" s="2" t="s">
        <v>2228</v>
      </c>
      <c r="V668" s="2" t="s">
        <v>2229</v>
      </c>
      <c r="W668" s="2" t="s">
        <v>70</v>
      </c>
      <c r="X668" s="13">
        <v>0</v>
      </c>
      <c r="Y668" s="2" t="s">
        <v>71</v>
      </c>
      <c r="Z668" s="2" t="s">
        <v>72</v>
      </c>
      <c r="AA668" s="13">
        <v>20000</v>
      </c>
      <c r="AB668" s="2" t="s">
        <v>95</v>
      </c>
      <c r="AC668" s="2" t="s">
        <v>6772</v>
      </c>
      <c r="AD668" s="27"/>
      <c r="AI668" s="2" t="s">
        <v>6153</v>
      </c>
      <c r="AL668" s="2" t="s">
        <v>5392</v>
      </c>
    </row>
    <row r="669" spans="1:38" hidden="1" x14ac:dyDescent="0.2">
      <c r="A669" s="2" t="s">
        <v>2219</v>
      </c>
      <c r="B669" s="2" t="s">
        <v>2290</v>
      </c>
      <c r="C669" s="2" t="s">
        <v>2265</v>
      </c>
      <c r="D669" s="2" t="s">
        <v>2266</v>
      </c>
      <c r="E669" s="13">
        <v>5000</v>
      </c>
      <c r="F669" s="13">
        <v>5000</v>
      </c>
      <c r="G669" s="14">
        <v>43305</v>
      </c>
      <c r="H669" s="15">
        <v>0.72837962962962999</v>
      </c>
      <c r="I669" s="14">
        <v>43306</v>
      </c>
      <c r="J669" s="15">
        <v>0</v>
      </c>
      <c r="K669" s="13">
        <v>0</v>
      </c>
      <c r="L669" s="2" t="s">
        <v>64</v>
      </c>
      <c r="M669" s="2" t="s">
        <v>2262</v>
      </c>
      <c r="N669" s="14">
        <v>43311</v>
      </c>
      <c r="O669" s="14">
        <v>43307</v>
      </c>
      <c r="P669" s="2" t="s">
        <v>1239</v>
      </c>
      <c r="Q669" s="2" t="s">
        <v>2291</v>
      </c>
      <c r="R669" s="2" t="s">
        <v>80</v>
      </c>
      <c r="S669" s="14">
        <v>43311</v>
      </c>
      <c r="T669" s="2" t="s">
        <v>6568</v>
      </c>
      <c r="U669" s="2" t="s">
        <v>2228</v>
      </c>
      <c r="V669" s="2" t="s">
        <v>1240</v>
      </c>
      <c r="W669" s="2" t="s">
        <v>70</v>
      </c>
      <c r="X669" s="13">
        <v>767</v>
      </c>
      <c r="Y669" s="2" t="s">
        <v>71</v>
      </c>
      <c r="Z669" s="2" t="s">
        <v>72</v>
      </c>
      <c r="AA669" s="13">
        <v>5000</v>
      </c>
      <c r="AB669" s="2" t="s">
        <v>73</v>
      </c>
      <c r="AC669" s="2" t="s">
        <v>6773</v>
      </c>
      <c r="AD669" s="27">
        <v>43262</v>
      </c>
      <c r="AL669" s="2" t="s">
        <v>5393</v>
      </c>
    </row>
    <row r="670" spans="1:38" hidden="1" x14ac:dyDescent="0.2">
      <c r="A670" s="2" t="s">
        <v>2219</v>
      </c>
      <c r="B670" s="2" t="s">
        <v>2292</v>
      </c>
      <c r="C670" s="2" t="s">
        <v>1758</v>
      </c>
      <c r="D670" s="2" t="s">
        <v>1759</v>
      </c>
      <c r="E670" s="13">
        <v>3000</v>
      </c>
      <c r="F670" s="13">
        <v>3000</v>
      </c>
      <c r="G670" s="14">
        <v>43305</v>
      </c>
      <c r="H670" s="15">
        <v>0.83702546296295999</v>
      </c>
      <c r="I670" s="14">
        <v>43306</v>
      </c>
      <c r="J670" s="15">
        <v>0</v>
      </c>
      <c r="K670" s="13">
        <v>20</v>
      </c>
      <c r="L670" s="2" t="s">
        <v>64</v>
      </c>
      <c r="M670" s="2" t="s">
        <v>2293</v>
      </c>
      <c r="N670" s="14">
        <v>43308</v>
      </c>
      <c r="O670" s="14">
        <v>43307</v>
      </c>
      <c r="P670" s="2" t="s">
        <v>2279</v>
      </c>
      <c r="Q670" s="2" t="s">
        <v>2294</v>
      </c>
      <c r="R670" s="2" t="s">
        <v>80</v>
      </c>
      <c r="S670" s="14">
        <v>43308</v>
      </c>
      <c r="T670" s="2" t="s">
        <v>6569</v>
      </c>
      <c r="U670" s="2" t="s">
        <v>1533</v>
      </c>
      <c r="V670" s="2" t="s">
        <v>1240</v>
      </c>
      <c r="W670" s="2" t="s">
        <v>70</v>
      </c>
      <c r="X670" s="13">
        <v>767</v>
      </c>
      <c r="Y670" s="2" t="s">
        <v>71</v>
      </c>
      <c r="Z670" s="2" t="s">
        <v>72</v>
      </c>
      <c r="AA670" s="13">
        <v>3000</v>
      </c>
      <c r="AB670" s="2" t="s">
        <v>73</v>
      </c>
      <c r="AC670" s="2" t="s">
        <v>6773</v>
      </c>
      <c r="AD670" s="27">
        <v>43218</v>
      </c>
      <c r="AL670" s="2" t="s">
        <v>5394</v>
      </c>
    </row>
    <row r="671" spans="1:38" hidden="1" x14ac:dyDescent="0.2">
      <c r="A671" s="2" t="s">
        <v>2219</v>
      </c>
      <c r="B671" s="2" t="s">
        <v>2295</v>
      </c>
      <c r="C671" s="2" t="s">
        <v>2271</v>
      </c>
      <c r="D671" s="2" t="s">
        <v>2272</v>
      </c>
      <c r="E671" s="13">
        <v>6000</v>
      </c>
      <c r="F671" s="13">
        <v>6000</v>
      </c>
      <c r="G671" s="14">
        <v>43306</v>
      </c>
      <c r="H671" s="15">
        <v>5.1331018518519997E-2</v>
      </c>
      <c r="I671" s="14">
        <v>43306</v>
      </c>
      <c r="J671" s="15">
        <v>0.37728009259258999</v>
      </c>
      <c r="K671" s="13">
        <v>20</v>
      </c>
      <c r="L671" s="2" t="s">
        <v>64</v>
      </c>
      <c r="M671" s="2" t="s">
        <v>2296</v>
      </c>
      <c r="N671" s="14">
        <v>43312</v>
      </c>
      <c r="O671" s="14">
        <v>43308</v>
      </c>
      <c r="P671" s="2" t="s">
        <v>91</v>
      </c>
      <c r="Q671" s="2" t="s">
        <v>2297</v>
      </c>
      <c r="R671" s="2" t="s">
        <v>80</v>
      </c>
      <c r="S671" s="14">
        <v>43312</v>
      </c>
      <c r="T671" s="2" t="s">
        <v>6570</v>
      </c>
      <c r="U671" s="2" t="s">
        <v>1805</v>
      </c>
      <c r="V671" s="2" t="s">
        <v>2274</v>
      </c>
      <c r="W671" s="2" t="s">
        <v>70</v>
      </c>
      <c r="X671" s="13">
        <v>767</v>
      </c>
      <c r="Y671" s="2" t="s">
        <v>71</v>
      </c>
      <c r="Z671" s="2" t="s">
        <v>72</v>
      </c>
      <c r="AA671" s="13">
        <v>6000</v>
      </c>
      <c r="AB671" s="2" t="s">
        <v>73</v>
      </c>
      <c r="AC671" s="2" t="s">
        <v>6773</v>
      </c>
      <c r="AD671" s="27">
        <v>43280</v>
      </c>
      <c r="AI671" s="2" t="s">
        <v>6153</v>
      </c>
      <c r="AL671" s="2" t="s">
        <v>5395</v>
      </c>
    </row>
    <row r="672" spans="1:38" hidden="1" x14ac:dyDescent="0.2">
      <c r="A672" s="2" t="s">
        <v>2219</v>
      </c>
      <c r="B672" s="2" t="s">
        <v>2298</v>
      </c>
      <c r="C672" s="2" t="s">
        <v>2265</v>
      </c>
      <c r="D672" s="2" t="s">
        <v>2266</v>
      </c>
      <c r="E672" s="13">
        <v>10000</v>
      </c>
      <c r="F672" s="13">
        <v>10000</v>
      </c>
      <c r="G672" s="14">
        <v>43306</v>
      </c>
      <c r="H672" s="15">
        <v>0.39811342592593002</v>
      </c>
      <c r="I672" s="14">
        <v>43306</v>
      </c>
      <c r="J672" s="15">
        <v>0.94135416666667004</v>
      </c>
      <c r="K672" s="13">
        <v>0</v>
      </c>
      <c r="L672" s="2" t="s">
        <v>64</v>
      </c>
      <c r="M672" s="2" t="s">
        <v>2233</v>
      </c>
      <c r="N672" s="14">
        <v>43301</v>
      </c>
      <c r="O672" s="14">
        <v>43308</v>
      </c>
      <c r="P672" s="2" t="s">
        <v>1239</v>
      </c>
      <c r="Q672" s="2" t="s">
        <v>2299</v>
      </c>
      <c r="R672" s="2" t="s">
        <v>80</v>
      </c>
      <c r="S672" s="14">
        <v>43301</v>
      </c>
      <c r="T672" s="2" t="s">
        <v>6571</v>
      </c>
      <c r="U672" s="2" t="s">
        <v>2228</v>
      </c>
      <c r="V672" s="2" t="s">
        <v>1240</v>
      </c>
      <c r="W672" s="2" t="s">
        <v>70</v>
      </c>
      <c r="X672" s="13">
        <v>767</v>
      </c>
      <c r="Y672" s="2" t="s">
        <v>71</v>
      </c>
      <c r="Z672" s="2" t="s">
        <v>72</v>
      </c>
      <c r="AA672" s="13">
        <v>10000</v>
      </c>
      <c r="AB672" s="2" t="s">
        <v>73</v>
      </c>
      <c r="AC672" s="2" t="s">
        <v>6773</v>
      </c>
      <c r="AD672" s="27">
        <v>43265</v>
      </c>
      <c r="AL672" s="2" t="s">
        <v>5396</v>
      </c>
    </row>
    <row r="673" spans="1:38" hidden="1" x14ac:dyDescent="0.2">
      <c r="A673" s="2" t="s">
        <v>2219</v>
      </c>
      <c r="B673" s="2" t="s">
        <v>2300</v>
      </c>
      <c r="C673" s="2" t="s">
        <v>2237</v>
      </c>
      <c r="D673" s="2" t="s">
        <v>2238</v>
      </c>
      <c r="E673" s="13">
        <v>10000</v>
      </c>
      <c r="F673" s="13">
        <v>10000</v>
      </c>
      <c r="G673" s="14">
        <v>43306</v>
      </c>
      <c r="H673" s="15">
        <v>0.45675925925925998</v>
      </c>
      <c r="I673" s="14">
        <v>43307</v>
      </c>
      <c r="J673" s="15">
        <v>0</v>
      </c>
      <c r="K673" s="13">
        <v>20</v>
      </c>
      <c r="L673" s="2" t="s">
        <v>64</v>
      </c>
      <c r="M673" s="2" t="s">
        <v>2233</v>
      </c>
      <c r="N673" s="14">
        <v>43313</v>
      </c>
      <c r="O673" s="14">
        <v>43308</v>
      </c>
      <c r="P673" s="2" t="s">
        <v>2239</v>
      </c>
      <c r="Q673" s="2" t="s">
        <v>2301</v>
      </c>
      <c r="R673" s="2" t="s">
        <v>80</v>
      </c>
      <c r="S673" s="14">
        <v>43312</v>
      </c>
      <c r="T673" s="2" t="s">
        <v>6572</v>
      </c>
      <c r="U673" s="2" t="s">
        <v>1533</v>
      </c>
      <c r="V673" s="2" t="s">
        <v>81</v>
      </c>
      <c r="W673" s="2" t="s">
        <v>70</v>
      </c>
      <c r="X673" s="13">
        <v>767</v>
      </c>
      <c r="Y673" s="2" t="s">
        <v>71</v>
      </c>
      <c r="Z673" s="2" t="s">
        <v>72</v>
      </c>
      <c r="AA673" s="13">
        <v>10000</v>
      </c>
      <c r="AB673" s="2" t="s">
        <v>73</v>
      </c>
      <c r="AC673" s="2" t="s">
        <v>6773</v>
      </c>
      <c r="AD673" s="27">
        <v>43178</v>
      </c>
      <c r="AL673" s="2" t="s">
        <v>5397</v>
      </c>
    </row>
    <row r="674" spans="1:38" hidden="1" x14ac:dyDescent="0.2">
      <c r="A674" s="2" t="s">
        <v>2219</v>
      </c>
      <c r="B674" s="2" t="s">
        <v>2302</v>
      </c>
      <c r="C674" s="2" t="s">
        <v>2252</v>
      </c>
      <c r="D674" s="2" t="s">
        <v>2253</v>
      </c>
      <c r="E674" s="13">
        <v>20000</v>
      </c>
      <c r="F674" s="13">
        <v>20000</v>
      </c>
      <c r="G674" s="14">
        <v>43306</v>
      </c>
      <c r="H674" s="15">
        <v>0.91351851851851995</v>
      </c>
      <c r="I674" s="14">
        <v>43308</v>
      </c>
      <c r="J674" s="15">
        <v>0</v>
      </c>
      <c r="K674" s="13">
        <v>0</v>
      </c>
      <c r="L674" s="2" t="s">
        <v>64</v>
      </c>
      <c r="M674" s="2" t="s">
        <v>2248</v>
      </c>
      <c r="N674" s="14">
        <v>43310</v>
      </c>
      <c r="O674" s="14">
        <v>43309</v>
      </c>
      <c r="P674" s="2" t="s">
        <v>524</v>
      </c>
      <c r="Q674" s="2" t="s">
        <v>6974</v>
      </c>
      <c r="R674" s="2" t="s">
        <v>80</v>
      </c>
      <c r="S674" s="14">
        <v>43314</v>
      </c>
      <c r="U674" s="2" t="s">
        <v>1324</v>
      </c>
      <c r="V674" s="2" t="s">
        <v>2254</v>
      </c>
      <c r="W674" s="2" t="s">
        <v>70</v>
      </c>
      <c r="X674" s="13">
        <v>0</v>
      </c>
      <c r="Y674" s="2" t="s">
        <v>71</v>
      </c>
      <c r="Z674" s="2" t="s">
        <v>72</v>
      </c>
      <c r="AA674" s="13">
        <v>20000</v>
      </c>
      <c r="AB674" s="2" t="s">
        <v>95</v>
      </c>
      <c r="AC674" s="2" t="s">
        <v>6772</v>
      </c>
      <c r="AD674" s="27"/>
      <c r="AL674" s="2" t="s">
        <v>5398</v>
      </c>
    </row>
    <row r="675" spans="1:38" hidden="1" x14ac:dyDescent="0.2">
      <c r="A675" s="2" t="s">
        <v>2219</v>
      </c>
      <c r="B675" s="2" t="s">
        <v>2303</v>
      </c>
      <c r="C675" s="2" t="s">
        <v>2304</v>
      </c>
      <c r="D675" s="2" t="s">
        <v>2305</v>
      </c>
      <c r="E675" s="13">
        <v>20000</v>
      </c>
      <c r="F675" s="13">
        <v>20000</v>
      </c>
      <c r="G675" s="14">
        <v>43307</v>
      </c>
      <c r="H675" s="15">
        <v>0.91351851851851995</v>
      </c>
      <c r="I675" s="14">
        <v>43309</v>
      </c>
      <c r="J675" s="15">
        <v>0</v>
      </c>
      <c r="K675" s="13">
        <v>20</v>
      </c>
      <c r="L675" s="2" t="s">
        <v>64</v>
      </c>
      <c r="M675" s="2" t="s">
        <v>2248</v>
      </c>
      <c r="N675" s="14">
        <v>43312</v>
      </c>
      <c r="O675" s="14">
        <v>43310</v>
      </c>
      <c r="P675" s="2" t="s">
        <v>2306</v>
      </c>
      <c r="Q675" s="2" t="s">
        <v>2307</v>
      </c>
      <c r="R675" s="2" t="s">
        <v>2179</v>
      </c>
      <c r="S675" s="14">
        <v>43312</v>
      </c>
      <c r="T675" s="2" t="s">
        <v>6573</v>
      </c>
      <c r="U675" s="2" t="s">
        <v>1430</v>
      </c>
      <c r="V675" s="2" t="s">
        <v>2308</v>
      </c>
      <c r="W675" s="2" t="s">
        <v>70</v>
      </c>
      <c r="X675" s="13">
        <v>767</v>
      </c>
      <c r="Y675" s="2" t="s">
        <v>71</v>
      </c>
      <c r="Z675" s="2" t="s">
        <v>72</v>
      </c>
      <c r="AA675" s="13">
        <v>20000</v>
      </c>
      <c r="AB675" s="2" t="s">
        <v>73</v>
      </c>
      <c r="AC675" s="2" t="s">
        <v>6773</v>
      </c>
      <c r="AD675" s="27">
        <v>43228</v>
      </c>
      <c r="AL675" s="2" t="s">
        <v>5399</v>
      </c>
    </row>
    <row r="676" spans="1:38" hidden="1" x14ac:dyDescent="0.2">
      <c r="A676" s="2" t="s">
        <v>2219</v>
      </c>
      <c r="B676" s="2" t="s">
        <v>2309</v>
      </c>
      <c r="C676" s="2" t="s">
        <v>2246</v>
      </c>
      <c r="D676" s="2" t="s">
        <v>2247</v>
      </c>
      <c r="E676" s="13">
        <v>20000</v>
      </c>
      <c r="F676" s="13">
        <v>20000</v>
      </c>
      <c r="G676" s="14">
        <v>43309</v>
      </c>
      <c r="H676" s="15">
        <v>2.0833333333330002E-2</v>
      </c>
      <c r="I676" s="14">
        <v>43310</v>
      </c>
      <c r="J676" s="15">
        <v>0.10731481481481001</v>
      </c>
      <c r="K676" s="13">
        <v>20</v>
      </c>
      <c r="L676" s="2" t="s">
        <v>64</v>
      </c>
      <c r="M676" s="2" t="s">
        <v>2248</v>
      </c>
      <c r="N676" s="14">
        <v>43312</v>
      </c>
      <c r="O676" s="14">
        <v>43312</v>
      </c>
      <c r="P676" s="2" t="s">
        <v>91</v>
      </c>
      <c r="Q676" s="2" t="s">
        <v>2310</v>
      </c>
      <c r="R676" s="2" t="s">
        <v>80</v>
      </c>
      <c r="S676" s="14">
        <v>43312</v>
      </c>
      <c r="T676" s="2" t="s">
        <v>6574</v>
      </c>
      <c r="U676" s="2" t="s">
        <v>2250</v>
      </c>
      <c r="V676" s="2" t="s">
        <v>69</v>
      </c>
      <c r="W676" s="2" t="s">
        <v>70</v>
      </c>
      <c r="X676" s="13">
        <v>767</v>
      </c>
      <c r="Y676" s="2" t="s">
        <v>71</v>
      </c>
      <c r="Z676" s="2" t="s">
        <v>72</v>
      </c>
      <c r="AA676" s="13">
        <v>20000</v>
      </c>
      <c r="AB676" s="2" t="s">
        <v>73</v>
      </c>
      <c r="AC676" s="2" t="s">
        <v>6773</v>
      </c>
      <c r="AD676" s="27">
        <v>43254</v>
      </c>
      <c r="AL676" s="2" t="s">
        <v>5400</v>
      </c>
    </row>
    <row r="677" spans="1:38" hidden="1" x14ac:dyDescent="0.2">
      <c r="A677" s="2" t="s">
        <v>2219</v>
      </c>
      <c r="B677" s="2" t="s">
        <v>4116</v>
      </c>
      <c r="C677" s="2" t="s">
        <v>2321</v>
      </c>
      <c r="D677" s="2" t="s">
        <v>2322</v>
      </c>
      <c r="E677" s="13">
        <v>20248</v>
      </c>
      <c r="F677" s="13">
        <v>20248</v>
      </c>
      <c r="G677" s="14">
        <v>43310</v>
      </c>
      <c r="H677" s="15">
        <v>0.73021990740741005</v>
      </c>
      <c r="I677" s="14">
        <v>43311</v>
      </c>
      <c r="J677" s="15">
        <v>0.83017361111110999</v>
      </c>
      <c r="K677" s="13">
        <v>0</v>
      </c>
      <c r="L677" s="2" t="s">
        <v>64</v>
      </c>
      <c r="M677" s="2" t="s">
        <v>4117</v>
      </c>
      <c r="N677" s="14">
        <v>43313</v>
      </c>
      <c r="O677" s="14">
        <v>43315</v>
      </c>
      <c r="P677" s="2" t="s">
        <v>2323</v>
      </c>
      <c r="Q677" s="2" t="s">
        <v>98</v>
      </c>
      <c r="R677" s="2" t="s">
        <v>131</v>
      </c>
      <c r="S677" s="14"/>
      <c r="U677" s="2" t="s">
        <v>1273</v>
      </c>
      <c r="V677" s="2" t="s">
        <v>2325</v>
      </c>
      <c r="W677" s="2" t="s">
        <v>70</v>
      </c>
      <c r="X677" s="13">
        <v>0</v>
      </c>
      <c r="Y677" s="2" t="s">
        <v>71</v>
      </c>
      <c r="Z677" s="2" t="s">
        <v>72</v>
      </c>
      <c r="AA677" s="13">
        <v>20000</v>
      </c>
      <c r="AB677" s="2" t="s">
        <v>95</v>
      </c>
      <c r="AC677" s="2" t="s">
        <v>6772</v>
      </c>
      <c r="AD677" s="27"/>
      <c r="AI677" s="2" t="s">
        <v>6153</v>
      </c>
      <c r="AL677" s="2" t="s">
        <v>5401</v>
      </c>
    </row>
    <row r="678" spans="1:38" hidden="1" x14ac:dyDescent="0.2">
      <c r="A678" s="2" t="s">
        <v>2219</v>
      </c>
      <c r="B678" s="2" t="s">
        <v>2311</v>
      </c>
      <c r="C678" s="2" t="s">
        <v>2224</v>
      </c>
      <c r="D678" s="2" t="s">
        <v>2225</v>
      </c>
      <c r="E678" s="13">
        <v>20000</v>
      </c>
      <c r="F678" s="13">
        <v>20000</v>
      </c>
      <c r="G678" s="14">
        <v>43311</v>
      </c>
      <c r="H678" s="15">
        <v>0.91350694444444003</v>
      </c>
      <c r="I678" s="14">
        <v>43312</v>
      </c>
      <c r="J678" s="15">
        <v>0.99998842592592996</v>
      </c>
      <c r="K678" s="13">
        <v>0</v>
      </c>
      <c r="L678" s="2" t="s">
        <v>64</v>
      </c>
      <c r="M678" s="2" t="s">
        <v>2248</v>
      </c>
      <c r="N678" s="14">
        <v>43314</v>
      </c>
      <c r="O678" s="14">
        <v>43314</v>
      </c>
      <c r="P678" s="2" t="s">
        <v>2227</v>
      </c>
      <c r="Q678" s="2" t="s">
        <v>2312</v>
      </c>
      <c r="R678" s="2" t="s">
        <v>80</v>
      </c>
      <c r="S678" s="14">
        <v>43318</v>
      </c>
      <c r="U678" s="2" t="s">
        <v>2228</v>
      </c>
      <c r="V678" s="2" t="s">
        <v>2229</v>
      </c>
      <c r="W678" s="2" t="s">
        <v>70</v>
      </c>
      <c r="X678" s="13">
        <v>0</v>
      </c>
      <c r="Y678" s="2" t="s">
        <v>71</v>
      </c>
      <c r="Z678" s="2" t="s">
        <v>72</v>
      </c>
      <c r="AA678" s="13">
        <v>20000</v>
      </c>
      <c r="AB678" s="2" t="s">
        <v>95</v>
      </c>
      <c r="AC678" s="2" t="s">
        <v>6772</v>
      </c>
      <c r="AD678" s="27"/>
      <c r="AI678" s="2" t="s">
        <v>6153</v>
      </c>
      <c r="AL678" s="2" t="s">
        <v>5402</v>
      </c>
    </row>
    <row r="679" spans="1:38" hidden="1" x14ac:dyDescent="0.2">
      <c r="A679" s="2" t="s">
        <v>2219</v>
      </c>
      <c r="B679" s="2" t="s">
        <v>4119</v>
      </c>
      <c r="C679" s="2" t="s">
        <v>2321</v>
      </c>
      <c r="D679" s="2" t="s">
        <v>2322</v>
      </c>
      <c r="E679" s="13">
        <v>20248</v>
      </c>
      <c r="F679" s="13">
        <v>20248</v>
      </c>
      <c r="G679" s="14">
        <v>43313</v>
      </c>
      <c r="H679" s="15">
        <v>0.31513888888889002</v>
      </c>
      <c r="I679" s="14">
        <v>43314</v>
      </c>
      <c r="J679" s="15">
        <v>0.41509259259259002</v>
      </c>
      <c r="K679" s="13">
        <v>0</v>
      </c>
      <c r="L679" s="2" t="s">
        <v>64</v>
      </c>
      <c r="M679" s="2" t="s">
        <v>4117</v>
      </c>
      <c r="N679" s="14">
        <v>43316</v>
      </c>
      <c r="O679" s="14">
        <v>43316</v>
      </c>
      <c r="P679" s="2" t="s">
        <v>2323</v>
      </c>
      <c r="Q679" s="2" t="s">
        <v>4118</v>
      </c>
      <c r="R679" s="2" t="s">
        <v>80</v>
      </c>
      <c r="S679" s="14">
        <v>43322</v>
      </c>
      <c r="U679" s="2" t="s">
        <v>1273</v>
      </c>
      <c r="V679" s="2" t="s">
        <v>2325</v>
      </c>
      <c r="W679" s="2" t="s">
        <v>70</v>
      </c>
      <c r="X679" s="13">
        <v>0</v>
      </c>
      <c r="Y679" s="2" t="s">
        <v>71</v>
      </c>
      <c r="Z679" s="2" t="s">
        <v>72</v>
      </c>
      <c r="AA679" s="13">
        <v>20000</v>
      </c>
      <c r="AB679" s="2" t="s">
        <v>95</v>
      </c>
      <c r="AC679" s="2" t="s">
        <v>6772</v>
      </c>
      <c r="AD679" s="27"/>
      <c r="AI679" s="2" t="s">
        <v>6153</v>
      </c>
      <c r="AL679" s="2" t="s">
        <v>5403</v>
      </c>
    </row>
    <row r="680" spans="1:38" hidden="1" x14ac:dyDescent="0.2">
      <c r="A680" s="2" t="s">
        <v>2219</v>
      </c>
      <c r="B680" s="2" t="s">
        <v>2313</v>
      </c>
      <c r="C680" s="2" t="s">
        <v>2314</v>
      </c>
      <c r="D680" s="2" t="s">
        <v>2315</v>
      </c>
      <c r="E680" s="13">
        <v>10000</v>
      </c>
      <c r="F680" s="13">
        <v>10000</v>
      </c>
      <c r="G680" s="14">
        <v>43314</v>
      </c>
      <c r="H680" s="15">
        <v>0.45675925925925998</v>
      </c>
      <c r="I680" s="14">
        <v>43315</v>
      </c>
      <c r="J680" s="15">
        <v>0</v>
      </c>
      <c r="K680" s="13">
        <v>20</v>
      </c>
      <c r="L680" s="2" t="s">
        <v>64</v>
      </c>
      <c r="M680" s="2" t="s">
        <v>2233</v>
      </c>
      <c r="N680" s="14">
        <v>43319</v>
      </c>
      <c r="O680" s="14">
        <v>43316</v>
      </c>
      <c r="P680" s="2" t="s">
        <v>524</v>
      </c>
      <c r="Q680" s="2" t="s">
        <v>2316</v>
      </c>
      <c r="R680" s="2" t="s">
        <v>80</v>
      </c>
      <c r="S680" s="14">
        <v>43319</v>
      </c>
      <c r="T680" s="2" t="s">
        <v>6575</v>
      </c>
      <c r="U680" s="2" t="s">
        <v>1324</v>
      </c>
      <c r="V680" s="2" t="s">
        <v>2317</v>
      </c>
      <c r="W680" s="2" t="s">
        <v>70</v>
      </c>
      <c r="X680" s="13">
        <v>767</v>
      </c>
      <c r="Y680" s="2" t="s">
        <v>71</v>
      </c>
      <c r="Z680" s="2" t="s">
        <v>72</v>
      </c>
      <c r="AA680" s="13">
        <v>10000</v>
      </c>
      <c r="AB680" s="2" t="s">
        <v>73</v>
      </c>
      <c r="AC680" s="2" t="s">
        <v>6773</v>
      </c>
      <c r="AD680" s="27">
        <v>43245</v>
      </c>
      <c r="AL680" s="2" t="s">
        <v>5404</v>
      </c>
    </row>
    <row r="681" spans="1:38" hidden="1" x14ac:dyDescent="0.2">
      <c r="A681" s="2" t="s">
        <v>2219</v>
      </c>
      <c r="B681" s="2" t="s">
        <v>4541</v>
      </c>
      <c r="C681" s="2" t="s">
        <v>2237</v>
      </c>
      <c r="D681" s="2" t="s">
        <v>2238</v>
      </c>
      <c r="E681" s="13">
        <v>10100</v>
      </c>
      <c r="F681" s="13">
        <v>10100</v>
      </c>
      <c r="G681" s="14">
        <v>43315</v>
      </c>
      <c r="H681" s="15">
        <v>0.28150462962963002</v>
      </c>
      <c r="I681" s="14">
        <v>43315</v>
      </c>
      <c r="J681" s="15">
        <v>0.83017361111110999</v>
      </c>
      <c r="K681" s="13">
        <v>20</v>
      </c>
      <c r="L681" s="2" t="s">
        <v>64</v>
      </c>
      <c r="M681" s="2" t="s">
        <v>2393</v>
      </c>
      <c r="N681" s="14">
        <v>43320</v>
      </c>
      <c r="O681" s="14">
        <v>43317</v>
      </c>
      <c r="P681" s="2" t="s">
        <v>2239</v>
      </c>
      <c r="Q681" s="2" t="s">
        <v>4542</v>
      </c>
      <c r="R681" s="2" t="s">
        <v>80</v>
      </c>
      <c r="S681" s="14">
        <v>43320</v>
      </c>
      <c r="T681" s="2" t="s">
        <v>6576</v>
      </c>
      <c r="U681" s="2" t="s">
        <v>1533</v>
      </c>
      <c r="V681" s="2" t="s">
        <v>81</v>
      </c>
      <c r="W681" s="2" t="s">
        <v>70</v>
      </c>
      <c r="X681" s="13">
        <v>767</v>
      </c>
      <c r="Y681" s="2" t="s">
        <v>71</v>
      </c>
      <c r="Z681" s="2" t="s">
        <v>72</v>
      </c>
      <c r="AA681" s="13">
        <v>10000</v>
      </c>
      <c r="AB681" s="2" t="s">
        <v>73</v>
      </c>
      <c r="AC681" s="2" t="s">
        <v>6773</v>
      </c>
      <c r="AD681" s="27">
        <v>43287</v>
      </c>
      <c r="AL681" s="2" t="s">
        <v>5405</v>
      </c>
    </row>
    <row r="682" spans="1:38" hidden="1" x14ac:dyDescent="0.2">
      <c r="A682" s="2" t="s">
        <v>2219</v>
      </c>
      <c r="B682" s="2" t="s">
        <v>2320</v>
      </c>
      <c r="C682" s="2" t="s">
        <v>2321</v>
      </c>
      <c r="D682" s="2" t="s">
        <v>2322</v>
      </c>
      <c r="E682" s="13">
        <v>20000</v>
      </c>
      <c r="F682" s="13">
        <v>20000</v>
      </c>
      <c r="G682" s="14">
        <v>43315</v>
      </c>
      <c r="H682" s="15">
        <v>0.91350694444444003</v>
      </c>
      <c r="I682" s="14">
        <v>43316</v>
      </c>
      <c r="J682" s="15">
        <v>0.99998842592592996</v>
      </c>
      <c r="K682" s="13">
        <v>0</v>
      </c>
      <c r="L682" s="2" t="s">
        <v>64</v>
      </c>
      <c r="M682" s="2" t="s">
        <v>2248</v>
      </c>
      <c r="N682" s="14">
        <v>43318</v>
      </c>
      <c r="O682" s="14">
        <v>43318</v>
      </c>
      <c r="P682" s="2" t="s">
        <v>2323</v>
      </c>
      <c r="Q682" s="2" t="s">
        <v>2324</v>
      </c>
      <c r="R682" s="2" t="s">
        <v>80</v>
      </c>
      <c r="S682" s="14">
        <v>43322</v>
      </c>
      <c r="U682" s="2" t="s">
        <v>1273</v>
      </c>
      <c r="V682" s="2" t="s">
        <v>2325</v>
      </c>
      <c r="W682" s="2" t="s">
        <v>70</v>
      </c>
      <c r="X682" s="13">
        <v>0</v>
      </c>
      <c r="Y682" s="2" t="s">
        <v>71</v>
      </c>
      <c r="Z682" s="2" t="s">
        <v>72</v>
      </c>
      <c r="AA682" s="13">
        <v>20000</v>
      </c>
      <c r="AB682" s="2" t="s">
        <v>95</v>
      </c>
      <c r="AC682" s="2" t="s">
        <v>6772</v>
      </c>
      <c r="AD682" s="27"/>
      <c r="AI682" s="2" t="s">
        <v>6153</v>
      </c>
      <c r="AL682" s="2" t="s">
        <v>5406</v>
      </c>
    </row>
    <row r="683" spans="1:38" hidden="1" x14ac:dyDescent="0.2">
      <c r="A683" s="2" t="s">
        <v>2219</v>
      </c>
      <c r="B683" s="2" t="s">
        <v>2326</v>
      </c>
      <c r="C683" s="2" t="s">
        <v>2220</v>
      </c>
      <c r="D683" s="2" t="s">
        <v>2221</v>
      </c>
      <c r="E683" s="13">
        <v>20000</v>
      </c>
      <c r="F683" s="13">
        <v>20000</v>
      </c>
      <c r="G683" s="14">
        <v>43315</v>
      </c>
      <c r="H683" s="15">
        <v>0.91351851851851995</v>
      </c>
      <c r="I683" s="14">
        <v>43317</v>
      </c>
      <c r="J683" s="15">
        <v>0</v>
      </c>
      <c r="K683" s="13">
        <v>20</v>
      </c>
      <c r="L683" s="2" t="s">
        <v>64</v>
      </c>
      <c r="M683" s="2" t="s">
        <v>2248</v>
      </c>
      <c r="N683" s="14">
        <v>43319</v>
      </c>
      <c r="O683" s="14">
        <v>43318</v>
      </c>
      <c r="P683" s="2" t="s">
        <v>459</v>
      </c>
      <c r="Q683" s="2" t="s">
        <v>2327</v>
      </c>
      <c r="R683" s="2" t="s">
        <v>80</v>
      </c>
      <c r="S683" s="14">
        <v>43319</v>
      </c>
      <c r="T683" s="2" t="s">
        <v>6577</v>
      </c>
      <c r="U683" s="2" t="s">
        <v>2222</v>
      </c>
      <c r="V683" s="2" t="s">
        <v>2223</v>
      </c>
      <c r="W683" s="2" t="s">
        <v>70</v>
      </c>
      <c r="X683" s="13">
        <v>767</v>
      </c>
      <c r="Y683" s="2" t="s">
        <v>71</v>
      </c>
      <c r="Z683" s="2" t="s">
        <v>72</v>
      </c>
      <c r="AA683" s="13">
        <v>20000</v>
      </c>
      <c r="AB683" s="2" t="s">
        <v>73</v>
      </c>
      <c r="AC683" s="2" t="s">
        <v>6773</v>
      </c>
      <c r="AD683" s="27">
        <v>43251</v>
      </c>
      <c r="AI683" s="2" t="s">
        <v>6153</v>
      </c>
      <c r="AL683" s="2" t="s">
        <v>5407</v>
      </c>
    </row>
    <row r="684" spans="1:38" hidden="1" x14ac:dyDescent="0.2">
      <c r="A684" s="2" t="s">
        <v>2219</v>
      </c>
      <c r="B684" s="2" t="s">
        <v>2330</v>
      </c>
      <c r="C684" s="2" t="s">
        <v>2246</v>
      </c>
      <c r="D684" s="2" t="s">
        <v>2247</v>
      </c>
      <c r="E684" s="13">
        <v>20000</v>
      </c>
      <c r="F684" s="13">
        <v>20000</v>
      </c>
      <c r="G684" s="14">
        <v>43317</v>
      </c>
      <c r="H684" s="15">
        <v>2.0833333333330002E-2</v>
      </c>
      <c r="I684" s="14">
        <v>43318</v>
      </c>
      <c r="J684" s="15">
        <v>0.10731481481481001</v>
      </c>
      <c r="K684" s="13">
        <v>20</v>
      </c>
      <c r="L684" s="2" t="s">
        <v>64</v>
      </c>
      <c r="M684" s="2" t="s">
        <v>2248</v>
      </c>
      <c r="N684" s="14">
        <v>43321</v>
      </c>
      <c r="O684" s="14">
        <v>43320</v>
      </c>
      <c r="P684" s="2" t="s">
        <v>91</v>
      </c>
      <c r="Q684" s="2" t="s">
        <v>2331</v>
      </c>
      <c r="R684" s="2" t="s">
        <v>80</v>
      </c>
      <c r="S684" s="14">
        <v>43321</v>
      </c>
      <c r="T684" s="2" t="s">
        <v>6578</v>
      </c>
      <c r="U684" s="2" t="s">
        <v>2250</v>
      </c>
      <c r="V684" s="2" t="s">
        <v>69</v>
      </c>
      <c r="W684" s="2" t="s">
        <v>70</v>
      </c>
      <c r="X684" s="13">
        <v>767</v>
      </c>
      <c r="Y684" s="2" t="s">
        <v>71</v>
      </c>
      <c r="Z684" s="2" t="s">
        <v>72</v>
      </c>
      <c r="AA684" s="13">
        <v>20000</v>
      </c>
      <c r="AB684" s="2" t="s">
        <v>73</v>
      </c>
      <c r="AC684" s="2" t="s">
        <v>6773</v>
      </c>
      <c r="AD684" s="27">
        <v>43254</v>
      </c>
      <c r="AL684" s="2" t="s">
        <v>5408</v>
      </c>
    </row>
    <row r="685" spans="1:38" hidden="1" x14ac:dyDescent="0.2">
      <c r="A685" s="2" t="s">
        <v>2219</v>
      </c>
      <c r="B685" s="2" t="s">
        <v>2332</v>
      </c>
      <c r="C685" s="2" t="s">
        <v>2231</v>
      </c>
      <c r="D685" s="2" t="s">
        <v>2232</v>
      </c>
      <c r="E685" s="13">
        <v>10000</v>
      </c>
      <c r="F685" s="13">
        <v>10000</v>
      </c>
      <c r="G685" s="14">
        <v>43318</v>
      </c>
      <c r="H685" s="15">
        <v>0.45675925925925998</v>
      </c>
      <c r="I685" s="14">
        <v>43319</v>
      </c>
      <c r="J685" s="15">
        <v>0</v>
      </c>
      <c r="K685" s="13">
        <v>20</v>
      </c>
      <c r="L685" s="2" t="s">
        <v>64</v>
      </c>
      <c r="M685" s="2" t="s">
        <v>2233</v>
      </c>
      <c r="N685" s="14">
        <v>43354</v>
      </c>
      <c r="O685" s="14">
        <v>43320</v>
      </c>
      <c r="P685" s="2" t="s">
        <v>2199</v>
      </c>
      <c r="Q685" s="2" t="s">
        <v>2333</v>
      </c>
      <c r="R685" s="2" t="s">
        <v>80</v>
      </c>
      <c r="S685" s="14">
        <v>43354</v>
      </c>
      <c r="T685" s="2" t="s">
        <v>7117</v>
      </c>
      <c r="U685" s="2" t="s">
        <v>2235</v>
      </c>
      <c r="V685" s="2" t="s">
        <v>2236</v>
      </c>
      <c r="W685" s="2" t="s">
        <v>70</v>
      </c>
      <c r="X685" s="13">
        <v>767</v>
      </c>
      <c r="Y685" s="2" t="s">
        <v>71</v>
      </c>
      <c r="Z685" s="2" t="s">
        <v>72</v>
      </c>
      <c r="AA685" s="13">
        <v>10000</v>
      </c>
      <c r="AB685" s="2" t="s">
        <v>73</v>
      </c>
      <c r="AC685" s="2" t="s">
        <v>6773</v>
      </c>
      <c r="AD685" s="27">
        <v>43180</v>
      </c>
      <c r="AL685" s="2" t="s">
        <v>7259</v>
      </c>
    </row>
    <row r="686" spans="1:38" hidden="1" x14ac:dyDescent="0.2">
      <c r="A686" s="2" t="s">
        <v>2219</v>
      </c>
      <c r="B686" s="2" t="s">
        <v>4121</v>
      </c>
      <c r="C686" s="2" t="s">
        <v>2321</v>
      </c>
      <c r="D686" s="2" t="s">
        <v>2322</v>
      </c>
      <c r="E686" s="13">
        <v>20248</v>
      </c>
      <c r="F686" s="13">
        <v>20248</v>
      </c>
      <c r="G686" s="14">
        <v>43319</v>
      </c>
      <c r="H686" s="15">
        <v>0.90003472222222003</v>
      </c>
      <c r="I686" s="14">
        <v>43320</v>
      </c>
      <c r="J686" s="15">
        <v>0.99998842592592996</v>
      </c>
      <c r="K686" s="13">
        <v>0</v>
      </c>
      <c r="L686" s="2" t="s">
        <v>64</v>
      </c>
      <c r="M686" s="2" t="s">
        <v>4117</v>
      </c>
      <c r="N686" s="14">
        <v>43322</v>
      </c>
      <c r="O686" s="14">
        <v>43322</v>
      </c>
      <c r="P686" s="2" t="s">
        <v>2323</v>
      </c>
      <c r="Q686" s="2" t="s">
        <v>4120</v>
      </c>
      <c r="R686" s="2" t="s">
        <v>80</v>
      </c>
      <c r="S686" s="14">
        <v>43329</v>
      </c>
      <c r="U686" s="2" t="s">
        <v>1273</v>
      </c>
      <c r="V686" s="2" t="s">
        <v>2325</v>
      </c>
      <c r="W686" s="2" t="s">
        <v>70</v>
      </c>
      <c r="X686" s="13">
        <v>0</v>
      </c>
      <c r="Y686" s="2" t="s">
        <v>71</v>
      </c>
      <c r="Z686" s="2" t="s">
        <v>72</v>
      </c>
      <c r="AA686" s="13">
        <v>20000</v>
      </c>
      <c r="AB686" s="2" t="s">
        <v>95</v>
      </c>
      <c r="AC686" s="2" t="s">
        <v>6772</v>
      </c>
      <c r="AD686" s="27"/>
      <c r="AI686" s="2" t="s">
        <v>6153</v>
      </c>
      <c r="AL686" s="2" t="s">
        <v>5409</v>
      </c>
    </row>
    <row r="687" spans="1:38" hidden="1" x14ac:dyDescent="0.2">
      <c r="A687" s="2" t="s">
        <v>2219</v>
      </c>
      <c r="B687" s="2" t="s">
        <v>4123</v>
      </c>
      <c r="C687" s="2" t="s">
        <v>2321</v>
      </c>
      <c r="D687" s="2" t="s">
        <v>2322</v>
      </c>
      <c r="E687" s="13">
        <v>20248</v>
      </c>
      <c r="F687" s="13">
        <v>20248</v>
      </c>
      <c r="G687" s="14">
        <v>43321</v>
      </c>
      <c r="H687" s="15">
        <v>2.0821759259260001E-2</v>
      </c>
      <c r="I687" s="14">
        <v>43322</v>
      </c>
      <c r="J687" s="15">
        <v>0.12077546296296</v>
      </c>
      <c r="K687" s="13">
        <v>0</v>
      </c>
      <c r="L687" s="2" t="s">
        <v>64</v>
      </c>
      <c r="M687" s="2" t="s">
        <v>4117</v>
      </c>
      <c r="N687" s="14">
        <v>43324</v>
      </c>
      <c r="O687" s="14">
        <v>43324</v>
      </c>
      <c r="P687" s="2" t="s">
        <v>2323</v>
      </c>
      <c r="Q687" s="2" t="s">
        <v>4122</v>
      </c>
      <c r="R687" s="2" t="s">
        <v>80</v>
      </c>
      <c r="S687" s="14">
        <v>43329</v>
      </c>
      <c r="U687" s="2" t="s">
        <v>1273</v>
      </c>
      <c r="V687" s="2" t="s">
        <v>2325</v>
      </c>
      <c r="W687" s="2" t="s">
        <v>70</v>
      </c>
      <c r="X687" s="13">
        <v>0</v>
      </c>
      <c r="Y687" s="2" t="s">
        <v>71</v>
      </c>
      <c r="Z687" s="2" t="s">
        <v>72</v>
      </c>
      <c r="AA687" s="13">
        <v>20000</v>
      </c>
      <c r="AB687" s="2" t="s">
        <v>95</v>
      </c>
      <c r="AC687" s="2" t="s">
        <v>6772</v>
      </c>
      <c r="AD687" s="27"/>
      <c r="AI687" s="2" t="s">
        <v>6153</v>
      </c>
      <c r="AL687" s="2" t="s">
        <v>5410</v>
      </c>
    </row>
    <row r="688" spans="1:38" hidden="1" x14ac:dyDescent="0.2">
      <c r="A688" s="2" t="s">
        <v>2219</v>
      </c>
      <c r="B688" s="2" t="s">
        <v>2339</v>
      </c>
      <c r="C688" s="2" t="s">
        <v>2237</v>
      </c>
      <c r="D688" s="2" t="s">
        <v>2238</v>
      </c>
      <c r="E688" s="13">
        <v>10000</v>
      </c>
      <c r="F688" s="13">
        <v>10000</v>
      </c>
      <c r="G688" s="14">
        <v>43322</v>
      </c>
      <c r="H688" s="15">
        <v>0.45675925925925998</v>
      </c>
      <c r="I688" s="14">
        <v>43323</v>
      </c>
      <c r="J688" s="15">
        <v>0</v>
      </c>
      <c r="K688" s="13">
        <v>20</v>
      </c>
      <c r="L688" s="2" t="s">
        <v>64</v>
      </c>
      <c r="M688" s="2" t="s">
        <v>2233</v>
      </c>
      <c r="N688" s="14">
        <v>43325</v>
      </c>
      <c r="O688" s="14">
        <v>43324</v>
      </c>
      <c r="P688" s="2" t="s">
        <v>2239</v>
      </c>
      <c r="Q688" s="2" t="s">
        <v>2340</v>
      </c>
      <c r="R688" s="2" t="s">
        <v>80</v>
      </c>
      <c r="S688" s="14">
        <v>43325</v>
      </c>
      <c r="U688" s="2" t="s">
        <v>1533</v>
      </c>
      <c r="V688" s="2" t="s">
        <v>81</v>
      </c>
      <c r="W688" s="2" t="s">
        <v>70</v>
      </c>
      <c r="X688" s="13">
        <v>767</v>
      </c>
      <c r="Y688" s="2" t="s">
        <v>71</v>
      </c>
      <c r="Z688" s="2" t="s">
        <v>72</v>
      </c>
      <c r="AA688" s="13">
        <v>10000</v>
      </c>
      <c r="AB688" s="2" t="s">
        <v>73</v>
      </c>
      <c r="AC688" s="2" t="s">
        <v>6773</v>
      </c>
      <c r="AD688" s="27"/>
      <c r="AL688" s="2" t="s">
        <v>7260</v>
      </c>
    </row>
    <row r="689" spans="1:38" hidden="1" x14ac:dyDescent="0.2">
      <c r="A689" s="2" t="s">
        <v>2219</v>
      </c>
      <c r="B689" s="2" t="s">
        <v>2341</v>
      </c>
      <c r="C689" s="2" t="s">
        <v>2342</v>
      </c>
      <c r="D689" s="2" t="s">
        <v>2343</v>
      </c>
      <c r="E689" s="13">
        <v>5000</v>
      </c>
      <c r="F689" s="13">
        <v>5000</v>
      </c>
      <c r="G689" s="14">
        <v>43323</v>
      </c>
      <c r="H689" s="15">
        <v>0.72837962962962999</v>
      </c>
      <c r="I689" s="14">
        <v>43324</v>
      </c>
      <c r="J689" s="15">
        <v>0</v>
      </c>
      <c r="K689" s="13">
        <v>20</v>
      </c>
      <c r="L689" s="2" t="s">
        <v>64</v>
      </c>
      <c r="M689" s="2" t="s">
        <v>2262</v>
      </c>
      <c r="N689" s="14">
        <v>43326</v>
      </c>
      <c r="O689" s="14">
        <v>43325</v>
      </c>
      <c r="P689" s="2" t="s">
        <v>1971</v>
      </c>
      <c r="Q689" s="2" t="s">
        <v>2344</v>
      </c>
      <c r="R689" s="2" t="s">
        <v>80</v>
      </c>
      <c r="S689" s="14">
        <v>43326</v>
      </c>
      <c r="U689" s="2" t="s">
        <v>1273</v>
      </c>
      <c r="V689" s="2" t="s">
        <v>2345</v>
      </c>
      <c r="W689" s="2" t="s">
        <v>70</v>
      </c>
      <c r="X689" s="13">
        <v>767</v>
      </c>
      <c r="Y689" s="2" t="s">
        <v>71</v>
      </c>
      <c r="Z689" s="2" t="s">
        <v>72</v>
      </c>
      <c r="AA689" s="13">
        <v>5000</v>
      </c>
      <c r="AB689" s="2" t="s">
        <v>73</v>
      </c>
      <c r="AC689" s="2" t="s">
        <v>6773</v>
      </c>
      <c r="AD689" s="27"/>
      <c r="AL689" s="2" t="s">
        <v>7261</v>
      </c>
    </row>
    <row r="690" spans="1:38" hidden="1" x14ac:dyDescent="0.2">
      <c r="A690" s="2" t="s">
        <v>2219</v>
      </c>
      <c r="B690" s="2" t="s">
        <v>2349</v>
      </c>
      <c r="C690" s="2" t="s">
        <v>2246</v>
      </c>
      <c r="D690" s="2" t="s">
        <v>2247</v>
      </c>
      <c r="E690" s="13">
        <v>20000</v>
      </c>
      <c r="F690" s="13">
        <v>20000</v>
      </c>
      <c r="G690" s="14">
        <v>43324</v>
      </c>
      <c r="H690" s="15">
        <v>2.0833333333330002E-2</v>
      </c>
      <c r="I690" s="14">
        <v>43325</v>
      </c>
      <c r="J690" s="15">
        <v>0.10731481481481001</v>
      </c>
      <c r="K690" s="13">
        <v>20</v>
      </c>
      <c r="L690" s="2" t="s">
        <v>64</v>
      </c>
      <c r="M690" s="2" t="s">
        <v>2248</v>
      </c>
      <c r="N690" s="14">
        <v>43332</v>
      </c>
      <c r="O690" s="14">
        <v>43327</v>
      </c>
      <c r="P690" s="2" t="s">
        <v>91</v>
      </c>
      <c r="Q690" s="2" t="s">
        <v>2350</v>
      </c>
      <c r="R690" s="2" t="s">
        <v>80</v>
      </c>
      <c r="S690" s="14">
        <v>43332</v>
      </c>
      <c r="U690" s="2" t="s">
        <v>2250</v>
      </c>
      <c r="V690" s="2" t="s">
        <v>69</v>
      </c>
      <c r="W690" s="2" t="s">
        <v>70</v>
      </c>
      <c r="X690" s="13">
        <v>767</v>
      </c>
      <c r="Y690" s="2" t="s">
        <v>71</v>
      </c>
      <c r="Z690" s="2" t="s">
        <v>72</v>
      </c>
      <c r="AA690" s="13">
        <v>20000</v>
      </c>
      <c r="AB690" s="2" t="s">
        <v>73</v>
      </c>
      <c r="AC690" s="2" t="s">
        <v>6773</v>
      </c>
      <c r="AD690" s="27"/>
      <c r="AL690" s="2" t="s">
        <v>7262</v>
      </c>
    </row>
    <row r="691" spans="1:38" hidden="1" x14ac:dyDescent="0.2">
      <c r="A691" s="2" t="s">
        <v>2219</v>
      </c>
      <c r="B691" s="2" t="s">
        <v>2358</v>
      </c>
      <c r="C691" s="2" t="s">
        <v>2246</v>
      </c>
      <c r="D691" s="2" t="s">
        <v>2247</v>
      </c>
      <c r="E691" s="13">
        <v>20000</v>
      </c>
      <c r="F691" s="13">
        <v>20000</v>
      </c>
      <c r="G691" s="14">
        <v>43328</v>
      </c>
      <c r="H691" s="15">
        <v>0.80620370370369998</v>
      </c>
      <c r="I691" s="14">
        <v>43329</v>
      </c>
      <c r="J691" s="15">
        <v>0.89268518518519002</v>
      </c>
      <c r="K691" s="13">
        <v>20</v>
      </c>
      <c r="L691" s="2" t="s">
        <v>64</v>
      </c>
      <c r="M691" s="2" t="s">
        <v>2248</v>
      </c>
      <c r="N691" s="14">
        <v>43341</v>
      </c>
      <c r="O691" s="14">
        <v>43335</v>
      </c>
      <c r="P691" s="2" t="s">
        <v>91</v>
      </c>
      <c r="Q691" s="2" t="s">
        <v>2359</v>
      </c>
      <c r="R691" s="2" t="s">
        <v>80</v>
      </c>
      <c r="S691" s="14">
        <v>43341</v>
      </c>
      <c r="U691" s="2" t="s">
        <v>2250</v>
      </c>
      <c r="V691" s="2" t="s">
        <v>69</v>
      </c>
      <c r="W691" s="2" t="s">
        <v>70</v>
      </c>
      <c r="X691" s="13">
        <v>767</v>
      </c>
      <c r="Y691" s="2" t="s">
        <v>71</v>
      </c>
      <c r="Z691" s="2" t="s">
        <v>72</v>
      </c>
      <c r="AA691" s="13">
        <v>20000</v>
      </c>
      <c r="AB691" s="2" t="s">
        <v>73</v>
      </c>
      <c r="AC691" s="2" t="s">
        <v>6773</v>
      </c>
      <c r="AD691" s="27"/>
      <c r="AL691" s="2" t="s">
        <v>7263</v>
      </c>
    </row>
    <row r="692" spans="1:38" hidden="1" x14ac:dyDescent="0.2">
      <c r="A692" s="2" t="s">
        <v>2219</v>
      </c>
      <c r="B692" s="2" t="s">
        <v>2351</v>
      </c>
      <c r="C692" s="2" t="s">
        <v>2304</v>
      </c>
      <c r="D692" s="2" t="s">
        <v>2305</v>
      </c>
      <c r="E692" s="13">
        <v>20000</v>
      </c>
      <c r="F692" s="13">
        <v>20000</v>
      </c>
      <c r="G692" s="14">
        <v>43329</v>
      </c>
      <c r="H692" s="15">
        <v>0.91351851851851995</v>
      </c>
      <c r="I692" s="14">
        <v>43331</v>
      </c>
      <c r="J692" s="15">
        <v>0</v>
      </c>
      <c r="K692" s="13">
        <v>20</v>
      </c>
      <c r="L692" s="2" t="s">
        <v>64</v>
      </c>
      <c r="M692" s="2" t="s">
        <v>2248</v>
      </c>
      <c r="N692" s="14">
        <v>43333</v>
      </c>
      <c r="O692" s="14">
        <v>43332</v>
      </c>
      <c r="P692" s="2" t="s">
        <v>2306</v>
      </c>
      <c r="Q692" s="2" t="s">
        <v>2307</v>
      </c>
      <c r="R692" s="2" t="s">
        <v>1929</v>
      </c>
      <c r="S692" s="14">
        <v>43333</v>
      </c>
      <c r="U692" s="2" t="s">
        <v>1430</v>
      </c>
      <c r="V692" s="2" t="s">
        <v>2308</v>
      </c>
      <c r="W692" s="2" t="s">
        <v>70</v>
      </c>
      <c r="X692" s="13">
        <v>767</v>
      </c>
      <c r="Y692" s="2" t="s">
        <v>71</v>
      </c>
      <c r="Z692" s="2" t="s">
        <v>72</v>
      </c>
      <c r="AA692" s="13">
        <v>20000</v>
      </c>
      <c r="AB692" s="2" t="s">
        <v>73</v>
      </c>
      <c r="AC692" s="2" t="s">
        <v>6773</v>
      </c>
      <c r="AD692" s="27"/>
      <c r="AL692" s="2" t="s">
        <v>7264</v>
      </c>
    </row>
    <row r="693" spans="1:38" hidden="1" x14ac:dyDescent="0.2">
      <c r="A693" s="2" t="s">
        <v>2219</v>
      </c>
      <c r="B693" s="2" t="s">
        <v>2352</v>
      </c>
      <c r="C693" s="2" t="s">
        <v>2241</v>
      </c>
      <c r="D693" s="2" t="s">
        <v>2242</v>
      </c>
      <c r="E693" s="13">
        <v>20000</v>
      </c>
      <c r="F693" s="13">
        <v>20000</v>
      </c>
      <c r="G693" s="14">
        <v>43331</v>
      </c>
      <c r="H693" s="15">
        <v>0.91351851851851995</v>
      </c>
      <c r="I693" s="14">
        <v>43333</v>
      </c>
      <c r="J693" s="15">
        <v>0</v>
      </c>
      <c r="K693" s="13">
        <v>20</v>
      </c>
      <c r="L693" s="2" t="s">
        <v>64</v>
      </c>
      <c r="M693" s="2" t="s">
        <v>2248</v>
      </c>
      <c r="N693" s="14">
        <v>43335</v>
      </c>
      <c r="O693" s="14">
        <v>43334</v>
      </c>
      <c r="P693" s="2" t="s">
        <v>2239</v>
      </c>
      <c r="Q693" s="2" t="s">
        <v>2353</v>
      </c>
      <c r="R693" s="2" t="s">
        <v>80</v>
      </c>
      <c r="S693" s="14">
        <v>43335</v>
      </c>
      <c r="U693" s="2" t="s">
        <v>2244</v>
      </c>
      <c r="V693" s="2" t="s">
        <v>81</v>
      </c>
      <c r="W693" s="2" t="s">
        <v>70</v>
      </c>
      <c r="X693" s="13">
        <v>767</v>
      </c>
      <c r="Y693" s="2" t="s">
        <v>71</v>
      </c>
      <c r="Z693" s="2" t="s">
        <v>72</v>
      </c>
      <c r="AA693" s="13">
        <v>20000</v>
      </c>
      <c r="AB693" s="2" t="s">
        <v>73</v>
      </c>
      <c r="AC693" s="2" t="s">
        <v>6773</v>
      </c>
      <c r="AD693" s="27"/>
      <c r="AL693" s="2" t="s">
        <v>7265</v>
      </c>
    </row>
    <row r="694" spans="1:38" hidden="1" x14ac:dyDescent="0.2">
      <c r="A694" s="2" t="s">
        <v>2219</v>
      </c>
      <c r="B694" s="2" t="s">
        <v>2354</v>
      </c>
      <c r="C694" s="2" t="s">
        <v>1758</v>
      </c>
      <c r="D694" s="2" t="s">
        <v>1759</v>
      </c>
      <c r="E694" s="13">
        <v>3000</v>
      </c>
      <c r="F694" s="13">
        <v>3000</v>
      </c>
      <c r="G694" s="14">
        <v>43332</v>
      </c>
      <c r="H694" s="15">
        <v>0.14383101851852001</v>
      </c>
      <c r="I694" s="14">
        <v>43332</v>
      </c>
      <c r="J694" s="15">
        <v>0.30680555555555999</v>
      </c>
      <c r="K694" s="13">
        <v>20</v>
      </c>
      <c r="L694" s="2" t="s">
        <v>64</v>
      </c>
      <c r="M694" s="2" t="s">
        <v>2293</v>
      </c>
      <c r="N694" s="14">
        <v>43336</v>
      </c>
      <c r="O694" s="14">
        <v>43334</v>
      </c>
      <c r="P694" s="2" t="s">
        <v>2279</v>
      </c>
      <c r="Q694" s="2" t="s">
        <v>2355</v>
      </c>
      <c r="R694" s="2" t="s">
        <v>80</v>
      </c>
      <c r="S694" s="14">
        <v>43336</v>
      </c>
      <c r="U694" s="2" t="s">
        <v>1533</v>
      </c>
      <c r="V694" s="2" t="s">
        <v>1240</v>
      </c>
      <c r="W694" s="2" t="s">
        <v>70</v>
      </c>
      <c r="X694" s="13">
        <v>767</v>
      </c>
      <c r="Y694" s="2" t="s">
        <v>71</v>
      </c>
      <c r="Z694" s="2" t="s">
        <v>72</v>
      </c>
      <c r="AA694" s="13">
        <v>3000</v>
      </c>
      <c r="AB694" s="2" t="s">
        <v>73</v>
      </c>
      <c r="AC694" s="2" t="s">
        <v>6773</v>
      </c>
      <c r="AD694" s="27"/>
      <c r="AL694" s="2" t="s">
        <v>7266</v>
      </c>
    </row>
    <row r="695" spans="1:38" hidden="1" x14ac:dyDescent="0.2">
      <c r="A695" s="2" t="s">
        <v>2219</v>
      </c>
      <c r="B695" s="2" t="s">
        <v>2356</v>
      </c>
      <c r="C695" s="2" t="s">
        <v>1758</v>
      </c>
      <c r="D695" s="2" t="s">
        <v>1759</v>
      </c>
      <c r="E695" s="13">
        <v>3000</v>
      </c>
      <c r="F695" s="13">
        <v>3000</v>
      </c>
      <c r="G695" s="14">
        <v>43333</v>
      </c>
      <c r="H695" s="15">
        <v>0.83702546296295999</v>
      </c>
      <c r="I695" s="14">
        <v>43334</v>
      </c>
      <c r="J695" s="15">
        <v>0</v>
      </c>
      <c r="K695" s="13">
        <v>20</v>
      </c>
      <c r="L695" s="2" t="s">
        <v>64</v>
      </c>
      <c r="M695" s="2" t="s">
        <v>2293</v>
      </c>
      <c r="N695" s="14">
        <v>43336</v>
      </c>
      <c r="O695" s="14">
        <v>43335</v>
      </c>
      <c r="P695" s="2" t="s">
        <v>2279</v>
      </c>
      <c r="Q695" s="2" t="s">
        <v>2357</v>
      </c>
      <c r="R695" s="2" t="s">
        <v>80</v>
      </c>
      <c r="S695" s="14">
        <v>43336</v>
      </c>
      <c r="U695" s="2" t="s">
        <v>1533</v>
      </c>
      <c r="V695" s="2" t="s">
        <v>1240</v>
      </c>
      <c r="W695" s="2" t="s">
        <v>70</v>
      </c>
      <c r="X695" s="13">
        <v>767</v>
      </c>
      <c r="Y695" s="2" t="s">
        <v>71</v>
      </c>
      <c r="Z695" s="2" t="s">
        <v>72</v>
      </c>
      <c r="AA695" s="13">
        <v>3000</v>
      </c>
      <c r="AB695" s="2" t="s">
        <v>73</v>
      </c>
      <c r="AC695" s="2" t="s">
        <v>6773</v>
      </c>
      <c r="AD695" s="27"/>
      <c r="AL695" s="2" t="s">
        <v>7267</v>
      </c>
    </row>
    <row r="696" spans="1:38" hidden="1" x14ac:dyDescent="0.2">
      <c r="A696" s="2" t="s">
        <v>2219</v>
      </c>
      <c r="B696" s="2" t="s">
        <v>2360</v>
      </c>
      <c r="C696" s="2" t="s">
        <v>2237</v>
      </c>
      <c r="D696" s="2" t="s">
        <v>2238</v>
      </c>
      <c r="E696" s="13">
        <v>10000</v>
      </c>
      <c r="F696" s="13">
        <v>10000</v>
      </c>
      <c r="G696" s="14">
        <v>43342</v>
      </c>
      <c r="H696" s="15">
        <v>0.45675925925925998</v>
      </c>
      <c r="I696" s="14">
        <v>43343</v>
      </c>
      <c r="J696" s="15">
        <v>0</v>
      </c>
      <c r="K696" s="13">
        <v>20</v>
      </c>
      <c r="L696" s="2" t="s">
        <v>64</v>
      </c>
      <c r="M696" s="2" t="s">
        <v>2233</v>
      </c>
      <c r="N696" s="14">
        <v>43346</v>
      </c>
      <c r="O696" s="14">
        <v>43344</v>
      </c>
      <c r="P696" s="2" t="s">
        <v>2239</v>
      </c>
      <c r="Q696" s="2" t="s">
        <v>2361</v>
      </c>
      <c r="R696" s="2" t="s">
        <v>80</v>
      </c>
      <c r="S696" s="14">
        <v>43346</v>
      </c>
      <c r="U696" s="2" t="s">
        <v>1533</v>
      </c>
      <c r="V696" s="2" t="s">
        <v>81</v>
      </c>
      <c r="W696" s="2" t="s">
        <v>70</v>
      </c>
      <c r="X696" s="13">
        <v>767</v>
      </c>
      <c r="Y696" s="2" t="s">
        <v>71</v>
      </c>
      <c r="Z696" s="2" t="s">
        <v>72</v>
      </c>
      <c r="AA696" s="13">
        <v>10000</v>
      </c>
      <c r="AB696" s="2" t="s">
        <v>73</v>
      </c>
      <c r="AC696" s="2" t="s">
        <v>6773</v>
      </c>
      <c r="AD696" s="27"/>
      <c r="AL696" s="2" t="s">
        <v>5411</v>
      </c>
    </row>
    <row r="697" spans="1:38" hidden="1" x14ac:dyDescent="0.2">
      <c r="A697" s="2" t="s">
        <v>2219</v>
      </c>
      <c r="B697" s="2" t="s">
        <v>2628</v>
      </c>
      <c r="C697" s="2" t="s">
        <v>2599</v>
      </c>
      <c r="D697" s="2" t="s">
        <v>2600</v>
      </c>
      <c r="E697" s="16">
        <v>20399.999</v>
      </c>
      <c r="F697" s="16">
        <v>20399.999</v>
      </c>
      <c r="G697" s="14">
        <v>43344</v>
      </c>
      <c r="H697" s="15">
        <v>0.32770833333332999</v>
      </c>
      <c r="I697" s="14">
        <v>43345</v>
      </c>
      <c r="J697" s="15">
        <v>0.43592592592592999</v>
      </c>
      <c r="K697" s="13">
        <v>20</v>
      </c>
      <c r="L697" s="2" t="s">
        <v>64</v>
      </c>
      <c r="M697" s="2" t="s">
        <v>4540</v>
      </c>
      <c r="N697" s="14">
        <v>43363</v>
      </c>
      <c r="O697" s="14">
        <v>43348</v>
      </c>
      <c r="P697" s="2" t="s">
        <v>91</v>
      </c>
      <c r="Q697" s="2" t="s">
        <v>2601</v>
      </c>
      <c r="R697" s="2" t="s">
        <v>67</v>
      </c>
      <c r="S697" s="14">
        <v>43353</v>
      </c>
      <c r="U697" s="2" t="s">
        <v>1345</v>
      </c>
      <c r="V697" s="2" t="s">
        <v>2602</v>
      </c>
      <c r="W697" s="2" t="s">
        <v>70</v>
      </c>
      <c r="X697" s="13">
        <v>0</v>
      </c>
      <c r="Y697" s="2" t="s">
        <v>71</v>
      </c>
      <c r="Z697" s="2" t="s">
        <v>72</v>
      </c>
      <c r="AA697" s="13">
        <v>20000</v>
      </c>
      <c r="AB697" s="2" t="s">
        <v>73</v>
      </c>
      <c r="AC697" s="2" t="s">
        <v>6773</v>
      </c>
      <c r="AD697" s="27"/>
      <c r="AL697" s="2" t="s">
        <v>5412</v>
      </c>
    </row>
    <row r="698" spans="1:38" hidden="1" x14ac:dyDescent="0.2">
      <c r="A698" s="2" t="s">
        <v>2219</v>
      </c>
      <c r="B698" s="2" t="s">
        <v>2362</v>
      </c>
      <c r="C698" s="2" t="s">
        <v>1758</v>
      </c>
      <c r="D698" s="2" t="s">
        <v>1759</v>
      </c>
      <c r="E698" s="13">
        <v>10000</v>
      </c>
      <c r="F698" s="13">
        <v>10000</v>
      </c>
      <c r="G698" s="14">
        <v>43345</v>
      </c>
      <c r="H698" s="15">
        <v>0.45675925925925998</v>
      </c>
      <c r="I698" s="14">
        <v>43346</v>
      </c>
      <c r="J698" s="15">
        <v>0</v>
      </c>
      <c r="K698" s="13">
        <v>20</v>
      </c>
      <c r="L698" s="2" t="s">
        <v>64</v>
      </c>
      <c r="M698" s="2" t="s">
        <v>2233</v>
      </c>
      <c r="N698" s="14">
        <v>43348</v>
      </c>
      <c r="O698" s="14">
        <v>43347</v>
      </c>
      <c r="P698" s="2" t="s">
        <v>2279</v>
      </c>
      <c r="Q698" s="2" t="s">
        <v>2363</v>
      </c>
      <c r="R698" s="2" t="s">
        <v>80</v>
      </c>
      <c r="S698" s="14">
        <v>43348</v>
      </c>
      <c r="U698" s="2" t="s">
        <v>1533</v>
      </c>
      <c r="V698" s="2" t="s">
        <v>1240</v>
      </c>
      <c r="W698" s="2" t="s">
        <v>70</v>
      </c>
      <c r="X698" s="13">
        <v>767</v>
      </c>
      <c r="Y698" s="2" t="s">
        <v>71</v>
      </c>
      <c r="Z698" s="2" t="s">
        <v>72</v>
      </c>
      <c r="AA698" s="13">
        <v>10000</v>
      </c>
      <c r="AB698" s="2" t="s">
        <v>73</v>
      </c>
      <c r="AC698" s="2" t="s">
        <v>6773</v>
      </c>
      <c r="AD698" s="27"/>
      <c r="AL698" s="2" t="s">
        <v>5413</v>
      </c>
    </row>
    <row r="699" spans="1:38" hidden="1" x14ac:dyDescent="0.2">
      <c r="A699" s="2" t="s">
        <v>2219</v>
      </c>
      <c r="B699" s="2" t="s">
        <v>2368</v>
      </c>
      <c r="C699" s="2" t="s">
        <v>2246</v>
      </c>
      <c r="D699" s="2" t="s">
        <v>2247</v>
      </c>
      <c r="E699" s="13">
        <v>20000</v>
      </c>
      <c r="F699" s="13">
        <v>20000</v>
      </c>
      <c r="G699" s="14">
        <v>43346</v>
      </c>
      <c r="H699" s="15">
        <v>0.91351851851851995</v>
      </c>
      <c r="I699" s="14">
        <v>43348</v>
      </c>
      <c r="J699" s="15">
        <v>0</v>
      </c>
      <c r="K699" s="13">
        <v>20</v>
      </c>
      <c r="L699" s="2" t="s">
        <v>64</v>
      </c>
      <c r="M699" s="2" t="s">
        <v>2248</v>
      </c>
      <c r="N699" s="14">
        <v>43355</v>
      </c>
      <c r="O699" s="14">
        <v>43349</v>
      </c>
      <c r="P699" s="2" t="s">
        <v>91</v>
      </c>
      <c r="Q699" s="2" t="s">
        <v>2369</v>
      </c>
      <c r="R699" s="2" t="s">
        <v>80</v>
      </c>
      <c r="S699" s="14">
        <v>43355</v>
      </c>
      <c r="U699" s="2" t="s">
        <v>2250</v>
      </c>
      <c r="V699" s="2" t="s">
        <v>69</v>
      </c>
      <c r="W699" s="2" t="s">
        <v>70</v>
      </c>
      <c r="X699" s="13">
        <v>767</v>
      </c>
      <c r="Y699" s="2" t="s">
        <v>71</v>
      </c>
      <c r="Z699" s="2" t="s">
        <v>72</v>
      </c>
      <c r="AA699" s="13">
        <v>20000</v>
      </c>
      <c r="AB699" s="2" t="s">
        <v>73</v>
      </c>
      <c r="AC699" s="2" t="s">
        <v>6773</v>
      </c>
      <c r="AD699" s="27"/>
      <c r="AL699" s="2" t="s">
        <v>5414</v>
      </c>
    </row>
    <row r="700" spans="1:38" hidden="1" x14ac:dyDescent="0.2">
      <c r="A700" s="2" t="s">
        <v>2219</v>
      </c>
      <c r="B700" s="2" t="s">
        <v>2364</v>
      </c>
      <c r="C700" s="2" t="s">
        <v>2237</v>
      </c>
      <c r="D700" s="2" t="s">
        <v>2238</v>
      </c>
      <c r="E700" s="13">
        <v>10000</v>
      </c>
      <c r="F700" s="13">
        <v>10000</v>
      </c>
      <c r="G700" s="14">
        <v>43351</v>
      </c>
      <c r="H700" s="15">
        <v>0.45675925925925998</v>
      </c>
      <c r="I700" s="14">
        <v>43352</v>
      </c>
      <c r="J700" s="15">
        <v>0</v>
      </c>
      <c r="K700" s="13">
        <v>20</v>
      </c>
      <c r="L700" s="2" t="s">
        <v>64</v>
      </c>
      <c r="M700" s="2" t="s">
        <v>2233</v>
      </c>
      <c r="N700" s="14">
        <v>43354</v>
      </c>
      <c r="O700" s="14">
        <v>43353</v>
      </c>
      <c r="P700" s="2" t="s">
        <v>2239</v>
      </c>
      <c r="Q700" s="2" t="s">
        <v>2365</v>
      </c>
      <c r="R700" s="2" t="s">
        <v>80</v>
      </c>
      <c r="S700" s="14">
        <v>43354</v>
      </c>
      <c r="U700" s="2" t="s">
        <v>1533</v>
      </c>
      <c r="V700" s="2" t="s">
        <v>81</v>
      </c>
      <c r="W700" s="2" t="s">
        <v>70</v>
      </c>
      <c r="X700" s="13">
        <v>767</v>
      </c>
      <c r="Y700" s="2" t="s">
        <v>71</v>
      </c>
      <c r="Z700" s="2" t="s">
        <v>72</v>
      </c>
      <c r="AA700" s="13">
        <v>10000</v>
      </c>
      <c r="AB700" s="2" t="s">
        <v>73</v>
      </c>
      <c r="AC700" s="2" t="s">
        <v>6773</v>
      </c>
      <c r="AD700" s="27"/>
      <c r="AL700" s="2" t="s">
        <v>5415</v>
      </c>
    </row>
    <row r="701" spans="1:38" hidden="1" x14ac:dyDescent="0.2">
      <c r="A701" s="2" t="s">
        <v>2219</v>
      </c>
      <c r="B701" s="2" t="s">
        <v>2366</v>
      </c>
      <c r="C701" s="2" t="s">
        <v>2241</v>
      </c>
      <c r="D701" s="2" t="s">
        <v>2242</v>
      </c>
      <c r="E701" s="13">
        <v>20000</v>
      </c>
      <c r="F701" s="13">
        <v>20000</v>
      </c>
      <c r="G701" s="14">
        <v>43351</v>
      </c>
      <c r="H701" s="15">
        <v>0.91351851851851995</v>
      </c>
      <c r="I701" s="14">
        <v>43353</v>
      </c>
      <c r="J701" s="15">
        <v>0</v>
      </c>
      <c r="K701" s="13">
        <v>20</v>
      </c>
      <c r="L701" s="2" t="s">
        <v>64</v>
      </c>
      <c r="M701" s="2" t="s">
        <v>2248</v>
      </c>
      <c r="N701" s="14">
        <v>43355</v>
      </c>
      <c r="O701" s="14">
        <v>43354</v>
      </c>
      <c r="P701" s="2" t="s">
        <v>2239</v>
      </c>
      <c r="Q701" s="2" t="s">
        <v>2367</v>
      </c>
      <c r="R701" s="2" t="s">
        <v>80</v>
      </c>
      <c r="S701" s="14">
        <v>43355</v>
      </c>
      <c r="U701" s="2" t="s">
        <v>2244</v>
      </c>
      <c r="V701" s="2" t="s">
        <v>81</v>
      </c>
      <c r="W701" s="2" t="s">
        <v>70</v>
      </c>
      <c r="X701" s="13">
        <v>767</v>
      </c>
      <c r="Y701" s="2" t="s">
        <v>71</v>
      </c>
      <c r="Z701" s="2" t="s">
        <v>72</v>
      </c>
      <c r="AA701" s="13">
        <v>20000</v>
      </c>
      <c r="AB701" s="2" t="s">
        <v>73</v>
      </c>
      <c r="AC701" s="2" t="s">
        <v>6773</v>
      </c>
      <c r="AD701" s="27"/>
      <c r="AL701" s="2" t="s">
        <v>5416</v>
      </c>
    </row>
    <row r="702" spans="1:38" hidden="1" x14ac:dyDescent="0.2">
      <c r="A702" s="2" t="s">
        <v>2219</v>
      </c>
      <c r="B702" s="2" t="s">
        <v>2375</v>
      </c>
      <c r="C702" s="2" t="s">
        <v>1758</v>
      </c>
      <c r="D702" s="2" t="s">
        <v>1759</v>
      </c>
      <c r="E702" s="13">
        <v>3000</v>
      </c>
      <c r="F702" s="13">
        <v>3000</v>
      </c>
      <c r="G702" s="14">
        <v>43365</v>
      </c>
      <c r="H702" s="15">
        <v>0.83702546296295999</v>
      </c>
      <c r="I702" s="14">
        <v>43366</v>
      </c>
      <c r="J702" s="15">
        <v>0</v>
      </c>
      <c r="K702" s="13">
        <v>20</v>
      </c>
      <c r="L702" s="2" t="s">
        <v>64</v>
      </c>
      <c r="M702" s="2" t="s">
        <v>2293</v>
      </c>
      <c r="N702" s="14">
        <v>43368</v>
      </c>
      <c r="O702" s="14">
        <v>43367</v>
      </c>
      <c r="P702" s="2" t="s">
        <v>2279</v>
      </c>
      <c r="Q702" s="2" t="s">
        <v>2376</v>
      </c>
      <c r="R702" s="2" t="s">
        <v>80</v>
      </c>
      <c r="S702" s="14">
        <v>43368</v>
      </c>
      <c r="U702" s="2" t="s">
        <v>1533</v>
      </c>
      <c r="V702" s="2" t="s">
        <v>1240</v>
      </c>
      <c r="W702" s="2" t="s">
        <v>70</v>
      </c>
      <c r="X702" s="13">
        <v>767</v>
      </c>
      <c r="Y702" s="2" t="s">
        <v>71</v>
      </c>
      <c r="Z702" s="2" t="s">
        <v>72</v>
      </c>
      <c r="AA702" s="13">
        <v>3000</v>
      </c>
      <c r="AB702" s="2" t="s">
        <v>73</v>
      </c>
      <c r="AC702" s="2" t="s">
        <v>6773</v>
      </c>
      <c r="AD702" s="27"/>
      <c r="AL702" s="2" t="s">
        <v>5417</v>
      </c>
    </row>
    <row r="703" spans="1:38" hidden="1" x14ac:dyDescent="0.2">
      <c r="A703" s="2" t="s">
        <v>2377</v>
      </c>
      <c r="B703" s="2" t="s">
        <v>6975</v>
      </c>
      <c r="C703" s="2" t="s">
        <v>1554</v>
      </c>
      <c r="D703" s="2" t="s">
        <v>1555</v>
      </c>
      <c r="E703" s="13">
        <v>3030</v>
      </c>
      <c r="F703" s="13">
        <v>3030</v>
      </c>
      <c r="G703" s="14">
        <v>43287</v>
      </c>
      <c r="H703" s="15">
        <v>2.0833333333330002E-2</v>
      </c>
      <c r="I703" s="14">
        <v>43287</v>
      </c>
      <c r="J703" s="15">
        <v>0.18543981481481001</v>
      </c>
      <c r="K703" s="13">
        <v>0</v>
      </c>
      <c r="L703" s="2" t="s">
        <v>64</v>
      </c>
      <c r="M703" s="2" t="s">
        <v>6976</v>
      </c>
      <c r="N703" s="14">
        <v>43290</v>
      </c>
      <c r="O703" s="14">
        <v>43289</v>
      </c>
      <c r="P703" s="2" t="s">
        <v>2378</v>
      </c>
      <c r="Q703" s="2" t="s">
        <v>6977</v>
      </c>
      <c r="R703" s="2" t="s">
        <v>80</v>
      </c>
      <c r="S703" s="14">
        <v>43290</v>
      </c>
      <c r="T703" s="2" t="s">
        <v>7118</v>
      </c>
      <c r="U703" s="2" t="s">
        <v>1557</v>
      </c>
      <c r="V703" s="2" t="s">
        <v>554</v>
      </c>
      <c r="W703" s="2" t="s">
        <v>70</v>
      </c>
      <c r="X703" s="13">
        <v>767</v>
      </c>
      <c r="Y703" s="2" t="s">
        <v>71</v>
      </c>
      <c r="Z703" s="2" t="s">
        <v>72</v>
      </c>
      <c r="AA703" s="13">
        <v>3000</v>
      </c>
      <c r="AB703" s="2" t="s">
        <v>107</v>
      </c>
      <c r="AC703" s="2" t="s">
        <v>6773</v>
      </c>
      <c r="AD703" s="27">
        <v>43248</v>
      </c>
      <c r="AI703" s="2" t="s">
        <v>6153</v>
      </c>
      <c r="AL703" s="2" t="s">
        <v>7268</v>
      </c>
    </row>
    <row r="704" spans="1:38" hidden="1" x14ac:dyDescent="0.2">
      <c r="A704" s="2" t="s">
        <v>2377</v>
      </c>
      <c r="B704" s="2" t="s">
        <v>6978</v>
      </c>
      <c r="C704" s="2" t="s">
        <v>6979</v>
      </c>
      <c r="D704" s="2" t="s">
        <v>6980</v>
      </c>
      <c r="E704" s="13">
        <v>0</v>
      </c>
      <c r="F704" s="13">
        <v>5500</v>
      </c>
      <c r="G704" s="14">
        <v>43287</v>
      </c>
      <c r="H704" s="15">
        <v>0.20627314814815001</v>
      </c>
      <c r="I704" s="14">
        <v>43287</v>
      </c>
      <c r="J704" s="15">
        <v>0.50505787037036998</v>
      </c>
      <c r="K704" s="13">
        <v>20</v>
      </c>
      <c r="L704" s="2" t="s">
        <v>64</v>
      </c>
      <c r="M704" s="2" t="s">
        <v>6981</v>
      </c>
      <c r="N704" s="14">
        <v>43297</v>
      </c>
      <c r="O704" s="14">
        <v>43289</v>
      </c>
      <c r="P704" s="2" t="s">
        <v>2199</v>
      </c>
      <c r="Q704" s="2" t="s">
        <v>98</v>
      </c>
      <c r="R704" s="2" t="s">
        <v>131</v>
      </c>
      <c r="S704" s="14"/>
      <c r="T704" s="2" t="s">
        <v>7119</v>
      </c>
      <c r="U704" s="2" t="s">
        <v>6982</v>
      </c>
      <c r="V704" s="2" t="s">
        <v>81</v>
      </c>
      <c r="W704" s="2" t="s">
        <v>70</v>
      </c>
      <c r="X704" s="13">
        <v>767</v>
      </c>
      <c r="Y704" s="2" t="s">
        <v>71</v>
      </c>
      <c r="Z704" s="2" t="s">
        <v>72</v>
      </c>
      <c r="AA704" s="13">
        <v>0</v>
      </c>
      <c r="AB704" s="2" t="s">
        <v>107</v>
      </c>
      <c r="AC704" s="2" t="s">
        <v>6773</v>
      </c>
      <c r="AD704" s="27">
        <v>43248</v>
      </c>
      <c r="AL704" s="2" t="s">
        <v>7269</v>
      </c>
    </row>
    <row r="705" spans="1:38" hidden="1" x14ac:dyDescent="0.2">
      <c r="A705" s="2" t="s">
        <v>2377</v>
      </c>
      <c r="B705" s="2" t="s">
        <v>6983</v>
      </c>
      <c r="C705" s="2" t="s">
        <v>6984</v>
      </c>
      <c r="D705" s="2" t="s">
        <v>6985</v>
      </c>
      <c r="E705" s="13">
        <v>2000</v>
      </c>
      <c r="F705" s="13">
        <v>3000</v>
      </c>
      <c r="G705" s="14">
        <v>43287</v>
      </c>
      <c r="H705" s="15">
        <v>0.52589120370370002</v>
      </c>
      <c r="I705" s="14">
        <v>43287</v>
      </c>
      <c r="J705" s="15">
        <v>0.68886574074074003</v>
      </c>
      <c r="K705" s="13">
        <v>20</v>
      </c>
      <c r="L705" s="2" t="s">
        <v>64</v>
      </c>
      <c r="M705" s="2" t="s">
        <v>2293</v>
      </c>
      <c r="N705" s="14">
        <v>43300</v>
      </c>
      <c r="O705" s="14">
        <v>43289</v>
      </c>
      <c r="P705" s="2" t="s">
        <v>2199</v>
      </c>
      <c r="Q705" s="2" t="s">
        <v>6986</v>
      </c>
      <c r="R705" s="2" t="s">
        <v>80</v>
      </c>
      <c r="S705" s="14">
        <v>43297</v>
      </c>
      <c r="T705" s="2" t="s">
        <v>7120</v>
      </c>
      <c r="U705" s="2" t="s">
        <v>6987</v>
      </c>
      <c r="V705" s="2" t="s">
        <v>81</v>
      </c>
      <c r="W705" s="2" t="s">
        <v>70</v>
      </c>
      <c r="X705" s="13">
        <v>767</v>
      </c>
      <c r="Y705" s="2" t="s">
        <v>71</v>
      </c>
      <c r="Z705" s="2" t="s">
        <v>72</v>
      </c>
      <c r="AA705" s="13">
        <v>2000</v>
      </c>
      <c r="AB705" s="2" t="s">
        <v>107</v>
      </c>
      <c r="AC705" s="2" t="s">
        <v>6773</v>
      </c>
      <c r="AD705" s="27">
        <v>43266</v>
      </c>
      <c r="AL705" s="2" t="s">
        <v>7270</v>
      </c>
    </row>
    <row r="706" spans="1:38" hidden="1" x14ac:dyDescent="0.2">
      <c r="A706" s="2" t="s">
        <v>2377</v>
      </c>
      <c r="B706" s="2" t="s">
        <v>4543</v>
      </c>
      <c r="C706" s="2" t="s">
        <v>2184</v>
      </c>
      <c r="D706" s="2" t="s">
        <v>2185</v>
      </c>
      <c r="E706" s="13">
        <v>20278</v>
      </c>
      <c r="F706" s="13">
        <v>20278</v>
      </c>
      <c r="G706" s="14">
        <v>43288</v>
      </c>
      <c r="H706" s="15">
        <v>2.0833333333330002E-2</v>
      </c>
      <c r="I706" s="14">
        <v>43289</v>
      </c>
      <c r="J706" s="15">
        <v>0.12241898148148</v>
      </c>
      <c r="K706" s="13">
        <v>0</v>
      </c>
      <c r="L706" s="2" t="s">
        <v>64</v>
      </c>
      <c r="M706" s="2" t="s">
        <v>4544</v>
      </c>
      <c r="N706" s="14">
        <v>43290</v>
      </c>
      <c r="O706" s="14">
        <v>43291</v>
      </c>
      <c r="P706" s="2" t="s">
        <v>2187</v>
      </c>
      <c r="Q706" s="2" t="s">
        <v>6988</v>
      </c>
      <c r="R706" s="2" t="s">
        <v>80</v>
      </c>
      <c r="S706" s="14">
        <v>43298</v>
      </c>
      <c r="T706" s="2" t="s">
        <v>6579</v>
      </c>
      <c r="U706" s="2" t="s">
        <v>1568</v>
      </c>
      <c r="V706" s="2" t="s">
        <v>81</v>
      </c>
      <c r="W706" s="2" t="s">
        <v>70</v>
      </c>
      <c r="X706" s="13">
        <v>767</v>
      </c>
      <c r="Y706" s="2" t="s">
        <v>71</v>
      </c>
      <c r="Z706" s="2" t="s">
        <v>72</v>
      </c>
      <c r="AA706" s="13">
        <v>20000</v>
      </c>
      <c r="AB706" s="2" t="s">
        <v>107</v>
      </c>
      <c r="AC706" s="2" t="s">
        <v>6772</v>
      </c>
      <c r="AD706" s="27">
        <v>43284</v>
      </c>
      <c r="AI706" s="2" t="s">
        <v>6153</v>
      </c>
      <c r="AL706" s="2" t="s">
        <v>5418</v>
      </c>
    </row>
    <row r="707" spans="1:38" x14ac:dyDescent="0.2">
      <c r="A707" s="2" t="s">
        <v>2377</v>
      </c>
      <c r="B707" s="2" t="s">
        <v>2379</v>
      </c>
      <c r="C707" s="2" t="s">
        <v>2380</v>
      </c>
      <c r="D707" s="2" t="s">
        <v>2381</v>
      </c>
      <c r="E707" s="16">
        <v>9847.5</v>
      </c>
      <c r="F707" s="16">
        <v>9847.5</v>
      </c>
      <c r="G707" s="14">
        <v>43289</v>
      </c>
      <c r="H707" s="15">
        <v>0.21714120370369999</v>
      </c>
      <c r="I707" s="14">
        <v>43289</v>
      </c>
      <c r="J707" s="15">
        <v>0.75210648148147996</v>
      </c>
      <c r="K707" s="13">
        <v>0</v>
      </c>
      <c r="L707" s="2" t="s">
        <v>64</v>
      </c>
      <c r="M707" s="2" t="s">
        <v>4545</v>
      </c>
      <c r="N707" s="14">
        <v>43293</v>
      </c>
      <c r="O707" s="14">
        <v>43291</v>
      </c>
      <c r="P707" s="2" t="s">
        <v>2187</v>
      </c>
      <c r="Q707" s="2" t="s">
        <v>2382</v>
      </c>
      <c r="R707" s="2" t="s">
        <v>80</v>
      </c>
      <c r="S707" s="14">
        <v>43328</v>
      </c>
      <c r="T707" s="2" t="s">
        <v>6580</v>
      </c>
      <c r="U707" s="2" t="s">
        <v>1474</v>
      </c>
      <c r="V707" s="2" t="s">
        <v>81</v>
      </c>
      <c r="W707" s="2" t="s">
        <v>70</v>
      </c>
      <c r="X707" s="13">
        <v>767</v>
      </c>
      <c r="Y707" s="2" t="s">
        <v>71</v>
      </c>
      <c r="Z707" s="2" t="s">
        <v>72</v>
      </c>
      <c r="AA707" s="13">
        <v>9750</v>
      </c>
      <c r="AB707" s="2" t="s">
        <v>107</v>
      </c>
      <c r="AC707" s="2" t="s">
        <v>6773</v>
      </c>
      <c r="AD707" s="27">
        <v>43265</v>
      </c>
      <c r="AI707" s="2" t="s">
        <v>6153</v>
      </c>
      <c r="AL707" s="2" t="s">
        <v>5419</v>
      </c>
    </row>
    <row r="708" spans="1:38" x14ac:dyDescent="0.2">
      <c r="A708" s="2" t="s">
        <v>2377</v>
      </c>
      <c r="B708" s="2" t="s">
        <v>2383</v>
      </c>
      <c r="C708" s="2" t="s">
        <v>2384</v>
      </c>
      <c r="D708" s="2" t="s">
        <v>2385</v>
      </c>
      <c r="E708" s="13">
        <v>20200</v>
      </c>
      <c r="F708" s="13">
        <v>20200</v>
      </c>
      <c r="G708" s="14">
        <v>43289</v>
      </c>
      <c r="H708" s="15">
        <v>0.88298611111111003</v>
      </c>
      <c r="I708" s="14">
        <v>43290</v>
      </c>
      <c r="J708" s="15">
        <v>0.98033564814815</v>
      </c>
      <c r="K708" s="13">
        <v>0</v>
      </c>
      <c r="L708" s="2" t="s">
        <v>64</v>
      </c>
      <c r="M708" s="2" t="s">
        <v>4546</v>
      </c>
      <c r="N708" s="14"/>
      <c r="O708" s="14">
        <v>43292</v>
      </c>
      <c r="P708" s="2" t="s">
        <v>2239</v>
      </c>
      <c r="Q708" s="2" t="s">
        <v>3045</v>
      </c>
      <c r="R708" s="2" t="s">
        <v>80</v>
      </c>
      <c r="S708" s="14">
        <v>43292</v>
      </c>
      <c r="T708" s="2" t="s">
        <v>6581</v>
      </c>
      <c r="U708" s="2" t="s">
        <v>1523</v>
      </c>
      <c r="V708" s="2" t="s">
        <v>81</v>
      </c>
      <c r="W708" s="2" t="s">
        <v>70</v>
      </c>
      <c r="X708" s="13">
        <v>767</v>
      </c>
      <c r="Y708" s="2" t="s">
        <v>71</v>
      </c>
      <c r="Z708" s="2" t="s">
        <v>72</v>
      </c>
      <c r="AA708" s="13">
        <v>20000</v>
      </c>
      <c r="AB708" s="2" t="s">
        <v>107</v>
      </c>
      <c r="AC708" s="2" t="s">
        <v>6772</v>
      </c>
      <c r="AD708" s="27">
        <v>43283</v>
      </c>
      <c r="AI708" s="2" t="s">
        <v>6153</v>
      </c>
      <c r="AL708" s="2" t="s">
        <v>5420</v>
      </c>
    </row>
    <row r="709" spans="1:38" x14ac:dyDescent="0.2">
      <c r="A709" s="2" t="s">
        <v>2377</v>
      </c>
      <c r="B709" s="2" t="s">
        <v>2388</v>
      </c>
      <c r="C709" s="2" t="s">
        <v>1482</v>
      </c>
      <c r="D709" s="2" t="s">
        <v>1483</v>
      </c>
      <c r="E709" s="13">
        <v>5050</v>
      </c>
      <c r="F709" s="13">
        <v>5050</v>
      </c>
      <c r="G709" s="14">
        <v>43291</v>
      </c>
      <c r="H709" s="15">
        <v>2.0833333333330002E-2</v>
      </c>
      <c r="I709" s="14">
        <v>43291</v>
      </c>
      <c r="J709" s="15">
        <v>0.29517361111111001</v>
      </c>
      <c r="K709" s="13">
        <v>20</v>
      </c>
      <c r="L709" s="2" t="s">
        <v>64</v>
      </c>
      <c r="M709" s="2" t="s">
        <v>4547</v>
      </c>
      <c r="N709" s="14">
        <v>43297</v>
      </c>
      <c r="O709" s="14">
        <v>43293</v>
      </c>
      <c r="P709" s="2" t="s">
        <v>2239</v>
      </c>
      <c r="Q709" s="2" t="s">
        <v>2389</v>
      </c>
      <c r="R709" s="2" t="s">
        <v>80</v>
      </c>
      <c r="S709" s="14">
        <v>43297</v>
      </c>
      <c r="T709" s="2" t="s">
        <v>6583</v>
      </c>
      <c r="U709" s="2" t="s">
        <v>1486</v>
      </c>
      <c r="V709" s="2" t="s">
        <v>81</v>
      </c>
      <c r="W709" s="2" t="s">
        <v>70</v>
      </c>
      <c r="X709" s="13">
        <v>767</v>
      </c>
      <c r="Y709" s="2" t="s">
        <v>71</v>
      </c>
      <c r="Z709" s="2" t="s">
        <v>72</v>
      </c>
      <c r="AA709" s="13">
        <v>5000</v>
      </c>
      <c r="AB709" s="2" t="s">
        <v>107</v>
      </c>
      <c r="AC709" s="2" t="s">
        <v>6773</v>
      </c>
      <c r="AD709" s="27">
        <v>43256</v>
      </c>
      <c r="AI709" s="2" t="s">
        <v>6153</v>
      </c>
      <c r="AL709" s="2" t="s">
        <v>5421</v>
      </c>
    </row>
    <row r="710" spans="1:38" x14ac:dyDescent="0.2">
      <c r="A710" s="2" t="s">
        <v>2377</v>
      </c>
      <c r="B710" s="2" t="s">
        <v>2386</v>
      </c>
      <c r="C710" s="2" t="s">
        <v>1559</v>
      </c>
      <c r="D710" s="2" t="s">
        <v>1560</v>
      </c>
      <c r="E710" s="13">
        <v>9100</v>
      </c>
      <c r="F710" s="13">
        <v>9100</v>
      </c>
      <c r="G710" s="14">
        <v>43291</v>
      </c>
      <c r="H710" s="15">
        <v>0.56386574074074003</v>
      </c>
      <c r="I710" s="14">
        <v>43292</v>
      </c>
      <c r="J710" s="15">
        <v>5.8217592592590003E-2</v>
      </c>
      <c r="K710" s="13">
        <v>20</v>
      </c>
      <c r="L710" s="2" t="s">
        <v>64</v>
      </c>
      <c r="M710" s="2" t="s">
        <v>6989</v>
      </c>
      <c r="N710" s="14">
        <v>43293</v>
      </c>
      <c r="O710" s="14">
        <v>43294</v>
      </c>
      <c r="P710" s="2" t="s">
        <v>2239</v>
      </c>
      <c r="Q710" s="2" t="s">
        <v>2387</v>
      </c>
      <c r="R710" s="2" t="s">
        <v>80</v>
      </c>
      <c r="S710" s="14">
        <v>43311</v>
      </c>
      <c r="T710" s="2" t="s">
        <v>6582</v>
      </c>
      <c r="U710" s="2" t="s">
        <v>1486</v>
      </c>
      <c r="V710" s="2" t="s">
        <v>554</v>
      </c>
      <c r="W710" s="2" t="s">
        <v>70</v>
      </c>
      <c r="X710" s="13">
        <v>767</v>
      </c>
      <c r="Y710" s="2" t="s">
        <v>71</v>
      </c>
      <c r="Z710" s="2" t="s">
        <v>72</v>
      </c>
      <c r="AA710" s="13">
        <v>9100</v>
      </c>
      <c r="AB710" s="2" t="s">
        <v>73</v>
      </c>
      <c r="AC710" s="2" t="s">
        <v>6773</v>
      </c>
      <c r="AD710" s="27">
        <v>43124</v>
      </c>
      <c r="AI710" s="2" t="s">
        <v>6153</v>
      </c>
      <c r="AL710" s="2" t="s">
        <v>7271</v>
      </c>
    </row>
    <row r="711" spans="1:38" x14ac:dyDescent="0.2">
      <c r="A711" s="2" t="s">
        <v>2377</v>
      </c>
      <c r="B711" s="2" t="s">
        <v>2390</v>
      </c>
      <c r="C711" s="2" t="s">
        <v>2391</v>
      </c>
      <c r="D711" s="2" t="s">
        <v>2392</v>
      </c>
      <c r="E711" s="13">
        <v>10100</v>
      </c>
      <c r="F711" s="13">
        <v>10100</v>
      </c>
      <c r="G711" s="14">
        <v>43292</v>
      </c>
      <c r="H711" s="15">
        <v>0.41589120370369997</v>
      </c>
      <c r="I711" s="14">
        <v>43292</v>
      </c>
      <c r="J711" s="15">
        <v>0.96456018518519004</v>
      </c>
      <c r="K711" s="13">
        <v>0</v>
      </c>
      <c r="L711" s="2" t="s">
        <v>64</v>
      </c>
      <c r="M711" s="2" t="s">
        <v>2393</v>
      </c>
      <c r="N711" s="14">
        <v>43295</v>
      </c>
      <c r="O711" s="14">
        <v>43294</v>
      </c>
      <c r="P711" s="2" t="s">
        <v>404</v>
      </c>
      <c r="Q711" s="2" t="s">
        <v>2394</v>
      </c>
      <c r="R711" s="2" t="s">
        <v>80</v>
      </c>
      <c r="S711" s="14">
        <v>43297</v>
      </c>
      <c r="T711" s="2" t="s">
        <v>6585</v>
      </c>
      <c r="U711" s="2" t="s">
        <v>442</v>
      </c>
      <c r="V711" s="2" t="s">
        <v>407</v>
      </c>
      <c r="W711" s="2" t="s">
        <v>70</v>
      </c>
      <c r="X711" s="13">
        <v>767</v>
      </c>
      <c r="Y711" s="2" t="s">
        <v>71</v>
      </c>
      <c r="Z711" s="2" t="s">
        <v>72</v>
      </c>
      <c r="AA711" s="13">
        <v>10000</v>
      </c>
      <c r="AB711" s="2" t="s">
        <v>73</v>
      </c>
      <c r="AC711" s="2" t="s">
        <v>6772</v>
      </c>
      <c r="AD711" s="27">
        <v>43283</v>
      </c>
      <c r="AL711" s="2" t="s">
        <v>5422</v>
      </c>
    </row>
    <row r="712" spans="1:38" x14ac:dyDescent="0.2">
      <c r="A712" s="2" t="s">
        <v>2377</v>
      </c>
      <c r="B712" s="2" t="s">
        <v>4548</v>
      </c>
      <c r="C712" s="2" t="s">
        <v>2391</v>
      </c>
      <c r="D712" s="2" t="s">
        <v>2392</v>
      </c>
      <c r="E712" s="13">
        <v>20000</v>
      </c>
      <c r="F712" s="13">
        <v>20000</v>
      </c>
      <c r="G712" s="14">
        <v>43292</v>
      </c>
      <c r="H712" s="15">
        <v>0.98539351851851997</v>
      </c>
      <c r="I712" s="14">
        <v>43294</v>
      </c>
      <c r="J712" s="15">
        <v>7.1874999999999994E-2</v>
      </c>
      <c r="K712" s="13">
        <v>0</v>
      </c>
      <c r="L712" s="2" t="s">
        <v>64</v>
      </c>
      <c r="M712" s="2" t="s">
        <v>2248</v>
      </c>
      <c r="N712" s="14">
        <v>43290</v>
      </c>
      <c r="O712" s="14">
        <v>43296</v>
      </c>
      <c r="P712" s="2" t="s">
        <v>404</v>
      </c>
      <c r="Q712" s="2" t="s">
        <v>2467</v>
      </c>
      <c r="R712" s="2" t="s">
        <v>80</v>
      </c>
      <c r="S712" s="14">
        <v>43298</v>
      </c>
      <c r="T712" s="2" t="s">
        <v>6584</v>
      </c>
      <c r="U712" s="2" t="s">
        <v>442</v>
      </c>
      <c r="V712" s="2" t="s">
        <v>407</v>
      </c>
      <c r="W712" s="2" t="s">
        <v>70</v>
      </c>
      <c r="X712" s="13">
        <v>767</v>
      </c>
      <c r="Y712" s="2" t="s">
        <v>71</v>
      </c>
      <c r="Z712" s="2" t="s">
        <v>72</v>
      </c>
      <c r="AA712" s="13">
        <v>20000</v>
      </c>
      <c r="AB712" s="2" t="s">
        <v>73</v>
      </c>
      <c r="AC712" s="2" t="s">
        <v>6772</v>
      </c>
      <c r="AD712" s="27">
        <v>43285</v>
      </c>
      <c r="AL712" s="2" t="s">
        <v>7272</v>
      </c>
    </row>
    <row r="713" spans="1:38" x14ac:dyDescent="0.2">
      <c r="A713" s="2" t="s">
        <v>2377</v>
      </c>
      <c r="B713" s="2" t="s">
        <v>2405</v>
      </c>
      <c r="C713" s="2" t="s">
        <v>2406</v>
      </c>
      <c r="D713" s="2" t="s">
        <v>2407</v>
      </c>
      <c r="E713" s="13">
        <v>5000</v>
      </c>
      <c r="F713" s="13">
        <v>5000</v>
      </c>
      <c r="G713" s="14">
        <v>43294</v>
      </c>
      <c r="H713" s="15">
        <v>9.2708333333330006E-2</v>
      </c>
      <c r="I713" s="14">
        <v>43294</v>
      </c>
      <c r="J713" s="15">
        <v>0.36432870370370002</v>
      </c>
      <c r="K713" s="13">
        <v>0</v>
      </c>
      <c r="L713" s="2" t="s">
        <v>64</v>
      </c>
      <c r="M713" s="2" t="s">
        <v>2262</v>
      </c>
      <c r="N713" s="14">
        <v>43298</v>
      </c>
      <c r="O713" s="14">
        <v>43296</v>
      </c>
      <c r="P713" s="2" t="s">
        <v>91</v>
      </c>
      <c r="Q713" s="2" t="s">
        <v>2408</v>
      </c>
      <c r="R713" s="2" t="s">
        <v>80</v>
      </c>
      <c r="S713" s="14">
        <v>43298</v>
      </c>
      <c r="T713" s="2" t="s">
        <v>6586</v>
      </c>
      <c r="U713" s="2" t="s">
        <v>468</v>
      </c>
      <c r="V713" s="2" t="s">
        <v>2409</v>
      </c>
      <c r="W713" s="2" t="s">
        <v>70</v>
      </c>
      <c r="X713" s="13">
        <v>767</v>
      </c>
      <c r="Y713" s="2" t="s">
        <v>71</v>
      </c>
      <c r="Z713" s="2" t="s">
        <v>72</v>
      </c>
      <c r="AA713" s="13">
        <v>5000</v>
      </c>
      <c r="AB713" s="2" t="s">
        <v>73</v>
      </c>
      <c r="AC713" s="2" t="s">
        <v>6773</v>
      </c>
      <c r="AD713" s="27">
        <v>43270</v>
      </c>
      <c r="AL713" s="2" t="s">
        <v>5423</v>
      </c>
    </row>
    <row r="714" spans="1:38" x14ac:dyDescent="0.2">
      <c r="A714" s="2" t="s">
        <v>2377</v>
      </c>
      <c r="B714" s="2" t="s">
        <v>2410</v>
      </c>
      <c r="C714" s="2" t="s">
        <v>2122</v>
      </c>
      <c r="D714" s="2" t="s">
        <v>2123</v>
      </c>
      <c r="E714" s="13">
        <v>4000</v>
      </c>
      <c r="F714" s="13">
        <v>4000</v>
      </c>
      <c r="G714" s="14">
        <v>43294</v>
      </c>
      <c r="H714" s="15">
        <v>0.38516203703703999</v>
      </c>
      <c r="I714" s="14">
        <v>43294</v>
      </c>
      <c r="J714" s="15">
        <v>0.60245370370369999</v>
      </c>
      <c r="K714" s="13">
        <v>0</v>
      </c>
      <c r="L714" s="2" t="s">
        <v>64</v>
      </c>
      <c r="M714" s="2" t="s">
        <v>2411</v>
      </c>
      <c r="N714" s="14">
        <v>43298</v>
      </c>
      <c r="O714" s="14">
        <v>43296</v>
      </c>
      <c r="P714" s="2" t="s">
        <v>91</v>
      </c>
      <c r="Q714" s="2" t="s">
        <v>2412</v>
      </c>
      <c r="R714" s="2" t="s">
        <v>80</v>
      </c>
      <c r="S714" s="14">
        <v>43298</v>
      </c>
      <c r="T714" s="2" t="s">
        <v>6587</v>
      </c>
      <c r="U714" s="2" t="s">
        <v>1590</v>
      </c>
      <c r="V714" s="2" t="s">
        <v>2125</v>
      </c>
      <c r="W714" s="2" t="s">
        <v>70</v>
      </c>
      <c r="X714" s="13">
        <v>767</v>
      </c>
      <c r="Y714" s="2" t="s">
        <v>71</v>
      </c>
      <c r="Z714" s="2" t="s">
        <v>72</v>
      </c>
      <c r="AA714" s="13">
        <v>4000</v>
      </c>
      <c r="AB714" s="2" t="s">
        <v>73</v>
      </c>
      <c r="AC714" s="2" t="s">
        <v>6773</v>
      </c>
      <c r="AD714" s="27">
        <v>43229</v>
      </c>
      <c r="AI714" s="2" t="s">
        <v>6153</v>
      </c>
      <c r="AL714" s="2" t="s">
        <v>5424</v>
      </c>
    </row>
    <row r="715" spans="1:38" x14ac:dyDescent="0.2">
      <c r="A715" s="2" t="s">
        <v>2377</v>
      </c>
      <c r="B715" s="2" t="s">
        <v>2462</v>
      </c>
      <c r="C715" s="2" t="s">
        <v>2463</v>
      </c>
      <c r="D715" s="2" t="s">
        <v>2464</v>
      </c>
      <c r="E715" s="13">
        <v>20200</v>
      </c>
      <c r="F715" s="13">
        <v>20200</v>
      </c>
      <c r="G715" s="14">
        <v>43294</v>
      </c>
      <c r="H715" s="15">
        <v>0.625</v>
      </c>
      <c r="I715" s="14">
        <v>43295</v>
      </c>
      <c r="J715" s="15">
        <v>0.72234953703703997</v>
      </c>
      <c r="K715" s="13">
        <v>0</v>
      </c>
      <c r="L715" s="2" t="s">
        <v>64</v>
      </c>
      <c r="M715" s="2" t="s">
        <v>4546</v>
      </c>
      <c r="N715" s="14"/>
      <c r="O715" s="14">
        <v>43297</v>
      </c>
      <c r="P715" s="2" t="s">
        <v>1573</v>
      </c>
      <c r="Q715" s="2" t="s">
        <v>2465</v>
      </c>
      <c r="R715" s="2" t="s">
        <v>80</v>
      </c>
      <c r="S715" s="14">
        <v>43304</v>
      </c>
      <c r="T715" s="2" t="s">
        <v>6588</v>
      </c>
      <c r="U715" s="2" t="s">
        <v>516</v>
      </c>
      <c r="V715" s="2" t="s">
        <v>69</v>
      </c>
      <c r="W715" s="2" t="s">
        <v>70</v>
      </c>
      <c r="X715" s="13">
        <v>767</v>
      </c>
      <c r="Y715" s="2" t="s">
        <v>71</v>
      </c>
      <c r="Z715" s="2" t="s">
        <v>72</v>
      </c>
      <c r="AA715" s="13">
        <v>20000</v>
      </c>
      <c r="AB715" s="2" t="s">
        <v>73</v>
      </c>
      <c r="AC715" s="2" t="s">
        <v>6772</v>
      </c>
      <c r="AD715" s="27">
        <v>43283</v>
      </c>
      <c r="AL715" s="2" t="s">
        <v>5425</v>
      </c>
    </row>
    <row r="716" spans="1:38" x14ac:dyDescent="0.2">
      <c r="A716" s="2" t="s">
        <v>2377</v>
      </c>
      <c r="B716" s="2" t="s">
        <v>4549</v>
      </c>
      <c r="C716" s="2" t="s">
        <v>2463</v>
      </c>
      <c r="D716" s="2" t="s">
        <v>2464</v>
      </c>
      <c r="E716" s="13">
        <v>20200</v>
      </c>
      <c r="F716" s="13">
        <v>20200</v>
      </c>
      <c r="G716" s="14">
        <v>43295</v>
      </c>
      <c r="H716" s="15">
        <v>0.75</v>
      </c>
      <c r="I716" s="14">
        <v>43296</v>
      </c>
      <c r="J716" s="15">
        <v>0.84734953703703997</v>
      </c>
      <c r="K716" s="13">
        <v>0</v>
      </c>
      <c r="L716" s="2" t="s">
        <v>64</v>
      </c>
      <c r="M716" s="2" t="s">
        <v>4546</v>
      </c>
      <c r="N716" s="14"/>
      <c r="O716" s="14">
        <v>43298</v>
      </c>
      <c r="P716" s="2" t="s">
        <v>1573</v>
      </c>
      <c r="Q716" s="2" t="s">
        <v>2465</v>
      </c>
      <c r="R716" s="2" t="s">
        <v>80</v>
      </c>
      <c r="S716" s="14">
        <v>43304</v>
      </c>
      <c r="T716" s="2" t="s">
        <v>6589</v>
      </c>
      <c r="U716" s="2" t="s">
        <v>516</v>
      </c>
      <c r="V716" s="2" t="s">
        <v>69</v>
      </c>
      <c r="W716" s="2" t="s">
        <v>70</v>
      </c>
      <c r="X716" s="13">
        <v>767</v>
      </c>
      <c r="Y716" s="2" t="s">
        <v>71</v>
      </c>
      <c r="Z716" s="2" t="s">
        <v>72</v>
      </c>
      <c r="AA716" s="13">
        <v>20000</v>
      </c>
      <c r="AB716" s="2" t="s">
        <v>73</v>
      </c>
      <c r="AC716" s="2" t="s">
        <v>6772</v>
      </c>
      <c r="AD716" s="27">
        <v>43284</v>
      </c>
      <c r="AL716" s="2" t="s">
        <v>5426</v>
      </c>
    </row>
    <row r="717" spans="1:38" hidden="1" x14ac:dyDescent="0.2">
      <c r="A717" s="2" t="s">
        <v>2377</v>
      </c>
      <c r="B717" s="2" t="s">
        <v>2466</v>
      </c>
      <c r="C717" s="2" t="s">
        <v>2391</v>
      </c>
      <c r="D717" s="2" t="s">
        <v>2392</v>
      </c>
      <c r="E717" s="13">
        <v>20200</v>
      </c>
      <c r="F717" s="13">
        <v>20200</v>
      </c>
      <c r="G717" s="14">
        <v>43296</v>
      </c>
      <c r="H717" s="15">
        <v>0.875</v>
      </c>
      <c r="I717" s="14">
        <v>43297</v>
      </c>
      <c r="J717" s="15">
        <v>0.97234953703703997</v>
      </c>
      <c r="K717" s="13">
        <v>0</v>
      </c>
      <c r="L717" s="2" t="s">
        <v>64</v>
      </c>
      <c r="M717" s="2" t="s">
        <v>4546</v>
      </c>
      <c r="N717" s="14">
        <v>43297</v>
      </c>
      <c r="O717" s="14">
        <v>43299</v>
      </c>
      <c r="P717" s="2" t="s">
        <v>404</v>
      </c>
      <c r="Q717" s="2" t="s">
        <v>98</v>
      </c>
      <c r="R717" s="2" t="s">
        <v>131</v>
      </c>
      <c r="S717" s="14"/>
      <c r="U717" s="2" t="s">
        <v>442</v>
      </c>
      <c r="V717" s="2" t="s">
        <v>407</v>
      </c>
      <c r="W717" s="2" t="s">
        <v>70</v>
      </c>
      <c r="X717" s="13">
        <v>0</v>
      </c>
      <c r="Y717" s="2" t="s">
        <v>71</v>
      </c>
      <c r="Z717" s="2" t="s">
        <v>72</v>
      </c>
      <c r="AA717" s="13">
        <v>20000</v>
      </c>
      <c r="AB717" s="2" t="s">
        <v>95</v>
      </c>
      <c r="AC717" s="2" t="s">
        <v>6772</v>
      </c>
      <c r="AD717" s="27"/>
      <c r="AL717" s="2" t="s">
        <v>5427</v>
      </c>
    </row>
    <row r="718" spans="1:38" hidden="1" x14ac:dyDescent="0.2">
      <c r="A718" s="2" t="s">
        <v>2377</v>
      </c>
      <c r="B718" s="2" t="s">
        <v>2413</v>
      </c>
      <c r="C718" s="2" t="s">
        <v>2414</v>
      </c>
      <c r="D718" s="2" t="s">
        <v>2415</v>
      </c>
      <c r="E718" s="16">
        <v>20241.999</v>
      </c>
      <c r="F718" s="16">
        <v>20241.999</v>
      </c>
      <c r="G718" s="14">
        <v>43297</v>
      </c>
      <c r="H718" s="15">
        <v>0.90037037037037004</v>
      </c>
      <c r="I718" s="14">
        <v>43299</v>
      </c>
      <c r="J718" s="15">
        <v>0</v>
      </c>
      <c r="K718" s="13">
        <v>20</v>
      </c>
      <c r="L718" s="2" t="s">
        <v>64</v>
      </c>
      <c r="M718" s="2" t="s">
        <v>4550</v>
      </c>
      <c r="N718" s="14">
        <v>43305</v>
      </c>
      <c r="O718" s="14">
        <v>43301</v>
      </c>
      <c r="P718" s="2" t="s">
        <v>2038</v>
      </c>
      <c r="Q718" s="2" t="s">
        <v>2416</v>
      </c>
      <c r="R718" s="2" t="s">
        <v>80</v>
      </c>
      <c r="S718" s="14">
        <v>43305</v>
      </c>
      <c r="T718" s="2" t="s">
        <v>6590</v>
      </c>
      <c r="U718" s="2" t="s">
        <v>429</v>
      </c>
      <c r="V718" s="2" t="s">
        <v>2417</v>
      </c>
      <c r="W718" s="2" t="s">
        <v>70</v>
      </c>
      <c r="X718" s="13">
        <v>0</v>
      </c>
      <c r="Y718" s="2" t="s">
        <v>71</v>
      </c>
      <c r="Z718" s="2" t="s">
        <v>72</v>
      </c>
      <c r="AA718" s="13">
        <v>20000</v>
      </c>
      <c r="AB718" s="2" t="s">
        <v>73</v>
      </c>
      <c r="AC718" s="2" t="s">
        <v>6773</v>
      </c>
      <c r="AD718" s="27">
        <v>43245</v>
      </c>
      <c r="AI718" s="2" t="s">
        <v>6153</v>
      </c>
      <c r="AL718" s="2" t="s">
        <v>5428</v>
      </c>
    </row>
    <row r="719" spans="1:38" hidden="1" x14ac:dyDescent="0.2">
      <c r="A719" s="2" t="s">
        <v>2377</v>
      </c>
      <c r="B719" s="2" t="s">
        <v>2418</v>
      </c>
      <c r="C719" s="2" t="s">
        <v>2391</v>
      </c>
      <c r="D719" s="2" t="s">
        <v>2392</v>
      </c>
      <c r="E719" s="13">
        <v>20000</v>
      </c>
      <c r="F719" s="13">
        <v>20000</v>
      </c>
      <c r="G719" s="14">
        <v>43299</v>
      </c>
      <c r="H719" s="15">
        <v>0.25</v>
      </c>
      <c r="I719" s="14">
        <v>43300</v>
      </c>
      <c r="J719" s="15">
        <v>0.33648148148147999</v>
      </c>
      <c r="K719" s="13">
        <v>0</v>
      </c>
      <c r="L719" s="2" t="s">
        <v>64</v>
      </c>
      <c r="M719" s="2" t="s">
        <v>2248</v>
      </c>
      <c r="N719" s="14">
        <v>43302</v>
      </c>
      <c r="O719" s="14">
        <v>43302</v>
      </c>
      <c r="P719" s="2" t="s">
        <v>404</v>
      </c>
      <c r="Q719" s="2" t="s">
        <v>6990</v>
      </c>
      <c r="R719" s="2" t="s">
        <v>80</v>
      </c>
      <c r="S719" s="14">
        <v>43307</v>
      </c>
      <c r="U719" s="2" t="s">
        <v>442</v>
      </c>
      <c r="V719" s="2" t="s">
        <v>407</v>
      </c>
      <c r="W719" s="2" t="s">
        <v>70</v>
      </c>
      <c r="X719" s="13">
        <v>0</v>
      </c>
      <c r="Y719" s="2" t="s">
        <v>71</v>
      </c>
      <c r="Z719" s="2" t="s">
        <v>72</v>
      </c>
      <c r="AA719" s="13">
        <v>20000</v>
      </c>
      <c r="AB719" s="2" t="s">
        <v>95</v>
      </c>
      <c r="AC719" s="2" t="s">
        <v>6772</v>
      </c>
      <c r="AD719" s="27"/>
      <c r="AL719" s="2" t="s">
        <v>5429</v>
      </c>
    </row>
    <row r="720" spans="1:38" hidden="1" x14ac:dyDescent="0.2">
      <c r="A720" s="2" t="s">
        <v>2377</v>
      </c>
      <c r="B720" s="2" t="s">
        <v>4551</v>
      </c>
      <c r="C720" s="2" t="s">
        <v>2463</v>
      </c>
      <c r="D720" s="2" t="s">
        <v>2464</v>
      </c>
      <c r="E720" s="13">
        <v>10100</v>
      </c>
      <c r="F720" s="13">
        <v>10100</v>
      </c>
      <c r="G720" s="14">
        <v>43300</v>
      </c>
      <c r="H720" s="15">
        <v>0.45833333333332998</v>
      </c>
      <c r="I720" s="14">
        <v>43301</v>
      </c>
      <c r="J720" s="15">
        <v>7.0023148148099998E-3</v>
      </c>
      <c r="K720" s="13">
        <v>0</v>
      </c>
      <c r="L720" s="2" t="s">
        <v>64</v>
      </c>
      <c r="M720" s="2" t="s">
        <v>2393</v>
      </c>
      <c r="N720" s="14">
        <v>43298</v>
      </c>
      <c r="O720" s="14">
        <v>43303</v>
      </c>
      <c r="P720" s="2" t="s">
        <v>1573</v>
      </c>
      <c r="Q720" s="2" t="s">
        <v>2661</v>
      </c>
      <c r="R720" s="2" t="s">
        <v>80</v>
      </c>
      <c r="S720" s="14">
        <v>43307</v>
      </c>
      <c r="T720" s="2" t="s">
        <v>6591</v>
      </c>
      <c r="U720" s="2" t="s">
        <v>516</v>
      </c>
      <c r="V720" s="2" t="s">
        <v>69</v>
      </c>
      <c r="W720" s="2" t="s">
        <v>70</v>
      </c>
      <c r="X720" s="13">
        <v>767</v>
      </c>
      <c r="Y720" s="2" t="s">
        <v>71</v>
      </c>
      <c r="Z720" s="2" t="s">
        <v>72</v>
      </c>
      <c r="AA720" s="13">
        <v>10000</v>
      </c>
      <c r="AB720" s="2" t="s">
        <v>73</v>
      </c>
      <c r="AC720" s="2" t="s">
        <v>6772</v>
      </c>
      <c r="AD720" s="27">
        <v>43285</v>
      </c>
      <c r="AL720" s="2" t="s">
        <v>5430</v>
      </c>
    </row>
    <row r="721" spans="1:38" hidden="1" x14ac:dyDescent="0.2">
      <c r="A721" s="2" t="s">
        <v>2377</v>
      </c>
      <c r="B721" s="2" t="s">
        <v>2679</v>
      </c>
      <c r="C721" s="2" t="s">
        <v>2463</v>
      </c>
      <c r="D721" s="2" t="s">
        <v>2464</v>
      </c>
      <c r="E721" s="13">
        <v>20200</v>
      </c>
      <c r="F721" s="13">
        <v>20200</v>
      </c>
      <c r="G721" s="14">
        <v>43301</v>
      </c>
      <c r="H721" s="15">
        <v>8.3333333333329998E-2</v>
      </c>
      <c r="I721" s="14">
        <v>43302</v>
      </c>
      <c r="J721" s="15">
        <v>0.18068287037037001</v>
      </c>
      <c r="K721" s="13">
        <v>0</v>
      </c>
      <c r="L721" s="2" t="s">
        <v>64</v>
      </c>
      <c r="M721" s="2" t="s">
        <v>4546</v>
      </c>
      <c r="N721" s="14">
        <v>43302</v>
      </c>
      <c r="O721" s="14">
        <v>43304</v>
      </c>
      <c r="P721" s="2" t="s">
        <v>1573</v>
      </c>
      <c r="Q721" s="2" t="s">
        <v>2680</v>
      </c>
      <c r="R721" s="2" t="s">
        <v>80</v>
      </c>
      <c r="S721" s="14">
        <v>43307</v>
      </c>
      <c r="U721" s="2" t="s">
        <v>516</v>
      </c>
      <c r="V721" s="2" t="s">
        <v>69</v>
      </c>
      <c r="W721" s="2" t="s">
        <v>70</v>
      </c>
      <c r="X721" s="13">
        <v>0</v>
      </c>
      <c r="Y721" s="2" t="s">
        <v>71</v>
      </c>
      <c r="Z721" s="2" t="s">
        <v>72</v>
      </c>
      <c r="AA721" s="13">
        <v>20000</v>
      </c>
      <c r="AB721" s="2" t="s">
        <v>95</v>
      </c>
      <c r="AC721" s="2" t="s">
        <v>6772</v>
      </c>
      <c r="AD721" s="27"/>
      <c r="AL721" s="2" t="s">
        <v>5431</v>
      </c>
    </row>
    <row r="722" spans="1:38" hidden="1" x14ac:dyDescent="0.2">
      <c r="A722" s="2" t="s">
        <v>2377</v>
      </c>
      <c r="B722" s="2" t="s">
        <v>2419</v>
      </c>
      <c r="C722" s="2" t="s">
        <v>2420</v>
      </c>
      <c r="D722" s="2" t="s">
        <v>2421</v>
      </c>
      <c r="E722" s="13">
        <v>20000</v>
      </c>
      <c r="F722" s="13">
        <v>20000</v>
      </c>
      <c r="G722" s="14">
        <v>43302</v>
      </c>
      <c r="H722" s="15">
        <v>0.43739583333332999</v>
      </c>
      <c r="I722" s="14">
        <v>43303</v>
      </c>
      <c r="J722" s="15">
        <v>0.52387731481481004</v>
      </c>
      <c r="K722" s="13">
        <v>20</v>
      </c>
      <c r="L722" s="2" t="s">
        <v>64</v>
      </c>
      <c r="M722" s="2" t="s">
        <v>2248</v>
      </c>
      <c r="N722" s="14">
        <v>43305</v>
      </c>
      <c r="O722" s="14">
        <v>43305</v>
      </c>
      <c r="P722" s="2" t="s">
        <v>91</v>
      </c>
      <c r="Q722" s="2" t="s">
        <v>2422</v>
      </c>
      <c r="R722" s="2" t="s">
        <v>80</v>
      </c>
      <c r="S722" s="14">
        <v>43305</v>
      </c>
      <c r="T722" s="2" t="s">
        <v>6592</v>
      </c>
      <c r="U722" s="2" t="s">
        <v>516</v>
      </c>
      <c r="V722" s="2" t="s">
        <v>2423</v>
      </c>
      <c r="W722" s="2" t="s">
        <v>70</v>
      </c>
      <c r="X722" s="13">
        <v>767</v>
      </c>
      <c r="Y722" s="2" t="s">
        <v>71</v>
      </c>
      <c r="Z722" s="2" t="s">
        <v>72</v>
      </c>
      <c r="AA722" s="13">
        <v>20000</v>
      </c>
      <c r="AB722" s="2" t="s">
        <v>73</v>
      </c>
      <c r="AC722" s="2" t="s">
        <v>6773</v>
      </c>
      <c r="AD722" s="27">
        <v>43250</v>
      </c>
      <c r="AL722" s="2" t="s">
        <v>5432</v>
      </c>
    </row>
    <row r="723" spans="1:38" hidden="1" x14ac:dyDescent="0.2">
      <c r="A723" s="2" t="s">
        <v>2377</v>
      </c>
      <c r="B723" s="2" t="s">
        <v>2424</v>
      </c>
      <c r="C723" s="2" t="s">
        <v>2425</v>
      </c>
      <c r="D723" s="2" t="s">
        <v>2426</v>
      </c>
      <c r="E723" s="13">
        <v>5000</v>
      </c>
      <c r="F723" s="13">
        <v>5000</v>
      </c>
      <c r="G723" s="14">
        <v>43303</v>
      </c>
      <c r="H723" s="15">
        <v>0.72837962962962999</v>
      </c>
      <c r="I723" s="14">
        <v>43304</v>
      </c>
      <c r="J723" s="15">
        <v>0</v>
      </c>
      <c r="K723" s="13">
        <v>0</v>
      </c>
      <c r="L723" s="2" t="s">
        <v>64</v>
      </c>
      <c r="M723" s="2" t="s">
        <v>2262</v>
      </c>
      <c r="N723" s="14">
        <v>43308</v>
      </c>
      <c r="O723" s="14">
        <v>43305</v>
      </c>
      <c r="P723" s="2" t="s">
        <v>524</v>
      </c>
      <c r="Q723" s="2" t="s">
        <v>2427</v>
      </c>
      <c r="R723" s="2" t="s">
        <v>80</v>
      </c>
      <c r="S723" s="14">
        <v>43308</v>
      </c>
      <c r="T723" s="2" t="s">
        <v>6593</v>
      </c>
      <c r="U723" s="2" t="s">
        <v>484</v>
      </c>
      <c r="V723" s="2" t="s">
        <v>2428</v>
      </c>
      <c r="W723" s="2" t="s">
        <v>70</v>
      </c>
      <c r="X723" s="13">
        <v>767</v>
      </c>
      <c r="Y723" s="2" t="s">
        <v>71</v>
      </c>
      <c r="Z723" s="2" t="s">
        <v>72</v>
      </c>
      <c r="AA723" s="13">
        <v>5000</v>
      </c>
      <c r="AB723" s="2" t="s">
        <v>73</v>
      </c>
      <c r="AC723" s="2" t="s">
        <v>6773</v>
      </c>
      <c r="AD723" s="27">
        <v>43251</v>
      </c>
      <c r="AL723" s="2" t="s">
        <v>5433</v>
      </c>
    </row>
    <row r="724" spans="1:38" hidden="1" x14ac:dyDescent="0.2">
      <c r="A724" s="2" t="s">
        <v>2377</v>
      </c>
      <c r="B724" s="2" t="s">
        <v>2429</v>
      </c>
      <c r="C724" s="2" t="s">
        <v>2430</v>
      </c>
      <c r="D724" s="2" t="s">
        <v>2431</v>
      </c>
      <c r="E724" s="13">
        <v>5000</v>
      </c>
      <c r="F724" s="13">
        <v>5000</v>
      </c>
      <c r="G724" s="14">
        <v>43303</v>
      </c>
      <c r="H724" s="15">
        <v>0.72837962962962999</v>
      </c>
      <c r="I724" s="14">
        <v>43304</v>
      </c>
      <c r="J724" s="15">
        <v>0</v>
      </c>
      <c r="K724" s="13">
        <v>0</v>
      </c>
      <c r="L724" s="2" t="s">
        <v>64</v>
      </c>
      <c r="M724" s="2" t="s">
        <v>2262</v>
      </c>
      <c r="N724" s="14">
        <v>43306</v>
      </c>
      <c r="O724" s="14">
        <v>43305</v>
      </c>
      <c r="P724" s="2" t="s">
        <v>524</v>
      </c>
      <c r="Q724" s="2" t="s">
        <v>2432</v>
      </c>
      <c r="R724" s="2" t="s">
        <v>80</v>
      </c>
      <c r="S724" s="14">
        <v>43306</v>
      </c>
      <c r="T724" s="2" t="s">
        <v>6594</v>
      </c>
      <c r="U724" s="2" t="s">
        <v>453</v>
      </c>
      <c r="V724" s="2" t="s">
        <v>2433</v>
      </c>
      <c r="W724" s="2" t="s">
        <v>70</v>
      </c>
      <c r="X724" s="13">
        <v>767</v>
      </c>
      <c r="Y724" s="2" t="s">
        <v>71</v>
      </c>
      <c r="Z724" s="2" t="s">
        <v>72</v>
      </c>
      <c r="AA724" s="13">
        <v>5000</v>
      </c>
      <c r="AB724" s="2" t="s">
        <v>73</v>
      </c>
      <c r="AC724" s="2" t="s">
        <v>6773</v>
      </c>
      <c r="AD724" s="27">
        <v>43259</v>
      </c>
      <c r="AI724" s="2" t="s">
        <v>6153</v>
      </c>
      <c r="AL724" s="2" t="s">
        <v>5434</v>
      </c>
    </row>
    <row r="725" spans="1:38" hidden="1" x14ac:dyDescent="0.2">
      <c r="A725" s="2" t="s">
        <v>2377</v>
      </c>
      <c r="B725" s="2" t="s">
        <v>2434</v>
      </c>
      <c r="C725" s="2" t="s">
        <v>2246</v>
      </c>
      <c r="D725" s="2" t="s">
        <v>2247</v>
      </c>
      <c r="E725" s="13">
        <v>5000</v>
      </c>
      <c r="F725" s="13">
        <v>5000</v>
      </c>
      <c r="G725" s="14">
        <v>43305</v>
      </c>
      <c r="H725" s="15">
        <v>0.72837962962962999</v>
      </c>
      <c r="I725" s="14">
        <v>43306</v>
      </c>
      <c r="J725" s="15">
        <v>0</v>
      </c>
      <c r="K725" s="13">
        <v>20</v>
      </c>
      <c r="L725" s="2" t="s">
        <v>64</v>
      </c>
      <c r="M725" s="2" t="s">
        <v>2262</v>
      </c>
      <c r="N725" s="14">
        <v>43326</v>
      </c>
      <c r="O725" s="14">
        <v>43307</v>
      </c>
      <c r="P725" s="2" t="s">
        <v>91</v>
      </c>
      <c r="Q725" s="2" t="s">
        <v>2435</v>
      </c>
      <c r="R725" s="2" t="s">
        <v>80</v>
      </c>
      <c r="S725" s="14">
        <v>43326</v>
      </c>
      <c r="T725" s="2" t="s">
        <v>6596</v>
      </c>
      <c r="U725" s="2" t="s">
        <v>2250</v>
      </c>
      <c r="V725" s="2" t="s">
        <v>69</v>
      </c>
      <c r="W725" s="2" t="s">
        <v>70</v>
      </c>
      <c r="X725" s="13">
        <v>767</v>
      </c>
      <c r="Y725" s="2" t="s">
        <v>71</v>
      </c>
      <c r="Z725" s="2" t="s">
        <v>72</v>
      </c>
      <c r="AA725" s="13">
        <v>5000</v>
      </c>
      <c r="AB725" s="2" t="s">
        <v>107</v>
      </c>
      <c r="AC725" s="2" t="s">
        <v>6773</v>
      </c>
      <c r="AD725" s="27">
        <v>43180</v>
      </c>
      <c r="AL725" s="2" t="s">
        <v>5435</v>
      </c>
    </row>
    <row r="726" spans="1:38" hidden="1" x14ac:dyDescent="0.2">
      <c r="A726" s="2" t="s">
        <v>2377</v>
      </c>
      <c r="B726" s="2" t="s">
        <v>4552</v>
      </c>
      <c r="C726" s="2" t="s">
        <v>4553</v>
      </c>
      <c r="D726" s="2" t="s">
        <v>4554</v>
      </c>
      <c r="E726" s="13">
        <v>20252</v>
      </c>
      <c r="F726" s="13">
        <v>20252</v>
      </c>
      <c r="G726" s="14">
        <v>43308</v>
      </c>
      <c r="H726" s="15">
        <v>0.89982638888888999</v>
      </c>
      <c r="I726" s="14">
        <v>43310</v>
      </c>
      <c r="J726" s="15">
        <v>0</v>
      </c>
      <c r="K726" s="13">
        <v>0</v>
      </c>
      <c r="L726" s="2" t="s">
        <v>64</v>
      </c>
      <c r="M726" s="2" t="s">
        <v>4555</v>
      </c>
      <c r="N726" s="14">
        <v>43312</v>
      </c>
      <c r="O726" s="14">
        <v>43311</v>
      </c>
      <c r="P726" s="2" t="s">
        <v>2187</v>
      </c>
      <c r="Q726" s="2" t="s">
        <v>4556</v>
      </c>
      <c r="R726" s="2" t="s">
        <v>80</v>
      </c>
      <c r="S726" s="14">
        <v>43312</v>
      </c>
      <c r="T726" s="2" t="s">
        <v>6595</v>
      </c>
      <c r="U726" s="2" t="s">
        <v>1710</v>
      </c>
      <c r="V726" s="2" t="s">
        <v>81</v>
      </c>
      <c r="W726" s="2" t="s">
        <v>70</v>
      </c>
      <c r="X726" s="13">
        <v>767</v>
      </c>
      <c r="Y726" s="2" t="s">
        <v>71</v>
      </c>
      <c r="Z726" s="2" t="s">
        <v>72</v>
      </c>
      <c r="AA726" s="13">
        <v>20000</v>
      </c>
      <c r="AB726" s="2" t="s">
        <v>73</v>
      </c>
      <c r="AC726" s="2" t="s">
        <v>6773</v>
      </c>
      <c r="AD726" s="27">
        <v>43285</v>
      </c>
      <c r="AI726" s="2" t="s">
        <v>6153</v>
      </c>
      <c r="AL726" s="2" t="s">
        <v>5436</v>
      </c>
    </row>
    <row r="727" spans="1:38" hidden="1" x14ac:dyDescent="0.2">
      <c r="A727" s="2" t="s">
        <v>2377</v>
      </c>
      <c r="B727" s="2" t="s">
        <v>2436</v>
      </c>
      <c r="C727" s="2" t="s">
        <v>2437</v>
      </c>
      <c r="D727" s="2" t="s">
        <v>2438</v>
      </c>
      <c r="E727" s="13">
        <v>10000</v>
      </c>
      <c r="F727" s="13">
        <v>10000</v>
      </c>
      <c r="G727" s="14">
        <v>43336</v>
      </c>
      <c r="H727" s="15">
        <v>0.45675925925925998</v>
      </c>
      <c r="I727" s="14">
        <v>43337</v>
      </c>
      <c r="J727" s="15">
        <v>0</v>
      </c>
      <c r="K727" s="13">
        <v>0</v>
      </c>
      <c r="L727" s="2" t="s">
        <v>64</v>
      </c>
      <c r="M727" s="2" t="s">
        <v>2233</v>
      </c>
      <c r="N727" s="14">
        <v>43339</v>
      </c>
      <c r="O727" s="14">
        <v>43338</v>
      </c>
      <c r="P727" s="2" t="s">
        <v>2002</v>
      </c>
      <c r="Q727" s="2" t="s">
        <v>2439</v>
      </c>
      <c r="R727" s="2" t="s">
        <v>80</v>
      </c>
      <c r="S727" s="14">
        <v>43339</v>
      </c>
      <c r="U727" s="2" t="s">
        <v>1991</v>
      </c>
      <c r="V727" s="2" t="s">
        <v>2440</v>
      </c>
      <c r="W727" s="2" t="s">
        <v>70</v>
      </c>
      <c r="X727" s="13">
        <v>767</v>
      </c>
      <c r="Y727" s="2" t="s">
        <v>71</v>
      </c>
      <c r="Z727" s="2" t="s">
        <v>72</v>
      </c>
      <c r="AA727" s="13">
        <v>10000</v>
      </c>
      <c r="AB727" s="2" t="s">
        <v>73</v>
      </c>
      <c r="AC727" s="2" t="s">
        <v>6773</v>
      </c>
      <c r="AD727" s="27"/>
      <c r="AI727" s="2" t="s">
        <v>6153</v>
      </c>
      <c r="AL727" s="2" t="s">
        <v>7273</v>
      </c>
    </row>
    <row r="728" spans="1:38" hidden="1" x14ac:dyDescent="0.2">
      <c r="A728" s="2" t="s">
        <v>2377</v>
      </c>
      <c r="B728" s="2" t="s">
        <v>2441</v>
      </c>
      <c r="C728" s="2" t="s">
        <v>2425</v>
      </c>
      <c r="D728" s="2" t="s">
        <v>2426</v>
      </c>
      <c r="E728" s="13">
        <v>5000</v>
      </c>
      <c r="F728" s="13">
        <v>5000</v>
      </c>
      <c r="G728" s="14">
        <v>43337</v>
      </c>
      <c r="H728" s="15">
        <v>0.72837962962962999</v>
      </c>
      <c r="I728" s="14">
        <v>43338</v>
      </c>
      <c r="J728" s="15">
        <v>0</v>
      </c>
      <c r="K728" s="13">
        <v>0</v>
      </c>
      <c r="L728" s="2" t="s">
        <v>64</v>
      </c>
      <c r="M728" s="2" t="s">
        <v>2262</v>
      </c>
      <c r="N728" s="14">
        <v>43340</v>
      </c>
      <c r="O728" s="14">
        <v>43339</v>
      </c>
      <c r="P728" s="2" t="s">
        <v>524</v>
      </c>
      <c r="Q728" s="2" t="s">
        <v>2442</v>
      </c>
      <c r="R728" s="2" t="s">
        <v>80</v>
      </c>
      <c r="S728" s="14">
        <v>43340</v>
      </c>
      <c r="U728" s="2" t="s">
        <v>484</v>
      </c>
      <c r="V728" s="2" t="s">
        <v>2428</v>
      </c>
      <c r="W728" s="2" t="s">
        <v>70</v>
      </c>
      <c r="X728" s="13">
        <v>767</v>
      </c>
      <c r="Y728" s="2" t="s">
        <v>71</v>
      </c>
      <c r="Z728" s="2" t="s">
        <v>72</v>
      </c>
      <c r="AA728" s="13">
        <v>5000</v>
      </c>
      <c r="AB728" s="2" t="s">
        <v>73</v>
      </c>
      <c r="AC728" s="2" t="s">
        <v>6773</v>
      </c>
      <c r="AD728" s="27"/>
      <c r="AL728" s="2" t="s">
        <v>5437</v>
      </c>
    </row>
    <row r="729" spans="1:38" hidden="1" x14ac:dyDescent="0.2">
      <c r="A729" s="2" t="s">
        <v>2443</v>
      </c>
      <c r="B729" s="2" t="s">
        <v>2448</v>
      </c>
      <c r="C729" s="2" t="s">
        <v>2449</v>
      </c>
      <c r="D729" s="2" t="s">
        <v>2450</v>
      </c>
      <c r="E729" s="13">
        <v>1000</v>
      </c>
      <c r="F729" s="13">
        <v>12000</v>
      </c>
      <c r="G729" s="14">
        <v>43287</v>
      </c>
      <c r="H729" s="15">
        <v>0</v>
      </c>
      <c r="I729" s="14">
        <v>43287</v>
      </c>
      <c r="J729" s="15">
        <v>0.61804398148147999</v>
      </c>
      <c r="K729" s="13">
        <v>0</v>
      </c>
      <c r="L729" s="2" t="s">
        <v>64</v>
      </c>
      <c r="M729" s="2" t="s">
        <v>2451</v>
      </c>
      <c r="N729" s="14">
        <v>43304</v>
      </c>
      <c r="O729" s="14">
        <v>43294</v>
      </c>
      <c r="P729" s="2" t="s">
        <v>91</v>
      </c>
      <c r="Q729" s="2" t="s">
        <v>2452</v>
      </c>
      <c r="R729" s="2" t="s">
        <v>80</v>
      </c>
      <c r="S729" s="14">
        <v>43304</v>
      </c>
      <c r="T729" s="2" t="s">
        <v>6597</v>
      </c>
      <c r="U729" s="2" t="s">
        <v>2453</v>
      </c>
      <c r="V729" s="2" t="s">
        <v>2454</v>
      </c>
      <c r="W729" s="2" t="s">
        <v>70</v>
      </c>
      <c r="X729" s="13">
        <v>809</v>
      </c>
      <c r="Y729" s="2" t="s">
        <v>71</v>
      </c>
      <c r="Z729" s="2" t="s">
        <v>72</v>
      </c>
      <c r="AA729" s="13">
        <v>1000</v>
      </c>
      <c r="AB729" s="2" t="s">
        <v>107</v>
      </c>
      <c r="AC729" s="2" t="s">
        <v>6773</v>
      </c>
      <c r="AD729" s="27">
        <v>43251</v>
      </c>
      <c r="AL729" s="2" t="s">
        <v>5438</v>
      </c>
    </row>
    <row r="730" spans="1:38" hidden="1" x14ac:dyDescent="0.2">
      <c r="A730" s="2" t="s">
        <v>2443</v>
      </c>
      <c r="B730" s="2" t="s">
        <v>6991</v>
      </c>
      <c r="C730" s="2" t="s">
        <v>2468</v>
      </c>
      <c r="D730" s="2" t="s">
        <v>2469</v>
      </c>
      <c r="E730" s="13">
        <v>10200</v>
      </c>
      <c r="F730" s="13">
        <v>10200</v>
      </c>
      <c r="G730" s="14">
        <v>43287</v>
      </c>
      <c r="H730" s="15">
        <v>0.85739583333333003</v>
      </c>
      <c r="I730" s="14">
        <v>43288</v>
      </c>
      <c r="J730" s="15">
        <v>0.38273148148148001</v>
      </c>
      <c r="K730" s="13">
        <v>0</v>
      </c>
      <c r="L730" s="2" t="s">
        <v>64</v>
      </c>
      <c r="M730" s="2" t="s">
        <v>6992</v>
      </c>
      <c r="N730" s="14">
        <v>43299</v>
      </c>
      <c r="O730" s="14">
        <v>43290</v>
      </c>
      <c r="P730" s="2" t="s">
        <v>404</v>
      </c>
      <c r="Q730" s="2" t="s">
        <v>6993</v>
      </c>
      <c r="R730" s="2" t="s">
        <v>80</v>
      </c>
      <c r="S730" s="14">
        <v>43299</v>
      </c>
      <c r="T730" s="2" t="s">
        <v>7121</v>
      </c>
      <c r="U730" s="2" t="s">
        <v>1209</v>
      </c>
      <c r="V730" s="2" t="s">
        <v>407</v>
      </c>
      <c r="W730" s="2" t="s">
        <v>70</v>
      </c>
      <c r="X730" s="13">
        <v>809</v>
      </c>
      <c r="Y730" s="2" t="s">
        <v>71</v>
      </c>
      <c r="Z730" s="2" t="s">
        <v>72</v>
      </c>
      <c r="AA730" s="13">
        <v>10000</v>
      </c>
      <c r="AB730" s="2" t="s">
        <v>107</v>
      </c>
      <c r="AC730" s="2" t="s">
        <v>6773</v>
      </c>
      <c r="AD730" s="27">
        <v>43271</v>
      </c>
      <c r="AL730" s="2" t="s">
        <v>7274</v>
      </c>
    </row>
    <row r="731" spans="1:38" hidden="1" x14ac:dyDescent="0.2">
      <c r="A731" s="2" t="s">
        <v>2443</v>
      </c>
      <c r="B731" s="2" t="s">
        <v>2457</v>
      </c>
      <c r="C731" s="2" t="s">
        <v>2458</v>
      </c>
      <c r="D731" s="2" t="s">
        <v>2459</v>
      </c>
      <c r="E731" s="13">
        <v>20000</v>
      </c>
      <c r="F731" s="13">
        <v>20000</v>
      </c>
      <c r="G731" s="14">
        <v>43288</v>
      </c>
      <c r="H731" s="15">
        <v>0.56587962962963001</v>
      </c>
      <c r="I731" s="14">
        <v>43289</v>
      </c>
      <c r="J731" s="15">
        <v>0.59596064814814997</v>
      </c>
      <c r="K731" s="13">
        <v>20</v>
      </c>
      <c r="L731" s="2" t="s">
        <v>64</v>
      </c>
      <c r="M731" s="2" t="s">
        <v>2460</v>
      </c>
      <c r="N731" s="14">
        <v>43297</v>
      </c>
      <c r="O731" s="14">
        <v>43291</v>
      </c>
      <c r="P731" s="2" t="s">
        <v>1573</v>
      </c>
      <c r="Q731" s="2" t="s">
        <v>2461</v>
      </c>
      <c r="R731" s="2" t="s">
        <v>80</v>
      </c>
      <c r="S731" s="14">
        <v>43297</v>
      </c>
      <c r="T731" s="2" t="s">
        <v>6598</v>
      </c>
      <c r="U731" s="2" t="s">
        <v>1812</v>
      </c>
      <c r="V731" s="2" t="s">
        <v>221</v>
      </c>
      <c r="W731" s="2" t="s">
        <v>70</v>
      </c>
      <c r="X731" s="13">
        <v>809</v>
      </c>
      <c r="Y731" s="2" t="s">
        <v>71</v>
      </c>
      <c r="Z731" s="2" t="s">
        <v>72</v>
      </c>
      <c r="AA731" s="13">
        <v>20000</v>
      </c>
      <c r="AB731" s="2" t="s">
        <v>107</v>
      </c>
      <c r="AC731" s="2" t="s">
        <v>6773</v>
      </c>
      <c r="AD731" s="27">
        <v>43264</v>
      </c>
      <c r="AL731" s="2" t="s">
        <v>5439</v>
      </c>
    </row>
    <row r="732" spans="1:38" x14ac:dyDescent="0.2">
      <c r="A732" s="2" t="s">
        <v>2443</v>
      </c>
      <c r="B732" s="2" t="s">
        <v>2455</v>
      </c>
      <c r="C732" s="2" t="s">
        <v>2449</v>
      </c>
      <c r="D732" s="2" t="s">
        <v>2450</v>
      </c>
      <c r="E732" s="16">
        <v>14704.45</v>
      </c>
      <c r="F732" s="16">
        <v>14704.45</v>
      </c>
      <c r="G732" s="14">
        <v>43295</v>
      </c>
      <c r="H732" s="15">
        <v>0.60674768518518996</v>
      </c>
      <c r="I732" s="14">
        <v>43296</v>
      </c>
      <c r="J732" s="15">
        <v>0.36408564814814998</v>
      </c>
      <c r="K732" s="13">
        <v>0</v>
      </c>
      <c r="L732" s="2" t="s">
        <v>64</v>
      </c>
      <c r="M732" s="2" t="s">
        <v>4557</v>
      </c>
      <c r="N732" s="14">
        <v>43304</v>
      </c>
      <c r="O732" s="14">
        <v>43303</v>
      </c>
      <c r="P732" s="2" t="s">
        <v>91</v>
      </c>
      <c r="Q732" s="2" t="s">
        <v>2456</v>
      </c>
      <c r="R732" s="2" t="s">
        <v>80</v>
      </c>
      <c r="S732" s="14">
        <v>43304</v>
      </c>
      <c r="T732" s="2" t="s">
        <v>6599</v>
      </c>
      <c r="U732" s="2" t="s">
        <v>2453</v>
      </c>
      <c r="V732" s="2" t="s">
        <v>2454</v>
      </c>
      <c r="W732" s="2" t="s">
        <v>70</v>
      </c>
      <c r="X732" s="13">
        <v>809</v>
      </c>
      <c r="Y732" s="2" t="s">
        <v>71</v>
      </c>
      <c r="Z732" s="2" t="s">
        <v>72</v>
      </c>
      <c r="AA732" s="13">
        <v>14500</v>
      </c>
      <c r="AB732" s="2" t="s">
        <v>107</v>
      </c>
      <c r="AC732" s="2" t="s">
        <v>6773</v>
      </c>
      <c r="AD732" s="27">
        <v>43259</v>
      </c>
      <c r="AL732" s="2" t="s">
        <v>5440</v>
      </c>
    </row>
    <row r="733" spans="1:38" hidden="1" x14ac:dyDescent="0.2">
      <c r="A733" s="2" t="s">
        <v>2443</v>
      </c>
      <c r="B733" s="2" t="s">
        <v>2475</v>
      </c>
      <c r="C733" s="2" t="s">
        <v>2449</v>
      </c>
      <c r="D733" s="2" t="s">
        <v>2450</v>
      </c>
      <c r="E733" s="16">
        <v>9126.9</v>
      </c>
      <c r="F733" s="16">
        <v>9126.9</v>
      </c>
      <c r="G733" s="14">
        <v>43296</v>
      </c>
      <c r="H733" s="15">
        <v>0.52440972222222004</v>
      </c>
      <c r="I733" s="14">
        <v>43296</v>
      </c>
      <c r="J733" s="15">
        <v>0.99447916666667002</v>
      </c>
      <c r="K733" s="13">
        <v>20</v>
      </c>
      <c r="L733" s="2" t="s">
        <v>64</v>
      </c>
      <c r="M733" s="2" t="s">
        <v>2476</v>
      </c>
      <c r="N733" s="14">
        <v>43308</v>
      </c>
      <c r="O733" s="14">
        <v>43303</v>
      </c>
      <c r="P733" s="2" t="s">
        <v>91</v>
      </c>
      <c r="Q733" s="2" t="s">
        <v>2477</v>
      </c>
      <c r="R733" s="2" t="s">
        <v>80</v>
      </c>
      <c r="S733" s="14">
        <v>43308</v>
      </c>
      <c r="T733" s="2" t="s">
        <v>6600</v>
      </c>
      <c r="U733" s="2" t="s">
        <v>2453</v>
      </c>
      <c r="V733" s="2" t="s">
        <v>2454</v>
      </c>
      <c r="W733" s="2" t="s">
        <v>70</v>
      </c>
      <c r="X733" s="13">
        <v>809</v>
      </c>
      <c r="Y733" s="2" t="s">
        <v>71</v>
      </c>
      <c r="Z733" s="2" t="s">
        <v>72</v>
      </c>
      <c r="AA733" s="13">
        <v>9000</v>
      </c>
      <c r="AB733" s="2" t="s">
        <v>107</v>
      </c>
      <c r="AC733" s="2" t="s">
        <v>6773</v>
      </c>
      <c r="AD733" s="27">
        <v>43280</v>
      </c>
      <c r="AL733" s="2" t="s">
        <v>5441</v>
      </c>
    </row>
    <row r="734" spans="1:38" hidden="1" x14ac:dyDescent="0.2">
      <c r="A734" s="2" t="s">
        <v>2443</v>
      </c>
      <c r="B734" s="2" t="s">
        <v>4558</v>
      </c>
      <c r="C734" s="2" t="s">
        <v>2449</v>
      </c>
      <c r="D734" s="2" t="s">
        <v>2450</v>
      </c>
      <c r="E734" s="16">
        <v>5729.665</v>
      </c>
      <c r="F734" s="16">
        <v>5729.665</v>
      </c>
      <c r="G734" s="14">
        <v>43304</v>
      </c>
      <c r="H734" s="15">
        <v>0.70489583333332995</v>
      </c>
      <c r="I734" s="14">
        <v>43305</v>
      </c>
      <c r="J734" s="15">
        <v>0</v>
      </c>
      <c r="K734" s="13">
        <v>20</v>
      </c>
      <c r="L734" s="2" t="s">
        <v>64</v>
      </c>
      <c r="M734" s="2" t="s">
        <v>4559</v>
      </c>
      <c r="N734" s="14">
        <v>43312</v>
      </c>
      <c r="O734" s="14">
        <v>43311</v>
      </c>
      <c r="P734" s="2" t="s">
        <v>91</v>
      </c>
      <c r="Q734" s="2" t="s">
        <v>4560</v>
      </c>
      <c r="R734" s="2" t="s">
        <v>80</v>
      </c>
      <c r="S734" s="14">
        <v>43312</v>
      </c>
      <c r="T734" s="2" t="s">
        <v>6601</v>
      </c>
      <c r="U734" s="2" t="s">
        <v>2453</v>
      </c>
      <c r="V734" s="2" t="s">
        <v>2454</v>
      </c>
      <c r="W734" s="2" t="s">
        <v>70</v>
      </c>
      <c r="X734" s="13">
        <v>809</v>
      </c>
      <c r="Y734" s="2" t="s">
        <v>71</v>
      </c>
      <c r="Z734" s="2" t="s">
        <v>72</v>
      </c>
      <c r="AA734" s="13">
        <v>5650</v>
      </c>
      <c r="AB734" s="2" t="s">
        <v>73</v>
      </c>
      <c r="AC734" s="2" t="s">
        <v>6773</v>
      </c>
      <c r="AD734" s="27">
        <v>43284</v>
      </c>
      <c r="AL734" s="2" t="s">
        <v>5442</v>
      </c>
    </row>
    <row r="735" spans="1:38" hidden="1" x14ac:dyDescent="0.2">
      <c r="A735" s="2" t="s">
        <v>2443</v>
      </c>
      <c r="B735" s="2" t="s">
        <v>2478</v>
      </c>
      <c r="C735" s="2" t="s">
        <v>2449</v>
      </c>
      <c r="D735" s="2" t="s">
        <v>2450</v>
      </c>
      <c r="E735" s="16">
        <v>12169.200999999999</v>
      </c>
      <c r="F735" s="16">
        <v>12169.200999999999</v>
      </c>
      <c r="G735" s="14">
        <v>43305</v>
      </c>
      <c r="H735" s="15">
        <v>0.43346064814815</v>
      </c>
      <c r="I735" s="14">
        <v>43306</v>
      </c>
      <c r="J735" s="15">
        <v>6.0219907407409998E-2</v>
      </c>
      <c r="K735" s="13">
        <v>0</v>
      </c>
      <c r="L735" s="2" t="s">
        <v>64</v>
      </c>
      <c r="M735" s="2" t="s">
        <v>4561</v>
      </c>
      <c r="N735" s="14">
        <v>43313</v>
      </c>
      <c r="O735" s="14">
        <v>43313</v>
      </c>
      <c r="P735" s="2" t="s">
        <v>91</v>
      </c>
      <c r="Q735" s="2" t="s">
        <v>2479</v>
      </c>
      <c r="R735" s="2" t="s">
        <v>80</v>
      </c>
      <c r="S735" s="14">
        <v>43313</v>
      </c>
      <c r="T735" s="2" t="s">
        <v>6602</v>
      </c>
      <c r="U735" s="2" t="s">
        <v>2453</v>
      </c>
      <c r="V735" s="2" t="s">
        <v>2454</v>
      </c>
      <c r="W735" s="2" t="s">
        <v>70</v>
      </c>
      <c r="X735" s="13">
        <v>809</v>
      </c>
      <c r="Y735" s="2" t="s">
        <v>71</v>
      </c>
      <c r="Z735" s="2" t="s">
        <v>72</v>
      </c>
      <c r="AA735" s="13">
        <v>12000</v>
      </c>
      <c r="AB735" s="2" t="s">
        <v>73</v>
      </c>
      <c r="AC735" s="2" t="s">
        <v>6773</v>
      </c>
      <c r="AD735" s="27">
        <v>43272</v>
      </c>
      <c r="AL735" s="2" t="s">
        <v>5443</v>
      </c>
    </row>
    <row r="736" spans="1:38" hidden="1" x14ac:dyDescent="0.2">
      <c r="A736" s="2" t="s">
        <v>2443</v>
      </c>
      <c r="B736" s="2" t="s">
        <v>4562</v>
      </c>
      <c r="C736" s="2" t="s">
        <v>2449</v>
      </c>
      <c r="D736" s="2" t="s">
        <v>2450</v>
      </c>
      <c r="E736" s="16">
        <v>6946.585</v>
      </c>
      <c r="F736" s="16">
        <v>6946.585</v>
      </c>
      <c r="G736" s="14">
        <v>43306</v>
      </c>
      <c r="H736" s="15">
        <v>0.64222222222222003</v>
      </c>
      <c r="I736" s="14">
        <v>43307</v>
      </c>
      <c r="J736" s="15">
        <v>0</v>
      </c>
      <c r="K736" s="13">
        <v>20</v>
      </c>
      <c r="L736" s="2" t="s">
        <v>64</v>
      </c>
      <c r="M736" s="2" t="s">
        <v>4563</v>
      </c>
      <c r="N736" s="14">
        <v>43314</v>
      </c>
      <c r="O736" s="14">
        <v>43313</v>
      </c>
      <c r="P736" s="2" t="s">
        <v>91</v>
      </c>
      <c r="Q736" s="2" t="s">
        <v>4564</v>
      </c>
      <c r="R736" s="2" t="s">
        <v>80</v>
      </c>
      <c r="S736" s="14">
        <v>43314</v>
      </c>
      <c r="T736" s="2" t="s">
        <v>6603</v>
      </c>
      <c r="U736" s="2" t="s">
        <v>2453</v>
      </c>
      <c r="V736" s="2" t="s">
        <v>2454</v>
      </c>
      <c r="W736" s="2" t="s">
        <v>70</v>
      </c>
      <c r="X736" s="13">
        <v>809</v>
      </c>
      <c r="Y736" s="2" t="s">
        <v>71</v>
      </c>
      <c r="Z736" s="2" t="s">
        <v>72</v>
      </c>
      <c r="AA736" s="13">
        <v>6850</v>
      </c>
      <c r="AB736" s="2" t="s">
        <v>73</v>
      </c>
      <c r="AC736" s="2" t="s">
        <v>6773</v>
      </c>
      <c r="AD736" s="27">
        <v>43286</v>
      </c>
      <c r="AL736" s="2" t="s">
        <v>5444</v>
      </c>
    </row>
    <row r="737" spans="1:38" hidden="1" x14ac:dyDescent="0.2">
      <c r="A737" s="2" t="s">
        <v>2443</v>
      </c>
      <c r="B737" s="2" t="s">
        <v>2480</v>
      </c>
      <c r="C737" s="2" t="s">
        <v>2445</v>
      </c>
      <c r="D737" s="2" t="s">
        <v>2446</v>
      </c>
      <c r="E737" s="13">
        <v>10000</v>
      </c>
      <c r="F737" s="13">
        <v>10000</v>
      </c>
      <c r="G737" s="14">
        <v>43311</v>
      </c>
      <c r="H737" s="15">
        <v>0.48496527777777998</v>
      </c>
      <c r="I737" s="14">
        <v>43312</v>
      </c>
      <c r="J737" s="15">
        <v>0</v>
      </c>
      <c r="K737" s="13">
        <v>0</v>
      </c>
      <c r="L737" s="2" t="s">
        <v>64</v>
      </c>
      <c r="M737" s="2" t="s">
        <v>2447</v>
      </c>
      <c r="N737" s="14">
        <v>43332</v>
      </c>
      <c r="O737" s="14">
        <v>43313</v>
      </c>
      <c r="P737" s="2" t="s">
        <v>2002</v>
      </c>
      <c r="Q737" s="2" t="s">
        <v>98</v>
      </c>
      <c r="R737" s="2" t="s">
        <v>131</v>
      </c>
      <c r="S737" s="14"/>
      <c r="U737" s="2" t="s">
        <v>484</v>
      </c>
      <c r="V737" s="2" t="s">
        <v>69</v>
      </c>
      <c r="W737" s="2" t="s">
        <v>70</v>
      </c>
      <c r="X737" s="13">
        <v>0</v>
      </c>
      <c r="Y737" s="2" t="s">
        <v>71</v>
      </c>
      <c r="Z737" s="2" t="s">
        <v>72</v>
      </c>
      <c r="AA737" s="13">
        <v>10000</v>
      </c>
      <c r="AB737" s="2" t="s">
        <v>95</v>
      </c>
      <c r="AC737" s="2" t="s">
        <v>6772</v>
      </c>
      <c r="AD737" s="27"/>
      <c r="AL737" s="2" t="s">
        <v>5445</v>
      </c>
    </row>
    <row r="738" spans="1:38" hidden="1" x14ac:dyDescent="0.2">
      <c r="A738" s="2" t="s">
        <v>2443</v>
      </c>
      <c r="B738" s="2" t="s">
        <v>2481</v>
      </c>
      <c r="C738" s="2" t="s">
        <v>2482</v>
      </c>
      <c r="D738" s="2" t="s">
        <v>2483</v>
      </c>
      <c r="E738" s="13">
        <v>4040</v>
      </c>
      <c r="F738" s="13">
        <v>4040</v>
      </c>
      <c r="G738" s="14">
        <v>43313</v>
      </c>
      <c r="H738" s="15">
        <v>0.74099537037037</v>
      </c>
      <c r="I738" s="14">
        <v>43313</v>
      </c>
      <c r="J738" s="15">
        <v>0.94907407407406996</v>
      </c>
      <c r="K738" s="13">
        <v>0</v>
      </c>
      <c r="L738" s="2" t="s">
        <v>64</v>
      </c>
      <c r="M738" s="2" t="s">
        <v>2484</v>
      </c>
      <c r="N738" s="14">
        <v>43321</v>
      </c>
      <c r="O738" s="14">
        <v>43320</v>
      </c>
      <c r="P738" s="2" t="s">
        <v>2485</v>
      </c>
      <c r="Q738" s="2" t="s">
        <v>2486</v>
      </c>
      <c r="R738" s="2" t="s">
        <v>80</v>
      </c>
      <c r="S738" s="14">
        <v>43321</v>
      </c>
      <c r="T738" s="2" t="s">
        <v>6604</v>
      </c>
      <c r="U738" s="2" t="s">
        <v>1251</v>
      </c>
      <c r="V738" s="2" t="s">
        <v>2487</v>
      </c>
      <c r="W738" s="2" t="s">
        <v>70</v>
      </c>
      <c r="X738" s="13">
        <v>809</v>
      </c>
      <c r="Y738" s="2" t="s">
        <v>71</v>
      </c>
      <c r="Z738" s="2" t="s">
        <v>72</v>
      </c>
      <c r="AA738" s="13">
        <v>4000</v>
      </c>
      <c r="AB738" s="2" t="s">
        <v>73</v>
      </c>
      <c r="AC738" s="2" t="s">
        <v>6773</v>
      </c>
      <c r="AD738" s="27">
        <v>43283</v>
      </c>
      <c r="AL738" s="2" t="s">
        <v>5446</v>
      </c>
    </row>
    <row r="739" spans="1:38" hidden="1" x14ac:dyDescent="0.2">
      <c r="A739" s="2" t="s">
        <v>2443</v>
      </c>
      <c r="B739" s="2" t="s">
        <v>2488</v>
      </c>
      <c r="C739" s="2" t="s">
        <v>2391</v>
      </c>
      <c r="D739" s="2" t="s">
        <v>2392</v>
      </c>
      <c r="E739" s="13">
        <v>20000</v>
      </c>
      <c r="F739" s="13">
        <v>20000</v>
      </c>
      <c r="G739" s="14">
        <v>43313</v>
      </c>
      <c r="H739" s="15">
        <v>0.96990740740740999</v>
      </c>
      <c r="I739" s="14">
        <v>43314</v>
      </c>
      <c r="J739" s="15">
        <v>0.99998842592592996</v>
      </c>
      <c r="K739" s="13">
        <v>0</v>
      </c>
      <c r="L739" s="2" t="s">
        <v>64</v>
      </c>
      <c r="M739" s="2" t="s">
        <v>2460</v>
      </c>
      <c r="N739" s="14">
        <v>43316</v>
      </c>
      <c r="O739" s="14">
        <v>43316</v>
      </c>
      <c r="P739" s="2" t="s">
        <v>404</v>
      </c>
      <c r="Q739" s="2" t="s">
        <v>6994</v>
      </c>
      <c r="R739" s="2" t="s">
        <v>80</v>
      </c>
      <c r="S739" s="14">
        <v>43318</v>
      </c>
      <c r="U739" s="2" t="s">
        <v>442</v>
      </c>
      <c r="V739" s="2" t="s">
        <v>407</v>
      </c>
      <c r="W739" s="2" t="s">
        <v>70</v>
      </c>
      <c r="X739" s="13">
        <v>0</v>
      </c>
      <c r="Y739" s="2" t="s">
        <v>71</v>
      </c>
      <c r="Z739" s="2" t="s">
        <v>72</v>
      </c>
      <c r="AA739" s="13">
        <v>20000</v>
      </c>
      <c r="AB739" s="2" t="s">
        <v>95</v>
      </c>
      <c r="AC739" s="2" t="s">
        <v>6772</v>
      </c>
      <c r="AD739" s="27"/>
      <c r="AL739" s="2" t="s">
        <v>5447</v>
      </c>
    </row>
    <row r="740" spans="1:38" hidden="1" x14ac:dyDescent="0.2">
      <c r="A740" s="2" t="s">
        <v>2443</v>
      </c>
      <c r="B740" s="2" t="s">
        <v>2489</v>
      </c>
      <c r="C740" s="2" t="s">
        <v>2458</v>
      </c>
      <c r="D740" s="2" t="s">
        <v>2459</v>
      </c>
      <c r="E740" s="13">
        <v>20000</v>
      </c>
      <c r="F740" s="13">
        <v>20000</v>
      </c>
      <c r="G740" s="14">
        <v>43316</v>
      </c>
      <c r="H740" s="15">
        <v>0.96991898148148004</v>
      </c>
      <c r="I740" s="14">
        <v>43318</v>
      </c>
      <c r="J740" s="15">
        <v>0</v>
      </c>
      <c r="K740" s="13">
        <v>20</v>
      </c>
      <c r="L740" s="2" t="s">
        <v>64</v>
      </c>
      <c r="M740" s="2" t="s">
        <v>2460</v>
      </c>
      <c r="N740" s="14">
        <v>43320</v>
      </c>
      <c r="O740" s="14">
        <v>43319</v>
      </c>
      <c r="P740" s="2" t="s">
        <v>1573</v>
      </c>
      <c r="Q740" s="2" t="s">
        <v>2490</v>
      </c>
      <c r="R740" s="2" t="s">
        <v>80</v>
      </c>
      <c r="S740" s="14">
        <v>43320</v>
      </c>
      <c r="T740" s="2" t="s">
        <v>6605</v>
      </c>
      <c r="U740" s="2" t="s">
        <v>1812</v>
      </c>
      <c r="V740" s="2" t="s">
        <v>221</v>
      </c>
      <c r="W740" s="2" t="s">
        <v>70</v>
      </c>
      <c r="X740" s="13">
        <v>809</v>
      </c>
      <c r="Y740" s="2" t="s">
        <v>71</v>
      </c>
      <c r="Z740" s="2" t="s">
        <v>72</v>
      </c>
      <c r="AA740" s="13">
        <v>20000</v>
      </c>
      <c r="AB740" s="2" t="s">
        <v>73</v>
      </c>
      <c r="AC740" s="2" t="s">
        <v>6773</v>
      </c>
      <c r="AD740" s="27">
        <v>43264</v>
      </c>
      <c r="AL740" s="2" t="s">
        <v>5448</v>
      </c>
    </row>
    <row r="741" spans="1:38" hidden="1" x14ac:dyDescent="0.2">
      <c r="A741" s="2" t="s">
        <v>2443</v>
      </c>
      <c r="B741" s="2" t="s">
        <v>2491</v>
      </c>
      <c r="C741" s="2" t="s">
        <v>2445</v>
      </c>
      <c r="D741" s="2" t="s">
        <v>2446</v>
      </c>
      <c r="E741" s="13">
        <v>10000</v>
      </c>
      <c r="F741" s="13">
        <v>10000</v>
      </c>
      <c r="G741" s="14">
        <v>43320</v>
      </c>
      <c r="H741" s="15">
        <v>0.54166666666666996</v>
      </c>
      <c r="I741" s="14">
        <v>43321</v>
      </c>
      <c r="J741" s="15">
        <v>5.6701388888890002E-2</v>
      </c>
      <c r="K741" s="13">
        <v>0</v>
      </c>
      <c r="L741" s="2" t="s">
        <v>64</v>
      </c>
      <c r="M741" s="2" t="s">
        <v>2447</v>
      </c>
      <c r="N741" s="14">
        <v>43291</v>
      </c>
      <c r="O741" s="14">
        <v>43323</v>
      </c>
      <c r="P741" s="2" t="s">
        <v>2002</v>
      </c>
      <c r="Q741" s="2" t="s">
        <v>2492</v>
      </c>
      <c r="R741" s="2" t="s">
        <v>80</v>
      </c>
      <c r="S741" s="14">
        <v>43332</v>
      </c>
      <c r="U741" s="2" t="s">
        <v>484</v>
      </c>
      <c r="V741" s="2" t="s">
        <v>69</v>
      </c>
      <c r="W741" s="2" t="s">
        <v>70</v>
      </c>
      <c r="X741" s="13">
        <v>0</v>
      </c>
      <c r="Y741" s="2" t="s">
        <v>71</v>
      </c>
      <c r="Z741" s="2" t="s">
        <v>72</v>
      </c>
      <c r="AA741" s="13">
        <v>10000</v>
      </c>
      <c r="AB741" s="2" t="s">
        <v>95</v>
      </c>
      <c r="AC741" s="2" t="s">
        <v>6772</v>
      </c>
      <c r="AD741" s="27"/>
      <c r="AL741" s="2" t="s">
        <v>5449</v>
      </c>
    </row>
    <row r="742" spans="1:38" hidden="1" x14ac:dyDescent="0.2">
      <c r="A742" s="2" t="s">
        <v>2443</v>
      </c>
      <c r="B742" s="2" t="s">
        <v>2493</v>
      </c>
      <c r="C742" s="2" t="s">
        <v>2391</v>
      </c>
      <c r="D742" s="2" t="s">
        <v>2392</v>
      </c>
      <c r="E742" s="13">
        <v>20000</v>
      </c>
      <c r="F742" s="13">
        <v>20000</v>
      </c>
      <c r="G742" s="14">
        <v>43321</v>
      </c>
      <c r="H742" s="15">
        <v>0.91899305555555999</v>
      </c>
      <c r="I742" s="14">
        <v>43322</v>
      </c>
      <c r="J742" s="15">
        <v>0.94907407407406996</v>
      </c>
      <c r="K742" s="13">
        <v>0</v>
      </c>
      <c r="L742" s="2" t="s">
        <v>64</v>
      </c>
      <c r="M742" s="2" t="s">
        <v>2460</v>
      </c>
      <c r="N742" s="14">
        <v>43324</v>
      </c>
      <c r="O742" s="14">
        <v>43326</v>
      </c>
      <c r="P742" s="2" t="s">
        <v>404</v>
      </c>
      <c r="Q742" s="2" t="s">
        <v>6995</v>
      </c>
      <c r="R742" s="2" t="s">
        <v>80</v>
      </c>
      <c r="S742" s="14">
        <v>43327</v>
      </c>
      <c r="U742" s="2" t="s">
        <v>442</v>
      </c>
      <c r="V742" s="2" t="s">
        <v>407</v>
      </c>
      <c r="W742" s="2" t="s">
        <v>70</v>
      </c>
      <c r="X742" s="13">
        <v>0</v>
      </c>
      <c r="Y742" s="2" t="s">
        <v>71</v>
      </c>
      <c r="Z742" s="2" t="s">
        <v>72</v>
      </c>
      <c r="AA742" s="13">
        <v>20000</v>
      </c>
      <c r="AB742" s="2" t="s">
        <v>95</v>
      </c>
      <c r="AC742" s="2" t="s">
        <v>6772</v>
      </c>
      <c r="AD742" s="27"/>
      <c r="AL742" s="2" t="s">
        <v>5450</v>
      </c>
    </row>
    <row r="743" spans="1:38" hidden="1" x14ac:dyDescent="0.2">
      <c r="A743" s="2" t="s">
        <v>2443</v>
      </c>
      <c r="B743" s="2" t="s">
        <v>2494</v>
      </c>
      <c r="C743" s="2" t="s">
        <v>2463</v>
      </c>
      <c r="D743" s="2" t="s">
        <v>2464</v>
      </c>
      <c r="E743" s="13">
        <v>25000</v>
      </c>
      <c r="F743" s="13">
        <v>25000</v>
      </c>
      <c r="G743" s="14">
        <v>43322</v>
      </c>
      <c r="H743" s="15">
        <v>0.71239583333333001</v>
      </c>
      <c r="I743" s="14">
        <v>43323</v>
      </c>
      <c r="J743" s="15">
        <v>0.99998842592592996</v>
      </c>
      <c r="K743" s="13">
        <v>0</v>
      </c>
      <c r="L743" s="2" t="s">
        <v>64</v>
      </c>
      <c r="M743" s="2" t="s">
        <v>2495</v>
      </c>
      <c r="N743" s="14">
        <v>43325</v>
      </c>
      <c r="O743" s="14">
        <v>43325</v>
      </c>
      <c r="P743" s="2" t="s">
        <v>1573</v>
      </c>
      <c r="Q743" s="2" t="s">
        <v>2739</v>
      </c>
      <c r="R743" s="2" t="s">
        <v>80</v>
      </c>
      <c r="S743" s="14">
        <v>43334</v>
      </c>
      <c r="U743" s="2" t="s">
        <v>516</v>
      </c>
      <c r="V743" s="2" t="s">
        <v>69</v>
      </c>
      <c r="W743" s="2" t="s">
        <v>70</v>
      </c>
      <c r="X743" s="13">
        <v>0</v>
      </c>
      <c r="Y743" s="2" t="s">
        <v>71</v>
      </c>
      <c r="Z743" s="2" t="s">
        <v>72</v>
      </c>
      <c r="AA743" s="13">
        <v>25000</v>
      </c>
      <c r="AB743" s="2" t="s">
        <v>95</v>
      </c>
      <c r="AC743" s="2" t="s">
        <v>6772</v>
      </c>
      <c r="AD743" s="27"/>
      <c r="AL743" s="2" t="s">
        <v>5451</v>
      </c>
    </row>
    <row r="744" spans="1:38" hidden="1" x14ac:dyDescent="0.2">
      <c r="A744" s="2" t="s">
        <v>2443</v>
      </c>
      <c r="B744" s="2" t="s">
        <v>2496</v>
      </c>
      <c r="C744" s="2" t="s">
        <v>2391</v>
      </c>
      <c r="D744" s="2" t="s">
        <v>2392</v>
      </c>
      <c r="E744" s="13">
        <v>20000</v>
      </c>
      <c r="F744" s="13">
        <v>20000</v>
      </c>
      <c r="G744" s="14">
        <v>43322</v>
      </c>
      <c r="H744" s="15">
        <v>0.96990740740740999</v>
      </c>
      <c r="I744" s="14">
        <v>43323</v>
      </c>
      <c r="J744" s="15">
        <v>0.99998842592592996</v>
      </c>
      <c r="K744" s="13">
        <v>0</v>
      </c>
      <c r="L744" s="2" t="s">
        <v>64</v>
      </c>
      <c r="M744" s="2" t="s">
        <v>2460</v>
      </c>
      <c r="N744" s="14">
        <v>43325</v>
      </c>
      <c r="O744" s="14">
        <v>43325</v>
      </c>
      <c r="P744" s="2" t="s">
        <v>404</v>
      </c>
      <c r="Q744" s="2" t="s">
        <v>98</v>
      </c>
      <c r="R744" s="2" t="s">
        <v>131</v>
      </c>
      <c r="S744" s="14"/>
      <c r="U744" s="2" t="s">
        <v>442</v>
      </c>
      <c r="V744" s="2" t="s">
        <v>407</v>
      </c>
      <c r="W744" s="2" t="s">
        <v>70</v>
      </c>
      <c r="X744" s="13">
        <v>0</v>
      </c>
      <c r="Y744" s="2" t="s">
        <v>71</v>
      </c>
      <c r="Z744" s="2" t="s">
        <v>72</v>
      </c>
      <c r="AA744" s="13">
        <v>20000</v>
      </c>
      <c r="AB744" s="2" t="s">
        <v>95</v>
      </c>
      <c r="AC744" s="2" t="s">
        <v>6772</v>
      </c>
      <c r="AD744" s="27"/>
      <c r="AL744" s="2" t="s">
        <v>5452</v>
      </c>
    </row>
    <row r="745" spans="1:38" hidden="1" x14ac:dyDescent="0.2">
      <c r="A745" s="2" t="s">
        <v>2443</v>
      </c>
      <c r="B745" s="2" t="s">
        <v>2497</v>
      </c>
      <c r="C745" s="2" t="s">
        <v>2463</v>
      </c>
      <c r="D745" s="2" t="s">
        <v>2464</v>
      </c>
      <c r="E745" s="13">
        <v>20000</v>
      </c>
      <c r="F745" s="13">
        <v>20000</v>
      </c>
      <c r="G745" s="14">
        <v>43322</v>
      </c>
      <c r="H745" s="15">
        <v>0.96990740740740999</v>
      </c>
      <c r="I745" s="14">
        <v>43323</v>
      </c>
      <c r="J745" s="15">
        <v>0.99998842592592996</v>
      </c>
      <c r="K745" s="13">
        <v>0</v>
      </c>
      <c r="L745" s="2" t="s">
        <v>64</v>
      </c>
      <c r="M745" s="2" t="s">
        <v>2460</v>
      </c>
      <c r="N745" s="14">
        <v>43325</v>
      </c>
      <c r="O745" s="14">
        <v>43325</v>
      </c>
      <c r="P745" s="2" t="s">
        <v>1573</v>
      </c>
      <c r="Q745" s="2" t="s">
        <v>98</v>
      </c>
      <c r="R745" s="2" t="s">
        <v>131</v>
      </c>
      <c r="S745" s="14"/>
      <c r="U745" s="2" t="s">
        <v>516</v>
      </c>
      <c r="V745" s="2" t="s">
        <v>69</v>
      </c>
      <c r="W745" s="2" t="s">
        <v>70</v>
      </c>
      <c r="X745" s="13">
        <v>0</v>
      </c>
      <c r="Y745" s="2" t="s">
        <v>71</v>
      </c>
      <c r="Z745" s="2" t="s">
        <v>72</v>
      </c>
      <c r="AA745" s="13">
        <v>20000</v>
      </c>
      <c r="AB745" s="2" t="s">
        <v>95</v>
      </c>
      <c r="AC745" s="2" t="s">
        <v>6772</v>
      </c>
      <c r="AD745" s="27"/>
      <c r="AL745" s="2" t="s">
        <v>5453</v>
      </c>
    </row>
    <row r="746" spans="1:38" hidden="1" x14ac:dyDescent="0.2">
      <c r="A746" s="2" t="s">
        <v>2443</v>
      </c>
      <c r="B746" s="2" t="s">
        <v>4565</v>
      </c>
      <c r="C746" s="2" t="s">
        <v>3199</v>
      </c>
      <c r="D746" s="2" t="s">
        <v>3200</v>
      </c>
      <c r="E746" s="16">
        <v>5067.5</v>
      </c>
      <c r="F746" s="16">
        <v>5067.5</v>
      </c>
      <c r="G746" s="14">
        <v>43329</v>
      </c>
      <c r="H746" s="15">
        <v>0.73900462962962998</v>
      </c>
      <c r="I746" s="14">
        <v>43330</v>
      </c>
      <c r="J746" s="15">
        <v>0</v>
      </c>
      <c r="K746" s="13">
        <v>20</v>
      </c>
      <c r="L746" s="2" t="s">
        <v>64</v>
      </c>
      <c r="M746" s="2" t="s">
        <v>4566</v>
      </c>
      <c r="N746" s="14">
        <v>43332</v>
      </c>
      <c r="O746" s="14">
        <v>43331</v>
      </c>
      <c r="P746" s="2" t="s">
        <v>1573</v>
      </c>
      <c r="Q746" s="2" t="s">
        <v>4567</v>
      </c>
      <c r="R746" s="2" t="s">
        <v>80</v>
      </c>
      <c r="S746" s="14">
        <v>43332</v>
      </c>
      <c r="U746" s="2" t="s">
        <v>3203</v>
      </c>
      <c r="V746" s="2" t="s">
        <v>81</v>
      </c>
      <c r="W746" s="2" t="s">
        <v>70</v>
      </c>
      <c r="X746" s="13">
        <v>809</v>
      </c>
      <c r="Y746" s="2" t="s">
        <v>71</v>
      </c>
      <c r="Z746" s="2" t="s">
        <v>72</v>
      </c>
      <c r="AA746" s="13">
        <v>5000</v>
      </c>
      <c r="AB746" s="2" t="s">
        <v>73</v>
      </c>
      <c r="AC746" s="2" t="s">
        <v>6773</v>
      </c>
      <c r="AD746" s="27"/>
      <c r="AL746" s="2" t="s">
        <v>7275</v>
      </c>
    </row>
    <row r="747" spans="1:38" hidden="1" x14ac:dyDescent="0.2">
      <c r="A747" s="2" t="s">
        <v>2443</v>
      </c>
      <c r="B747" s="2" t="s">
        <v>2498</v>
      </c>
      <c r="C747" s="2" t="s">
        <v>2458</v>
      </c>
      <c r="D747" s="2" t="s">
        <v>2459</v>
      </c>
      <c r="E747" s="13">
        <v>5085</v>
      </c>
      <c r="F747" s="13">
        <v>5085</v>
      </c>
      <c r="G747" s="14">
        <v>43358</v>
      </c>
      <c r="H747" s="15">
        <v>0.73810185185184995</v>
      </c>
      <c r="I747" s="14">
        <v>43359</v>
      </c>
      <c r="J747" s="15">
        <v>0</v>
      </c>
      <c r="K747" s="13">
        <v>0</v>
      </c>
      <c r="L747" s="2" t="s">
        <v>64</v>
      </c>
      <c r="M747" s="2" t="s">
        <v>2499</v>
      </c>
      <c r="N747" s="14">
        <v>43361</v>
      </c>
      <c r="O747" s="14">
        <v>43360</v>
      </c>
      <c r="P747" s="2" t="s">
        <v>1573</v>
      </c>
      <c r="Q747" s="2" t="s">
        <v>2500</v>
      </c>
      <c r="R747" s="2" t="s">
        <v>80</v>
      </c>
      <c r="S747" s="14">
        <v>43361</v>
      </c>
      <c r="U747" s="2" t="s">
        <v>1812</v>
      </c>
      <c r="V747" s="2" t="s">
        <v>221</v>
      </c>
      <c r="W747" s="2" t="s">
        <v>70</v>
      </c>
      <c r="X747" s="13">
        <v>809</v>
      </c>
      <c r="Y747" s="2" t="s">
        <v>71</v>
      </c>
      <c r="Z747" s="2" t="s">
        <v>72</v>
      </c>
      <c r="AA747" s="13">
        <v>5000</v>
      </c>
      <c r="AB747" s="2" t="s">
        <v>73</v>
      </c>
      <c r="AC747" s="2" t="s">
        <v>6773</v>
      </c>
      <c r="AD747" s="27"/>
      <c r="AL747" s="2" t="s">
        <v>5454</v>
      </c>
    </row>
    <row r="748" spans="1:38" hidden="1" x14ac:dyDescent="0.2">
      <c r="A748" s="2" t="s">
        <v>2501</v>
      </c>
      <c r="B748" s="2" t="s">
        <v>6996</v>
      </c>
      <c r="C748" s="2" t="s">
        <v>2502</v>
      </c>
      <c r="D748" s="2" t="s">
        <v>2503</v>
      </c>
      <c r="E748" s="13">
        <v>1748</v>
      </c>
      <c r="F748" s="13">
        <v>20748</v>
      </c>
      <c r="G748" s="14">
        <v>43287</v>
      </c>
      <c r="H748" s="15">
        <v>2.0833333333330002E-2</v>
      </c>
      <c r="I748" s="14">
        <v>43288</v>
      </c>
      <c r="J748" s="15">
        <v>3.4317129629630003E-2</v>
      </c>
      <c r="K748" s="13">
        <v>0</v>
      </c>
      <c r="L748" s="2" t="s">
        <v>64</v>
      </c>
      <c r="M748" s="2" t="s">
        <v>6997</v>
      </c>
      <c r="N748" s="14">
        <v>43292</v>
      </c>
      <c r="O748" s="14">
        <v>43290</v>
      </c>
      <c r="P748" s="2" t="s">
        <v>1961</v>
      </c>
      <c r="Q748" s="2" t="s">
        <v>6998</v>
      </c>
      <c r="R748" s="2" t="s">
        <v>67</v>
      </c>
      <c r="S748" s="14">
        <v>43290</v>
      </c>
      <c r="T748" s="2" t="s">
        <v>7122</v>
      </c>
      <c r="U748" s="2" t="s">
        <v>2504</v>
      </c>
      <c r="V748" s="2" t="s">
        <v>69</v>
      </c>
      <c r="W748" s="2" t="s">
        <v>70</v>
      </c>
      <c r="X748" s="13">
        <v>853</v>
      </c>
      <c r="Y748" s="2" t="s">
        <v>71</v>
      </c>
      <c r="Z748" s="2" t="s">
        <v>72</v>
      </c>
      <c r="AA748" s="13">
        <v>1000</v>
      </c>
      <c r="AB748" s="2" t="s">
        <v>107</v>
      </c>
      <c r="AC748" s="2" t="s">
        <v>6773</v>
      </c>
      <c r="AD748" s="27">
        <v>43257</v>
      </c>
      <c r="AL748" s="2" t="s">
        <v>7276</v>
      </c>
    </row>
    <row r="749" spans="1:38" hidden="1" x14ac:dyDescent="0.2">
      <c r="A749" s="2" t="s">
        <v>2501</v>
      </c>
      <c r="B749" s="2" t="s">
        <v>6999</v>
      </c>
      <c r="C749" s="2" t="s">
        <v>2502</v>
      </c>
      <c r="D749" s="2" t="s">
        <v>2503</v>
      </c>
      <c r="E749" s="13">
        <v>10748</v>
      </c>
      <c r="F749" s="13">
        <v>20748</v>
      </c>
      <c r="G749" s="14">
        <v>43288</v>
      </c>
      <c r="H749" s="15">
        <v>5.5150462962960001E-2</v>
      </c>
      <c r="I749" s="14">
        <v>43289</v>
      </c>
      <c r="J749" s="15">
        <v>6.8634259259260005E-2</v>
      </c>
      <c r="K749" s="13">
        <v>0</v>
      </c>
      <c r="L749" s="2" t="s">
        <v>64</v>
      </c>
      <c r="M749" s="2" t="s">
        <v>6997</v>
      </c>
      <c r="N749" s="14">
        <v>43292</v>
      </c>
      <c r="O749" s="14">
        <v>43291</v>
      </c>
      <c r="P749" s="2" t="s">
        <v>1961</v>
      </c>
      <c r="Q749" s="2" t="s">
        <v>6998</v>
      </c>
      <c r="R749" s="2" t="s">
        <v>2179</v>
      </c>
      <c r="S749" s="14">
        <v>43292</v>
      </c>
      <c r="T749" s="2" t="s">
        <v>7123</v>
      </c>
      <c r="U749" s="2" t="s">
        <v>2504</v>
      </c>
      <c r="V749" s="2" t="s">
        <v>69</v>
      </c>
      <c r="W749" s="2" t="s">
        <v>70</v>
      </c>
      <c r="X749" s="13">
        <v>853</v>
      </c>
      <c r="Y749" s="2" t="s">
        <v>71</v>
      </c>
      <c r="Z749" s="2" t="s">
        <v>72</v>
      </c>
      <c r="AA749" s="13">
        <v>10000</v>
      </c>
      <c r="AB749" s="2" t="s">
        <v>107</v>
      </c>
      <c r="AC749" s="2" t="s">
        <v>6773</v>
      </c>
      <c r="AD749" s="27">
        <v>43257</v>
      </c>
      <c r="AL749" s="2" t="s">
        <v>7277</v>
      </c>
    </row>
    <row r="750" spans="1:38" x14ac:dyDescent="0.2">
      <c r="A750" s="2" t="s">
        <v>2501</v>
      </c>
      <c r="B750" s="2" t="s">
        <v>4568</v>
      </c>
      <c r="C750" s="2" t="s">
        <v>2252</v>
      </c>
      <c r="D750" s="2" t="s">
        <v>2253</v>
      </c>
      <c r="E750" s="13">
        <v>10100</v>
      </c>
      <c r="F750" s="13">
        <v>10100</v>
      </c>
      <c r="G750" s="14">
        <v>43289</v>
      </c>
      <c r="H750" s="15">
        <v>0.54831018518519004</v>
      </c>
      <c r="I750" s="14">
        <v>43290</v>
      </c>
      <c r="J750" s="15">
        <v>4.1666666666670002E-2</v>
      </c>
      <c r="K750" s="13">
        <v>0</v>
      </c>
      <c r="L750" s="2" t="s">
        <v>64</v>
      </c>
      <c r="M750" s="2" t="s">
        <v>2505</v>
      </c>
      <c r="N750" s="14">
        <v>43293</v>
      </c>
      <c r="O750" s="14">
        <v>43292</v>
      </c>
      <c r="P750" s="2" t="s">
        <v>524</v>
      </c>
      <c r="Q750" s="2" t="s">
        <v>7000</v>
      </c>
      <c r="R750" s="2" t="s">
        <v>80</v>
      </c>
      <c r="S750" s="14">
        <v>43298</v>
      </c>
      <c r="T750" s="2" t="s">
        <v>6606</v>
      </c>
      <c r="U750" s="2" t="s">
        <v>1324</v>
      </c>
      <c r="V750" s="2" t="s">
        <v>2254</v>
      </c>
      <c r="W750" s="2" t="s">
        <v>70</v>
      </c>
      <c r="X750" s="13">
        <v>853</v>
      </c>
      <c r="Y750" s="2" t="s">
        <v>71</v>
      </c>
      <c r="Z750" s="2" t="s">
        <v>72</v>
      </c>
      <c r="AA750" s="13">
        <v>10000</v>
      </c>
      <c r="AB750" s="2" t="s">
        <v>107</v>
      </c>
      <c r="AC750" s="2" t="s">
        <v>6772</v>
      </c>
      <c r="AD750" s="27">
        <v>43284</v>
      </c>
      <c r="AL750" s="2" t="s">
        <v>5455</v>
      </c>
    </row>
    <row r="751" spans="1:38" x14ac:dyDescent="0.2">
      <c r="A751" s="2" t="s">
        <v>2501</v>
      </c>
      <c r="B751" s="2" t="s">
        <v>2506</v>
      </c>
      <c r="C751" s="2" t="s">
        <v>2507</v>
      </c>
      <c r="D751" s="2" t="s">
        <v>2508</v>
      </c>
      <c r="E751" s="13">
        <v>5100</v>
      </c>
      <c r="F751" s="13">
        <v>5100</v>
      </c>
      <c r="G751" s="14">
        <v>43290</v>
      </c>
      <c r="H751" s="15">
        <v>0.59752314814815</v>
      </c>
      <c r="I751" s="14">
        <v>43290</v>
      </c>
      <c r="J751" s="15">
        <v>0.84664351851852004</v>
      </c>
      <c r="K751" s="13">
        <v>0</v>
      </c>
      <c r="L751" s="2" t="s">
        <v>64</v>
      </c>
      <c r="M751" s="2" t="s">
        <v>2509</v>
      </c>
      <c r="N751" s="14">
        <v>43292</v>
      </c>
      <c r="O751" s="14">
        <v>43292</v>
      </c>
      <c r="P751" s="2" t="s">
        <v>1329</v>
      </c>
      <c r="Q751" s="2" t="s">
        <v>7001</v>
      </c>
      <c r="R751" s="2" t="s">
        <v>93</v>
      </c>
      <c r="S751" s="14">
        <v>43292</v>
      </c>
      <c r="T751" s="2" t="s">
        <v>6607</v>
      </c>
      <c r="U751" s="2" t="s">
        <v>1408</v>
      </c>
      <c r="V751" s="2" t="s">
        <v>2510</v>
      </c>
      <c r="W751" s="2" t="s">
        <v>70</v>
      </c>
      <c r="X751" s="13">
        <v>853</v>
      </c>
      <c r="Y751" s="2" t="s">
        <v>71</v>
      </c>
      <c r="Z751" s="2" t="s">
        <v>72</v>
      </c>
      <c r="AA751" s="13">
        <v>5000</v>
      </c>
      <c r="AB751" s="2" t="s">
        <v>107</v>
      </c>
      <c r="AC751" s="2" t="s">
        <v>6773</v>
      </c>
      <c r="AD751" s="27">
        <v>43271</v>
      </c>
      <c r="AL751" s="2" t="s">
        <v>5456</v>
      </c>
    </row>
    <row r="752" spans="1:38" x14ac:dyDescent="0.2">
      <c r="A752" s="2" t="s">
        <v>2501</v>
      </c>
      <c r="B752" s="2" t="s">
        <v>2511</v>
      </c>
      <c r="C752" s="2" t="s">
        <v>1343</v>
      </c>
      <c r="D752" s="2" t="s">
        <v>1344</v>
      </c>
      <c r="E752" s="16">
        <v>18937.5</v>
      </c>
      <c r="F752" s="16">
        <v>18937.5</v>
      </c>
      <c r="G752" s="14">
        <v>43291</v>
      </c>
      <c r="H752" s="15">
        <v>4.1666666666670002E-2</v>
      </c>
      <c r="I752" s="14">
        <v>43291</v>
      </c>
      <c r="J752" s="15">
        <v>0.96670138888889001</v>
      </c>
      <c r="K752" s="13">
        <v>20</v>
      </c>
      <c r="L752" s="2" t="s">
        <v>64</v>
      </c>
      <c r="M752" s="2" t="s">
        <v>4569</v>
      </c>
      <c r="N752" s="14">
        <v>43300</v>
      </c>
      <c r="O752" s="14">
        <v>43293</v>
      </c>
      <c r="P752" s="2" t="s">
        <v>483</v>
      </c>
      <c r="Q752" s="2" t="s">
        <v>2513</v>
      </c>
      <c r="R752" s="2" t="s">
        <v>80</v>
      </c>
      <c r="S752" s="14">
        <v>43300</v>
      </c>
      <c r="T752" s="2" t="s">
        <v>6609</v>
      </c>
      <c r="U752" s="2" t="s">
        <v>1345</v>
      </c>
      <c r="V752" s="2" t="s">
        <v>163</v>
      </c>
      <c r="W752" s="2" t="s">
        <v>70</v>
      </c>
      <c r="X752" s="13">
        <v>853</v>
      </c>
      <c r="Y752" s="2" t="s">
        <v>71</v>
      </c>
      <c r="Z752" s="2" t="s">
        <v>72</v>
      </c>
      <c r="AA752" s="13">
        <v>18750</v>
      </c>
      <c r="AB752" s="2" t="s">
        <v>107</v>
      </c>
      <c r="AC752" s="2" t="s">
        <v>6773</v>
      </c>
      <c r="AD752" s="27">
        <v>43251</v>
      </c>
      <c r="AL752" s="2" t="s">
        <v>5457</v>
      </c>
    </row>
    <row r="753" spans="1:38" x14ac:dyDescent="0.2">
      <c r="A753" s="2" t="s">
        <v>2501</v>
      </c>
      <c r="B753" s="2" t="s">
        <v>2529</v>
      </c>
      <c r="C753" s="2" t="s">
        <v>1343</v>
      </c>
      <c r="D753" s="2" t="s">
        <v>1344</v>
      </c>
      <c r="E753" s="13">
        <v>10000</v>
      </c>
      <c r="F753" s="13">
        <v>10000</v>
      </c>
      <c r="G753" s="14">
        <v>43292</v>
      </c>
      <c r="H753" s="15">
        <v>6.248842592593E-2</v>
      </c>
      <c r="I753" s="14">
        <v>43292</v>
      </c>
      <c r="J753" s="15">
        <v>0.55096064814815005</v>
      </c>
      <c r="K753" s="13">
        <v>20</v>
      </c>
      <c r="L753" s="2" t="s">
        <v>64</v>
      </c>
      <c r="M753" s="2" t="s">
        <v>2517</v>
      </c>
      <c r="N753" s="14">
        <v>43284</v>
      </c>
      <c r="O753" s="14">
        <v>43294</v>
      </c>
      <c r="P753" s="2" t="s">
        <v>483</v>
      </c>
      <c r="Q753" s="2" t="s">
        <v>2530</v>
      </c>
      <c r="R753" s="2" t="s">
        <v>80</v>
      </c>
      <c r="S753" s="14">
        <v>43297</v>
      </c>
      <c r="T753" s="2" t="s">
        <v>6608</v>
      </c>
      <c r="U753" s="2" t="s">
        <v>1345</v>
      </c>
      <c r="V753" s="2" t="s">
        <v>163</v>
      </c>
      <c r="W753" s="2" t="s">
        <v>70</v>
      </c>
      <c r="X753" s="13">
        <v>853</v>
      </c>
      <c r="Y753" s="2" t="s">
        <v>71</v>
      </c>
      <c r="Z753" s="2" t="s">
        <v>72</v>
      </c>
      <c r="AA753" s="13">
        <v>10000</v>
      </c>
      <c r="AB753" s="2" t="s">
        <v>73</v>
      </c>
      <c r="AC753" s="2" t="s">
        <v>6773</v>
      </c>
      <c r="AD753" s="27">
        <v>43175</v>
      </c>
      <c r="AL753" s="2" t="s">
        <v>7278</v>
      </c>
    </row>
    <row r="754" spans="1:38" x14ac:dyDescent="0.2">
      <c r="A754" s="2" t="s">
        <v>2501</v>
      </c>
      <c r="B754" s="2" t="s">
        <v>2514</v>
      </c>
      <c r="C754" s="2" t="s">
        <v>2515</v>
      </c>
      <c r="D754" s="2" t="s">
        <v>2516</v>
      </c>
      <c r="E754" s="13">
        <v>10000</v>
      </c>
      <c r="F754" s="13">
        <v>10000</v>
      </c>
      <c r="G754" s="14">
        <v>43292</v>
      </c>
      <c r="H754" s="15">
        <v>0.57179398148147997</v>
      </c>
      <c r="I754" s="14">
        <v>43293</v>
      </c>
      <c r="J754" s="15">
        <v>6.0266203703699998E-2</v>
      </c>
      <c r="K754" s="13">
        <v>0</v>
      </c>
      <c r="L754" s="2" t="s">
        <v>64</v>
      </c>
      <c r="M754" s="2" t="s">
        <v>2517</v>
      </c>
      <c r="N754" s="14">
        <v>43298</v>
      </c>
      <c r="O754" s="14">
        <v>43295</v>
      </c>
      <c r="P754" s="2" t="s">
        <v>483</v>
      </c>
      <c r="Q754" s="2" t="s">
        <v>2518</v>
      </c>
      <c r="R754" s="2" t="s">
        <v>80</v>
      </c>
      <c r="S754" s="14">
        <v>43298</v>
      </c>
      <c r="T754" s="2" t="s">
        <v>6611</v>
      </c>
      <c r="U754" s="2" t="s">
        <v>2519</v>
      </c>
      <c r="V754" s="2" t="s">
        <v>163</v>
      </c>
      <c r="W754" s="2" t="s">
        <v>70</v>
      </c>
      <c r="X754" s="13">
        <v>853</v>
      </c>
      <c r="Y754" s="2" t="s">
        <v>71</v>
      </c>
      <c r="Z754" s="2" t="s">
        <v>72</v>
      </c>
      <c r="AA754" s="13">
        <v>10000</v>
      </c>
      <c r="AB754" s="2" t="s">
        <v>73</v>
      </c>
      <c r="AC754" s="2" t="s">
        <v>6773</v>
      </c>
      <c r="AD754" s="27">
        <v>43237</v>
      </c>
      <c r="AL754" s="2" t="s">
        <v>7279</v>
      </c>
    </row>
    <row r="755" spans="1:38" x14ac:dyDescent="0.2">
      <c r="A755" s="2" t="s">
        <v>2501</v>
      </c>
      <c r="B755" s="2" t="s">
        <v>2520</v>
      </c>
      <c r="C755" s="2" t="s">
        <v>1322</v>
      </c>
      <c r="D755" s="2" t="s">
        <v>1323</v>
      </c>
      <c r="E755" s="13">
        <v>9090</v>
      </c>
      <c r="F755" s="13">
        <v>9090</v>
      </c>
      <c r="G755" s="14">
        <v>43293</v>
      </c>
      <c r="H755" s="15">
        <v>8.1099537037039995E-2</v>
      </c>
      <c r="I755" s="14">
        <v>43293</v>
      </c>
      <c r="J755" s="15">
        <v>0.52511574074073997</v>
      </c>
      <c r="K755" s="13">
        <v>20</v>
      </c>
      <c r="L755" s="2" t="s">
        <v>64</v>
      </c>
      <c r="M755" s="2" t="s">
        <v>7002</v>
      </c>
      <c r="N755" s="14">
        <v>43287</v>
      </c>
      <c r="O755" s="14">
        <v>43295</v>
      </c>
      <c r="P755" s="2" t="s">
        <v>91</v>
      </c>
      <c r="Q755" s="2" t="s">
        <v>2521</v>
      </c>
      <c r="R755" s="2" t="s">
        <v>80</v>
      </c>
      <c r="S755" s="14">
        <v>43293</v>
      </c>
      <c r="T755" s="2" t="s">
        <v>6610</v>
      </c>
      <c r="U755" s="2" t="s">
        <v>1324</v>
      </c>
      <c r="V755" s="2" t="s">
        <v>163</v>
      </c>
      <c r="W755" s="2" t="s">
        <v>70</v>
      </c>
      <c r="X755" s="13">
        <v>853</v>
      </c>
      <c r="Y755" s="2" t="s">
        <v>71</v>
      </c>
      <c r="Z755" s="2" t="s">
        <v>72</v>
      </c>
      <c r="AA755" s="13">
        <v>9000</v>
      </c>
      <c r="AB755" s="2" t="s">
        <v>73</v>
      </c>
      <c r="AC755" s="2" t="s">
        <v>6773</v>
      </c>
      <c r="AD755" s="27">
        <v>43175</v>
      </c>
      <c r="AL755" s="2" t="s">
        <v>5458</v>
      </c>
    </row>
    <row r="756" spans="1:38" x14ac:dyDescent="0.2">
      <c r="A756" s="2" t="s">
        <v>2501</v>
      </c>
      <c r="B756" s="2" t="s">
        <v>2522</v>
      </c>
      <c r="C756" s="2" t="s">
        <v>1322</v>
      </c>
      <c r="D756" s="2" t="s">
        <v>1323</v>
      </c>
      <c r="E756" s="13">
        <v>10000</v>
      </c>
      <c r="F756" s="13">
        <v>10000</v>
      </c>
      <c r="G756" s="14">
        <v>43293</v>
      </c>
      <c r="H756" s="15">
        <v>0.54594907407407001</v>
      </c>
      <c r="I756" s="14">
        <v>43294</v>
      </c>
      <c r="J756" s="15">
        <v>3.4421296296300002E-2</v>
      </c>
      <c r="K756" s="13">
        <v>20</v>
      </c>
      <c r="L756" s="2" t="s">
        <v>64</v>
      </c>
      <c r="M756" s="2" t="s">
        <v>2517</v>
      </c>
      <c r="N756" s="14">
        <v>43293</v>
      </c>
      <c r="O756" s="14">
        <v>43296</v>
      </c>
      <c r="P756" s="2" t="s">
        <v>91</v>
      </c>
      <c r="Q756" s="2" t="s">
        <v>2523</v>
      </c>
      <c r="R756" s="2" t="s">
        <v>80</v>
      </c>
      <c r="S756" s="14">
        <v>43293</v>
      </c>
      <c r="T756" s="2" t="s">
        <v>6612</v>
      </c>
      <c r="U756" s="2" t="s">
        <v>1324</v>
      </c>
      <c r="V756" s="2" t="s">
        <v>163</v>
      </c>
      <c r="W756" s="2" t="s">
        <v>70</v>
      </c>
      <c r="X756" s="13">
        <v>853</v>
      </c>
      <c r="Y756" s="2" t="s">
        <v>71</v>
      </c>
      <c r="Z756" s="2" t="s">
        <v>72</v>
      </c>
      <c r="AA756" s="13">
        <v>10000</v>
      </c>
      <c r="AB756" s="2" t="s">
        <v>73</v>
      </c>
      <c r="AC756" s="2" t="s">
        <v>6773</v>
      </c>
      <c r="AD756" s="27">
        <v>43080</v>
      </c>
      <c r="AL756" s="2" t="s">
        <v>7280</v>
      </c>
    </row>
    <row r="757" spans="1:38" x14ac:dyDescent="0.2">
      <c r="A757" s="2" t="s">
        <v>2501</v>
      </c>
      <c r="B757" s="2" t="s">
        <v>2524</v>
      </c>
      <c r="C757" s="2" t="s">
        <v>2525</v>
      </c>
      <c r="D757" s="2" t="s">
        <v>2526</v>
      </c>
      <c r="E757" s="13">
        <v>10000</v>
      </c>
      <c r="F757" s="13">
        <v>10000</v>
      </c>
      <c r="G757" s="14">
        <v>43294</v>
      </c>
      <c r="H757" s="15">
        <v>5.525462962963E-2</v>
      </c>
      <c r="I757" s="14">
        <v>43294</v>
      </c>
      <c r="J757" s="15">
        <v>0.54372685185184999</v>
      </c>
      <c r="K757" s="13">
        <v>20</v>
      </c>
      <c r="L757" s="2" t="s">
        <v>64</v>
      </c>
      <c r="M757" s="2" t="s">
        <v>2517</v>
      </c>
      <c r="N757" s="14">
        <v>43284</v>
      </c>
      <c r="O757" s="14">
        <v>43296</v>
      </c>
      <c r="P757" s="2" t="s">
        <v>91</v>
      </c>
      <c r="Q757" s="2" t="s">
        <v>2527</v>
      </c>
      <c r="R757" s="2" t="s">
        <v>80</v>
      </c>
      <c r="S757" s="14">
        <v>43297</v>
      </c>
      <c r="T757" s="2" t="s">
        <v>6613</v>
      </c>
      <c r="U757" s="2" t="s">
        <v>2528</v>
      </c>
      <c r="V757" s="2" t="s">
        <v>1401</v>
      </c>
      <c r="W757" s="2" t="s">
        <v>70</v>
      </c>
      <c r="X757" s="13">
        <v>853</v>
      </c>
      <c r="Y757" s="2" t="s">
        <v>71</v>
      </c>
      <c r="Z757" s="2" t="s">
        <v>72</v>
      </c>
      <c r="AA757" s="13">
        <v>10000</v>
      </c>
      <c r="AB757" s="2" t="s">
        <v>73</v>
      </c>
      <c r="AC757" s="2" t="s">
        <v>6773</v>
      </c>
      <c r="AD757" s="27">
        <v>43175</v>
      </c>
      <c r="AL757" s="2" t="s">
        <v>5459</v>
      </c>
    </row>
    <row r="758" spans="1:38" x14ac:dyDescent="0.2">
      <c r="A758" s="2" t="s">
        <v>2501</v>
      </c>
      <c r="B758" s="2" t="s">
        <v>2531</v>
      </c>
      <c r="C758" s="2" t="s">
        <v>390</v>
      </c>
      <c r="D758" s="2" t="s">
        <v>391</v>
      </c>
      <c r="E758" s="13">
        <v>10000</v>
      </c>
      <c r="F758" s="13">
        <v>10000</v>
      </c>
      <c r="G758" s="14">
        <v>43294</v>
      </c>
      <c r="H758" s="15">
        <v>0.56456018518519002</v>
      </c>
      <c r="I758" s="14">
        <v>43295</v>
      </c>
      <c r="J758" s="15">
        <v>5.3032407407409998E-2</v>
      </c>
      <c r="K758" s="13">
        <v>0</v>
      </c>
      <c r="L758" s="2" t="s">
        <v>64</v>
      </c>
      <c r="M758" s="2" t="s">
        <v>2517</v>
      </c>
      <c r="N758" s="14">
        <v>43285</v>
      </c>
      <c r="O758" s="14">
        <v>43297</v>
      </c>
      <c r="P758" s="2" t="s">
        <v>488</v>
      </c>
      <c r="Q758" s="2" t="s">
        <v>2532</v>
      </c>
      <c r="R758" s="2" t="s">
        <v>80</v>
      </c>
      <c r="S758" s="14">
        <v>43297</v>
      </c>
      <c r="T758" s="2" t="s">
        <v>6614</v>
      </c>
      <c r="U758" s="2" t="s">
        <v>393</v>
      </c>
      <c r="V758" s="2" t="s">
        <v>163</v>
      </c>
      <c r="W758" s="2" t="s">
        <v>70</v>
      </c>
      <c r="X758" s="13">
        <v>853</v>
      </c>
      <c r="Y758" s="2" t="s">
        <v>71</v>
      </c>
      <c r="Z758" s="2" t="s">
        <v>72</v>
      </c>
      <c r="AA758" s="13">
        <v>10000</v>
      </c>
      <c r="AB758" s="2" t="s">
        <v>73</v>
      </c>
      <c r="AC758" s="2" t="s">
        <v>6773</v>
      </c>
      <c r="AD758" s="27">
        <v>43234</v>
      </c>
      <c r="AL758" s="2" t="s">
        <v>5460</v>
      </c>
    </row>
    <row r="759" spans="1:38" x14ac:dyDescent="0.2">
      <c r="A759" s="2" t="s">
        <v>2501</v>
      </c>
      <c r="B759" s="2" t="s">
        <v>2533</v>
      </c>
      <c r="C759" s="2" t="s">
        <v>390</v>
      </c>
      <c r="D759" s="2" t="s">
        <v>391</v>
      </c>
      <c r="E759" s="13">
        <v>10000</v>
      </c>
      <c r="F759" s="13">
        <v>10000</v>
      </c>
      <c r="G759" s="14">
        <v>43295</v>
      </c>
      <c r="H759" s="15">
        <v>7.3865740740739996E-2</v>
      </c>
      <c r="I759" s="14">
        <v>43295</v>
      </c>
      <c r="J759" s="15">
        <v>0.56233796296296001</v>
      </c>
      <c r="K759" s="13">
        <v>20</v>
      </c>
      <c r="L759" s="2" t="s">
        <v>64</v>
      </c>
      <c r="M759" s="2" t="s">
        <v>2517</v>
      </c>
      <c r="N759" s="14">
        <v>43284</v>
      </c>
      <c r="O759" s="14">
        <v>43297</v>
      </c>
      <c r="P759" s="2" t="s">
        <v>488</v>
      </c>
      <c r="Q759" s="2" t="s">
        <v>2534</v>
      </c>
      <c r="R759" s="2" t="s">
        <v>80</v>
      </c>
      <c r="S759" s="14">
        <v>43297</v>
      </c>
      <c r="T759" s="2" t="s">
        <v>6615</v>
      </c>
      <c r="U759" s="2" t="s">
        <v>393</v>
      </c>
      <c r="V759" s="2" t="s">
        <v>163</v>
      </c>
      <c r="W759" s="2" t="s">
        <v>70</v>
      </c>
      <c r="X759" s="13">
        <v>853</v>
      </c>
      <c r="Y759" s="2" t="s">
        <v>71</v>
      </c>
      <c r="Z759" s="2" t="s">
        <v>72</v>
      </c>
      <c r="AA759" s="13">
        <v>10000</v>
      </c>
      <c r="AB759" s="2" t="s">
        <v>73</v>
      </c>
      <c r="AC759" s="2" t="s">
        <v>6773</v>
      </c>
      <c r="AD759" s="27">
        <v>43175</v>
      </c>
      <c r="AL759" s="2" t="s">
        <v>5461</v>
      </c>
    </row>
    <row r="760" spans="1:38" x14ac:dyDescent="0.2">
      <c r="A760" s="2" t="s">
        <v>2501</v>
      </c>
      <c r="B760" s="2" t="s">
        <v>2560</v>
      </c>
      <c r="C760" s="2" t="s">
        <v>390</v>
      </c>
      <c r="D760" s="2" t="s">
        <v>391</v>
      </c>
      <c r="E760" s="13">
        <v>10000</v>
      </c>
      <c r="F760" s="13">
        <v>10000</v>
      </c>
      <c r="G760" s="14">
        <v>43295</v>
      </c>
      <c r="H760" s="15">
        <v>0.58317129629630005</v>
      </c>
      <c r="I760" s="14">
        <v>43296</v>
      </c>
      <c r="J760" s="15">
        <v>7.1643518518519994E-2</v>
      </c>
      <c r="K760" s="13">
        <v>0</v>
      </c>
      <c r="L760" s="2" t="s">
        <v>64</v>
      </c>
      <c r="M760" s="2" t="s">
        <v>2517</v>
      </c>
      <c r="N760" s="14">
        <v>43307</v>
      </c>
      <c r="O760" s="14">
        <v>43298</v>
      </c>
      <c r="P760" s="2" t="s">
        <v>488</v>
      </c>
      <c r="Q760" s="2" t="s">
        <v>2561</v>
      </c>
      <c r="R760" s="2" t="s">
        <v>80</v>
      </c>
      <c r="S760" s="14">
        <v>43298</v>
      </c>
      <c r="T760" s="2" t="s">
        <v>6616</v>
      </c>
      <c r="U760" s="2" t="s">
        <v>393</v>
      </c>
      <c r="V760" s="2" t="s">
        <v>163</v>
      </c>
      <c r="W760" s="2" t="s">
        <v>70</v>
      </c>
      <c r="X760" s="13">
        <v>853</v>
      </c>
      <c r="Y760" s="2" t="s">
        <v>71</v>
      </c>
      <c r="Z760" s="2" t="s">
        <v>72</v>
      </c>
      <c r="AA760" s="13">
        <v>10000</v>
      </c>
      <c r="AB760" s="2" t="s">
        <v>73</v>
      </c>
      <c r="AC760" s="2" t="s">
        <v>6773</v>
      </c>
      <c r="AD760" s="27">
        <v>43265</v>
      </c>
      <c r="AL760" s="2" t="s">
        <v>5462</v>
      </c>
    </row>
    <row r="761" spans="1:38" hidden="1" x14ac:dyDescent="0.2">
      <c r="A761" s="2" t="s">
        <v>2501</v>
      </c>
      <c r="B761" s="2" t="s">
        <v>2603</v>
      </c>
      <c r="C761" s="2" t="s">
        <v>1343</v>
      </c>
      <c r="D761" s="2" t="s">
        <v>1344</v>
      </c>
      <c r="E761" s="13">
        <v>10100</v>
      </c>
      <c r="F761" s="13">
        <v>10100</v>
      </c>
      <c r="G761" s="14">
        <v>43296</v>
      </c>
      <c r="H761" s="15">
        <v>9.2476851851850006E-2</v>
      </c>
      <c r="I761" s="14">
        <v>43296</v>
      </c>
      <c r="J761" s="15">
        <v>0.58583333333332999</v>
      </c>
      <c r="K761" s="13">
        <v>0</v>
      </c>
      <c r="L761" s="2" t="s">
        <v>64</v>
      </c>
      <c r="M761" s="2" t="s">
        <v>2505</v>
      </c>
      <c r="N761" s="14">
        <v>43298</v>
      </c>
      <c r="O761" s="14">
        <v>43298</v>
      </c>
      <c r="P761" s="2" t="s">
        <v>483</v>
      </c>
      <c r="Q761" s="2" t="s">
        <v>2604</v>
      </c>
      <c r="R761" s="2" t="s">
        <v>80</v>
      </c>
      <c r="S761" s="14">
        <v>43298</v>
      </c>
      <c r="T761" s="2" t="s">
        <v>6617</v>
      </c>
      <c r="U761" s="2" t="s">
        <v>1345</v>
      </c>
      <c r="V761" s="2" t="s">
        <v>163</v>
      </c>
      <c r="W761" s="2" t="s">
        <v>70</v>
      </c>
      <c r="X761" s="13">
        <v>853</v>
      </c>
      <c r="Y761" s="2" t="s">
        <v>71</v>
      </c>
      <c r="Z761" s="2" t="s">
        <v>72</v>
      </c>
      <c r="AA761" s="13">
        <v>10000</v>
      </c>
      <c r="AB761" s="2" t="s">
        <v>73</v>
      </c>
      <c r="AC761" s="2" t="s">
        <v>6773</v>
      </c>
      <c r="AD761" s="27">
        <v>43280</v>
      </c>
      <c r="AL761" s="2" t="s">
        <v>5463</v>
      </c>
    </row>
    <row r="762" spans="1:38" hidden="1" x14ac:dyDescent="0.2">
      <c r="A762" s="2" t="s">
        <v>2501</v>
      </c>
      <c r="B762" s="2" t="s">
        <v>2558</v>
      </c>
      <c r="C762" s="2" t="s">
        <v>1322</v>
      </c>
      <c r="D762" s="2" t="s">
        <v>1323</v>
      </c>
      <c r="E762" s="13">
        <v>10000</v>
      </c>
      <c r="F762" s="13">
        <v>10000</v>
      </c>
      <c r="G762" s="14">
        <v>43296</v>
      </c>
      <c r="H762" s="15">
        <v>0.83333333333333004</v>
      </c>
      <c r="I762" s="14">
        <v>43297</v>
      </c>
      <c r="J762" s="15">
        <v>0.32180555555556001</v>
      </c>
      <c r="K762" s="13">
        <v>20</v>
      </c>
      <c r="L762" s="2" t="s">
        <v>64</v>
      </c>
      <c r="M762" s="2" t="s">
        <v>2517</v>
      </c>
      <c r="N762" s="14">
        <v>43305</v>
      </c>
      <c r="O762" s="14">
        <v>43299</v>
      </c>
      <c r="P762" s="2" t="s">
        <v>91</v>
      </c>
      <c r="Q762" s="2" t="s">
        <v>2559</v>
      </c>
      <c r="R762" s="2" t="s">
        <v>80</v>
      </c>
      <c r="S762" s="14">
        <v>43318</v>
      </c>
      <c r="T762" s="2" t="s">
        <v>6629</v>
      </c>
      <c r="U762" s="2" t="s">
        <v>1324</v>
      </c>
      <c r="V762" s="2" t="s">
        <v>163</v>
      </c>
      <c r="W762" s="2" t="s">
        <v>70</v>
      </c>
      <c r="X762" s="13">
        <v>853</v>
      </c>
      <c r="Y762" s="2" t="s">
        <v>71</v>
      </c>
      <c r="Z762" s="2" t="s">
        <v>72</v>
      </c>
      <c r="AA762" s="13">
        <v>10000</v>
      </c>
      <c r="AB762" s="2" t="s">
        <v>73</v>
      </c>
      <c r="AC762" s="2" t="s">
        <v>6773</v>
      </c>
      <c r="AD762" s="27">
        <v>43175</v>
      </c>
      <c r="AL762" s="2" t="s">
        <v>5464</v>
      </c>
    </row>
    <row r="763" spans="1:38" hidden="1" x14ac:dyDescent="0.2">
      <c r="A763" s="2" t="s">
        <v>2501</v>
      </c>
      <c r="B763" s="2" t="s">
        <v>2580</v>
      </c>
      <c r="C763" s="2" t="s">
        <v>2525</v>
      </c>
      <c r="D763" s="2" t="s">
        <v>2526</v>
      </c>
      <c r="E763" s="13">
        <v>10200</v>
      </c>
      <c r="F763" s="13">
        <v>10200</v>
      </c>
      <c r="G763" s="14">
        <v>43297</v>
      </c>
      <c r="H763" s="15">
        <v>0.54166666666666996</v>
      </c>
      <c r="I763" s="14">
        <v>43298</v>
      </c>
      <c r="J763" s="15">
        <v>3.990740740741E-2</v>
      </c>
      <c r="K763" s="13">
        <v>20</v>
      </c>
      <c r="L763" s="2" t="s">
        <v>64</v>
      </c>
      <c r="M763" s="2" t="s">
        <v>2581</v>
      </c>
      <c r="N763" s="14">
        <v>43318</v>
      </c>
      <c r="O763" s="14">
        <v>43300</v>
      </c>
      <c r="P763" s="2" t="s">
        <v>91</v>
      </c>
      <c r="Q763" s="2" t="s">
        <v>2582</v>
      </c>
      <c r="R763" s="2" t="s">
        <v>80</v>
      </c>
      <c r="S763" s="14">
        <v>43318</v>
      </c>
      <c r="T763" s="2" t="s">
        <v>6618</v>
      </c>
      <c r="U763" s="2" t="s">
        <v>2528</v>
      </c>
      <c r="V763" s="2" t="s">
        <v>1401</v>
      </c>
      <c r="W763" s="2" t="s">
        <v>70</v>
      </c>
      <c r="X763" s="13">
        <v>853</v>
      </c>
      <c r="Y763" s="2" t="s">
        <v>71</v>
      </c>
      <c r="Z763" s="2" t="s">
        <v>72</v>
      </c>
      <c r="AA763" s="13">
        <v>10000</v>
      </c>
      <c r="AB763" s="2" t="s">
        <v>73</v>
      </c>
      <c r="AC763" s="2" t="s">
        <v>6773</v>
      </c>
      <c r="AD763" s="27">
        <v>43276</v>
      </c>
      <c r="AL763" s="2" t="s">
        <v>5465</v>
      </c>
    </row>
    <row r="764" spans="1:38" hidden="1" x14ac:dyDescent="0.2">
      <c r="A764" s="2" t="s">
        <v>2501</v>
      </c>
      <c r="B764" s="2" t="s">
        <v>2562</v>
      </c>
      <c r="C764" s="2" t="s">
        <v>2515</v>
      </c>
      <c r="D764" s="2" t="s">
        <v>2516</v>
      </c>
      <c r="E764" s="13">
        <v>20000</v>
      </c>
      <c r="F764" s="13">
        <v>20000</v>
      </c>
      <c r="G764" s="14">
        <v>43298</v>
      </c>
      <c r="H764" s="15">
        <v>0.875</v>
      </c>
      <c r="I764" s="14">
        <v>43299</v>
      </c>
      <c r="J764" s="15">
        <v>0.85194444444443995</v>
      </c>
      <c r="K764" s="13">
        <v>20</v>
      </c>
      <c r="L764" s="2" t="s">
        <v>64</v>
      </c>
      <c r="M764" s="2" t="s">
        <v>2512</v>
      </c>
      <c r="N764" s="14">
        <v>43308</v>
      </c>
      <c r="O764" s="14">
        <v>43301</v>
      </c>
      <c r="P764" s="2" t="s">
        <v>483</v>
      </c>
      <c r="Q764" s="2" t="s">
        <v>2563</v>
      </c>
      <c r="R764" s="2" t="s">
        <v>80</v>
      </c>
      <c r="S764" s="14">
        <v>43308</v>
      </c>
      <c r="T764" s="2" t="s">
        <v>6619</v>
      </c>
      <c r="U764" s="2" t="s">
        <v>2519</v>
      </c>
      <c r="V764" s="2" t="s">
        <v>163</v>
      </c>
      <c r="W764" s="2" t="s">
        <v>70</v>
      </c>
      <c r="X764" s="13">
        <v>853</v>
      </c>
      <c r="Y764" s="2" t="s">
        <v>71</v>
      </c>
      <c r="Z764" s="2" t="s">
        <v>72</v>
      </c>
      <c r="AA764" s="13">
        <v>20000</v>
      </c>
      <c r="AB764" s="2" t="s">
        <v>73</v>
      </c>
      <c r="AC764" s="2" t="s">
        <v>6773</v>
      </c>
      <c r="AD764" s="27">
        <v>43181</v>
      </c>
      <c r="AL764" s="2" t="s">
        <v>5466</v>
      </c>
    </row>
    <row r="765" spans="1:38" hidden="1" x14ac:dyDescent="0.2">
      <c r="A765" s="2" t="s">
        <v>2501</v>
      </c>
      <c r="B765" s="2" t="s">
        <v>2564</v>
      </c>
      <c r="C765" s="2" t="s">
        <v>2515</v>
      </c>
      <c r="D765" s="2" t="s">
        <v>2516</v>
      </c>
      <c r="E765" s="13">
        <v>20000</v>
      </c>
      <c r="F765" s="13">
        <v>20000</v>
      </c>
      <c r="G765" s="14">
        <v>43300</v>
      </c>
      <c r="H765" s="15">
        <v>0</v>
      </c>
      <c r="I765" s="14">
        <v>43300</v>
      </c>
      <c r="J765" s="15">
        <v>0.97694444444443995</v>
      </c>
      <c r="K765" s="13">
        <v>0</v>
      </c>
      <c r="L765" s="2" t="s">
        <v>64</v>
      </c>
      <c r="M765" s="2" t="s">
        <v>2512</v>
      </c>
      <c r="N765" s="14">
        <v>43314</v>
      </c>
      <c r="O765" s="14">
        <v>43302</v>
      </c>
      <c r="P765" s="2" t="s">
        <v>483</v>
      </c>
      <c r="Q765" s="2" t="s">
        <v>2565</v>
      </c>
      <c r="R765" s="2" t="s">
        <v>80</v>
      </c>
      <c r="S765" s="14">
        <v>43314</v>
      </c>
      <c r="T765" s="2" t="s">
        <v>6625</v>
      </c>
      <c r="U765" s="2" t="s">
        <v>2519</v>
      </c>
      <c r="V765" s="2" t="s">
        <v>163</v>
      </c>
      <c r="W765" s="2" t="s">
        <v>70</v>
      </c>
      <c r="X765" s="13">
        <v>853</v>
      </c>
      <c r="Y765" s="2" t="s">
        <v>71</v>
      </c>
      <c r="Z765" s="2" t="s">
        <v>72</v>
      </c>
      <c r="AA765" s="13">
        <v>20000</v>
      </c>
      <c r="AB765" s="2" t="s">
        <v>73</v>
      </c>
      <c r="AC765" s="2" t="s">
        <v>6773</v>
      </c>
      <c r="AD765" s="27">
        <v>43262</v>
      </c>
      <c r="AL765" s="2" t="s">
        <v>5467</v>
      </c>
    </row>
    <row r="766" spans="1:38" hidden="1" x14ac:dyDescent="0.2">
      <c r="A766" s="2" t="s">
        <v>2501</v>
      </c>
      <c r="B766" s="2" t="s">
        <v>2613</v>
      </c>
      <c r="C766" s="2" t="s">
        <v>390</v>
      </c>
      <c r="D766" s="2" t="s">
        <v>391</v>
      </c>
      <c r="E766" s="13">
        <v>10000</v>
      </c>
      <c r="F766" s="13">
        <v>10000</v>
      </c>
      <c r="G766" s="14">
        <v>43301</v>
      </c>
      <c r="H766" s="15">
        <v>0.125</v>
      </c>
      <c r="I766" s="14">
        <v>43301</v>
      </c>
      <c r="J766" s="15">
        <v>0.61347222222221998</v>
      </c>
      <c r="K766" s="13">
        <v>0</v>
      </c>
      <c r="L766" s="2" t="s">
        <v>64</v>
      </c>
      <c r="M766" s="2" t="s">
        <v>2517</v>
      </c>
      <c r="N766" s="14">
        <v>43313</v>
      </c>
      <c r="O766" s="14">
        <v>43303</v>
      </c>
      <c r="P766" s="2" t="s">
        <v>488</v>
      </c>
      <c r="Q766" s="2" t="s">
        <v>2614</v>
      </c>
      <c r="R766" s="2" t="s">
        <v>80</v>
      </c>
      <c r="S766" s="14">
        <v>43313</v>
      </c>
      <c r="T766" s="2" t="s">
        <v>6620</v>
      </c>
      <c r="U766" s="2" t="s">
        <v>393</v>
      </c>
      <c r="V766" s="2" t="s">
        <v>163</v>
      </c>
      <c r="W766" s="2" t="s">
        <v>70</v>
      </c>
      <c r="X766" s="13">
        <v>853</v>
      </c>
      <c r="Y766" s="2" t="s">
        <v>71</v>
      </c>
      <c r="Z766" s="2" t="s">
        <v>72</v>
      </c>
      <c r="AA766" s="13">
        <v>10000</v>
      </c>
      <c r="AB766" s="2" t="s">
        <v>73</v>
      </c>
      <c r="AC766" s="2" t="s">
        <v>6773</v>
      </c>
      <c r="AD766" s="27">
        <v>43271</v>
      </c>
      <c r="AL766" s="2" t="s">
        <v>5468</v>
      </c>
    </row>
    <row r="767" spans="1:38" hidden="1" x14ac:dyDescent="0.2">
      <c r="A767" s="2" t="s">
        <v>2501</v>
      </c>
      <c r="B767" s="2" t="s">
        <v>2583</v>
      </c>
      <c r="C767" s="2" t="s">
        <v>2584</v>
      </c>
      <c r="D767" s="2" t="s">
        <v>2585</v>
      </c>
      <c r="E767" s="13">
        <v>5099</v>
      </c>
      <c r="F767" s="13">
        <v>5099</v>
      </c>
      <c r="G767" s="14">
        <v>43301</v>
      </c>
      <c r="H767" s="15">
        <v>0.79166666666666996</v>
      </c>
      <c r="I767" s="14">
        <v>43302</v>
      </c>
      <c r="J767" s="15">
        <v>4.0740740740740002E-2</v>
      </c>
      <c r="K767" s="13">
        <v>20</v>
      </c>
      <c r="L767" s="2" t="s">
        <v>64</v>
      </c>
      <c r="M767" s="2" t="s">
        <v>2586</v>
      </c>
      <c r="N767" s="14">
        <v>43318</v>
      </c>
      <c r="O767" s="14">
        <v>43304</v>
      </c>
      <c r="P767" s="2" t="s">
        <v>1329</v>
      </c>
      <c r="Q767" s="2" t="s">
        <v>2587</v>
      </c>
      <c r="R767" s="2" t="s">
        <v>80</v>
      </c>
      <c r="S767" s="14">
        <v>43318</v>
      </c>
      <c r="T767" s="2" t="s">
        <v>6621</v>
      </c>
      <c r="U767" s="2" t="s">
        <v>1355</v>
      </c>
      <c r="V767" s="2" t="s">
        <v>2588</v>
      </c>
      <c r="W767" s="2" t="s">
        <v>70</v>
      </c>
      <c r="X767" s="13">
        <v>853</v>
      </c>
      <c r="Y767" s="2" t="s">
        <v>71</v>
      </c>
      <c r="Z767" s="2" t="s">
        <v>72</v>
      </c>
      <c r="AA767" s="13">
        <v>5000</v>
      </c>
      <c r="AB767" s="2" t="s">
        <v>73</v>
      </c>
      <c r="AC767" s="2" t="s">
        <v>6773</v>
      </c>
      <c r="AD767" s="27">
        <v>43276</v>
      </c>
      <c r="AI767" s="2" t="s">
        <v>6153</v>
      </c>
      <c r="AL767" s="2" t="s">
        <v>5469</v>
      </c>
    </row>
    <row r="768" spans="1:38" hidden="1" x14ac:dyDescent="0.2">
      <c r="A768" s="2" t="s">
        <v>2501</v>
      </c>
      <c r="B768" s="2" t="s">
        <v>2549</v>
      </c>
      <c r="C768" s="2" t="s">
        <v>2550</v>
      </c>
      <c r="D768" s="2" t="s">
        <v>2551</v>
      </c>
      <c r="E768" s="13">
        <v>10000</v>
      </c>
      <c r="F768" s="13">
        <v>10000</v>
      </c>
      <c r="G768" s="14">
        <v>43302</v>
      </c>
      <c r="H768" s="15">
        <v>0.33333333333332998</v>
      </c>
      <c r="I768" s="14">
        <v>43302</v>
      </c>
      <c r="J768" s="15">
        <v>0.82180555555556001</v>
      </c>
      <c r="K768" s="13">
        <v>20</v>
      </c>
      <c r="L768" s="2" t="s">
        <v>64</v>
      </c>
      <c r="M768" s="2" t="s">
        <v>2517</v>
      </c>
      <c r="N768" s="14">
        <v>43301</v>
      </c>
      <c r="O768" s="14">
        <v>43304</v>
      </c>
      <c r="P768" s="2" t="s">
        <v>91</v>
      </c>
      <c r="Q768" s="2" t="s">
        <v>2552</v>
      </c>
      <c r="R768" s="2" t="s">
        <v>80</v>
      </c>
      <c r="S768" s="14">
        <v>43304</v>
      </c>
      <c r="T768" s="2" t="s">
        <v>6622</v>
      </c>
      <c r="U768" s="2" t="s">
        <v>1345</v>
      </c>
      <c r="V768" s="2" t="s">
        <v>2553</v>
      </c>
      <c r="W768" s="2" t="s">
        <v>70</v>
      </c>
      <c r="X768" s="13">
        <v>853</v>
      </c>
      <c r="Y768" s="2" t="s">
        <v>71</v>
      </c>
      <c r="Z768" s="2" t="s">
        <v>72</v>
      </c>
      <c r="AA768" s="13">
        <v>10000</v>
      </c>
      <c r="AB768" s="2" t="s">
        <v>73</v>
      </c>
      <c r="AC768" s="2" t="s">
        <v>6773</v>
      </c>
      <c r="AD768" s="27">
        <v>43227</v>
      </c>
      <c r="AL768" s="2" t="s">
        <v>5470</v>
      </c>
    </row>
    <row r="769" spans="1:38" hidden="1" x14ac:dyDescent="0.2">
      <c r="A769" s="2" t="s">
        <v>2501</v>
      </c>
      <c r="B769" s="2" t="s">
        <v>2547</v>
      </c>
      <c r="C769" s="2" t="s">
        <v>2220</v>
      </c>
      <c r="D769" s="2" t="s">
        <v>2221</v>
      </c>
      <c r="E769" s="13">
        <v>20000</v>
      </c>
      <c r="F769" s="13">
        <v>20000</v>
      </c>
      <c r="G769" s="14">
        <v>43303</v>
      </c>
      <c r="H769" s="15">
        <v>0.95833333333333004</v>
      </c>
      <c r="I769" s="14">
        <v>43304</v>
      </c>
      <c r="J769" s="15">
        <v>0.93527777777777998</v>
      </c>
      <c r="K769" s="13">
        <v>20</v>
      </c>
      <c r="L769" s="2" t="s">
        <v>64</v>
      </c>
      <c r="M769" s="2" t="s">
        <v>2512</v>
      </c>
      <c r="N769" s="14">
        <v>43304</v>
      </c>
      <c r="O769" s="14">
        <v>43306</v>
      </c>
      <c r="P769" s="2" t="s">
        <v>459</v>
      </c>
      <c r="Q769" s="2" t="s">
        <v>2548</v>
      </c>
      <c r="R769" s="2" t="s">
        <v>80</v>
      </c>
      <c r="S769" s="14">
        <v>43304</v>
      </c>
      <c r="T769" s="2" t="s">
        <v>6623</v>
      </c>
      <c r="U769" s="2" t="s">
        <v>2222</v>
      </c>
      <c r="V769" s="2" t="s">
        <v>2223</v>
      </c>
      <c r="W769" s="2" t="s">
        <v>70</v>
      </c>
      <c r="X769" s="13">
        <v>853</v>
      </c>
      <c r="Y769" s="2" t="s">
        <v>71</v>
      </c>
      <c r="Z769" s="2" t="s">
        <v>72</v>
      </c>
      <c r="AA769" s="13">
        <v>20000</v>
      </c>
      <c r="AB769" s="2" t="s">
        <v>73</v>
      </c>
      <c r="AC769" s="2" t="s">
        <v>6773</v>
      </c>
      <c r="AD769" s="27">
        <v>43251</v>
      </c>
      <c r="AI769" s="2" t="s">
        <v>6153</v>
      </c>
      <c r="AL769" s="2" t="s">
        <v>5471</v>
      </c>
    </row>
    <row r="770" spans="1:38" hidden="1" x14ac:dyDescent="0.2">
      <c r="A770" s="2" t="s">
        <v>2501</v>
      </c>
      <c r="B770" s="2" t="s">
        <v>4124</v>
      </c>
      <c r="C770" s="2" t="s">
        <v>1452</v>
      </c>
      <c r="D770" s="2" t="s">
        <v>1453</v>
      </c>
      <c r="E770" s="13">
        <v>10200</v>
      </c>
      <c r="F770" s="13">
        <v>10200</v>
      </c>
      <c r="G770" s="14">
        <v>43305</v>
      </c>
      <c r="H770" s="15">
        <v>0.20833333333333001</v>
      </c>
      <c r="I770" s="14">
        <v>43305</v>
      </c>
      <c r="J770" s="15">
        <v>0.70657407407407002</v>
      </c>
      <c r="K770" s="13">
        <v>20</v>
      </c>
      <c r="L770" s="2" t="s">
        <v>64</v>
      </c>
      <c r="M770" s="2" t="s">
        <v>2581</v>
      </c>
      <c r="N770" s="14">
        <v>43312</v>
      </c>
      <c r="O770" s="14">
        <v>43307</v>
      </c>
      <c r="P770" s="2" t="s">
        <v>483</v>
      </c>
      <c r="Q770" s="2" t="s">
        <v>4125</v>
      </c>
      <c r="R770" s="2" t="s">
        <v>80</v>
      </c>
      <c r="S770" s="14">
        <v>43312</v>
      </c>
      <c r="T770" s="2" t="s">
        <v>6624</v>
      </c>
      <c r="U770" s="2" t="s">
        <v>1455</v>
      </c>
      <c r="V770" s="2" t="s">
        <v>163</v>
      </c>
      <c r="W770" s="2" t="s">
        <v>70</v>
      </c>
      <c r="X770" s="13">
        <v>853</v>
      </c>
      <c r="Y770" s="2" t="s">
        <v>71</v>
      </c>
      <c r="Z770" s="2" t="s">
        <v>72</v>
      </c>
      <c r="AA770" s="13">
        <v>10000</v>
      </c>
      <c r="AB770" s="2" t="s">
        <v>73</v>
      </c>
      <c r="AC770" s="2" t="s">
        <v>6773</v>
      </c>
      <c r="AD770" s="27">
        <v>43283</v>
      </c>
      <c r="AL770" s="2" t="s">
        <v>5472</v>
      </c>
    </row>
    <row r="771" spans="1:38" hidden="1" x14ac:dyDescent="0.2">
      <c r="A771" s="2" t="s">
        <v>2501</v>
      </c>
      <c r="B771" s="2" t="s">
        <v>2568</v>
      </c>
      <c r="C771" s="2" t="s">
        <v>2525</v>
      </c>
      <c r="D771" s="2" t="s">
        <v>2526</v>
      </c>
      <c r="E771" s="13">
        <v>10000</v>
      </c>
      <c r="F771" s="13">
        <v>10000</v>
      </c>
      <c r="G771" s="14">
        <v>43307</v>
      </c>
      <c r="H771" s="15">
        <v>0.51152777777778002</v>
      </c>
      <c r="I771" s="14">
        <v>43308</v>
      </c>
      <c r="J771" s="15">
        <v>0</v>
      </c>
      <c r="K771" s="13">
        <v>20</v>
      </c>
      <c r="L771" s="2" t="s">
        <v>64</v>
      </c>
      <c r="M771" s="2" t="s">
        <v>2517</v>
      </c>
      <c r="N771" s="14">
        <v>43314</v>
      </c>
      <c r="O771" s="14">
        <v>43309</v>
      </c>
      <c r="P771" s="2" t="s">
        <v>91</v>
      </c>
      <c r="Q771" s="2" t="s">
        <v>2527</v>
      </c>
      <c r="R771" s="2" t="s">
        <v>93</v>
      </c>
      <c r="S771" s="14">
        <v>43326</v>
      </c>
      <c r="T771" s="2" t="s">
        <v>6631</v>
      </c>
      <c r="U771" s="2" t="s">
        <v>2528</v>
      </c>
      <c r="V771" s="2" t="s">
        <v>1401</v>
      </c>
      <c r="W771" s="2" t="s">
        <v>70</v>
      </c>
      <c r="X771" s="13">
        <v>853</v>
      </c>
      <c r="Y771" s="2" t="s">
        <v>71</v>
      </c>
      <c r="Z771" s="2" t="s">
        <v>72</v>
      </c>
      <c r="AA771" s="13">
        <v>10000</v>
      </c>
      <c r="AB771" s="2" t="s">
        <v>73</v>
      </c>
      <c r="AC771" s="2" t="s">
        <v>6773</v>
      </c>
      <c r="AD771" s="27">
        <v>43175</v>
      </c>
      <c r="AL771" s="2" t="s">
        <v>5473</v>
      </c>
    </row>
    <row r="772" spans="1:38" hidden="1" x14ac:dyDescent="0.2">
      <c r="A772" s="2" t="s">
        <v>2501</v>
      </c>
      <c r="B772" s="2" t="s">
        <v>2569</v>
      </c>
      <c r="C772" s="2" t="s">
        <v>1343</v>
      </c>
      <c r="D772" s="2" t="s">
        <v>1344</v>
      </c>
      <c r="E772" s="13">
        <v>10000</v>
      </c>
      <c r="F772" s="13">
        <v>10000</v>
      </c>
      <c r="G772" s="14">
        <v>43308</v>
      </c>
      <c r="H772" s="15">
        <v>0.51152777777778002</v>
      </c>
      <c r="I772" s="14">
        <v>43309</v>
      </c>
      <c r="J772" s="15">
        <v>0</v>
      </c>
      <c r="K772" s="13">
        <v>20</v>
      </c>
      <c r="L772" s="2" t="s">
        <v>64</v>
      </c>
      <c r="M772" s="2" t="s">
        <v>2517</v>
      </c>
      <c r="N772" s="14">
        <v>43314</v>
      </c>
      <c r="O772" s="14">
        <v>43310</v>
      </c>
      <c r="P772" s="2" t="s">
        <v>483</v>
      </c>
      <c r="Q772" s="2" t="s">
        <v>2530</v>
      </c>
      <c r="R772" s="2" t="s">
        <v>93</v>
      </c>
      <c r="S772" s="14">
        <v>43326</v>
      </c>
      <c r="T772" s="2" t="s">
        <v>6630</v>
      </c>
      <c r="U772" s="2" t="s">
        <v>1345</v>
      </c>
      <c r="V772" s="2" t="s">
        <v>163</v>
      </c>
      <c r="W772" s="2" t="s">
        <v>70</v>
      </c>
      <c r="X772" s="13">
        <v>853</v>
      </c>
      <c r="Y772" s="2" t="s">
        <v>71</v>
      </c>
      <c r="Z772" s="2" t="s">
        <v>72</v>
      </c>
      <c r="AA772" s="13">
        <v>10000</v>
      </c>
      <c r="AB772" s="2" t="s">
        <v>73</v>
      </c>
      <c r="AC772" s="2" t="s">
        <v>6773</v>
      </c>
      <c r="AD772" s="27">
        <v>43175</v>
      </c>
      <c r="AL772" s="2" t="s">
        <v>5474</v>
      </c>
    </row>
    <row r="773" spans="1:38" hidden="1" x14ac:dyDescent="0.2">
      <c r="A773" s="2" t="s">
        <v>2501</v>
      </c>
      <c r="B773" s="2" t="s">
        <v>2571</v>
      </c>
      <c r="C773" s="2" t="s">
        <v>1347</v>
      </c>
      <c r="D773" s="2" t="s">
        <v>1348</v>
      </c>
      <c r="E773" s="13">
        <v>10000</v>
      </c>
      <c r="F773" s="13">
        <v>10000</v>
      </c>
      <c r="G773" s="14">
        <v>43309</v>
      </c>
      <c r="H773" s="15">
        <v>0.51152777777778002</v>
      </c>
      <c r="I773" s="14">
        <v>43310</v>
      </c>
      <c r="J773" s="15">
        <v>0</v>
      </c>
      <c r="K773" s="13">
        <v>20</v>
      </c>
      <c r="L773" s="2" t="s">
        <v>64</v>
      </c>
      <c r="M773" s="2" t="s">
        <v>2517</v>
      </c>
      <c r="N773" s="14">
        <v>43312</v>
      </c>
      <c r="O773" s="14">
        <v>43311</v>
      </c>
      <c r="P773" s="2" t="s">
        <v>1329</v>
      </c>
      <c r="Q773" s="2" t="s">
        <v>2572</v>
      </c>
      <c r="R773" s="2" t="s">
        <v>80</v>
      </c>
      <c r="S773" s="14">
        <v>43312</v>
      </c>
      <c r="T773" s="2" t="s">
        <v>6626</v>
      </c>
      <c r="U773" s="2" t="s">
        <v>418</v>
      </c>
      <c r="V773" s="2" t="s">
        <v>1350</v>
      </c>
      <c r="W773" s="2" t="s">
        <v>70</v>
      </c>
      <c r="X773" s="13">
        <v>853</v>
      </c>
      <c r="Y773" s="2" t="s">
        <v>71</v>
      </c>
      <c r="Z773" s="2" t="s">
        <v>72</v>
      </c>
      <c r="AA773" s="13">
        <v>10000</v>
      </c>
      <c r="AB773" s="2" t="s">
        <v>73</v>
      </c>
      <c r="AC773" s="2" t="s">
        <v>6773</v>
      </c>
      <c r="AD773" s="27">
        <v>43218</v>
      </c>
      <c r="AI773" s="2" t="s">
        <v>6153</v>
      </c>
      <c r="AL773" s="2" t="s">
        <v>5475</v>
      </c>
    </row>
    <row r="774" spans="1:38" hidden="1" x14ac:dyDescent="0.2">
      <c r="A774" s="2" t="s">
        <v>2501</v>
      </c>
      <c r="B774" s="2" t="s">
        <v>2573</v>
      </c>
      <c r="C774" s="2" t="s">
        <v>2252</v>
      </c>
      <c r="D774" s="2" t="s">
        <v>2253</v>
      </c>
      <c r="E774" s="13">
        <v>20000</v>
      </c>
      <c r="F774" s="13">
        <v>20000</v>
      </c>
      <c r="G774" s="14">
        <v>43310</v>
      </c>
      <c r="H774" s="15">
        <v>2.304398148148E-2</v>
      </c>
      <c r="I774" s="14">
        <v>43310</v>
      </c>
      <c r="J774" s="15">
        <v>0.99998842592592996</v>
      </c>
      <c r="K774" s="13">
        <v>0</v>
      </c>
      <c r="L774" s="2" t="s">
        <v>64</v>
      </c>
      <c r="M774" s="2" t="s">
        <v>2512</v>
      </c>
      <c r="N774" s="14">
        <v>43312</v>
      </c>
      <c r="O774" s="14">
        <v>43312</v>
      </c>
      <c r="P774" s="2" t="s">
        <v>524</v>
      </c>
      <c r="Q774" s="2" t="s">
        <v>2574</v>
      </c>
      <c r="R774" s="2" t="s">
        <v>93</v>
      </c>
      <c r="S774" s="14">
        <v>43315</v>
      </c>
      <c r="U774" s="2" t="s">
        <v>1324</v>
      </c>
      <c r="V774" s="2" t="s">
        <v>2254</v>
      </c>
      <c r="W774" s="2" t="s">
        <v>70</v>
      </c>
      <c r="X774" s="13">
        <v>0</v>
      </c>
      <c r="Y774" s="2" t="s">
        <v>71</v>
      </c>
      <c r="Z774" s="2" t="s">
        <v>72</v>
      </c>
      <c r="AA774" s="13">
        <v>20000</v>
      </c>
      <c r="AB774" s="2" t="s">
        <v>95</v>
      </c>
      <c r="AC774" s="2" t="s">
        <v>6772</v>
      </c>
      <c r="AD774" s="27"/>
      <c r="AL774" s="2" t="s">
        <v>5476</v>
      </c>
    </row>
    <row r="775" spans="1:38" hidden="1" x14ac:dyDescent="0.2">
      <c r="A775" s="2" t="s">
        <v>2501</v>
      </c>
      <c r="B775" s="2" t="s">
        <v>2575</v>
      </c>
      <c r="C775" s="2" t="s">
        <v>395</v>
      </c>
      <c r="D775" s="2" t="s">
        <v>396</v>
      </c>
      <c r="E775" s="13">
        <v>10100</v>
      </c>
      <c r="F775" s="13">
        <v>10100</v>
      </c>
      <c r="G775" s="14">
        <v>43311</v>
      </c>
      <c r="H775" s="15">
        <v>0.50664351851851996</v>
      </c>
      <c r="I775" s="14">
        <v>43312</v>
      </c>
      <c r="J775" s="15">
        <v>0</v>
      </c>
      <c r="K775" s="13">
        <v>20</v>
      </c>
      <c r="L775" s="2" t="s">
        <v>64</v>
      </c>
      <c r="M775" s="2" t="s">
        <v>2505</v>
      </c>
      <c r="N775" s="14">
        <v>43314</v>
      </c>
      <c r="O775" s="14">
        <v>43313</v>
      </c>
      <c r="P775" s="2" t="s">
        <v>397</v>
      </c>
      <c r="Q775" s="2" t="s">
        <v>2576</v>
      </c>
      <c r="R775" s="2" t="s">
        <v>80</v>
      </c>
      <c r="S775" s="14">
        <v>43314</v>
      </c>
      <c r="T775" s="2" t="s">
        <v>6627</v>
      </c>
      <c r="U775" s="2" t="s">
        <v>399</v>
      </c>
      <c r="V775" s="2" t="s">
        <v>400</v>
      </c>
      <c r="W775" s="2" t="s">
        <v>70</v>
      </c>
      <c r="X775" s="13">
        <v>853</v>
      </c>
      <c r="Y775" s="2" t="s">
        <v>71</v>
      </c>
      <c r="Z775" s="2" t="s">
        <v>72</v>
      </c>
      <c r="AA775" s="13">
        <v>10000</v>
      </c>
      <c r="AB775" s="2" t="s">
        <v>73</v>
      </c>
      <c r="AC775" s="2" t="s">
        <v>6773</v>
      </c>
      <c r="AD775" s="27">
        <v>43276</v>
      </c>
      <c r="AI775" s="2" t="s">
        <v>6153</v>
      </c>
      <c r="AL775" s="2" t="s">
        <v>5477</v>
      </c>
    </row>
    <row r="776" spans="1:38" hidden="1" x14ac:dyDescent="0.2">
      <c r="A776" s="2" t="s">
        <v>2501</v>
      </c>
      <c r="B776" s="2" t="s">
        <v>2577</v>
      </c>
      <c r="C776" s="2" t="s">
        <v>390</v>
      </c>
      <c r="D776" s="2" t="s">
        <v>391</v>
      </c>
      <c r="E776" s="13">
        <v>20200</v>
      </c>
      <c r="F776" s="13">
        <v>20200</v>
      </c>
      <c r="G776" s="14">
        <v>43314</v>
      </c>
      <c r="H776" s="15">
        <v>0.22430555555556</v>
      </c>
      <c r="I776" s="14">
        <v>43315</v>
      </c>
      <c r="J776" s="15">
        <v>0.21101851851851999</v>
      </c>
      <c r="K776" s="13">
        <v>20</v>
      </c>
      <c r="L776" s="2" t="s">
        <v>64</v>
      </c>
      <c r="M776" s="2" t="s">
        <v>2578</v>
      </c>
      <c r="N776" s="14">
        <v>43321</v>
      </c>
      <c r="O776" s="14">
        <v>43317</v>
      </c>
      <c r="P776" s="2" t="s">
        <v>488</v>
      </c>
      <c r="Q776" s="2" t="s">
        <v>2579</v>
      </c>
      <c r="R776" s="2" t="s">
        <v>80</v>
      </c>
      <c r="S776" s="14">
        <v>43321</v>
      </c>
      <c r="T776" s="2" t="s">
        <v>6628</v>
      </c>
      <c r="U776" s="2" t="s">
        <v>393</v>
      </c>
      <c r="V776" s="2" t="s">
        <v>163</v>
      </c>
      <c r="W776" s="2" t="s">
        <v>70</v>
      </c>
      <c r="X776" s="13">
        <v>853</v>
      </c>
      <c r="Y776" s="2" t="s">
        <v>71</v>
      </c>
      <c r="Z776" s="2" t="s">
        <v>72</v>
      </c>
      <c r="AA776" s="13">
        <v>20000</v>
      </c>
      <c r="AB776" s="2" t="s">
        <v>73</v>
      </c>
      <c r="AC776" s="2" t="s">
        <v>6773</v>
      </c>
      <c r="AD776" s="27">
        <v>43280</v>
      </c>
      <c r="AL776" s="2" t="s">
        <v>5478</v>
      </c>
    </row>
    <row r="777" spans="1:38" hidden="1" x14ac:dyDescent="0.2">
      <c r="A777" s="2" t="s">
        <v>2501</v>
      </c>
      <c r="B777" s="2" t="s">
        <v>2589</v>
      </c>
      <c r="C777" s="2" t="s">
        <v>2252</v>
      </c>
      <c r="D777" s="2" t="s">
        <v>2253</v>
      </c>
      <c r="E777" s="13">
        <v>20000</v>
      </c>
      <c r="F777" s="13">
        <v>20000</v>
      </c>
      <c r="G777" s="14">
        <v>43316</v>
      </c>
      <c r="H777" s="15">
        <v>2.304398148148E-2</v>
      </c>
      <c r="I777" s="14">
        <v>43316</v>
      </c>
      <c r="J777" s="15">
        <v>0.99998842592592996</v>
      </c>
      <c r="K777" s="13">
        <v>0</v>
      </c>
      <c r="L777" s="2" t="s">
        <v>64</v>
      </c>
      <c r="M777" s="2" t="s">
        <v>2512</v>
      </c>
      <c r="N777" s="14">
        <v>43318</v>
      </c>
      <c r="O777" s="14">
        <v>43318</v>
      </c>
      <c r="P777" s="2" t="s">
        <v>524</v>
      </c>
      <c r="Q777" s="2" t="s">
        <v>2592</v>
      </c>
      <c r="R777" s="2" t="s">
        <v>80</v>
      </c>
      <c r="S777" s="14">
        <v>43320</v>
      </c>
      <c r="U777" s="2" t="s">
        <v>1324</v>
      </c>
      <c r="V777" s="2" t="s">
        <v>2254</v>
      </c>
      <c r="W777" s="2" t="s">
        <v>70</v>
      </c>
      <c r="X777" s="13">
        <v>0</v>
      </c>
      <c r="Y777" s="2" t="s">
        <v>71</v>
      </c>
      <c r="Z777" s="2" t="s">
        <v>72</v>
      </c>
      <c r="AA777" s="13">
        <v>20000</v>
      </c>
      <c r="AB777" s="2" t="s">
        <v>95</v>
      </c>
      <c r="AC777" s="2" t="s">
        <v>6772</v>
      </c>
      <c r="AD777" s="27"/>
      <c r="AL777" s="2" t="s">
        <v>5479</v>
      </c>
    </row>
    <row r="778" spans="1:38" hidden="1" x14ac:dyDescent="0.2">
      <c r="A778" s="2" t="s">
        <v>2501</v>
      </c>
      <c r="B778" s="2" t="s">
        <v>2591</v>
      </c>
      <c r="C778" s="2" t="s">
        <v>2252</v>
      </c>
      <c r="D778" s="2" t="s">
        <v>2253</v>
      </c>
      <c r="E778" s="13">
        <v>10000</v>
      </c>
      <c r="F778" s="13">
        <v>10000</v>
      </c>
      <c r="G778" s="14">
        <v>43316</v>
      </c>
      <c r="H778" s="15">
        <v>0.51151620370369999</v>
      </c>
      <c r="I778" s="14">
        <v>43316</v>
      </c>
      <c r="J778" s="15">
        <v>0.99998842592592996</v>
      </c>
      <c r="K778" s="13">
        <v>0</v>
      </c>
      <c r="L778" s="2" t="s">
        <v>64</v>
      </c>
      <c r="M778" s="2" t="s">
        <v>2517</v>
      </c>
      <c r="N778" s="14">
        <v>43318</v>
      </c>
      <c r="O778" s="14">
        <v>43318</v>
      </c>
      <c r="P778" s="2" t="s">
        <v>524</v>
      </c>
      <c r="Q778" s="2" t="s">
        <v>7003</v>
      </c>
      <c r="R778" s="2" t="s">
        <v>80</v>
      </c>
      <c r="S778" s="14">
        <v>43319</v>
      </c>
      <c r="U778" s="2" t="s">
        <v>1324</v>
      </c>
      <c r="V778" s="2" t="s">
        <v>2254</v>
      </c>
      <c r="W778" s="2" t="s">
        <v>70</v>
      </c>
      <c r="X778" s="13">
        <v>0</v>
      </c>
      <c r="Y778" s="2" t="s">
        <v>71</v>
      </c>
      <c r="Z778" s="2" t="s">
        <v>72</v>
      </c>
      <c r="AA778" s="13">
        <v>10000</v>
      </c>
      <c r="AB778" s="2" t="s">
        <v>95</v>
      </c>
      <c r="AC778" s="2" t="s">
        <v>6772</v>
      </c>
      <c r="AD778" s="27"/>
      <c r="AL778" s="2" t="s">
        <v>5480</v>
      </c>
    </row>
    <row r="779" spans="1:38" hidden="1" x14ac:dyDescent="0.2">
      <c r="A779" s="2" t="s">
        <v>2501</v>
      </c>
      <c r="B779" s="2" t="s">
        <v>2566</v>
      </c>
      <c r="C779" s="2" t="s">
        <v>2536</v>
      </c>
      <c r="D779" s="2" t="s">
        <v>2537</v>
      </c>
      <c r="E779" s="13">
        <v>10000</v>
      </c>
      <c r="F779" s="13">
        <v>10000</v>
      </c>
      <c r="G779" s="14">
        <v>43319</v>
      </c>
      <c r="H779" s="15">
        <v>0.71365740740741002</v>
      </c>
      <c r="I779" s="14">
        <v>43320</v>
      </c>
      <c r="J779" s="15">
        <v>0.20212962962962999</v>
      </c>
      <c r="K779" s="13">
        <v>20</v>
      </c>
      <c r="L779" s="2" t="s">
        <v>64</v>
      </c>
      <c r="M779" s="2" t="s">
        <v>2517</v>
      </c>
      <c r="N779" s="14">
        <v>43314</v>
      </c>
      <c r="O779" s="14">
        <v>43323</v>
      </c>
      <c r="P779" s="2" t="s">
        <v>91</v>
      </c>
      <c r="Q779" s="2" t="s">
        <v>2567</v>
      </c>
      <c r="R779" s="2" t="s">
        <v>93</v>
      </c>
      <c r="S779" s="14">
        <v>43326</v>
      </c>
      <c r="T779" s="2" t="s">
        <v>6632</v>
      </c>
      <c r="U779" s="2" t="s">
        <v>418</v>
      </c>
      <c r="V779" s="2" t="s">
        <v>163</v>
      </c>
      <c r="W779" s="2" t="s">
        <v>70</v>
      </c>
      <c r="X779" s="13">
        <v>853</v>
      </c>
      <c r="Y779" s="2" t="s">
        <v>71</v>
      </c>
      <c r="Z779" s="2" t="s">
        <v>72</v>
      </c>
      <c r="AA779" s="13">
        <v>10000</v>
      </c>
      <c r="AB779" s="2" t="s">
        <v>73</v>
      </c>
      <c r="AC779" s="2" t="s">
        <v>6773</v>
      </c>
      <c r="AD779" s="27">
        <v>43175</v>
      </c>
      <c r="AL779" s="2" t="s">
        <v>5481</v>
      </c>
    </row>
    <row r="780" spans="1:38" hidden="1" x14ac:dyDescent="0.2">
      <c r="A780" s="2" t="s">
        <v>2501</v>
      </c>
      <c r="B780" s="2" t="s">
        <v>2605</v>
      </c>
      <c r="C780" s="2" t="s">
        <v>395</v>
      </c>
      <c r="D780" s="2" t="s">
        <v>396</v>
      </c>
      <c r="E780" s="13">
        <v>10100</v>
      </c>
      <c r="F780" s="13">
        <v>10100</v>
      </c>
      <c r="G780" s="14">
        <v>43320</v>
      </c>
      <c r="H780" s="15">
        <v>0.22296296296296</v>
      </c>
      <c r="I780" s="14">
        <v>43320</v>
      </c>
      <c r="J780" s="15">
        <v>0.71631944444443996</v>
      </c>
      <c r="K780" s="13">
        <v>20</v>
      </c>
      <c r="L780" s="2" t="s">
        <v>64</v>
      </c>
      <c r="M780" s="2" t="s">
        <v>2505</v>
      </c>
      <c r="N780" s="14">
        <v>43326</v>
      </c>
      <c r="O780" s="14">
        <v>43322</v>
      </c>
      <c r="P780" s="2" t="s">
        <v>397</v>
      </c>
      <c r="Q780" s="2" t="s">
        <v>2606</v>
      </c>
      <c r="R780" s="2" t="s">
        <v>80</v>
      </c>
      <c r="S780" s="14">
        <v>43326</v>
      </c>
      <c r="T780" s="2" t="s">
        <v>6633</v>
      </c>
      <c r="U780" s="2" t="s">
        <v>399</v>
      </c>
      <c r="V780" s="2" t="s">
        <v>400</v>
      </c>
      <c r="W780" s="2" t="s">
        <v>70</v>
      </c>
      <c r="X780" s="13">
        <v>853</v>
      </c>
      <c r="Y780" s="2" t="s">
        <v>71</v>
      </c>
      <c r="Z780" s="2" t="s">
        <v>72</v>
      </c>
      <c r="AA780" s="13">
        <v>10000</v>
      </c>
      <c r="AB780" s="2" t="s">
        <v>73</v>
      </c>
      <c r="AC780" s="2" t="s">
        <v>6773</v>
      </c>
      <c r="AD780" s="27">
        <v>43276</v>
      </c>
      <c r="AI780" s="2" t="s">
        <v>6153</v>
      </c>
      <c r="AL780" s="2" t="s">
        <v>5482</v>
      </c>
    </row>
    <row r="781" spans="1:38" hidden="1" x14ac:dyDescent="0.2">
      <c r="A781" s="2" t="s">
        <v>2501</v>
      </c>
      <c r="B781" s="2" t="s">
        <v>2607</v>
      </c>
      <c r="C781" s="2" t="s">
        <v>2252</v>
      </c>
      <c r="D781" s="2" t="s">
        <v>2253</v>
      </c>
      <c r="E781" s="13">
        <v>20000</v>
      </c>
      <c r="F781" s="13">
        <v>20000</v>
      </c>
      <c r="G781" s="14">
        <v>43320</v>
      </c>
      <c r="H781" s="15">
        <v>0.73715277777777999</v>
      </c>
      <c r="I781" s="14">
        <v>43321</v>
      </c>
      <c r="J781" s="15">
        <v>0.71409722222222005</v>
      </c>
      <c r="K781" s="13">
        <v>0</v>
      </c>
      <c r="L781" s="2" t="s">
        <v>64</v>
      </c>
      <c r="M781" s="2" t="s">
        <v>2512</v>
      </c>
      <c r="N781" s="14">
        <v>43323</v>
      </c>
      <c r="O781" s="14">
        <v>43324</v>
      </c>
      <c r="P781" s="2" t="s">
        <v>524</v>
      </c>
      <c r="Q781" s="2" t="s">
        <v>7004</v>
      </c>
      <c r="R781" s="2" t="s">
        <v>80</v>
      </c>
      <c r="S781" s="14">
        <v>43327</v>
      </c>
      <c r="U781" s="2" t="s">
        <v>1324</v>
      </c>
      <c r="V781" s="2" t="s">
        <v>2254</v>
      </c>
      <c r="W781" s="2" t="s">
        <v>70</v>
      </c>
      <c r="X781" s="13">
        <v>0</v>
      </c>
      <c r="Y781" s="2" t="s">
        <v>71</v>
      </c>
      <c r="Z781" s="2" t="s">
        <v>72</v>
      </c>
      <c r="AA781" s="13">
        <v>20000</v>
      </c>
      <c r="AB781" s="2" t="s">
        <v>95</v>
      </c>
      <c r="AC781" s="2" t="s">
        <v>6772</v>
      </c>
      <c r="AD781" s="27"/>
      <c r="AL781" s="2" t="s">
        <v>5483</v>
      </c>
    </row>
    <row r="782" spans="1:38" hidden="1" x14ac:dyDescent="0.2">
      <c r="A782" s="2" t="s">
        <v>2501</v>
      </c>
      <c r="B782" s="2" t="s">
        <v>2608</v>
      </c>
      <c r="C782" s="2" t="s">
        <v>1343</v>
      </c>
      <c r="D782" s="2" t="s">
        <v>1344</v>
      </c>
      <c r="E782" s="13">
        <v>5000</v>
      </c>
      <c r="F782" s="13">
        <v>5000</v>
      </c>
      <c r="G782" s="14">
        <v>43321</v>
      </c>
      <c r="H782" s="15">
        <v>0.75576388888889001</v>
      </c>
      <c r="I782" s="14">
        <v>43322</v>
      </c>
      <c r="J782" s="15">
        <v>0</v>
      </c>
      <c r="K782" s="13">
        <v>20</v>
      </c>
      <c r="L782" s="2" t="s">
        <v>64</v>
      </c>
      <c r="M782" s="2" t="s">
        <v>2542</v>
      </c>
      <c r="N782" s="14">
        <v>43326</v>
      </c>
      <c r="O782" s="14">
        <v>43323</v>
      </c>
      <c r="P782" s="2" t="s">
        <v>483</v>
      </c>
      <c r="Q782" s="2" t="s">
        <v>2609</v>
      </c>
      <c r="R782" s="2" t="s">
        <v>80</v>
      </c>
      <c r="S782" s="14">
        <v>43326</v>
      </c>
      <c r="T782" s="2" t="s">
        <v>6634</v>
      </c>
      <c r="U782" s="2" t="s">
        <v>1345</v>
      </c>
      <c r="V782" s="2" t="s">
        <v>163</v>
      </c>
      <c r="W782" s="2" t="s">
        <v>70</v>
      </c>
      <c r="X782" s="13">
        <v>853</v>
      </c>
      <c r="Y782" s="2" t="s">
        <v>71</v>
      </c>
      <c r="Z782" s="2" t="s">
        <v>72</v>
      </c>
      <c r="AA782" s="13">
        <v>5000</v>
      </c>
      <c r="AB782" s="2" t="s">
        <v>73</v>
      </c>
      <c r="AC782" s="2" t="s">
        <v>6773</v>
      </c>
      <c r="AD782" s="27">
        <v>43263</v>
      </c>
      <c r="AL782" s="2" t="s">
        <v>5484</v>
      </c>
    </row>
    <row r="783" spans="1:38" hidden="1" x14ac:dyDescent="0.2">
      <c r="A783" s="2" t="s">
        <v>2501</v>
      </c>
      <c r="B783" s="2" t="s">
        <v>2610</v>
      </c>
      <c r="C783" s="2" t="s">
        <v>1322</v>
      </c>
      <c r="D783" s="2" t="s">
        <v>1323</v>
      </c>
      <c r="E783" s="13">
        <v>10000</v>
      </c>
      <c r="F783" s="13">
        <v>10000</v>
      </c>
      <c r="G783" s="14">
        <v>43322</v>
      </c>
      <c r="H783" s="15">
        <v>0.51152777777778002</v>
      </c>
      <c r="I783" s="14">
        <v>43323</v>
      </c>
      <c r="J783" s="15">
        <v>0</v>
      </c>
      <c r="K783" s="13">
        <v>20</v>
      </c>
      <c r="L783" s="2" t="s">
        <v>64</v>
      </c>
      <c r="M783" s="2" t="s">
        <v>2517</v>
      </c>
      <c r="N783" s="14">
        <v>43326</v>
      </c>
      <c r="O783" s="14">
        <v>43324</v>
      </c>
      <c r="P783" s="2" t="s">
        <v>91</v>
      </c>
      <c r="Q783" s="2" t="s">
        <v>2559</v>
      </c>
      <c r="R783" s="2" t="s">
        <v>93</v>
      </c>
      <c r="S783" s="14">
        <v>43339</v>
      </c>
      <c r="U783" s="2" t="s">
        <v>1324</v>
      </c>
      <c r="V783" s="2" t="s">
        <v>163</v>
      </c>
      <c r="W783" s="2" t="s">
        <v>70</v>
      </c>
      <c r="X783" s="13">
        <v>853</v>
      </c>
      <c r="Y783" s="2" t="s">
        <v>71</v>
      </c>
      <c r="Z783" s="2" t="s">
        <v>72</v>
      </c>
      <c r="AA783" s="13">
        <v>10000</v>
      </c>
      <c r="AB783" s="2" t="s">
        <v>73</v>
      </c>
      <c r="AC783" s="2" t="s">
        <v>6773</v>
      </c>
      <c r="AD783" s="27"/>
      <c r="AL783" s="2" t="s">
        <v>7281</v>
      </c>
    </row>
    <row r="784" spans="1:38" hidden="1" x14ac:dyDescent="0.2">
      <c r="A784" s="2" t="s">
        <v>2501</v>
      </c>
      <c r="B784" s="2" t="s">
        <v>2611</v>
      </c>
      <c r="C784" s="2" t="s">
        <v>2536</v>
      </c>
      <c r="D784" s="2" t="s">
        <v>2537</v>
      </c>
      <c r="E784" s="13">
        <v>15000</v>
      </c>
      <c r="F784" s="13">
        <v>15000</v>
      </c>
      <c r="G784" s="14">
        <v>43323</v>
      </c>
      <c r="H784" s="15">
        <v>0.26729166666666998</v>
      </c>
      <c r="I784" s="14">
        <v>43324</v>
      </c>
      <c r="J784" s="15">
        <v>0</v>
      </c>
      <c r="K784" s="13">
        <v>20</v>
      </c>
      <c r="L784" s="2" t="s">
        <v>64</v>
      </c>
      <c r="M784" s="2" t="s">
        <v>2596</v>
      </c>
      <c r="N784" s="14">
        <v>43326</v>
      </c>
      <c r="O784" s="14">
        <v>43325</v>
      </c>
      <c r="P784" s="2" t="s">
        <v>91</v>
      </c>
      <c r="Q784" s="2" t="s">
        <v>2612</v>
      </c>
      <c r="R784" s="2" t="s">
        <v>80</v>
      </c>
      <c r="S784" s="14">
        <v>43326</v>
      </c>
      <c r="U784" s="2" t="s">
        <v>418</v>
      </c>
      <c r="V784" s="2" t="s">
        <v>163</v>
      </c>
      <c r="W784" s="2" t="s">
        <v>70</v>
      </c>
      <c r="X784" s="13">
        <v>853</v>
      </c>
      <c r="Y784" s="2" t="s">
        <v>71</v>
      </c>
      <c r="Z784" s="2" t="s">
        <v>72</v>
      </c>
      <c r="AA784" s="13">
        <v>15000</v>
      </c>
      <c r="AB784" s="2" t="s">
        <v>73</v>
      </c>
      <c r="AC784" s="2" t="s">
        <v>6773</v>
      </c>
      <c r="AD784" s="27"/>
      <c r="AL784" s="2" t="s">
        <v>7282</v>
      </c>
    </row>
    <row r="785" spans="1:38" hidden="1" x14ac:dyDescent="0.2">
      <c r="A785" s="2" t="s">
        <v>2501</v>
      </c>
      <c r="B785" s="2" t="s">
        <v>2615</v>
      </c>
      <c r="C785" s="2" t="s">
        <v>2252</v>
      </c>
      <c r="D785" s="2" t="s">
        <v>2253</v>
      </c>
      <c r="E785" s="13">
        <v>20000</v>
      </c>
      <c r="F785" s="13">
        <v>20000</v>
      </c>
      <c r="G785" s="14">
        <v>43327</v>
      </c>
      <c r="H785" s="15">
        <v>2.304398148148E-2</v>
      </c>
      <c r="I785" s="14">
        <v>43327</v>
      </c>
      <c r="J785" s="15">
        <v>0.99998842592592996</v>
      </c>
      <c r="K785" s="13">
        <v>0</v>
      </c>
      <c r="L785" s="2" t="s">
        <v>64</v>
      </c>
      <c r="M785" s="2" t="s">
        <v>2512</v>
      </c>
      <c r="N785" s="14">
        <v>43329</v>
      </c>
      <c r="O785" s="14">
        <v>43329</v>
      </c>
      <c r="P785" s="2" t="s">
        <v>524</v>
      </c>
      <c r="Q785" s="2" t="s">
        <v>7005</v>
      </c>
      <c r="R785" s="2" t="s">
        <v>80</v>
      </c>
      <c r="S785" s="14">
        <v>43333</v>
      </c>
      <c r="U785" s="2" t="s">
        <v>1324</v>
      </c>
      <c r="V785" s="2" t="s">
        <v>2254</v>
      </c>
      <c r="W785" s="2" t="s">
        <v>70</v>
      </c>
      <c r="X785" s="13">
        <v>0</v>
      </c>
      <c r="Y785" s="2" t="s">
        <v>71</v>
      </c>
      <c r="Z785" s="2" t="s">
        <v>72</v>
      </c>
      <c r="AA785" s="13">
        <v>20000</v>
      </c>
      <c r="AB785" s="2" t="s">
        <v>95</v>
      </c>
      <c r="AC785" s="2" t="s">
        <v>6772</v>
      </c>
      <c r="AD785" s="27"/>
      <c r="AL785" s="2" t="s">
        <v>5485</v>
      </c>
    </row>
    <row r="786" spans="1:38" hidden="1" x14ac:dyDescent="0.2">
      <c r="A786" s="2" t="s">
        <v>2501</v>
      </c>
      <c r="B786" s="2" t="s">
        <v>2616</v>
      </c>
      <c r="C786" s="2" t="s">
        <v>2252</v>
      </c>
      <c r="D786" s="2" t="s">
        <v>2253</v>
      </c>
      <c r="E786" s="13">
        <v>20000</v>
      </c>
      <c r="F786" s="13">
        <v>20000</v>
      </c>
      <c r="G786" s="14">
        <v>43329</v>
      </c>
      <c r="H786" s="15">
        <v>2.304398148148E-2</v>
      </c>
      <c r="I786" s="14">
        <v>43329</v>
      </c>
      <c r="J786" s="15">
        <v>0.99998842592592996</v>
      </c>
      <c r="K786" s="13">
        <v>0</v>
      </c>
      <c r="L786" s="2" t="s">
        <v>64</v>
      </c>
      <c r="M786" s="2" t="s">
        <v>2512</v>
      </c>
      <c r="N786" s="14">
        <v>43331</v>
      </c>
      <c r="O786" s="14">
        <v>43331</v>
      </c>
      <c r="P786" s="2" t="s">
        <v>524</v>
      </c>
      <c r="Q786" s="2" t="s">
        <v>2590</v>
      </c>
      <c r="R786" s="2" t="s">
        <v>80</v>
      </c>
      <c r="S786" s="14">
        <v>43334</v>
      </c>
      <c r="U786" s="2" t="s">
        <v>1324</v>
      </c>
      <c r="V786" s="2" t="s">
        <v>2254</v>
      </c>
      <c r="W786" s="2" t="s">
        <v>70</v>
      </c>
      <c r="X786" s="13">
        <v>0</v>
      </c>
      <c r="Y786" s="2" t="s">
        <v>71</v>
      </c>
      <c r="Z786" s="2" t="s">
        <v>72</v>
      </c>
      <c r="AA786" s="13">
        <v>20000</v>
      </c>
      <c r="AB786" s="2" t="s">
        <v>95</v>
      </c>
      <c r="AC786" s="2" t="s">
        <v>6772</v>
      </c>
      <c r="AD786" s="27"/>
      <c r="AL786" s="2" t="s">
        <v>5486</v>
      </c>
    </row>
    <row r="787" spans="1:38" hidden="1" x14ac:dyDescent="0.2">
      <c r="A787" s="2" t="s">
        <v>2501</v>
      </c>
      <c r="B787" s="2" t="s">
        <v>4570</v>
      </c>
      <c r="C787" s="2" t="s">
        <v>395</v>
      </c>
      <c r="D787" s="2" t="s">
        <v>396</v>
      </c>
      <c r="E787" s="16">
        <v>5355.7529999999997</v>
      </c>
      <c r="F787" s="16">
        <v>5355.7529999999997</v>
      </c>
      <c r="G787" s="14">
        <v>43336</v>
      </c>
      <c r="H787" s="15">
        <v>0.45248842592593003</v>
      </c>
      <c r="I787" s="14">
        <v>43336</v>
      </c>
      <c r="J787" s="15">
        <v>0.71410879629629997</v>
      </c>
      <c r="K787" s="13">
        <v>0</v>
      </c>
      <c r="L787" s="2" t="s">
        <v>64</v>
      </c>
      <c r="M787" s="2" t="s">
        <v>4571</v>
      </c>
      <c r="N787" s="14"/>
      <c r="O787" s="14">
        <v>43338</v>
      </c>
      <c r="P787" s="2" t="s">
        <v>397</v>
      </c>
      <c r="Q787" s="2" t="s">
        <v>4572</v>
      </c>
      <c r="R787" s="2" t="s">
        <v>80</v>
      </c>
      <c r="S787" s="14">
        <v>43340</v>
      </c>
      <c r="U787" s="2" t="s">
        <v>399</v>
      </c>
      <c r="V787" s="2" t="s">
        <v>400</v>
      </c>
      <c r="W787" s="2" t="s">
        <v>70</v>
      </c>
      <c r="X787" s="13">
        <v>853</v>
      </c>
      <c r="Y787" s="2" t="s">
        <v>71</v>
      </c>
      <c r="Z787" s="2" t="s">
        <v>72</v>
      </c>
      <c r="AA787" s="16">
        <v>5302.7259999999997</v>
      </c>
      <c r="AB787" s="2" t="s">
        <v>73</v>
      </c>
      <c r="AC787" s="2" t="s">
        <v>6773</v>
      </c>
      <c r="AD787" s="27"/>
      <c r="AI787" s="2" t="s">
        <v>6153</v>
      </c>
      <c r="AL787" s="2" t="s">
        <v>5487</v>
      </c>
    </row>
    <row r="788" spans="1:38" hidden="1" x14ac:dyDescent="0.2">
      <c r="A788" s="2" t="s">
        <v>2501</v>
      </c>
      <c r="B788" s="2" t="s">
        <v>2617</v>
      </c>
      <c r="C788" s="2" t="s">
        <v>2618</v>
      </c>
      <c r="D788" s="2" t="s">
        <v>2619</v>
      </c>
      <c r="E788" s="13">
        <v>5000</v>
      </c>
      <c r="F788" s="13">
        <v>5000</v>
      </c>
      <c r="G788" s="14">
        <v>43336</v>
      </c>
      <c r="H788" s="15">
        <v>0.75577546296296005</v>
      </c>
      <c r="I788" s="14">
        <v>43337</v>
      </c>
      <c r="J788" s="15">
        <v>1.1574074069999999E-5</v>
      </c>
      <c r="K788" s="13">
        <v>20</v>
      </c>
      <c r="L788" s="2" t="s">
        <v>64</v>
      </c>
      <c r="M788" s="2" t="s">
        <v>2542</v>
      </c>
      <c r="N788" s="14">
        <v>43340</v>
      </c>
      <c r="O788" s="14">
        <v>43339</v>
      </c>
      <c r="P788" s="2" t="s">
        <v>2620</v>
      </c>
      <c r="Q788" s="2" t="s">
        <v>2621</v>
      </c>
      <c r="R788" s="2" t="s">
        <v>80</v>
      </c>
      <c r="S788" s="14">
        <v>43340</v>
      </c>
      <c r="U788" s="2" t="s">
        <v>399</v>
      </c>
      <c r="V788" s="2" t="s">
        <v>2622</v>
      </c>
      <c r="W788" s="2" t="s">
        <v>70</v>
      </c>
      <c r="X788" s="13">
        <v>853</v>
      </c>
      <c r="Y788" s="2" t="s">
        <v>71</v>
      </c>
      <c r="Z788" s="2" t="s">
        <v>72</v>
      </c>
      <c r="AA788" s="13">
        <v>5000</v>
      </c>
      <c r="AB788" s="2" t="s">
        <v>73</v>
      </c>
      <c r="AC788" s="2" t="s">
        <v>6773</v>
      </c>
      <c r="AD788" s="27"/>
      <c r="AL788" s="2" t="s">
        <v>5488</v>
      </c>
    </row>
    <row r="789" spans="1:38" hidden="1" x14ac:dyDescent="0.2">
      <c r="A789" s="2" t="s">
        <v>2501</v>
      </c>
      <c r="B789" s="2" t="s">
        <v>2623</v>
      </c>
      <c r="C789" s="2" t="s">
        <v>1303</v>
      </c>
      <c r="D789" s="2" t="s">
        <v>1304</v>
      </c>
      <c r="E789" s="13">
        <v>20000</v>
      </c>
      <c r="F789" s="13">
        <v>20000</v>
      </c>
      <c r="G789" s="14">
        <v>43337</v>
      </c>
      <c r="H789" s="15">
        <v>0.44405092592592998</v>
      </c>
      <c r="I789" s="14">
        <v>43338</v>
      </c>
      <c r="J789" s="15">
        <v>0.42099537037036999</v>
      </c>
      <c r="K789" s="13">
        <v>20</v>
      </c>
      <c r="L789" s="2" t="s">
        <v>64</v>
      </c>
      <c r="M789" s="2" t="s">
        <v>2512</v>
      </c>
      <c r="N789" s="14"/>
      <c r="O789" s="14">
        <v>43340</v>
      </c>
      <c r="P789" s="2" t="s">
        <v>397</v>
      </c>
      <c r="Q789" s="2" t="s">
        <v>98</v>
      </c>
      <c r="R789" s="2" t="s">
        <v>131</v>
      </c>
      <c r="S789" s="14"/>
      <c r="U789" s="2" t="s">
        <v>399</v>
      </c>
      <c r="V789" s="2" t="s">
        <v>1306</v>
      </c>
      <c r="W789" s="2" t="s">
        <v>70</v>
      </c>
      <c r="X789" s="13">
        <v>853</v>
      </c>
      <c r="Y789" s="2" t="s">
        <v>71</v>
      </c>
      <c r="Z789" s="2" t="s">
        <v>72</v>
      </c>
      <c r="AA789" s="13">
        <v>20000</v>
      </c>
      <c r="AB789" s="2" t="s">
        <v>73</v>
      </c>
      <c r="AC789" s="2" t="s">
        <v>6773</v>
      </c>
      <c r="AD789" s="27"/>
      <c r="AL789" s="2" t="s">
        <v>5489</v>
      </c>
    </row>
    <row r="790" spans="1:38" hidden="1" x14ac:dyDescent="0.2">
      <c r="A790" s="2" t="s">
        <v>2501</v>
      </c>
      <c r="B790" s="2" t="s">
        <v>2624</v>
      </c>
      <c r="C790" s="2" t="s">
        <v>1322</v>
      </c>
      <c r="D790" s="2" t="s">
        <v>1323</v>
      </c>
      <c r="E790" s="13">
        <v>10000</v>
      </c>
      <c r="F790" s="13">
        <v>10000</v>
      </c>
      <c r="G790" s="14">
        <v>43343</v>
      </c>
      <c r="H790" s="15">
        <v>0.51152777777778002</v>
      </c>
      <c r="I790" s="14">
        <v>43344</v>
      </c>
      <c r="J790" s="15">
        <v>0</v>
      </c>
      <c r="K790" s="13">
        <v>20</v>
      </c>
      <c r="L790" s="2" t="s">
        <v>64</v>
      </c>
      <c r="M790" s="2" t="s">
        <v>2517</v>
      </c>
      <c r="N790" s="14">
        <v>43347</v>
      </c>
      <c r="O790" s="14">
        <v>43345</v>
      </c>
      <c r="P790" s="2" t="s">
        <v>91</v>
      </c>
      <c r="Q790" s="2" t="s">
        <v>2625</v>
      </c>
      <c r="R790" s="2" t="s">
        <v>80</v>
      </c>
      <c r="S790" s="14">
        <v>43357</v>
      </c>
      <c r="U790" s="2" t="s">
        <v>1324</v>
      </c>
      <c r="V790" s="2" t="s">
        <v>163</v>
      </c>
      <c r="W790" s="2" t="s">
        <v>70</v>
      </c>
      <c r="X790" s="13">
        <v>853</v>
      </c>
      <c r="Y790" s="2" t="s">
        <v>71</v>
      </c>
      <c r="Z790" s="2" t="s">
        <v>72</v>
      </c>
      <c r="AA790" s="13">
        <v>10000</v>
      </c>
      <c r="AB790" s="2" t="s">
        <v>73</v>
      </c>
      <c r="AC790" s="2" t="s">
        <v>6773</v>
      </c>
      <c r="AD790" s="27"/>
      <c r="AL790" s="2" t="s">
        <v>5490</v>
      </c>
    </row>
    <row r="791" spans="1:38" hidden="1" x14ac:dyDescent="0.2">
      <c r="A791" s="2" t="s">
        <v>2501</v>
      </c>
      <c r="B791" s="2" t="s">
        <v>2626</v>
      </c>
      <c r="C791" s="2" t="s">
        <v>2536</v>
      </c>
      <c r="D791" s="2" t="s">
        <v>2537</v>
      </c>
      <c r="E791" s="13">
        <v>10000</v>
      </c>
      <c r="F791" s="13">
        <v>10000</v>
      </c>
      <c r="G791" s="14">
        <v>43344</v>
      </c>
      <c r="H791" s="15">
        <v>0.51152777777778002</v>
      </c>
      <c r="I791" s="14">
        <v>43345</v>
      </c>
      <c r="J791" s="15">
        <v>0</v>
      </c>
      <c r="K791" s="13">
        <v>20</v>
      </c>
      <c r="L791" s="2" t="s">
        <v>64</v>
      </c>
      <c r="M791" s="2" t="s">
        <v>2517</v>
      </c>
      <c r="N791" s="14">
        <v>43347</v>
      </c>
      <c r="O791" s="14">
        <v>43346</v>
      </c>
      <c r="P791" s="2" t="s">
        <v>91</v>
      </c>
      <c r="Q791" s="2" t="s">
        <v>2627</v>
      </c>
      <c r="R791" s="2" t="s">
        <v>80</v>
      </c>
      <c r="S791" s="14">
        <v>43357</v>
      </c>
      <c r="U791" s="2" t="s">
        <v>418</v>
      </c>
      <c r="V791" s="2" t="s">
        <v>163</v>
      </c>
      <c r="W791" s="2" t="s">
        <v>70</v>
      </c>
      <c r="X791" s="13">
        <v>853</v>
      </c>
      <c r="Y791" s="2" t="s">
        <v>71</v>
      </c>
      <c r="Z791" s="2" t="s">
        <v>72</v>
      </c>
      <c r="AA791" s="13">
        <v>10000</v>
      </c>
      <c r="AB791" s="2" t="s">
        <v>73</v>
      </c>
      <c r="AC791" s="2" t="s">
        <v>6773</v>
      </c>
      <c r="AD791" s="27"/>
      <c r="AL791" s="2" t="s">
        <v>5491</v>
      </c>
    </row>
    <row r="792" spans="1:38" hidden="1" x14ac:dyDescent="0.2">
      <c r="A792" s="2" t="s">
        <v>2501</v>
      </c>
      <c r="B792" s="2" t="s">
        <v>2544</v>
      </c>
      <c r="C792" s="2" t="s">
        <v>2252</v>
      </c>
      <c r="D792" s="2" t="s">
        <v>2253</v>
      </c>
      <c r="E792" s="13">
        <v>20000</v>
      </c>
      <c r="F792" s="13">
        <v>20000</v>
      </c>
      <c r="G792" s="14">
        <v>43351</v>
      </c>
      <c r="H792" s="15">
        <v>2.304398148148E-2</v>
      </c>
      <c r="I792" s="14">
        <v>43351</v>
      </c>
      <c r="J792" s="15">
        <v>0.99998842592592996</v>
      </c>
      <c r="K792" s="13">
        <v>0</v>
      </c>
      <c r="L792" s="2" t="s">
        <v>64</v>
      </c>
      <c r="M792" s="2" t="s">
        <v>2512</v>
      </c>
      <c r="N792" s="14">
        <v>43299</v>
      </c>
      <c r="O792" s="14">
        <v>43353</v>
      </c>
      <c r="P792" s="2" t="s">
        <v>524</v>
      </c>
      <c r="Q792" s="2" t="s">
        <v>7006</v>
      </c>
      <c r="R792" s="2" t="s">
        <v>80</v>
      </c>
      <c r="S792" s="14">
        <v>43360</v>
      </c>
      <c r="U792" s="2" t="s">
        <v>1324</v>
      </c>
      <c r="V792" s="2" t="s">
        <v>2254</v>
      </c>
      <c r="W792" s="2" t="s">
        <v>70</v>
      </c>
      <c r="X792" s="13">
        <v>0</v>
      </c>
      <c r="Y792" s="2" t="s">
        <v>71</v>
      </c>
      <c r="Z792" s="2" t="s">
        <v>72</v>
      </c>
      <c r="AA792" s="13">
        <v>20000</v>
      </c>
      <c r="AB792" s="2" t="s">
        <v>95</v>
      </c>
      <c r="AC792" s="2" t="s">
        <v>6772</v>
      </c>
      <c r="AD792" s="27"/>
      <c r="AL792" s="2" t="s">
        <v>5492</v>
      </c>
    </row>
    <row r="793" spans="1:38" hidden="1" x14ac:dyDescent="0.2">
      <c r="A793" s="2" t="s">
        <v>2501</v>
      </c>
      <c r="B793" s="2" t="s">
        <v>2629</v>
      </c>
      <c r="C793" s="2" t="s">
        <v>390</v>
      </c>
      <c r="D793" s="2" t="s">
        <v>391</v>
      </c>
      <c r="E793" s="13">
        <v>10000</v>
      </c>
      <c r="F793" s="13">
        <v>10000</v>
      </c>
      <c r="G793" s="14">
        <v>43354</v>
      </c>
      <c r="H793" s="15">
        <v>0.51152777777778002</v>
      </c>
      <c r="I793" s="14">
        <v>43355</v>
      </c>
      <c r="J793" s="15">
        <v>0</v>
      </c>
      <c r="K793" s="13">
        <v>20</v>
      </c>
      <c r="L793" s="2" t="s">
        <v>64</v>
      </c>
      <c r="M793" s="2" t="s">
        <v>2517</v>
      </c>
      <c r="N793" s="14">
        <v>43357</v>
      </c>
      <c r="O793" s="14">
        <v>43356</v>
      </c>
      <c r="P793" s="2" t="s">
        <v>488</v>
      </c>
      <c r="Q793" s="2" t="s">
        <v>2630</v>
      </c>
      <c r="R793" s="2" t="s">
        <v>80</v>
      </c>
      <c r="S793" s="14">
        <v>43357</v>
      </c>
      <c r="U793" s="2" t="s">
        <v>393</v>
      </c>
      <c r="V793" s="2" t="s">
        <v>163</v>
      </c>
      <c r="W793" s="2" t="s">
        <v>70</v>
      </c>
      <c r="X793" s="13">
        <v>853</v>
      </c>
      <c r="Y793" s="2" t="s">
        <v>71</v>
      </c>
      <c r="Z793" s="2" t="s">
        <v>72</v>
      </c>
      <c r="AA793" s="13">
        <v>10000</v>
      </c>
      <c r="AB793" s="2" t="s">
        <v>73</v>
      </c>
      <c r="AC793" s="2" t="s">
        <v>6773</v>
      </c>
      <c r="AD793" s="27"/>
      <c r="AL793" s="2" t="s">
        <v>5493</v>
      </c>
    </row>
    <row r="794" spans="1:38" hidden="1" x14ac:dyDescent="0.2">
      <c r="A794" s="2" t="s">
        <v>2501</v>
      </c>
      <c r="B794" s="2" t="s">
        <v>2631</v>
      </c>
      <c r="C794" s="2" t="s">
        <v>2618</v>
      </c>
      <c r="D794" s="2" t="s">
        <v>2619</v>
      </c>
      <c r="E794" s="13">
        <v>5000</v>
      </c>
      <c r="F794" s="13">
        <v>5000</v>
      </c>
      <c r="G794" s="14">
        <v>43355</v>
      </c>
      <c r="H794" s="15">
        <v>0.75576388888889001</v>
      </c>
      <c r="I794" s="14">
        <v>43356</v>
      </c>
      <c r="J794" s="15">
        <v>0</v>
      </c>
      <c r="K794" s="13">
        <v>20</v>
      </c>
      <c r="L794" s="2" t="s">
        <v>64</v>
      </c>
      <c r="M794" s="2" t="s">
        <v>2542</v>
      </c>
      <c r="N794" s="14">
        <v>43367</v>
      </c>
      <c r="O794" s="14">
        <v>43357</v>
      </c>
      <c r="P794" s="2" t="s">
        <v>2620</v>
      </c>
      <c r="Q794" s="2" t="s">
        <v>2632</v>
      </c>
      <c r="R794" s="2" t="s">
        <v>80</v>
      </c>
      <c r="S794" s="14">
        <v>43367</v>
      </c>
      <c r="U794" s="2" t="s">
        <v>399</v>
      </c>
      <c r="V794" s="2" t="s">
        <v>2622</v>
      </c>
      <c r="W794" s="2" t="s">
        <v>70</v>
      </c>
      <c r="X794" s="13">
        <v>853</v>
      </c>
      <c r="Y794" s="2" t="s">
        <v>71</v>
      </c>
      <c r="Z794" s="2" t="s">
        <v>72</v>
      </c>
      <c r="AA794" s="13">
        <v>5000</v>
      </c>
      <c r="AB794" s="2" t="s">
        <v>73</v>
      </c>
      <c r="AC794" s="2" t="s">
        <v>6773</v>
      </c>
      <c r="AD794" s="27"/>
      <c r="AL794" s="2" t="s">
        <v>5494</v>
      </c>
    </row>
    <row r="795" spans="1:38" hidden="1" x14ac:dyDescent="0.2">
      <c r="A795" s="2" t="s">
        <v>2501</v>
      </c>
      <c r="B795" s="2" t="s">
        <v>2633</v>
      </c>
      <c r="C795" s="2" t="s">
        <v>2634</v>
      </c>
      <c r="D795" s="2" t="s">
        <v>2635</v>
      </c>
      <c r="E795" s="13">
        <v>20000</v>
      </c>
      <c r="F795" s="13">
        <v>20000</v>
      </c>
      <c r="G795" s="14">
        <v>43358</v>
      </c>
      <c r="H795" s="15">
        <v>2.3055555555559999E-2</v>
      </c>
      <c r="I795" s="14">
        <v>43359</v>
      </c>
      <c r="J795" s="15">
        <v>0</v>
      </c>
      <c r="K795" s="13">
        <v>0</v>
      </c>
      <c r="L795" s="2" t="s">
        <v>64</v>
      </c>
      <c r="M795" s="2" t="s">
        <v>2512</v>
      </c>
      <c r="N795" s="14">
        <v>43361</v>
      </c>
      <c r="O795" s="14">
        <v>43360</v>
      </c>
      <c r="P795" s="2" t="s">
        <v>459</v>
      </c>
      <c r="Q795" s="2" t="s">
        <v>4573</v>
      </c>
      <c r="R795" s="2" t="s">
        <v>80</v>
      </c>
      <c r="S795" s="14">
        <v>43370</v>
      </c>
      <c r="U795" s="2" t="s">
        <v>2222</v>
      </c>
      <c r="V795" s="2" t="s">
        <v>2636</v>
      </c>
      <c r="W795" s="2" t="s">
        <v>70</v>
      </c>
      <c r="X795" s="13">
        <v>0</v>
      </c>
      <c r="Y795" s="2" t="s">
        <v>71</v>
      </c>
      <c r="Z795" s="2" t="s">
        <v>72</v>
      </c>
      <c r="AA795" s="13">
        <v>20000</v>
      </c>
      <c r="AB795" s="2" t="s">
        <v>95</v>
      </c>
      <c r="AC795" s="2" t="s">
        <v>6772</v>
      </c>
      <c r="AD795" s="27"/>
      <c r="AL795" s="2" t="s">
        <v>7283</v>
      </c>
    </row>
    <row r="796" spans="1:38" hidden="1" x14ac:dyDescent="0.2">
      <c r="A796" s="2" t="s">
        <v>2501</v>
      </c>
      <c r="B796" s="2" t="s">
        <v>2637</v>
      </c>
      <c r="C796" s="2" t="s">
        <v>2634</v>
      </c>
      <c r="D796" s="2" t="s">
        <v>2635</v>
      </c>
      <c r="E796" s="13">
        <v>20000</v>
      </c>
      <c r="F796" s="13">
        <v>20000</v>
      </c>
      <c r="G796" s="14">
        <v>43359</v>
      </c>
      <c r="H796" s="15">
        <v>2.3055555555559999E-2</v>
      </c>
      <c r="I796" s="14">
        <v>43360</v>
      </c>
      <c r="J796" s="15">
        <v>0</v>
      </c>
      <c r="K796" s="13">
        <v>0</v>
      </c>
      <c r="L796" s="2" t="s">
        <v>64</v>
      </c>
      <c r="M796" s="2" t="s">
        <v>2512</v>
      </c>
      <c r="N796" s="14">
        <v>43367</v>
      </c>
      <c r="O796" s="14">
        <v>43361</v>
      </c>
      <c r="P796" s="2" t="s">
        <v>459</v>
      </c>
      <c r="Q796" s="2" t="s">
        <v>4573</v>
      </c>
      <c r="R796" s="2" t="s">
        <v>80</v>
      </c>
      <c r="S796" s="14">
        <v>43370</v>
      </c>
      <c r="U796" s="2" t="s">
        <v>2222</v>
      </c>
      <c r="V796" s="2" t="s">
        <v>2636</v>
      </c>
      <c r="W796" s="2" t="s">
        <v>70</v>
      </c>
      <c r="X796" s="13">
        <v>0</v>
      </c>
      <c r="Y796" s="2" t="s">
        <v>71</v>
      </c>
      <c r="Z796" s="2" t="s">
        <v>72</v>
      </c>
      <c r="AA796" s="13">
        <v>20000</v>
      </c>
      <c r="AB796" s="2" t="s">
        <v>95</v>
      </c>
      <c r="AC796" s="2" t="s">
        <v>6772</v>
      </c>
      <c r="AD796" s="27"/>
      <c r="AL796" s="2" t="s">
        <v>7284</v>
      </c>
    </row>
    <row r="797" spans="1:38" hidden="1" x14ac:dyDescent="0.2">
      <c r="A797" s="2" t="s">
        <v>2501</v>
      </c>
      <c r="B797" s="2" t="s">
        <v>2638</v>
      </c>
      <c r="C797" s="2" t="s">
        <v>2634</v>
      </c>
      <c r="D797" s="2" t="s">
        <v>2635</v>
      </c>
      <c r="E797" s="13">
        <v>20000</v>
      </c>
      <c r="F797" s="13">
        <v>20000</v>
      </c>
      <c r="G797" s="14">
        <v>43360</v>
      </c>
      <c r="H797" s="15">
        <v>2.3055555555559999E-2</v>
      </c>
      <c r="I797" s="14">
        <v>43361</v>
      </c>
      <c r="J797" s="15">
        <v>0</v>
      </c>
      <c r="K797" s="13">
        <v>0</v>
      </c>
      <c r="L797" s="2" t="s">
        <v>64</v>
      </c>
      <c r="M797" s="2" t="s">
        <v>2512</v>
      </c>
      <c r="N797" s="14">
        <v>43388</v>
      </c>
      <c r="O797" s="14">
        <v>43362</v>
      </c>
      <c r="P797" s="2" t="s">
        <v>459</v>
      </c>
      <c r="Q797" s="2" t="s">
        <v>4573</v>
      </c>
      <c r="R797" s="2" t="s">
        <v>93</v>
      </c>
      <c r="S797" s="14">
        <v>43370</v>
      </c>
      <c r="U797" s="2" t="s">
        <v>2222</v>
      </c>
      <c r="V797" s="2" t="s">
        <v>2636</v>
      </c>
      <c r="W797" s="2" t="s">
        <v>70</v>
      </c>
      <c r="X797" s="13">
        <v>0</v>
      </c>
      <c r="Y797" s="2" t="s">
        <v>71</v>
      </c>
      <c r="Z797" s="2" t="s">
        <v>72</v>
      </c>
      <c r="AA797" s="13">
        <v>20000</v>
      </c>
      <c r="AB797" s="2" t="s">
        <v>95</v>
      </c>
      <c r="AC797" s="2" t="s">
        <v>6772</v>
      </c>
      <c r="AD797" s="27"/>
      <c r="AL797" s="2" t="s">
        <v>7285</v>
      </c>
    </row>
    <row r="798" spans="1:38" hidden="1" x14ac:dyDescent="0.2">
      <c r="A798" s="2" t="s">
        <v>2501</v>
      </c>
      <c r="B798" s="2" t="s">
        <v>2570</v>
      </c>
      <c r="C798" s="2" t="s">
        <v>2252</v>
      </c>
      <c r="D798" s="2" t="s">
        <v>2253</v>
      </c>
      <c r="E798" s="13">
        <v>10100</v>
      </c>
      <c r="F798" s="13">
        <v>10100</v>
      </c>
      <c r="G798" s="14">
        <v>43361</v>
      </c>
      <c r="H798" s="15">
        <v>0.50663194444444004</v>
      </c>
      <c r="I798" s="14">
        <v>43361</v>
      </c>
      <c r="J798" s="15">
        <v>0.99998842592592996</v>
      </c>
      <c r="K798" s="13">
        <v>0</v>
      </c>
      <c r="L798" s="2" t="s">
        <v>64</v>
      </c>
      <c r="M798" s="2" t="s">
        <v>2505</v>
      </c>
      <c r="N798" s="14">
        <v>43363</v>
      </c>
      <c r="O798" s="14">
        <v>43363</v>
      </c>
      <c r="P798" s="2" t="s">
        <v>524</v>
      </c>
      <c r="Q798" s="2" t="s">
        <v>98</v>
      </c>
      <c r="R798" s="2" t="s">
        <v>131</v>
      </c>
      <c r="S798" s="14"/>
      <c r="U798" s="2" t="s">
        <v>1324</v>
      </c>
      <c r="V798" s="2" t="s">
        <v>2254</v>
      </c>
      <c r="W798" s="2" t="s">
        <v>70</v>
      </c>
      <c r="X798" s="13">
        <v>0</v>
      </c>
      <c r="Y798" s="2" t="s">
        <v>71</v>
      </c>
      <c r="Z798" s="2" t="s">
        <v>72</v>
      </c>
      <c r="AA798" s="13">
        <v>10000</v>
      </c>
      <c r="AB798" s="2" t="s">
        <v>95</v>
      </c>
      <c r="AC798" s="2" t="s">
        <v>6772</v>
      </c>
      <c r="AD798" s="27"/>
      <c r="AL798" s="2" t="s">
        <v>5495</v>
      </c>
    </row>
    <row r="799" spans="1:38" hidden="1" x14ac:dyDescent="0.2">
      <c r="A799" s="2" t="s">
        <v>2501</v>
      </c>
      <c r="B799" s="2" t="s">
        <v>2639</v>
      </c>
      <c r="C799" s="2" t="s">
        <v>1322</v>
      </c>
      <c r="D799" s="2" t="s">
        <v>1323</v>
      </c>
      <c r="E799" s="13">
        <v>10000</v>
      </c>
      <c r="F799" s="13">
        <v>10000</v>
      </c>
      <c r="G799" s="14">
        <v>43364</v>
      </c>
      <c r="H799" s="15">
        <v>0.51152777777778002</v>
      </c>
      <c r="I799" s="14">
        <v>43365</v>
      </c>
      <c r="J799" s="15">
        <v>0</v>
      </c>
      <c r="K799" s="13">
        <v>20</v>
      </c>
      <c r="L799" s="2" t="s">
        <v>64</v>
      </c>
      <c r="M799" s="2" t="s">
        <v>2517</v>
      </c>
      <c r="N799" s="14">
        <v>43367</v>
      </c>
      <c r="O799" s="14">
        <v>43366</v>
      </c>
      <c r="P799" s="2" t="s">
        <v>91</v>
      </c>
      <c r="Q799" s="2" t="s">
        <v>2625</v>
      </c>
      <c r="R799" s="2" t="s">
        <v>93</v>
      </c>
      <c r="S799" s="14">
        <v>43377</v>
      </c>
      <c r="U799" s="2" t="s">
        <v>1324</v>
      </c>
      <c r="V799" s="2" t="s">
        <v>163</v>
      </c>
      <c r="W799" s="2" t="s">
        <v>70</v>
      </c>
      <c r="X799" s="13">
        <v>853</v>
      </c>
      <c r="Y799" s="2" t="s">
        <v>71</v>
      </c>
      <c r="Z799" s="2" t="s">
        <v>72</v>
      </c>
      <c r="AA799" s="13">
        <v>10000</v>
      </c>
      <c r="AB799" s="2" t="s">
        <v>73</v>
      </c>
      <c r="AC799" s="2" t="s">
        <v>6773</v>
      </c>
      <c r="AD799" s="27"/>
      <c r="AL799" s="2" t="s">
        <v>5496</v>
      </c>
    </row>
    <row r="800" spans="1:38" hidden="1" x14ac:dyDescent="0.2">
      <c r="A800" s="2" t="s">
        <v>2501</v>
      </c>
      <c r="B800" s="2" t="s">
        <v>2640</v>
      </c>
      <c r="C800" s="2" t="s">
        <v>2536</v>
      </c>
      <c r="D800" s="2" t="s">
        <v>2537</v>
      </c>
      <c r="E800" s="13">
        <v>10000</v>
      </c>
      <c r="F800" s="13">
        <v>10000</v>
      </c>
      <c r="G800" s="14">
        <v>43367</v>
      </c>
      <c r="H800" s="15">
        <v>0.51152777777778002</v>
      </c>
      <c r="I800" s="14">
        <v>43368</v>
      </c>
      <c r="J800" s="15">
        <v>0</v>
      </c>
      <c r="K800" s="13">
        <v>20</v>
      </c>
      <c r="L800" s="2" t="s">
        <v>64</v>
      </c>
      <c r="M800" s="2" t="s">
        <v>2517</v>
      </c>
      <c r="N800" s="14">
        <v>43370</v>
      </c>
      <c r="O800" s="14">
        <v>43369</v>
      </c>
      <c r="P800" s="2" t="s">
        <v>91</v>
      </c>
      <c r="Q800" s="2" t="s">
        <v>2627</v>
      </c>
      <c r="R800" s="2" t="s">
        <v>93</v>
      </c>
      <c r="S800" s="14">
        <v>43388</v>
      </c>
      <c r="U800" s="2" t="s">
        <v>418</v>
      </c>
      <c r="V800" s="2" t="s">
        <v>163</v>
      </c>
      <c r="W800" s="2" t="s">
        <v>70</v>
      </c>
      <c r="X800" s="13">
        <v>853</v>
      </c>
      <c r="Y800" s="2" t="s">
        <v>71</v>
      </c>
      <c r="Z800" s="2" t="s">
        <v>72</v>
      </c>
      <c r="AA800" s="13">
        <v>10000</v>
      </c>
      <c r="AB800" s="2" t="s">
        <v>73</v>
      </c>
      <c r="AC800" s="2" t="s">
        <v>6773</v>
      </c>
      <c r="AD800" s="27"/>
      <c r="AL800" s="2" t="s">
        <v>5497</v>
      </c>
    </row>
    <row r="801" spans="1:38" hidden="1" x14ac:dyDescent="0.2">
      <c r="A801" s="2" t="s">
        <v>2501</v>
      </c>
      <c r="B801" s="2" t="s">
        <v>2641</v>
      </c>
      <c r="C801" s="2" t="s">
        <v>1303</v>
      </c>
      <c r="D801" s="2" t="s">
        <v>1304</v>
      </c>
      <c r="E801" s="13">
        <v>20000</v>
      </c>
      <c r="F801" s="13">
        <v>20000</v>
      </c>
      <c r="G801" s="14">
        <v>43372</v>
      </c>
      <c r="H801" s="15">
        <v>2.3055555555559999E-2</v>
      </c>
      <c r="I801" s="14">
        <v>43373</v>
      </c>
      <c r="J801" s="15">
        <v>0</v>
      </c>
      <c r="K801" s="13">
        <v>20</v>
      </c>
      <c r="L801" s="2" t="s">
        <v>64</v>
      </c>
      <c r="M801" s="2" t="s">
        <v>2512</v>
      </c>
      <c r="N801" s="14">
        <v>43370</v>
      </c>
      <c r="O801" s="14">
        <v>43374</v>
      </c>
      <c r="P801" s="2" t="s">
        <v>397</v>
      </c>
      <c r="Q801" s="2" t="s">
        <v>2642</v>
      </c>
      <c r="R801" s="2" t="s">
        <v>80</v>
      </c>
      <c r="S801" s="14">
        <v>43370</v>
      </c>
      <c r="U801" s="2" t="s">
        <v>399</v>
      </c>
      <c r="V801" s="2" t="s">
        <v>1306</v>
      </c>
      <c r="W801" s="2" t="s">
        <v>70</v>
      </c>
      <c r="X801" s="13">
        <v>853</v>
      </c>
      <c r="Y801" s="2" t="s">
        <v>71</v>
      </c>
      <c r="Z801" s="2" t="s">
        <v>72</v>
      </c>
      <c r="AA801" s="13">
        <v>20000</v>
      </c>
      <c r="AB801" s="2" t="s">
        <v>73</v>
      </c>
      <c r="AC801" s="2" t="s">
        <v>6773</v>
      </c>
      <c r="AD801" s="27"/>
      <c r="AL801" s="2" t="s">
        <v>5498</v>
      </c>
    </row>
    <row r="802" spans="1:38" hidden="1" x14ac:dyDescent="0.2">
      <c r="A802" s="2" t="s">
        <v>2643</v>
      </c>
      <c r="B802" s="2" t="s">
        <v>7007</v>
      </c>
      <c r="C802" s="2" t="s">
        <v>2321</v>
      </c>
      <c r="D802" s="2" t="s">
        <v>2322</v>
      </c>
      <c r="E802" s="13">
        <v>254</v>
      </c>
      <c r="F802" s="13">
        <v>20254</v>
      </c>
      <c r="G802" s="14">
        <v>43280</v>
      </c>
      <c r="H802" s="15">
        <v>0</v>
      </c>
      <c r="I802" s="14">
        <v>43281</v>
      </c>
      <c r="J802" s="15">
        <v>2.665509259259E-2</v>
      </c>
      <c r="K802" s="13">
        <v>0</v>
      </c>
      <c r="L802" s="2" t="s">
        <v>64</v>
      </c>
      <c r="M802" s="2" t="s">
        <v>7008</v>
      </c>
      <c r="N802" s="14">
        <v>43294</v>
      </c>
      <c r="O802" s="14">
        <v>43283</v>
      </c>
      <c r="P802" s="2" t="s">
        <v>2323</v>
      </c>
      <c r="Q802" s="2" t="s">
        <v>98</v>
      </c>
      <c r="R802" s="2" t="s">
        <v>131</v>
      </c>
      <c r="S802" s="14"/>
      <c r="T802" s="2" t="s">
        <v>7124</v>
      </c>
      <c r="U802" s="2" t="s">
        <v>1273</v>
      </c>
      <c r="V802" s="2" t="s">
        <v>2325</v>
      </c>
      <c r="W802" s="2" t="s">
        <v>70</v>
      </c>
      <c r="X802" s="13">
        <v>822</v>
      </c>
      <c r="Y802" s="2" t="s">
        <v>71</v>
      </c>
      <c r="Z802" s="2" t="s">
        <v>72</v>
      </c>
      <c r="AA802" s="13">
        <v>0</v>
      </c>
      <c r="AB802" s="2" t="s">
        <v>107</v>
      </c>
      <c r="AC802" s="2" t="s">
        <v>6772</v>
      </c>
      <c r="AD802" s="27">
        <v>43280</v>
      </c>
      <c r="AI802" s="2" t="s">
        <v>6153</v>
      </c>
      <c r="AL802" s="2" t="s">
        <v>7286</v>
      </c>
    </row>
    <row r="803" spans="1:38" hidden="1" x14ac:dyDescent="0.2">
      <c r="A803" s="2" t="s">
        <v>2643</v>
      </c>
      <c r="B803" s="2" t="s">
        <v>7009</v>
      </c>
      <c r="C803" s="2" t="s">
        <v>2651</v>
      </c>
      <c r="D803" s="2" t="s">
        <v>2652</v>
      </c>
      <c r="E803" s="13">
        <v>1324</v>
      </c>
      <c r="F803" s="13">
        <v>20324</v>
      </c>
      <c r="G803" s="14">
        <v>43287</v>
      </c>
      <c r="H803" s="15">
        <v>2.0833333333330002E-2</v>
      </c>
      <c r="I803" s="14">
        <v>43288</v>
      </c>
      <c r="J803" s="15">
        <v>5.1041666666670003E-2</v>
      </c>
      <c r="K803" s="13">
        <v>20</v>
      </c>
      <c r="L803" s="2" t="s">
        <v>64</v>
      </c>
      <c r="M803" s="2" t="s">
        <v>7010</v>
      </c>
      <c r="N803" s="14">
        <v>43319</v>
      </c>
      <c r="O803" s="14">
        <v>43290</v>
      </c>
      <c r="P803" s="2" t="s">
        <v>1573</v>
      </c>
      <c r="Q803" s="2" t="s">
        <v>7011</v>
      </c>
      <c r="R803" s="2" t="s">
        <v>80</v>
      </c>
      <c r="S803" s="14">
        <v>43319</v>
      </c>
      <c r="T803" s="2" t="s">
        <v>7125</v>
      </c>
      <c r="U803" s="2" t="s">
        <v>468</v>
      </c>
      <c r="V803" s="2" t="s">
        <v>69</v>
      </c>
      <c r="W803" s="2" t="s">
        <v>70</v>
      </c>
      <c r="X803" s="13">
        <v>822</v>
      </c>
      <c r="Y803" s="2" t="s">
        <v>71</v>
      </c>
      <c r="Z803" s="2" t="s">
        <v>72</v>
      </c>
      <c r="AA803" s="13">
        <v>1000</v>
      </c>
      <c r="AB803" s="2" t="s">
        <v>107</v>
      </c>
      <c r="AC803" s="2" t="s">
        <v>6773</v>
      </c>
      <c r="AD803" s="27">
        <v>43256</v>
      </c>
      <c r="AL803" s="2" t="s">
        <v>7287</v>
      </c>
    </row>
    <row r="804" spans="1:38" hidden="1" x14ac:dyDescent="0.2">
      <c r="A804" s="2" t="s">
        <v>2643</v>
      </c>
      <c r="B804" s="2" t="s">
        <v>7012</v>
      </c>
      <c r="C804" s="2" t="s">
        <v>2082</v>
      </c>
      <c r="D804" s="2" t="s">
        <v>2083</v>
      </c>
      <c r="E804" s="13">
        <v>15243</v>
      </c>
      <c r="F804" s="13">
        <v>15243</v>
      </c>
      <c r="G804" s="14">
        <v>43288</v>
      </c>
      <c r="H804" s="15">
        <v>0.2481712962963</v>
      </c>
      <c r="I804" s="14">
        <v>43289</v>
      </c>
      <c r="J804" s="15">
        <v>2.0821759259260001E-2</v>
      </c>
      <c r="K804" s="13">
        <v>0</v>
      </c>
      <c r="L804" s="2" t="s">
        <v>64</v>
      </c>
      <c r="M804" s="2" t="s">
        <v>7013</v>
      </c>
      <c r="N804" s="14">
        <v>43300</v>
      </c>
      <c r="O804" s="14">
        <v>43291</v>
      </c>
      <c r="P804" s="2" t="s">
        <v>1573</v>
      </c>
      <c r="Q804" s="2" t="s">
        <v>7014</v>
      </c>
      <c r="R804" s="2" t="s">
        <v>80</v>
      </c>
      <c r="S804" s="14">
        <v>43300</v>
      </c>
      <c r="T804" s="2" t="s">
        <v>7126</v>
      </c>
      <c r="U804" s="2" t="s">
        <v>468</v>
      </c>
      <c r="V804" s="2" t="s">
        <v>2085</v>
      </c>
      <c r="W804" s="2" t="s">
        <v>70</v>
      </c>
      <c r="X804" s="13">
        <v>822</v>
      </c>
      <c r="Y804" s="2" t="s">
        <v>71</v>
      </c>
      <c r="Z804" s="2" t="s">
        <v>72</v>
      </c>
      <c r="AA804" s="13">
        <v>15000</v>
      </c>
      <c r="AB804" s="2" t="s">
        <v>107</v>
      </c>
      <c r="AC804" s="2" t="s">
        <v>6772</v>
      </c>
      <c r="AD804" s="27">
        <v>43244</v>
      </c>
      <c r="AL804" s="2" t="s">
        <v>7288</v>
      </c>
    </row>
    <row r="805" spans="1:38" x14ac:dyDescent="0.2">
      <c r="A805" s="2" t="s">
        <v>2643</v>
      </c>
      <c r="B805" s="2" t="s">
        <v>7015</v>
      </c>
      <c r="C805" s="2" t="s">
        <v>2823</v>
      </c>
      <c r="D805" s="2" t="s">
        <v>2824</v>
      </c>
      <c r="E805" s="16">
        <v>15181.5</v>
      </c>
      <c r="F805" s="16">
        <v>15181.5</v>
      </c>
      <c r="G805" s="14">
        <v>43289</v>
      </c>
      <c r="H805" s="15">
        <v>0.25129629629630001</v>
      </c>
      <c r="I805" s="14">
        <v>43290</v>
      </c>
      <c r="J805" s="15">
        <v>2.0833333333330002E-2</v>
      </c>
      <c r="K805" s="13">
        <v>20</v>
      </c>
      <c r="L805" s="2" t="s">
        <v>64</v>
      </c>
      <c r="M805" s="2" t="s">
        <v>7016</v>
      </c>
      <c r="N805" s="14">
        <v>43305</v>
      </c>
      <c r="O805" s="14">
        <v>43292</v>
      </c>
      <c r="P805" s="2" t="s">
        <v>2825</v>
      </c>
      <c r="Q805" s="2" t="s">
        <v>2826</v>
      </c>
      <c r="R805" s="2" t="s">
        <v>80</v>
      </c>
      <c r="S805" s="14">
        <v>43311</v>
      </c>
      <c r="T805" s="2" t="s">
        <v>7127</v>
      </c>
      <c r="U805" s="2" t="s">
        <v>2827</v>
      </c>
      <c r="V805" s="2" t="s">
        <v>69</v>
      </c>
      <c r="W805" s="2" t="s">
        <v>70</v>
      </c>
      <c r="X805" s="13">
        <v>822</v>
      </c>
      <c r="Y805" s="2" t="s">
        <v>71</v>
      </c>
      <c r="Z805" s="2" t="s">
        <v>72</v>
      </c>
      <c r="AA805" s="13">
        <v>15000</v>
      </c>
      <c r="AB805" s="2" t="s">
        <v>107</v>
      </c>
      <c r="AC805" s="2" t="s">
        <v>6773</v>
      </c>
      <c r="AD805" s="27">
        <v>43131</v>
      </c>
      <c r="AL805" s="2" t="s">
        <v>7289</v>
      </c>
    </row>
    <row r="806" spans="1:38" x14ac:dyDescent="0.2">
      <c r="A806" s="2" t="s">
        <v>2643</v>
      </c>
      <c r="B806" s="2" t="s">
        <v>2662</v>
      </c>
      <c r="C806" s="2" t="s">
        <v>2663</v>
      </c>
      <c r="D806" s="2" t="s">
        <v>2664</v>
      </c>
      <c r="E806" s="13">
        <v>5077</v>
      </c>
      <c r="F806" s="13">
        <v>5077</v>
      </c>
      <c r="G806" s="14">
        <v>43290</v>
      </c>
      <c r="H806" s="15">
        <v>4.1666666666670002E-2</v>
      </c>
      <c r="I806" s="14">
        <v>43290</v>
      </c>
      <c r="J806" s="15">
        <v>0.29901620370370002</v>
      </c>
      <c r="K806" s="13">
        <v>0</v>
      </c>
      <c r="L806" s="2" t="s">
        <v>64</v>
      </c>
      <c r="M806" s="2" t="s">
        <v>2732</v>
      </c>
      <c r="N806" s="14">
        <v>43298</v>
      </c>
      <c r="O806" s="14">
        <v>43292</v>
      </c>
      <c r="P806" s="2" t="s">
        <v>404</v>
      </c>
      <c r="Q806" s="2" t="s">
        <v>2666</v>
      </c>
      <c r="R806" s="2" t="s">
        <v>80</v>
      </c>
      <c r="S806" s="14">
        <v>43298</v>
      </c>
      <c r="T806" s="2" t="s">
        <v>6635</v>
      </c>
      <c r="U806" s="2" t="s">
        <v>1209</v>
      </c>
      <c r="V806" s="2" t="s">
        <v>2667</v>
      </c>
      <c r="W806" s="2" t="s">
        <v>70</v>
      </c>
      <c r="X806" s="13">
        <v>822</v>
      </c>
      <c r="Y806" s="2" t="s">
        <v>71</v>
      </c>
      <c r="Z806" s="2" t="s">
        <v>72</v>
      </c>
      <c r="AA806" s="13">
        <v>5000</v>
      </c>
      <c r="AB806" s="2" t="s">
        <v>107</v>
      </c>
      <c r="AC806" s="2" t="s">
        <v>6773</v>
      </c>
      <c r="AD806" s="27">
        <v>43202</v>
      </c>
      <c r="AL806" s="2" t="s">
        <v>5499</v>
      </c>
    </row>
    <row r="807" spans="1:38" x14ac:dyDescent="0.2">
      <c r="A807" s="2" t="s">
        <v>2643</v>
      </c>
      <c r="B807" s="2" t="s">
        <v>2681</v>
      </c>
      <c r="C807" s="2" t="s">
        <v>2682</v>
      </c>
      <c r="D807" s="2" t="s">
        <v>2683</v>
      </c>
      <c r="E807" s="13">
        <v>5077</v>
      </c>
      <c r="F807" s="13">
        <v>5077</v>
      </c>
      <c r="G807" s="14">
        <v>43290</v>
      </c>
      <c r="H807" s="15">
        <v>0.34068287037036998</v>
      </c>
      <c r="I807" s="14">
        <v>43290</v>
      </c>
      <c r="J807" s="15">
        <v>0.59803240740741004</v>
      </c>
      <c r="K807" s="13">
        <v>0</v>
      </c>
      <c r="L807" s="2" t="s">
        <v>64</v>
      </c>
      <c r="M807" s="2" t="s">
        <v>2732</v>
      </c>
      <c r="N807" s="14">
        <v>43306</v>
      </c>
      <c r="O807" s="14">
        <v>43292</v>
      </c>
      <c r="P807" s="2" t="s">
        <v>504</v>
      </c>
      <c r="Q807" s="2" t="s">
        <v>7017</v>
      </c>
      <c r="R807" s="2" t="s">
        <v>80</v>
      </c>
      <c r="S807" s="14">
        <v>43306</v>
      </c>
      <c r="T807" s="2" t="s">
        <v>6636</v>
      </c>
      <c r="U807" s="2" t="s">
        <v>1209</v>
      </c>
      <c r="V807" s="2" t="s">
        <v>2684</v>
      </c>
      <c r="W807" s="2" t="s">
        <v>70</v>
      </c>
      <c r="X807" s="13">
        <v>822</v>
      </c>
      <c r="Y807" s="2" t="s">
        <v>71</v>
      </c>
      <c r="Z807" s="2" t="s">
        <v>72</v>
      </c>
      <c r="AA807" s="13">
        <v>5000</v>
      </c>
      <c r="AB807" s="2" t="s">
        <v>107</v>
      </c>
      <c r="AC807" s="2" t="s">
        <v>6773</v>
      </c>
      <c r="AD807" s="27">
        <v>43259</v>
      </c>
      <c r="AL807" s="2" t="s">
        <v>5500</v>
      </c>
    </row>
    <row r="808" spans="1:38" x14ac:dyDescent="0.2">
      <c r="A808" s="2" t="s">
        <v>2643</v>
      </c>
      <c r="B808" s="2" t="s">
        <v>2668</v>
      </c>
      <c r="C808" s="2" t="s">
        <v>2669</v>
      </c>
      <c r="D808" s="2" t="s">
        <v>2670</v>
      </c>
      <c r="E808" s="13">
        <v>10124</v>
      </c>
      <c r="F808" s="13">
        <v>10124</v>
      </c>
      <c r="G808" s="14">
        <v>43290</v>
      </c>
      <c r="H808" s="15">
        <v>0.76182870370370004</v>
      </c>
      <c r="I808" s="14">
        <v>43291</v>
      </c>
      <c r="J808" s="15">
        <v>0.27501157407407001</v>
      </c>
      <c r="K808" s="13">
        <v>0</v>
      </c>
      <c r="L808" s="2" t="s">
        <v>64</v>
      </c>
      <c r="M808" s="2" t="s">
        <v>4574</v>
      </c>
      <c r="N808" s="14">
        <v>43299</v>
      </c>
      <c r="O808" s="14">
        <v>43293</v>
      </c>
      <c r="P808" s="2" t="s">
        <v>404</v>
      </c>
      <c r="Q808" s="2" t="s">
        <v>2672</v>
      </c>
      <c r="R808" s="2" t="s">
        <v>80</v>
      </c>
      <c r="S808" s="14">
        <v>43299</v>
      </c>
      <c r="T808" s="2" t="s">
        <v>6637</v>
      </c>
      <c r="U808" s="2" t="s">
        <v>280</v>
      </c>
      <c r="V808" s="2" t="s">
        <v>2673</v>
      </c>
      <c r="W808" s="2" t="s">
        <v>70</v>
      </c>
      <c r="X808" s="13">
        <v>822</v>
      </c>
      <c r="Y808" s="2" t="s">
        <v>71</v>
      </c>
      <c r="Z808" s="2" t="s">
        <v>72</v>
      </c>
      <c r="AA808" s="13">
        <v>10000</v>
      </c>
      <c r="AB808" s="2" t="s">
        <v>107</v>
      </c>
      <c r="AC808" s="2" t="s">
        <v>6773</v>
      </c>
      <c r="AD808" s="27">
        <v>43255</v>
      </c>
      <c r="AI808" s="2" t="s">
        <v>6153</v>
      </c>
      <c r="AL808" s="2" t="s">
        <v>5501</v>
      </c>
    </row>
    <row r="809" spans="1:38" x14ac:dyDescent="0.2">
      <c r="A809" s="2" t="s">
        <v>2643</v>
      </c>
      <c r="B809" s="2" t="s">
        <v>2400</v>
      </c>
      <c r="C809" s="2" t="s">
        <v>2401</v>
      </c>
      <c r="D809" s="2" t="s">
        <v>2402</v>
      </c>
      <c r="E809" s="13">
        <v>5050</v>
      </c>
      <c r="F809" s="13">
        <v>5050</v>
      </c>
      <c r="G809" s="14">
        <v>43291</v>
      </c>
      <c r="H809" s="15">
        <v>0.375</v>
      </c>
      <c r="I809" s="14">
        <v>43291</v>
      </c>
      <c r="J809" s="15">
        <v>0.63098379629629997</v>
      </c>
      <c r="K809" s="13">
        <v>0</v>
      </c>
      <c r="L809" s="2" t="s">
        <v>64</v>
      </c>
      <c r="M809" s="2" t="s">
        <v>2716</v>
      </c>
      <c r="N809" s="14">
        <v>43298</v>
      </c>
      <c r="O809" s="14">
        <v>43293</v>
      </c>
      <c r="P809" s="2" t="s">
        <v>1284</v>
      </c>
      <c r="Q809" s="2" t="s">
        <v>2403</v>
      </c>
      <c r="R809" s="2" t="s">
        <v>80</v>
      </c>
      <c r="S809" s="14">
        <v>43298</v>
      </c>
      <c r="T809" s="2" t="s">
        <v>6638</v>
      </c>
      <c r="U809" s="2" t="s">
        <v>511</v>
      </c>
      <c r="V809" s="2" t="s">
        <v>2404</v>
      </c>
      <c r="W809" s="2" t="s">
        <v>70</v>
      </c>
      <c r="X809" s="13">
        <v>822</v>
      </c>
      <c r="Y809" s="2" t="s">
        <v>71</v>
      </c>
      <c r="Z809" s="2" t="s">
        <v>72</v>
      </c>
      <c r="AA809" s="13">
        <v>5000</v>
      </c>
      <c r="AB809" s="2" t="s">
        <v>73</v>
      </c>
      <c r="AC809" s="2" t="s">
        <v>6773</v>
      </c>
      <c r="AD809" s="27">
        <v>43272</v>
      </c>
      <c r="AI809" s="2" t="s">
        <v>6153</v>
      </c>
      <c r="AL809" s="2" t="s">
        <v>5502</v>
      </c>
    </row>
    <row r="810" spans="1:38" x14ac:dyDescent="0.2">
      <c r="A810" s="2" t="s">
        <v>2643</v>
      </c>
      <c r="B810" s="2" t="s">
        <v>2857</v>
      </c>
      <c r="C810" s="2" t="s">
        <v>2858</v>
      </c>
      <c r="D810" s="2" t="s">
        <v>2859</v>
      </c>
      <c r="E810" s="13">
        <v>10000</v>
      </c>
      <c r="F810" s="13">
        <v>10000</v>
      </c>
      <c r="G810" s="14">
        <v>43291</v>
      </c>
      <c r="H810" s="15">
        <v>0.75</v>
      </c>
      <c r="I810" s="14">
        <v>43292</v>
      </c>
      <c r="J810" s="15">
        <v>0.25689814814814999</v>
      </c>
      <c r="K810" s="13">
        <v>20</v>
      </c>
      <c r="L810" s="2" t="s">
        <v>64</v>
      </c>
      <c r="M810" s="2" t="s">
        <v>2671</v>
      </c>
      <c r="N810" s="14">
        <v>43325</v>
      </c>
      <c r="O810" s="14">
        <v>43294</v>
      </c>
      <c r="P810" s="2" t="s">
        <v>91</v>
      </c>
      <c r="Q810" s="2" t="s">
        <v>2861</v>
      </c>
      <c r="R810" s="2" t="s">
        <v>80</v>
      </c>
      <c r="S810" s="14">
        <v>43325</v>
      </c>
      <c r="T810" s="2" t="s">
        <v>6640</v>
      </c>
      <c r="U810" s="2" t="s">
        <v>1355</v>
      </c>
      <c r="V810" s="2" t="s">
        <v>2862</v>
      </c>
      <c r="W810" s="2" t="s">
        <v>70</v>
      </c>
      <c r="X810" s="13">
        <v>822</v>
      </c>
      <c r="Y810" s="2" t="s">
        <v>71</v>
      </c>
      <c r="Z810" s="2" t="s">
        <v>72</v>
      </c>
      <c r="AA810" s="13">
        <v>10000</v>
      </c>
      <c r="AB810" s="2" t="s">
        <v>73</v>
      </c>
      <c r="AC810" s="2" t="s">
        <v>6773</v>
      </c>
      <c r="AD810" s="27">
        <v>43174</v>
      </c>
      <c r="AL810" s="2" t="s">
        <v>5503</v>
      </c>
    </row>
    <row r="811" spans="1:38" x14ac:dyDescent="0.2">
      <c r="A811" s="2" t="s">
        <v>2643</v>
      </c>
      <c r="B811" s="2" t="s">
        <v>2444</v>
      </c>
      <c r="C811" s="2" t="s">
        <v>2445</v>
      </c>
      <c r="D811" s="2" t="s">
        <v>2446</v>
      </c>
      <c r="E811" s="13">
        <v>10170</v>
      </c>
      <c r="F811" s="13">
        <v>10170</v>
      </c>
      <c r="G811" s="14">
        <v>43292</v>
      </c>
      <c r="H811" s="15">
        <v>0.375</v>
      </c>
      <c r="I811" s="14">
        <v>43292</v>
      </c>
      <c r="J811" s="15">
        <v>0.89050925925926006</v>
      </c>
      <c r="K811" s="13">
        <v>0</v>
      </c>
      <c r="L811" s="2" t="s">
        <v>64</v>
      </c>
      <c r="M811" s="2" t="s">
        <v>7018</v>
      </c>
      <c r="N811" s="14"/>
      <c r="O811" s="14">
        <v>43294</v>
      </c>
      <c r="P811" s="2" t="s">
        <v>2002</v>
      </c>
      <c r="Q811" s="2" t="s">
        <v>4575</v>
      </c>
      <c r="R811" s="2" t="s">
        <v>80</v>
      </c>
      <c r="S811" s="14">
        <v>43311</v>
      </c>
      <c r="T811" s="2" t="s">
        <v>6639</v>
      </c>
      <c r="U811" s="2" t="s">
        <v>484</v>
      </c>
      <c r="V811" s="2" t="s">
        <v>69</v>
      </c>
      <c r="W811" s="2" t="s">
        <v>70</v>
      </c>
      <c r="X811" s="13">
        <v>822</v>
      </c>
      <c r="Y811" s="2" t="s">
        <v>71</v>
      </c>
      <c r="Z811" s="2" t="s">
        <v>72</v>
      </c>
      <c r="AA811" s="13">
        <v>10000</v>
      </c>
      <c r="AB811" s="2" t="s">
        <v>73</v>
      </c>
      <c r="AC811" s="2" t="s">
        <v>6772</v>
      </c>
      <c r="AD811" s="27">
        <v>43283</v>
      </c>
      <c r="AL811" s="2" t="s">
        <v>5504</v>
      </c>
    </row>
    <row r="812" spans="1:38" x14ac:dyDescent="0.2">
      <c r="A812" s="2" t="s">
        <v>2643</v>
      </c>
      <c r="B812" s="2" t="s">
        <v>2811</v>
      </c>
      <c r="C812" s="2" t="s">
        <v>2342</v>
      </c>
      <c r="D812" s="2" t="s">
        <v>2343</v>
      </c>
      <c r="E812" s="16">
        <v>5063.5</v>
      </c>
      <c r="F812" s="16">
        <v>5063.5</v>
      </c>
      <c r="G812" s="14">
        <v>43293</v>
      </c>
      <c r="H812" s="15">
        <v>0.83333333333333004</v>
      </c>
      <c r="I812" s="14">
        <v>43294</v>
      </c>
      <c r="J812" s="15">
        <v>0.09</v>
      </c>
      <c r="K812" s="13">
        <v>20</v>
      </c>
      <c r="L812" s="2" t="s">
        <v>64</v>
      </c>
      <c r="M812" s="2" t="s">
        <v>4576</v>
      </c>
      <c r="N812" s="14">
        <v>43306</v>
      </c>
      <c r="O812" s="14">
        <v>43296</v>
      </c>
      <c r="P812" s="2" t="s">
        <v>1971</v>
      </c>
      <c r="Q812" s="2" t="s">
        <v>2812</v>
      </c>
      <c r="R812" s="2" t="s">
        <v>80</v>
      </c>
      <c r="S812" s="14">
        <v>43306</v>
      </c>
      <c r="T812" s="2" t="s">
        <v>6641</v>
      </c>
      <c r="U812" s="2" t="s">
        <v>1273</v>
      </c>
      <c r="V812" s="2" t="s">
        <v>2345</v>
      </c>
      <c r="W812" s="2" t="s">
        <v>70</v>
      </c>
      <c r="X812" s="13">
        <v>822</v>
      </c>
      <c r="Y812" s="2" t="s">
        <v>71</v>
      </c>
      <c r="Z812" s="2" t="s">
        <v>72</v>
      </c>
      <c r="AA812" s="13">
        <v>5000</v>
      </c>
      <c r="AB812" s="2" t="s">
        <v>73</v>
      </c>
      <c r="AC812" s="2" t="s">
        <v>6773</v>
      </c>
      <c r="AD812" s="27">
        <v>43249</v>
      </c>
      <c r="AL812" s="2" t="s">
        <v>5505</v>
      </c>
    </row>
    <row r="813" spans="1:38" x14ac:dyDescent="0.2">
      <c r="A813" s="2" t="s">
        <v>2643</v>
      </c>
      <c r="B813" s="2" t="s">
        <v>2654</v>
      </c>
      <c r="C813" s="2" t="s">
        <v>2655</v>
      </c>
      <c r="D813" s="2" t="s">
        <v>2656</v>
      </c>
      <c r="E813" s="13">
        <v>20200</v>
      </c>
      <c r="F813" s="13">
        <v>20200</v>
      </c>
      <c r="G813" s="14">
        <v>43294</v>
      </c>
      <c r="H813" s="15">
        <v>0.29166666666667002</v>
      </c>
      <c r="I813" s="14">
        <v>43295</v>
      </c>
      <c r="J813" s="15">
        <v>0.31559027777777998</v>
      </c>
      <c r="K813" s="13">
        <v>0</v>
      </c>
      <c r="L813" s="2" t="s">
        <v>64</v>
      </c>
      <c r="M813" s="2" t="s">
        <v>2657</v>
      </c>
      <c r="N813" s="14">
        <v>43305</v>
      </c>
      <c r="O813" s="14">
        <v>43297</v>
      </c>
      <c r="P813" s="2" t="s">
        <v>2038</v>
      </c>
      <c r="Q813" s="2" t="s">
        <v>2658</v>
      </c>
      <c r="R813" s="2" t="s">
        <v>80</v>
      </c>
      <c r="S813" s="14">
        <v>43305</v>
      </c>
      <c r="T813" s="2" t="s">
        <v>6642</v>
      </c>
      <c r="U813" s="2" t="s">
        <v>495</v>
      </c>
      <c r="V813" s="2" t="s">
        <v>2659</v>
      </c>
      <c r="W813" s="2" t="s">
        <v>70</v>
      </c>
      <c r="X813" s="13">
        <v>822</v>
      </c>
      <c r="Y813" s="2" t="s">
        <v>71</v>
      </c>
      <c r="Z813" s="2" t="s">
        <v>72</v>
      </c>
      <c r="AA813" s="13">
        <v>20000</v>
      </c>
      <c r="AB813" s="2" t="s">
        <v>73</v>
      </c>
      <c r="AC813" s="2" t="s">
        <v>6773</v>
      </c>
      <c r="AD813" s="27">
        <v>43278</v>
      </c>
      <c r="AL813" s="2" t="s">
        <v>5506</v>
      </c>
    </row>
    <row r="814" spans="1:38" x14ac:dyDescent="0.2">
      <c r="A814" s="2" t="s">
        <v>2643</v>
      </c>
      <c r="B814" s="2" t="s">
        <v>1965</v>
      </c>
      <c r="C814" s="2" t="s">
        <v>1841</v>
      </c>
      <c r="D814" s="2" t="s">
        <v>1842</v>
      </c>
      <c r="E814" s="13">
        <v>3030</v>
      </c>
      <c r="F814" s="13">
        <v>3030</v>
      </c>
      <c r="G814" s="14">
        <v>43295</v>
      </c>
      <c r="H814" s="15">
        <v>0.45833333333332998</v>
      </c>
      <c r="I814" s="14">
        <v>43295</v>
      </c>
      <c r="J814" s="15">
        <v>0.61192129629629999</v>
      </c>
      <c r="K814" s="13">
        <v>20</v>
      </c>
      <c r="L814" s="2" t="s">
        <v>64</v>
      </c>
      <c r="M814" s="2" t="s">
        <v>2676</v>
      </c>
      <c r="N814" s="14">
        <v>43300</v>
      </c>
      <c r="O814" s="14">
        <v>43297</v>
      </c>
      <c r="P814" s="2" t="s">
        <v>91</v>
      </c>
      <c r="Q814" s="2" t="s">
        <v>1967</v>
      </c>
      <c r="R814" s="2" t="s">
        <v>80</v>
      </c>
      <c r="S814" s="14">
        <v>43300</v>
      </c>
      <c r="T814" s="2" t="s">
        <v>6643</v>
      </c>
      <c r="U814" s="2" t="s">
        <v>516</v>
      </c>
      <c r="V814" s="2" t="s">
        <v>1844</v>
      </c>
      <c r="W814" s="2" t="s">
        <v>70</v>
      </c>
      <c r="X814" s="13">
        <v>822</v>
      </c>
      <c r="Y814" s="2" t="s">
        <v>71</v>
      </c>
      <c r="Z814" s="2" t="s">
        <v>72</v>
      </c>
      <c r="AA814" s="13">
        <v>3000</v>
      </c>
      <c r="AB814" s="2" t="s">
        <v>73</v>
      </c>
      <c r="AC814" s="2" t="s">
        <v>6773</v>
      </c>
      <c r="AD814" s="27">
        <v>43265</v>
      </c>
      <c r="AI814" s="2" t="s">
        <v>6153</v>
      </c>
      <c r="AL814" s="2" t="s">
        <v>5507</v>
      </c>
    </row>
    <row r="815" spans="1:38" x14ac:dyDescent="0.2">
      <c r="A815" s="2" t="s">
        <v>2643</v>
      </c>
      <c r="B815" s="2" t="s">
        <v>2644</v>
      </c>
      <c r="C815" s="2" t="s">
        <v>2645</v>
      </c>
      <c r="D815" s="2" t="s">
        <v>2646</v>
      </c>
      <c r="E815" s="13">
        <v>3000</v>
      </c>
      <c r="F815" s="13">
        <v>3000</v>
      </c>
      <c r="G815" s="14">
        <v>43295</v>
      </c>
      <c r="H815" s="15">
        <v>0.75</v>
      </c>
      <c r="I815" s="14">
        <v>43295</v>
      </c>
      <c r="J815" s="15">
        <v>0.90207175925925998</v>
      </c>
      <c r="K815" s="13">
        <v>0</v>
      </c>
      <c r="L815" s="2" t="s">
        <v>64</v>
      </c>
      <c r="M815" s="2" t="s">
        <v>2647</v>
      </c>
      <c r="N815" s="14">
        <v>43299</v>
      </c>
      <c r="O815" s="14">
        <v>43297</v>
      </c>
      <c r="P815" s="2" t="s">
        <v>1915</v>
      </c>
      <c r="Q815" s="2" t="s">
        <v>2648</v>
      </c>
      <c r="R815" s="2" t="s">
        <v>80</v>
      </c>
      <c r="S815" s="14">
        <v>43299</v>
      </c>
      <c r="T815" s="2" t="s">
        <v>6644</v>
      </c>
      <c r="U815" s="2" t="s">
        <v>1209</v>
      </c>
      <c r="V815" s="2" t="s">
        <v>2649</v>
      </c>
      <c r="W815" s="2" t="s">
        <v>70</v>
      </c>
      <c r="X815" s="13">
        <v>822</v>
      </c>
      <c r="Y815" s="2" t="s">
        <v>71</v>
      </c>
      <c r="Z815" s="2" t="s">
        <v>72</v>
      </c>
      <c r="AA815" s="13">
        <v>3000</v>
      </c>
      <c r="AB815" s="2" t="s">
        <v>73</v>
      </c>
      <c r="AC815" s="2" t="s">
        <v>6773</v>
      </c>
      <c r="AD815" s="27">
        <v>43272</v>
      </c>
      <c r="AI815" s="2" t="s">
        <v>6153</v>
      </c>
      <c r="AL815" s="2" t="s">
        <v>5508</v>
      </c>
    </row>
    <row r="816" spans="1:38" hidden="1" x14ac:dyDescent="0.2">
      <c r="A816" s="2" t="s">
        <v>2643</v>
      </c>
      <c r="B816" s="2" t="s">
        <v>4577</v>
      </c>
      <c r="C816" s="2" t="s">
        <v>4578</v>
      </c>
      <c r="D816" s="2" t="s">
        <v>4579</v>
      </c>
      <c r="E816" s="13">
        <v>5050</v>
      </c>
      <c r="F816" s="13">
        <v>5050</v>
      </c>
      <c r="G816" s="14">
        <v>43301</v>
      </c>
      <c r="H816" s="15">
        <v>0.14238425925925999</v>
      </c>
      <c r="I816" s="14">
        <v>43301</v>
      </c>
      <c r="J816" s="15">
        <v>0.39836805555555999</v>
      </c>
      <c r="K816" s="13">
        <v>20</v>
      </c>
      <c r="L816" s="2" t="s">
        <v>64</v>
      </c>
      <c r="M816" s="2" t="s">
        <v>2716</v>
      </c>
      <c r="N816" s="14">
        <v>43312</v>
      </c>
      <c r="O816" s="14">
        <v>43303</v>
      </c>
      <c r="P816" s="2" t="s">
        <v>4580</v>
      </c>
      <c r="Q816" s="2" t="s">
        <v>4581</v>
      </c>
      <c r="R816" s="2" t="s">
        <v>80</v>
      </c>
      <c r="S816" s="14">
        <v>43304</v>
      </c>
      <c r="T816" s="2" t="s">
        <v>6646</v>
      </c>
      <c r="U816" s="2" t="s">
        <v>495</v>
      </c>
      <c r="V816" s="2" t="s">
        <v>4582</v>
      </c>
      <c r="W816" s="2" t="s">
        <v>70</v>
      </c>
      <c r="X816" s="13">
        <v>822</v>
      </c>
      <c r="Y816" s="2" t="s">
        <v>71</v>
      </c>
      <c r="Z816" s="2" t="s">
        <v>72</v>
      </c>
      <c r="AA816" s="13">
        <v>5000</v>
      </c>
      <c r="AB816" s="2" t="s">
        <v>73</v>
      </c>
      <c r="AC816" s="2" t="s">
        <v>6773</v>
      </c>
      <c r="AD816" s="27">
        <v>43286</v>
      </c>
      <c r="AL816" s="2" t="s">
        <v>5509</v>
      </c>
    </row>
    <row r="817" spans="1:38" hidden="1" x14ac:dyDescent="0.2">
      <c r="A817" s="2" t="s">
        <v>2643</v>
      </c>
      <c r="B817" s="2" t="s">
        <v>563</v>
      </c>
      <c r="C817" s="2" t="s">
        <v>564</v>
      </c>
      <c r="D817" s="2" t="s">
        <v>565</v>
      </c>
      <c r="E817" s="13">
        <v>10162</v>
      </c>
      <c r="F817" s="13">
        <v>10162</v>
      </c>
      <c r="G817" s="14">
        <v>43301</v>
      </c>
      <c r="H817" s="15">
        <v>0.41920138888889003</v>
      </c>
      <c r="I817" s="14">
        <v>43301</v>
      </c>
      <c r="J817" s="15">
        <v>0.93430555555556005</v>
      </c>
      <c r="K817" s="13">
        <v>0</v>
      </c>
      <c r="L817" s="2" t="s">
        <v>64</v>
      </c>
      <c r="M817" s="2" t="s">
        <v>4583</v>
      </c>
      <c r="N817" s="14">
        <v>43304</v>
      </c>
      <c r="O817" s="14">
        <v>43303</v>
      </c>
      <c r="P817" s="2" t="s">
        <v>91</v>
      </c>
      <c r="Q817" s="2" t="s">
        <v>566</v>
      </c>
      <c r="R817" s="2" t="s">
        <v>80</v>
      </c>
      <c r="S817" s="14">
        <v>43304</v>
      </c>
      <c r="T817" s="2" t="s">
        <v>6647</v>
      </c>
      <c r="U817" s="2" t="s">
        <v>468</v>
      </c>
      <c r="V817" s="2" t="s">
        <v>567</v>
      </c>
      <c r="W817" s="2" t="s">
        <v>70</v>
      </c>
      <c r="X817" s="13">
        <v>822</v>
      </c>
      <c r="Y817" s="2" t="s">
        <v>71</v>
      </c>
      <c r="Z817" s="2" t="s">
        <v>72</v>
      </c>
      <c r="AA817" s="13">
        <v>10000</v>
      </c>
      <c r="AB817" s="2" t="s">
        <v>73</v>
      </c>
      <c r="AC817" s="2" t="s">
        <v>6773</v>
      </c>
      <c r="AD817" s="27">
        <v>43276</v>
      </c>
      <c r="AL817" s="2" t="s">
        <v>5510</v>
      </c>
    </row>
    <row r="818" spans="1:38" hidden="1" x14ac:dyDescent="0.2">
      <c r="A818" s="2" t="s">
        <v>2643</v>
      </c>
      <c r="B818" s="2" t="s">
        <v>2685</v>
      </c>
      <c r="C818" s="2" t="s">
        <v>2686</v>
      </c>
      <c r="D818" s="2" t="s">
        <v>2687</v>
      </c>
      <c r="E818" s="13">
        <v>10000</v>
      </c>
      <c r="F818" s="13">
        <v>10000</v>
      </c>
      <c r="G818" s="14">
        <v>43301</v>
      </c>
      <c r="H818" s="15">
        <v>0.49310185185185001</v>
      </c>
      <c r="I818" s="14">
        <v>43302</v>
      </c>
      <c r="J818" s="15">
        <v>0</v>
      </c>
      <c r="K818" s="13">
        <v>0</v>
      </c>
      <c r="L818" s="2" t="s">
        <v>64</v>
      </c>
      <c r="M818" s="2" t="s">
        <v>2671</v>
      </c>
      <c r="N818" s="14">
        <v>43305</v>
      </c>
      <c r="O818" s="14">
        <v>43303</v>
      </c>
      <c r="P818" s="2" t="s">
        <v>504</v>
      </c>
      <c r="Q818" s="2" t="s">
        <v>2688</v>
      </c>
      <c r="R818" s="2" t="s">
        <v>80</v>
      </c>
      <c r="S818" s="14">
        <v>43305</v>
      </c>
      <c r="T818" s="2" t="s">
        <v>6648</v>
      </c>
      <c r="U818" s="2" t="s">
        <v>280</v>
      </c>
      <c r="V818" s="2" t="s">
        <v>2689</v>
      </c>
      <c r="W818" s="2" t="s">
        <v>70</v>
      </c>
      <c r="X818" s="13">
        <v>822</v>
      </c>
      <c r="Y818" s="2" t="s">
        <v>71</v>
      </c>
      <c r="Z818" s="2" t="s">
        <v>72</v>
      </c>
      <c r="AA818" s="13">
        <v>10000</v>
      </c>
      <c r="AB818" s="2" t="s">
        <v>73</v>
      </c>
      <c r="AC818" s="2" t="s">
        <v>6773</v>
      </c>
      <c r="AD818" s="27">
        <v>43256</v>
      </c>
      <c r="AI818" s="2" t="s">
        <v>6153</v>
      </c>
      <c r="AL818" s="2" t="s">
        <v>5511</v>
      </c>
    </row>
    <row r="819" spans="1:38" hidden="1" x14ac:dyDescent="0.2">
      <c r="A819" s="2" t="s">
        <v>2643</v>
      </c>
      <c r="B819" s="2" t="s">
        <v>2690</v>
      </c>
      <c r="C819" s="2" t="s">
        <v>2691</v>
      </c>
      <c r="D819" s="2" t="s">
        <v>2692</v>
      </c>
      <c r="E819" s="13">
        <v>10100</v>
      </c>
      <c r="F819" s="13">
        <v>10100</v>
      </c>
      <c r="G819" s="14">
        <v>43302</v>
      </c>
      <c r="H819" s="15">
        <v>4.0856481481480002E-2</v>
      </c>
      <c r="I819" s="14">
        <v>43302</v>
      </c>
      <c r="J819" s="15">
        <v>0.55282407407406997</v>
      </c>
      <c r="K819" s="13">
        <v>0</v>
      </c>
      <c r="L819" s="2" t="s">
        <v>64</v>
      </c>
      <c r="M819" s="2" t="s">
        <v>2660</v>
      </c>
      <c r="N819" s="14">
        <v>43305</v>
      </c>
      <c r="O819" s="14">
        <v>43304</v>
      </c>
      <c r="P819" s="2" t="s">
        <v>1573</v>
      </c>
      <c r="Q819" s="2" t="s">
        <v>2693</v>
      </c>
      <c r="R819" s="2" t="s">
        <v>80</v>
      </c>
      <c r="S819" s="14">
        <v>43305</v>
      </c>
      <c r="T819" s="2" t="s">
        <v>6649</v>
      </c>
      <c r="U819" s="2" t="s">
        <v>495</v>
      </c>
      <c r="V819" s="2" t="s">
        <v>2694</v>
      </c>
      <c r="W819" s="2" t="s">
        <v>70</v>
      </c>
      <c r="X819" s="13">
        <v>822</v>
      </c>
      <c r="Y819" s="2" t="s">
        <v>71</v>
      </c>
      <c r="Z819" s="2" t="s">
        <v>72</v>
      </c>
      <c r="AA819" s="13">
        <v>10000</v>
      </c>
      <c r="AB819" s="2" t="s">
        <v>73</v>
      </c>
      <c r="AC819" s="2" t="s">
        <v>6773</v>
      </c>
      <c r="AD819" s="27">
        <v>43276</v>
      </c>
      <c r="AL819" s="2" t="s">
        <v>5512</v>
      </c>
    </row>
    <row r="820" spans="1:38" hidden="1" x14ac:dyDescent="0.2">
      <c r="A820" s="2" t="s">
        <v>2643</v>
      </c>
      <c r="B820" s="2" t="s">
        <v>7019</v>
      </c>
      <c r="C820" s="2" t="s">
        <v>2425</v>
      </c>
      <c r="D820" s="2" t="s">
        <v>2426</v>
      </c>
      <c r="E820" s="13">
        <v>8000</v>
      </c>
      <c r="F820" s="13">
        <v>8000</v>
      </c>
      <c r="G820" s="14">
        <v>43302</v>
      </c>
      <c r="H820" s="15">
        <v>0.59449074074074004</v>
      </c>
      <c r="I820" s="14">
        <v>43303</v>
      </c>
      <c r="J820" s="15">
        <v>0</v>
      </c>
      <c r="K820" s="13">
        <v>0</v>
      </c>
      <c r="L820" s="2" t="s">
        <v>64</v>
      </c>
      <c r="M820" s="2" t="s">
        <v>7020</v>
      </c>
      <c r="N820" s="14">
        <v>43306</v>
      </c>
      <c r="O820" s="14">
        <v>43304</v>
      </c>
      <c r="P820" s="2" t="s">
        <v>524</v>
      </c>
      <c r="Q820" s="2" t="s">
        <v>7021</v>
      </c>
      <c r="R820" s="2" t="s">
        <v>80</v>
      </c>
      <c r="S820" s="14">
        <v>43306</v>
      </c>
      <c r="T820" s="2" t="s">
        <v>7128</v>
      </c>
      <c r="U820" s="2" t="s">
        <v>484</v>
      </c>
      <c r="V820" s="2" t="s">
        <v>2428</v>
      </c>
      <c r="W820" s="2" t="s">
        <v>70</v>
      </c>
      <c r="X820" s="13">
        <v>822</v>
      </c>
      <c r="Y820" s="2" t="s">
        <v>71</v>
      </c>
      <c r="Z820" s="2" t="s">
        <v>72</v>
      </c>
      <c r="AA820" s="13">
        <v>8000</v>
      </c>
      <c r="AB820" s="2" t="s">
        <v>73</v>
      </c>
      <c r="AC820" s="2" t="s">
        <v>6773</v>
      </c>
      <c r="AD820" s="27">
        <v>43230</v>
      </c>
      <c r="AL820" s="2" t="s">
        <v>7290</v>
      </c>
    </row>
    <row r="821" spans="1:38" hidden="1" x14ac:dyDescent="0.2">
      <c r="A821" s="2" t="s">
        <v>2643</v>
      </c>
      <c r="B821" s="2" t="s">
        <v>2695</v>
      </c>
      <c r="C821" s="2" t="s">
        <v>2696</v>
      </c>
      <c r="D821" s="2" t="s">
        <v>2697</v>
      </c>
      <c r="E821" s="13">
        <v>5000</v>
      </c>
      <c r="F821" s="13">
        <v>5000</v>
      </c>
      <c r="G821" s="14">
        <v>43302</v>
      </c>
      <c r="H821" s="15">
        <v>0.74655092592592998</v>
      </c>
      <c r="I821" s="14">
        <v>43303</v>
      </c>
      <c r="J821" s="15">
        <v>0</v>
      </c>
      <c r="K821" s="13">
        <v>0</v>
      </c>
      <c r="L821" s="2" t="s">
        <v>64</v>
      </c>
      <c r="M821" s="2" t="s">
        <v>2665</v>
      </c>
      <c r="N821" s="14">
        <v>43305</v>
      </c>
      <c r="O821" s="14">
        <v>43304</v>
      </c>
      <c r="P821" s="2" t="s">
        <v>2698</v>
      </c>
      <c r="Q821" s="2" t="s">
        <v>2699</v>
      </c>
      <c r="R821" s="2" t="s">
        <v>80</v>
      </c>
      <c r="S821" s="14">
        <v>43305</v>
      </c>
      <c r="T821" s="2" t="s">
        <v>6650</v>
      </c>
      <c r="U821" s="2" t="s">
        <v>280</v>
      </c>
      <c r="V821" s="2" t="s">
        <v>2700</v>
      </c>
      <c r="W821" s="2" t="s">
        <v>70</v>
      </c>
      <c r="X821" s="13">
        <v>822</v>
      </c>
      <c r="Y821" s="2" t="s">
        <v>71</v>
      </c>
      <c r="Z821" s="2" t="s">
        <v>72</v>
      </c>
      <c r="AA821" s="13">
        <v>5000</v>
      </c>
      <c r="AB821" s="2" t="s">
        <v>73</v>
      </c>
      <c r="AC821" s="2" t="s">
        <v>6773</v>
      </c>
      <c r="AD821" s="27">
        <v>43228</v>
      </c>
      <c r="AI821" s="2" t="s">
        <v>6153</v>
      </c>
      <c r="AL821" s="2" t="s">
        <v>5513</v>
      </c>
    </row>
    <row r="822" spans="1:38" hidden="1" x14ac:dyDescent="0.2">
      <c r="A822" s="2" t="s">
        <v>2643</v>
      </c>
      <c r="B822" s="2" t="s">
        <v>2701</v>
      </c>
      <c r="C822" s="2" t="s">
        <v>2702</v>
      </c>
      <c r="D822" s="2" t="s">
        <v>2703</v>
      </c>
      <c r="E822" s="13">
        <v>20000</v>
      </c>
      <c r="F822" s="13">
        <v>20000</v>
      </c>
      <c r="G822" s="14">
        <v>43303</v>
      </c>
      <c r="H822" s="15">
        <v>0.75</v>
      </c>
      <c r="I822" s="14">
        <v>43304</v>
      </c>
      <c r="J822" s="15">
        <v>0.76378472222222005</v>
      </c>
      <c r="K822" s="13">
        <v>0</v>
      </c>
      <c r="L822" s="2" t="s">
        <v>64</v>
      </c>
      <c r="M822" s="2" t="s">
        <v>2653</v>
      </c>
      <c r="N822" s="14">
        <v>43291</v>
      </c>
      <c r="O822" s="14">
        <v>43306</v>
      </c>
      <c r="P822" s="2" t="s">
        <v>404</v>
      </c>
      <c r="Q822" s="2" t="s">
        <v>2704</v>
      </c>
      <c r="R822" s="2" t="s">
        <v>80</v>
      </c>
      <c r="S822" s="14">
        <v>43291</v>
      </c>
      <c r="T822" s="2" t="s">
        <v>6651</v>
      </c>
      <c r="U822" s="2" t="s">
        <v>280</v>
      </c>
      <c r="V822" s="2" t="s">
        <v>2705</v>
      </c>
      <c r="W822" s="2" t="s">
        <v>70</v>
      </c>
      <c r="X822" s="13">
        <v>822</v>
      </c>
      <c r="Y822" s="2" t="s">
        <v>71</v>
      </c>
      <c r="Z822" s="2" t="s">
        <v>72</v>
      </c>
      <c r="AA822" s="13">
        <v>20000</v>
      </c>
      <c r="AB822" s="2" t="s">
        <v>73</v>
      </c>
      <c r="AC822" s="2" t="s">
        <v>6773</v>
      </c>
      <c r="AD822" s="27">
        <v>43262</v>
      </c>
      <c r="AI822" s="2" t="s">
        <v>6153</v>
      </c>
      <c r="AL822" s="2" t="s">
        <v>5514</v>
      </c>
    </row>
    <row r="823" spans="1:38" hidden="1" x14ac:dyDescent="0.2">
      <c r="A823" s="2" t="s">
        <v>2643</v>
      </c>
      <c r="B823" s="2" t="s">
        <v>2706</v>
      </c>
      <c r="C823" s="2" t="s">
        <v>2414</v>
      </c>
      <c r="D823" s="2" t="s">
        <v>2415</v>
      </c>
      <c r="E823" s="13">
        <v>5000</v>
      </c>
      <c r="F823" s="13">
        <v>5000</v>
      </c>
      <c r="G823" s="14">
        <v>43304</v>
      </c>
      <c r="H823" s="15">
        <v>0.71193287037037001</v>
      </c>
      <c r="I823" s="14">
        <v>43304</v>
      </c>
      <c r="J823" s="15">
        <v>0.96538194444444003</v>
      </c>
      <c r="K823" s="13">
        <v>0</v>
      </c>
      <c r="L823" s="2" t="s">
        <v>64</v>
      </c>
      <c r="M823" s="2" t="s">
        <v>2665</v>
      </c>
      <c r="N823" s="14">
        <v>43308</v>
      </c>
      <c r="O823" s="14">
        <v>43306</v>
      </c>
      <c r="P823" s="2" t="s">
        <v>2038</v>
      </c>
      <c r="Q823" s="2" t="s">
        <v>2707</v>
      </c>
      <c r="R823" s="2" t="s">
        <v>80</v>
      </c>
      <c r="S823" s="14">
        <v>43308</v>
      </c>
      <c r="T823" s="2" t="s">
        <v>6652</v>
      </c>
      <c r="U823" s="2" t="s">
        <v>429</v>
      </c>
      <c r="V823" s="2" t="s">
        <v>2417</v>
      </c>
      <c r="W823" s="2" t="s">
        <v>70</v>
      </c>
      <c r="X823" s="13">
        <v>822</v>
      </c>
      <c r="Y823" s="2" t="s">
        <v>71</v>
      </c>
      <c r="Z823" s="2" t="s">
        <v>72</v>
      </c>
      <c r="AA823" s="13">
        <v>5000</v>
      </c>
      <c r="AB823" s="2" t="s">
        <v>73</v>
      </c>
      <c r="AC823" s="2" t="s">
        <v>6773</v>
      </c>
      <c r="AD823" s="27">
        <v>43271</v>
      </c>
      <c r="AI823" s="2" t="s">
        <v>6153</v>
      </c>
      <c r="AL823" s="2" t="s">
        <v>5515</v>
      </c>
    </row>
    <row r="824" spans="1:38" hidden="1" x14ac:dyDescent="0.2">
      <c r="A824" s="2" t="s">
        <v>2643</v>
      </c>
      <c r="B824" s="2" t="s">
        <v>4584</v>
      </c>
      <c r="C824" s="2" t="s">
        <v>4585</v>
      </c>
      <c r="D824" s="2" t="s">
        <v>4586</v>
      </c>
      <c r="E824" s="13">
        <v>10233</v>
      </c>
      <c r="F824" s="13">
        <v>10233</v>
      </c>
      <c r="G824" s="14">
        <v>43306</v>
      </c>
      <c r="H824" s="15">
        <v>0.16331018518519</v>
      </c>
      <c r="I824" s="14">
        <v>43306</v>
      </c>
      <c r="J824" s="15">
        <v>0.68201388888889003</v>
      </c>
      <c r="K824" s="13">
        <v>0</v>
      </c>
      <c r="L824" s="2" t="s">
        <v>64</v>
      </c>
      <c r="M824" s="2" t="s">
        <v>4587</v>
      </c>
      <c r="N824" s="14">
        <v>43313</v>
      </c>
      <c r="O824" s="14">
        <v>43308</v>
      </c>
      <c r="P824" s="2" t="s">
        <v>404</v>
      </c>
      <c r="Q824" s="2" t="s">
        <v>4588</v>
      </c>
      <c r="R824" s="2" t="s">
        <v>93</v>
      </c>
      <c r="S824" s="14">
        <v>43313</v>
      </c>
      <c r="T824" s="2" t="s">
        <v>6653</v>
      </c>
      <c r="U824" s="2" t="s">
        <v>4589</v>
      </c>
      <c r="V824" s="2" t="s">
        <v>407</v>
      </c>
      <c r="W824" s="2" t="s">
        <v>70</v>
      </c>
      <c r="X824" s="13">
        <v>822</v>
      </c>
      <c r="Y824" s="2" t="s">
        <v>71</v>
      </c>
      <c r="Z824" s="2" t="s">
        <v>72</v>
      </c>
      <c r="AA824" s="13">
        <v>10000</v>
      </c>
      <c r="AB824" s="2" t="s">
        <v>73</v>
      </c>
      <c r="AC824" s="2" t="s">
        <v>6773</v>
      </c>
      <c r="AD824" s="27">
        <v>43285</v>
      </c>
      <c r="AI824" s="2" t="s">
        <v>6153</v>
      </c>
      <c r="AL824" s="2" t="s">
        <v>5516</v>
      </c>
    </row>
    <row r="825" spans="1:38" hidden="1" x14ac:dyDescent="0.2">
      <c r="A825" s="2" t="s">
        <v>2643</v>
      </c>
      <c r="B825" s="2" t="s">
        <v>4590</v>
      </c>
      <c r="C825" s="2" t="s">
        <v>4585</v>
      </c>
      <c r="D825" s="2" t="s">
        <v>4586</v>
      </c>
      <c r="E825" s="16">
        <v>20466.001</v>
      </c>
      <c r="F825" s="16">
        <v>20466.001</v>
      </c>
      <c r="G825" s="14">
        <v>43306</v>
      </c>
      <c r="H825" s="15">
        <v>0.70284722222221996</v>
      </c>
      <c r="I825" s="14">
        <v>43307</v>
      </c>
      <c r="J825" s="15">
        <v>0.74025462962962996</v>
      </c>
      <c r="K825" s="13">
        <v>0</v>
      </c>
      <c r="L825" s="2" t="s">
        <v>64</v>
      </c>
      <c r="M825" s="2" t="s">
        <v>4591</v>
      </c>
      <c r="N825" s="14">
        <v>43313</v>
      </c>
      <c r="O825" s="14">
        <v>43309</v>
      </c>
      <c r="P825" s="2" t="s">
        <v>404</v>
      </c>
      <c r="Q825" s="2" t="s">
        <v>4588</v>
      </c>
      <c r="R825" s="2" t="s">
        <v>80</v>
      </c>
      <c r="S825" s="14">
        <v>43313</v>
      </c>
      <c r="T825" s="2" t="s">
        <v>6654</v>
      </c>
      <c r="U825" s="2" t="s">
        <v>4589</v>
      </c>
      <c r="V825" s="2" t="s">
        <v>407</v>
      </c>
      <c r="W825" s="2" t="s">
        <v>70</v>
      </c>
      <c r="X825" s="13">
        <v>822</v>
      </c>
      <c r="Y825" s="2" t="s">
        <v>71</v>
      </c>
      <c r="Z825" s="2" t="s">
        <v>72</v>
      </c>
      <c r="AA825" s="13">
        <v>20000</v>
      </c>
      <c r="AB825" s="2" t="s">
        <v>73</v>
      </c>
      <c r="AC825" s="2" t="s">
        <v>6773</v>
      </c>
      <c r="AD825" s="27">
        <v>43285</v>
      </c>
      <c r="AI825" s="2" t="s">
        <v>6153</v>
      </c>
      <c r="AL825" s="2" t="s">
        <v>5517</v>
      </c>
    </row>
    <row r="826" spans="1:38" hidden="1" x14ac:dyDescent="0.2">
      <c r="A826" s="2" t="s">
        <v>2643</v>
      </c>
      <c r="B826" s="2" t="s">
        <v>4592</v>
      </c>
      <c r="C826" s="2" t="s">
        <v>4593</v>
      </c>
      <c r="D826" s="2" t="s">
        <v>4594</v>
      </c>
      <c r="E826" s="13">
        <v>10162</v>
      </c>
      <c r="F826" s="13">
        <v>10162</v>
      </c>
      <c r="G826" s="14">
        <v>43307</v>
      </c>
      <c r="H826" s="15">
        <v>0.76108796296296</v>
      </c>
      <c r="I826" s="14">
        <v>43308</v>
      </c>
      <c r="J826" s="15">
        <v>0.27619212962963002</v>
      </c>
      <c r="K826" s="13">
        <v>0</v>
      </c>
      <c r="L826" s="2" t="s">
        <v>64</v>
      </c>
      <c r="M826" s="2" t="s">
        <v>4583</v>
      </c>
      <c r="N826" s="14">
        <v>43314</v>
      </c>
      <c r="O826" s="14">
        <v>43310</v>
      </c>
      <c r="P826" s="2" t="s">
        <v>91</v>
      </c>
      <c r="Q826" s="2" t="s">
        <v>4595</v>
      </c>
      <c r="R826" s="2" t="s">
        <v>80</v>
      </c>
      <c r="S826" s="14">
        <v>43314</v>
      </c>
      <c r="T826" s="2" t="s">
        <v>6655</v>
      </c>
      <c r="U826" s="2" t="s">
        <v>436</v>
      </c>
      <c r="V826" s="2" t="s">
        <v>4596</v>
      </c>
      <c r="W826" s="2" t="s">
        <v>70</v>
      </c>
      <c r="X826" s="13">
        <v>822</v>
      </c>
      <c r="Y826" s="2" t="s">
        <v>71</v>
      </c>
      <c r="Z826" s="2" t="s">
        <v>72</v>
      </c>
      <c r="AA826" s="13">
        <v>10000</v>
      </c>
      <c r="AB826" s="2" t="s">
        <v>73</v>
      </c>
      <c r="AC826" s="2" t="s">
        <v>6773</v>
      </c>
      <c r="AD826" s="27">
        <v>43284</v>
      </c>
      <c r="AI826" s="2" t="s">
        <v>6153</v>
      </c>
      <c r="AL826" s="2" t="s">
        <v>5518</v>
      </c>
    </row>
    <row r="827" spans="1:38" hidden="1" x14ac:dyDescent="0.2">
      <c r="A827" s="2" t="s">
        <v>2643</v>
      </c>
      <c r="B827" s="2" t="s">
        <v>2708</v>
      </c>
      <c r="C827" s="2" t="s">
        <v>2468</v>
      </c>
      <c r="D827" s="2" t="s">
        <v>2469</v>
      </c>
      <c r="E827" s="16">
        <v>3046.2</v>
      </c>
      <c r="F827" s="16">
        <v>3046.2</v>
      </c>
      <c r="G827" s="14">
        <v>43308</v>
      </c>
      <c r="H827" s="15">
        <v>0.29702546296296001</v>
      </c>
      <c r="I827" s="14">
        <v>43308</v>
      </c>
      <c r="J827" s="15">
        <v>0.45143518518518999</v>
      </c>
      <c r="K827" s="13">
        <v>20</v>
      </c>
      <c r="L827" s="2" t="s">
        <v>64</v>
      </c>
      <c r="M827" s="2" t="s">
        <v>2709</v>
      </c>
      <c r="N827" s="14">
        <v>43311</v>
      </c>
      <c r="O827" s="14">
        <v>43310</v>
      </c>
      <c r="P827" s="2" t="s">
        <v>404</v>
      </c>
      <c r="Q827" s="2" t="s">
        <v>2710</v>
      </c>
      <c r="R827" s="2" t="s">
        <v>80</v>
      </c>
      <c r="S827" s="14">
        <v>43311</v>
      </c>
      <c r="T827" s="2" t="s">
        <v>6656</v>
      </c>
      <c r="U827" s="2" t="s">
        <v>1209</v>
      </c>
      <c r="V827" s="2" t="s">
        <v>407</v>
      </c>
      <c r="W827" s="2" t="s">
        <v>70</v>
      </c>
      <c r="X827" s="13">
        <v>822</v>
      </c>
      <c r="Y827" s="2" t="s">
        <v>71</v>
      </c>
      <c r="Z827" s="2" t="s">
        <v>72</v>
      </c>
      <c r="AA827" s="13">
        <v>3000</v>
      </c>
      <c r="AB827" s="2" t="s">
        <v>73</v>
      </c>
      <c r="AC827" s="2" t="s">
        <v>6773</v>
      </c>
      <c r="AD827" s="27">
        <v>43283</v>
      </c>
      <c r="AL827" s="2" t="s">
        <v>5519</v>
      </c>
    </row>
    <row r="828" spans="1:38" hidden="1" x14ac:dyDescent="0.2">
      <c r="A828" s="2" t="s">
        <v>2643</v>
      </c>
      <c r="B828" s="2" t="s">
        <v>2711</v>
      </c>
      <c r="C828" s="2" t="s">
        <v>2682</v>
      </c>
      <c r="D828" s="2" t="s">
        <v>2683</v>
      </c>
      <c r="E828" s="13">
        <v>10000</v>
      </c>
      <c r="F828" s="13">
        <v>10000</v>
      </c>
      <c r="G828" s="14">
        <v>43308</v>
      </c>
      <c r="H828" s="15">
        <v>0.49310185185185001</v>
      </c>
      <c r="I828" s="14">
        <v>43309</v>
      </c>
      <c r="J828" s="15">
        <v>0</v>
      </c>
      <c r="K828" s="13">
        <v>0</v>
      </c>
      <c r="L828" s="2" t="s">
        <v>64</v>
      </c>
      <c r="M828" s="2" t="s">
        <v>2671</v>
      </c>
      <c r="N828" s="14">
        <v>43314</v>
      </c>
      <c r="O828" s="14">
        <v>43310</v>
      </c>
      <c r="P828" s="2" t="s">
        <v>504</v>
      </c>
      <c r="Q828" s="2" t="s">
        <v>2712</v>
      </c>
      <c r="R828" s="2" t="s">
        <v>80</v>
      </c>
      <c r="S828" s="14">
        <v>43314</v>
      </c>
      <c r="T828" s="2" t="s">
        <v>6657</v>
      </c>
      <c r="U828" s="2" t="s">
        <v>1209</v>
      </c>
      <c r="V828" s="2" t="s">
        <v>2684</v>
      </c>
      <c r="W828" s="2" t="s">
        <v>70</v>
      </c>
      <c r="X828" s="13">
        <v>822</v>
      </c>
      <c r="Y828" s="2" t="s">
        <v>71</v>
      </c>
      <c r="Z828" s="2" t="s">
        <v>72</v>
      </c>
      <c r="AA828" s="13">
        <v>10000</v>
      </c>
      <c r="AB828" s="2" t="s">
        <v>73</v>
      </c>
      <c r="AC828" s="2" t="s">
        <v>6773</v>
      </c>
      <c r="AD828" s="27">
        <v>43265</v>
      </c>
      <c r="AL828" s="2" t="s">
        <v>5520</v>
      </c>
    </row>
    <row r="829" spans="1:38" hidden="1" x14ac:dyDescent="0.2">
      <c r="A829" s="2" t="s">
        <v>2643</v>
      </c>
      <c r="B829" s="2" t="s">
        <v>2713</v>
      </c>
      <c r="C829" s="2" t="s">
        <v>2714</v>
      </c>
      <c r="D829" s="2" t="s">
        <v>2715</v>
      </c>
      <c r="E829" s="13">
        <v>5050</v>
      </c>
      <c r="F829" s="13">
        <v>5050</v>
      </c>
      <c r="G829" s="14">
        <v>43308</v>
      </c>
      <c r="H829" s="15">
        <v>0.65025462962962999</v>
      </c>
      <c r="I829" s="14">
        <v>43308</v>
      </c>
      <c r="J829" s="15">
        <v>0.90623842592592996</v>
      </c>
      <c r="K829" s="13">
        <v>0</v>
      </c>
      <c r="L829" s="2" t="s">
        <v>64</v>
      </c>
      <c r="M829" s="2" t="s">
        <v>2716</v>
      </c>
      <c r="N829" s="14">
        <v>43283</v>
      </c>
      <c r="O829" s="14">
        <v>43310</v>
      </c>
      <c r="P829" s="2" t="s">
        <v>2717</v>
      </c>
      <c r="Q829" s="2" t="s">
        <v>2718</v>
      </c>
      <c r="R829" s="2" t="s">
        <v>80</v>
      </c>
      <c r="S829" s="14">
        <v>43283</v>
      </c>
      <c r="T829" s="2" t="s">
        <v>6658</v>
      </c>
      <c r="U829" s="2" t="s">
        <v>516</v>
      </c>
      <c r="V829" s="2" t="s">
        <v>2719</v>
      </c>
      <c r="W829" s="2" t="s">
        <v>70</v>
      </c>
      <c r="X829" s="13">
        <v>822</v>
      </c>
      <c r="Y829" s="2" t="s">
        <v>71</v>
      </c>
      <c r="Z829" s="2" t="s">
        <v>72</v>
      </c>
      <c r="AA829" s="13">
        <v>5000</v>
      </c>
      <c r="AB829" s="2" t="s">
        <v>107</v>
      </c>
      <c r="AC829" s="2" t="s">
        <v>6773</v>
      </c>
      <c r="AD829" s="27">
        <v>43245</v>
      </c>
      <c r="AL829" s="2" t="s">
        <v>5521</v>
      </c>
    </row>
    <row r="830" spans="1:38" hidden="1" x14ac:dyDescent="0.2">
      <c r="A830" s="2" t="s">
        <v>2643</v>
      </c>
      <c r="B830" s="2" t="s">
        <v>2720</v>
      </c>
      <c r="C830" s="2" t="s">
        <v>2463</v>
      </c>
      <c r="D830" s="2" t="s">
        <v>2464</v>
      </c>
      <c r="E830" s="13">
        <v>20000</v>
      </c>
      <c r="F830" s="13">
        <v>20000</v>
      </c>
      <c r="G830" s="14">
        <v>43308</v>
      </c>
      <c r="H830" s="15">
        <v>0.98620370370370003</v>
      </c>
      <c r="I830" s="14">
        <v>43309</v>
      </c>
      <c r="J830" s="15">
        <v>0.99998842592592996</v>
      </c>
      <c r="K830" s="13">
        <v>0</v>
      </c>
      <c r="L830" s="2" t="s">
        <v>64</v>
      </c>
      <c r="M830" s="2" t="s">
        <v>2653</v>
      </c>
      <c r="N830" s="14">
        <v>43311</v>
      </c>
      <c r="O830" s="14">
        <v>43311</v>
      </c>
      <c r="P830" s="2" t="s">
        <v>1573</v>
      </c>
      <c r="Q830" s="2" t="s">
        <v>98</v>
      </c>
      <c r="R830" s="2" t="s">
        <v>131</v>
      </c>
      <c r="S830" s="14"/>
      <c r="U830" s="2" t="s">
        <v>516</v>
      </c>
      <c r="V830" s="2" t="s">
        <v>69</v>
      </c>
      <c r="W830" s="2" t="s">
        <v>70</v>
      </c>
      <c r="X830" s="13">
        <v>0</v>
      </c>
      <c r="Y830" s="2" t="s">
        <v>71</v>
      </c>
      <c r="Z830" s="2" t="s">
        <v>72</v>
      </c>
      <c r="AA830" s="13">
        <v>20000</v>
      </c>
      <c r="AB830" s="2" t="s">
        <v>95</v>
      </c>
      <c r="AC830" s="2" t="s">
        <v>6772</v>
      </c>
      <c r="AD830" s="27"/>
      <c r="AL830" s="2" t="s">
        <v>5522</v>
      </c>
    </row>
    <row r="831" spans="1:38" hidden="1" x14ac:dyDescent="0.2">
      <c r="A831" s="2" t="s">
        <v>2643</v>
      </c>
      <c r="B831" s="2" t="s">
        <v>2721</v>
      </c>
      <c r="C831" s="2" t="s">
        <v>2682</v>
      </c>
      <c r="D831" s="2" t="s">
        <v>2683</v>
      </c>
      <c r="E831" s="13">
        <v>5000</v>
      </c>
      <c r="F831" s="13">
        <v>5000</v>
      </c>
      <c r="G831" s="14">
        <v>43309</v>
      </c>
      <c r="H831" s="15">
        <v>0.74655092592592998</v>
      </c>
      <c r="I831" s="14">
        <v>43310</v>
      </c>
      <c r="J831" s="15">
        <v>0</v>
      </c>
      <c r="K831" s="13">
        <v>0</v>
      </c>
      <c r="L831" s="2" t="s">
        <v>64</v>
      </c>
      <c r="M831" s="2" t="s">
        <v>2665</v>
      </c>
      <c r="N831" s="14">
        <v>43312</v>
      </c>
      <c r="O831" s="14">
        <v>43311</v>
      </c>
      <c r="P831" s="2" t="s">
        <v>504</v>
      </c>
      <c r="Q831" s="2" t="s">
        <v>2722</v>
      </c>
      <c r="R831" s="2" t="s">
        <v>80</v>
      </c>
      <c r="S831" s="14">
        <v>43312</v>
      </c>
      <c r="T831" s="2" t="s">
        <v>6659</v>
      </c>
      <c r="U831" s="2" t="s">
        <v>1209</v>
      </c>
      <c r="V831" s="2" t="s">
        <v>2684</v>
      </c>
      <c r="W831" s="2" t="s">
        <v>70</v>
      </c>
      <c r="X831" s="13">
        <v>822</v>
      </c>
      <c r="Y831" s="2" t="s">
        <v>71</v>
      </c>
      <c r="Z831" s="2" t="s">
        <v>72</v>
      </c>
      <c r="AA831" s="13">
        <v>5000</v>
      </c>
      <c r="AB831" s="2" t="s">
        <v>73</v>
      </c>
      <c r="AC831" s="2" t="s">
        <v>6773</v>
      </c>
      <c r="AD831" s="27">
        <v>43259</v>
      </c>
      <c r="AL831" s="2" t="s">
        <v>5523</v>
      </c>
    </row>
    <row r="832" spans="1:38" hidden="1" x14ac:dyDescent="0.2">
      <c r="A832" s="2" t="s">
        <v>2643</v>
      </c>
      <c r="B832" s="2" t="s">
        <v>2723</v>
      </c>
      <c r="C832" s="2" t="s">
        <v>2651</v>
      </c>
      <c r="D832" s="2" t="s">
        <v>2652</v>
      </c>
      <c r="E832" s="13">
        <v>5000</v>
      </c>
      <c r="F832" s="13">
        <v>5000</v>
      </c>
      <c r="G832" s="14">
        <v>43310</v>
      </c>
      <c r="H832" s="15">
        <v>0.21881944444443999</v>
      </c>
      <c r="I832" s="14">
        <v>43310</v>
      </c>
      <c r="J832" s="15">
        <v>0.47226851851851998</v>
      </c>
      <c r="K832" s="13">
        <v>20</v>
      </c>
      <c r="L832" s="2" t="s">
        <v>64</v>
      </c>
      <c r="M832" s="2" t="s">
        <v>2665</v>
      </c>
      <c r="N832" s="14">
        <v>43313</v>
      </c>
      <c r="O832" s="14">
        <v>43312</v>
      </c>
      <c r="P832" s="2" t="s">
        <v>1573</v>
      </c>
      <c r="Q832" s="2" t="s">
        <v>2724</v>
      </c>
      <c r="R832" s="2" t="s">
        <v>80</v>
      </c>
      <c r="S832" s="14">
        <v>43313</v>
      </c>
      <c r="T832" s="2" t="s">
        <v>6660</v>
      </c>
      <c r="U832" s="2" t="s">
        <v>468</v>
      </c>
      <c r="V832" s="2" t="s">
        <v>69</v>
      </c>
      <c r="W832" s="2" t="s">
        <v>70</v>
      </c>
      <c r="X832" s="13">
        <v>822</v>
      </c>
      <c r="Y832" s="2" t="s">
        <v>71</v>
      </c>
      <c r="Z832" s="2" t="s">
        <v>72</v>
      </c>
      <c r="AA832" s="13">
        <v>5000</v>
      </c>
      <c r="AB832" s="2" t="s">
        <v>73</v>
      </c>
      <c r="AC832" s="2" t="s">
        <v>6773</v>
      </c>
      <c r="AD832" s="27">
        <v>43270</v>
      </c>
      <c r="AL832" s="2" t="s">
        <v>5524</v>
      </c>
    </row>
    <row r="833" spans="1:38" hidden="1" x14ac:dyDescent="0.2">
      <c r="A833" s="2" t="s">
        <v>2643</v>
      </c>
      <c r="B833" s="2" t="s">
        <v>2725</v>
      </c>
      <c r="C833" s="2" t="s">
        <v>2669</v>
      </c>
      <c r="D833" s="2" t="s">
        <v>2670</v>
      </c>
      <c r="E833" s="13">
        <v>10000</v>
      </c>
      <c r="F833" s="13">
        <v>10000</v>
      </c>
      <c r="G833" s="14">
        <v>43310</v>
      </c>
      <c r="H833" s="15">
        <v>0.49310185185185001</v>
      </c>
      <c r="I833" s="14">
        <v>43311</v>
      </c>
      <c r="J833" s="15">
        <v>0</v>
      </c>
      <c r="K833" s="13">
        <v>0</v>
      </c>
      <c r="L833" s="2" t="s">
        <v>64</v>
      </c>
      <c r="M833" s="2" t="s">
        <v>2671</v>
      </c>
      <c r="N833" s="14">
        <v>43314</v>
      </c>
      <c r="O833" s="14">
        <v>43312</v>
      </c>
      <c r="P833" s="2" t="s">
        <v>404</v>
      </c>
      <c r="Q833" s="2" t="s">
        <v>2726</v>
      </c>
      <c r="R833" s="2" t="s">
        <v>80</v>
      </c>
      <c r="S833" s="14">
        <v>43314</v>
      </c>
      <c r="T833" s="2" t="s">
        <v>6661</v>
      </c>
      <c r="U833" s="2" t="s">
        <v>280</v>
      </c>
      <c r="V833" s="2" t="s">
        <v>2673</v>
      </c>
      <c r="W833" s="2" t="s">
        <v>70</v>
      </c>
      <c r="X833" s="13">
        <v>822</v>
      </c>
      <c r="Y833" s="2" t="s">
        <v>71</v>
      </c>
      <c r="Z833" s="2" t="s">
        <v>72</v>
      </c>
      <c r="AA833" s="13">
        <v>10000</v>
      </c>
      <c r="AB833" s="2" t="s">
        <v>73</v>
      </c>
      <c r="AC833" s="2" t="s">
        <v>6773</v>
      </c>
      <c r="AD833" s="27">
        <v>43262</v>
      </c>
      <c r="AI833" s="2" t="s">
        <v>6153</v>
      </c>
      <c r="AL833" s="2" t="s">
        <v>5525</v>
      </c>
    </row>
    <row r="834" spans="1:38" hidden="1" x14ac:dyDescent="0.2">
      <c r="A834" s="2" t="s">
        <v>2643</v>
      </c>
      <c r="B834" s="2" t="s">
        <v>2729</v>
      </c>
      <c r="C834" s="2" t="s">
        <v>2686</v>
      </c>
      <c r="D834" s="2" t="s">
        <v>2687</v>
      </c>
      <c r="E834" s="13">
        <v>10000</v>
      </c>
      <c r="F834" s="13">
        <v>10000</v>
      </c>
      <c r="G834" s="14">
        <v>43311</v>
      </c>
      <c r="H834" s="15">
        <v>0.49310185185185001</v>
      </c>
      <c r="I834" s="14">
        <v>43312</v>
      </c>
      <c r="J834" s="15">
        <v>0</v>
      </c>
      <c r="K834" s="13">
        <v>0</v>
      </c>
      <c r="L834" s="2" t="s">
        <v>64</v>
      </c>
      <c r="M834" s="2" t="s">
        <v>2671</v>
      </c>
      <c r="N834" s="14">
        <v>43315</v>
      </c>
      <c r="O834" s="14">
        <v>43313</v>
      </c>
      <c r="P834" s="2" t="s">
        <v>504</v>
      </c>
      <c r="Q834" s="2" t="s">
        <v>2730</v>
      </c>
      <c r="R834" s="2" t="s">
        <v>80</v>
      </c>
      <c r="S834" s="14">
        <v>43315</v>
      </c>
      <c r="T834" s="2" t="s">
        <v>6662</v>
      </c>
      <c r="U834" s="2" t="s">
        <v>280</v>
      </c>
      <c r="V834" s="2" t="s">
        <v>2689</v>
      </c>
      <c r="W834" s="2" t="s">
        <v>70</v>
      </c>
      <c r="X834" s="13">
        <v>822</v>
      </c>
      <c r="Y834" s="2" t="s">
        <v>71</v>
      </c>
      <c r="Z834" s="2" t="s">
        <v>72</v>
      </c>
      <c r="AA834" s="13">
        <v>10000</v>
      </c>
      <c r="AB834" s="2" t="s">
        <v>73</v>
      </c>
      <c r="AC834" s="2" t="s">
        <v>6773</v>
      </c>
      <c r="AD834" s="27">
        <v>43256</v>
      </c>
      <c r="AI834" s="2" t="s">
        <v>6153</v>
      </c>
      <c r="AL834" s="2" t="s">
        <v>5526</v>
      </c>
    </row>
    <row r="835" spans="1:38" hidden="1" x14ac:dyDescent="0.2">
      <c r="A835" s="2" t="s">
        <v>2643</v>
      </c>
      <c r="B835" s="2" t="s">
        <v>2731</v>
      </c>
      <c r="C835" s="2" t="s">
        <v>2682</v>
      </c>
      <c r="D835" s="2" t="s">
        <v>2683</v>
      </c>
      <c r="E835" s="13">
        <v>5077</v>
      </c>
      <c r="F835" s="13">
        <v>5077</v>
      </c>
      <c r="G835" s="14">
        <v>43312</v>
      </c>
      <c r="H835" s="15">
        <v>0.18030092592593</v>
      </c>
      <c r="I835" s="14">
        <v>43312</v>
      </c>
      <c r="J835" s="15">
        <v>0.43765046296296001</v>
      </c>
      <c r="K835" s="13">
        <v>0</v>
      </c>
      <c r="L835" s="2" t="s">
        <v>64</v>
      </c>
      <c r="M835" s="2" t="s">
        <v>2732</v>
      </c>
      <c r="N835" s="14">
        <v>43315</v>
      </c>
      <c r="O835" s="14">
        <v>43314</v>
      </c>
      <c r="P835" s="2" t="s">
        <v>504</v>
      </c>
      <c r="Q835" s="2" t="s">
        <v>2733</v>
      </c>
      <c r="R835" s="2" t="s">
        <v>80</v>
      </c>
      <c r="S835" s="14">
        <v>43315</v>
      </c>
      <c r="T835" s="2" t="s">
        <v>6663</v>
      </c>
      <c r="U835" s="2" t="s">
        <v>1209</v>
      </c>
      <c r="V835" s="2" t="s">
        <v>2684</v>
      </c>
      <c r="W835" s="2" t="s">
        <v>70</v>
      </c>
      <c r="X835" s="13">
        <v>822</v>
      </c>
      <c r="Y835" s="2" t="s">
        <v>71</v>
      </c>
      <c r="Z835" s="2" t="s">
        <v>72</v>
      </c>
      <c r="AA835" s="13">
        <v>5000</v>
      </c>
      <c r="AB835" s="2" t="s">
        <v>73</v>
      </c>
      <c r="AC835" s="2" t="s">
        <v>6773</v>
      </c>
      <c r="AD835" s="27">
        <v>43279</v>
      </c>
      <c r="AL835" s="2" t="s">
        <v>5527</v>
      </c>
    </row>
    <row r="836" spans="1:38" hidden="1" x14ac:dyDescent="0.2">
      <c r="A836" s="2" t="s">
        <v>2643</v>
      </c>
      <c r="B836" s="2" t="s">
        <v>2734</v>
      </c>
      <c r="C836" s="2" t="s">
        <v>2735</v>
      </c>
      <c r="D836" s="2" t="s">
        <v>2736</v>
      </c>
      <c r="E836" s="13">
        <v>10000</v>
      </c>
      <c r="F836" s="13">
        <v>10000</v>
      </c>
      <c r="G836" s="14">
        <v>43312</v>
      </c>
      <c r="H836" s="15">
        <v>0.45848379629629998</v>
      </c>
      <c r="I836" s="14">
        <v>43312</v>
      </c>
      <c r="J836" s="15">
        <v>0.96538194444444003</v>
      </c>
      <c r="K836" s="13">
        <v>0</v>
      </c>
      <c r="L836" s="2" t="s">
        <v>64</v>
      </c>
      <c r="M836" s="2" t="s">
        <v>2671</v>
      </c>
      <c r="N836" s="14">
        <v>43314</v>
      </c>
      <c r="O836" s="14">
        <v>43316</v>
      </c>
      <c r="P836" s="2" t="s">
        <v>1573</v>
      </c>
      <c r="Q836" s="2" t="s">
        <v>98</v>
      </c>
      <c r="R836" s="2" t="s">
        <v>131</v>
      </c>
      <c r="S836" s="14"/>
      <c r="U836" s="2" t="s">
        <v>495</v>
      </c>
      <c r="V836" s="2" t="s">
        <v>69</v>
      </c>
      <c r="W836" s="2" t="s">
        <v>70</v>
      </c>
      <c r="X836" s="13">
        <v>0</v>
      </c>
      <c r="Y836" s="2" t="s">
        <v>71</v>
      </c>
      <c r="Z836" s="2" t="s">
        <v>72</v>
      </c>
      <c r="AA836" s="13">
        <v>10000</v>
      </c>
      <c r="AB836" s="2" t="s">
        <v>95</v>
      </c>
      <c r="AC836" s="2" t="s">
        <v>6772</v>
      </c>
      <c r="AD836" s="27"/>
      <c r="AL836" s="2" t="s">
        <v>5528</v>
      </c>
    </row>
    <row r="837" spans="1:38" hidden="1" x14ac:dyDescent="0.2">
      <c r="A837" s="2" t="s">
        <v>2643</v>
      </c>
      <c r="B837" s="2" t="s">
        <v>2737</v>
      </c>
      <c r="C837" s="2" t="s">
        <v>2391</v>
      </c>
      <c r="D837" s="2" t="s">
        <v>2392</v>
      </c>
      <c r="E837" s="13">
        <v>20000</v>
      </c>
      <c r="F837" s="13">
        <v>20000</v>
      </c>
      <c r="G837" s="14">
        <v>43312</v>
      </c>
      <c r="H837" s="15">
        <v>0.98621527777777995</v>
      </c>
      <c r="I837" s="14">
        <v>43314</v>
      </c>
      <c r="J837" s="15">
        <v>0</v>
      </c>
      <c r="K837" s="13">
        <v>0</v>
      </c>
      <c r="L837" s="2" t="s">
        <v>64</v>
      </c>
      <c r="M837" s="2" t="s">
        <v>2653</v>
      </c>
      <c r="N837" s="14">
        <v>43316</v>
      </c>
      <c r="O837" s="14">
        <v>43315</v>
      </c>
      <c r="P837" s="2" t="s">
        <v>404</v>
      </c>
      <c r="Q837" s="2" t="s">
        <v>98</v>
      </c>
      <c r="R837" s="2" t="s">
        <v>131</v>
      </c>
      <c r="S837" s="14"/>
      <c r="U837" s="2" t="s">
        <v>442</v>
      </c>
      <c r="V837" s="2" t="s">
        <v>407</v>
      </c>
      <c r="W837" s="2" t="s">
        <v>70</v>
      </c>
      <c r="X837" s="13">
        <v>0</v>
      </c>
      <c r="Y837" s="2" t="s">
        <v>71</v>
      </c>
      <c r="Z837" s="2" t="s">
        <v>72</v>
      </c>
      <c r="AA837" s="13">
        <v>20000</v>
      </c>
      <c r="AB837" s="2" t="s">
        <v>95</v>
      </c>
      <c r="AC837" s="2" t="s">
        <v>6772</v>
      </c>
      <c r="AD837" s="27"/>
      <c r="AL837" s="2" t="s">
        <v>5529</v>
      </c>
    </row>
    <row r="838" spans="1:38" hidden="1" x14ac:dyDescent="0.2">
      <c r="A838" s="2" t="s">
        <v>2643</v>
      </c>
      <c r="B838" s="2" t="s">
        <v>2738</v>
      </c>
      <c r="C838" s="2" t="s">
        <v>2463</v>
      </c>
      <c r="D838" s="2" t="s">
        <v>2464</v>
      </c>
      <c r="E838" s="13">
        <v>20000</v>
      </c>
      <c r="F838" s="13">
        <v>20000</v>
      </c>
      <c r="G838" s="14">
        <v>43313</v>
      </c>
      <c r="H838" s="15">
        <v>0.98621527777777995</v>
      </c>
      <c r="I838" s="14">
        <v>43315</v>
      </c>
      <c r="J838" s="15">
        <v>0</v>
      </c>
      <c r="K838" s="13">
        <v>0</v>
      </c>
      <c r="L838" s="2" t="s">
        <v>64</v>
      </c>
      <c r="M838" s="2" t="s">
        <v>2653</v>
      </c>
      <c r="N838" s="14">
        <v>43317</v>
      </c>
      <c r="O838" s="14">
        <v>43316</v>
      </c>
      <c r="P838" s="2" t="s">
        <v>1573</v>
      </c>
      <c r="Q838" s="2" t="s">
        <v>98</v>
      </c>
      <c r="R838" s="2" t="s">
        <v>131</v>
      </c>
      <c r="S838" s="14"/>
      <c r="U838" s="2" t="s">
        <v>516</v>
      </c>
      <c r="V838" s="2" t="s">
        <v>69</v>
      </c>
      <c r="W838" s="2" t="s">
        <v>70</v>
      </c>
      <c r="X838" s="13">
        <v>0</v>
      </c>
      <c r="Y838" s="2" t="s">
        <v>71</v>
      </c>
      <c r="Z838" s="2" t="s">
        <v>72</v>
      </c>
      <c r="AA838" s="13">
        <v>20000</v>
      </c>
      <c r="AB838" s="2" t="s">
        <v>95</v>
      </c>
      <c r="AC838" s="2" t="s">
        <v>6772</v>
      </c>
      <c r="AD838" s="27"/>
      <c r="AL838" s="2" t="s">
        <v>5530</v>
      </c>
    </row>
    <row r="839" spans="1:38" hidden="1" x14ac:dyDescent="0.2">
      <c r="A839" s="2" t="s">
        <v>2643</v>
      </c>
      <c r="B839" s="2" t="s">
        <v>4597</v>
      </c>
      <c r="C839" s="2" t="s">
        <v>4578</v>
      </c>
      <c r="D839" s="2" t="s">
        <v>4579</v>
      </c>
      <c r="E839" s="13">
        <v>5050</v>
      </c>
      <c r="F839" s="13">
        <v>5050</v>
      </c>
      <c r="G839" s="14">
        <v>43315</v>
      </c>
      <c r="H839" s="15">
        <v>0.4559375</v>
      </c>
      <c r="I839" s="14">
        <v>43315</v>
      </c>
      <c r="J839" s="15">
        <v>0.71192129629629997</v>
      </c>
      <c r="K839" s="13">
        <v>20</v>
      </c>
      <c r="L839" s="2" t="s">
        <v>64</v>
      </c>
      <c r="M839" s="2" t="s">
        <v>2716</v>
      </c>
      <c r="N839" s="14">
        <v>43318</v>
      </c>
      <c r="O839" s="14">
        <v>43317</v>
      </c>
      <c r="P839" s="2" t="s">
        <v>4580</v>
      </c>
      <c r="Q839" s="2" t="s">
        <v>4598</v>
      </c>
      <c r="R839" s="2" t="s">
        <v>67</v>
      </c>
      <c r="S839" s="14">
        <v>43318</v>
      </c>
      <c r="T839" s="2" t="s">
        <v>6664</v>
      </c>
      <c r="U839" s="2" t="s">
        <v>495</v>
      </c>
      <c r="V839" s="2" t="s">
        <v>4582</v>
      </c>
      <c r="W839" s="2" t="s">
        <v>70</v>
      </c>
      <c r="X839" s="13">
        <v>822</v>
      </c>
      <c r="Y839" s="2" t="s">
        <v>71</v>
      </c>
      <c r="Z839" s="2" t="s">
        <v>72</v>
      </c>
      <c r="AA839" s="13">
        <v>5000</v>
      </c>
      <c r="AB839" s="2" t="s">
        <v>73</v>
      </c>
      <c r="AC839" s="2" t="s">
        <v>6773</v>
      </c>
      <c r="AD839" s="27">
        <v>43286</v>
      </c>
      <c r="AL839" s="2" t="s">
        <v>5531</v>
      </c>
    </row>
    <row r="840" spans="1:38" hidden="1" x14ac:dyDescent="0.2">
      <c r="A840" s="2" t="s">
        <v>2643</v>
      </c>
      <c r="B840" s="2" t="s">
        <v>2740</v>
      </c>
      <c r="C840" s="2" t="s">
        <v>2463</v>
      </c>
      <c r="D840" s="2" t="s">
        <v>2464</v>
      </c>
      <c r="E840" s="13">
        <v>25000</v>
      </c>
      <c r="F840" s="13">
        <v>25000</v>
      </c>
      <c r="G840" s="14">
        <v>43315</v>
      </c>
      <c r="H840" s="15">
        <v>0.73275462962963001</v>
      </c>
      <c r="I840" s="14">
        <v>43316</v>
      </c>
      <c r="J840" s="15">
        <v>0.99998842592592996</v>
      </c>
      <c r="K840" s="13">
        <v>0</v>
      </c>
      <c r="L840" s="2" t="s">
        <v>64</v>
      </c>
      <c r="M840" s="2" t="s">
        <v>2741</v>
      </c>
      <c r="N840" s="14">
        <v>43318</v>
      </c>
      <c r="O840" s="14">
        <v>43318</v>
      </c>
      <c r="P840" s="2" t="s">
        <v>1573</v>
      </c>
      <c r="Q840" s="2" t="s">
        <v>98</v>
      </c>
      <c r="R840" s="2" t="s">
        <v>131</v>
      </c>
      <c r="S840" s="14"/>
      <c r="U840" s="2" t="s">
        <v>516</v>
      </c>
      <c r="V840" s="2" t="s">
        <v>69</v>
      </c>
      <c r="W840" s="2" t="s">
        <v>70</v>
      </c>
      <c r="X840" s="13">
        <v>0</v>
      </c>
      <c r="Y840" s="2" t="s">
        <v>71</v>
      </c>
      <c r="Z840" s="2" t="s">
        <v>72</v>
      </c>
      <c r="AA840" s="13">
        <v>25000</v>
      </c>
      <c r="AB840" s="2" t="s">
        <v>95</v>
      </c>
      <c r="AC840" s="2" t="s">
        <v>6772</v>
      </c>
      <c r="AD840" s="27"/>
      <c r="AL840" s="2" t="s">
        <v>5532</v>
      </c>
    </row>
    <row r="841" spans="1:38" hidden="1" x14ac:dyDescent="0.2">
      <c r="A841" s="2" t="s">
        <v>2643</v>
      </c>
      <c r="B841" s="2" t="s">
        <v>2742</v>
      </c>
      <c r="C841" s="2" t="s">
        <v>2391</v>
      </c>
      <c r="D841" s="2" t="s">
        <v>2392</v>
      </c>
      <c r="E841" s="13">
        <v>20000</v>
      </c>
      <c r="F841" s="13">
        <v>20000</v>
      </c>
      <c r="G841" s="14">
        <v>43315</v>
      </c>
      <c r="H841" s="15">
        <v>0.98620370370370003</v>
      </c>
      <c r="I841" s="14">
        <v>43316</v>
      </c>
      <c r="J841" s="15">
        <v>0.99998842592592996</v>
      </c>
      <c r="K841" s="13">
        <v>0</v>
      </c>
      <c r="L841" s="2" t="s">
        <v>64</v>
      </c>
      <c r="M841" s="2" t="s">
        <v>2653</v>
      </c>
      <c r="N841" s="14">
        <v>43318</v>
      </c>
      <c r="O841" s="14">
        <v>43318</v>
      </c>
      <c r="P841" s="2" t="s">
        <v>404</v>
      </c>
      <c r="Q841" s="2" t="s">
        <v>2743</v>
      </c>
      <c r="R841" s="2" t="s">
        <v>80</v>
      </c>
      <c r="S841" s="14">
        <v>43319</v>
      </c>
      <c r="U841" s="2" t="s">
        <v>442</v>
      </c>
      <c r="V841" s="2" t="s">
        <v>407</v>
      </c>
      <c r="W841" s="2" t="s">
        <v>70</v>
      </c>
      <c r="X841" s="13">
        <v>0</v>
      </c>
      <c r="Y841" s="2" t="s">
        <v>71</v>
      </c>
      <c r="Z841" s="2" t="s">
        <v>72</v>
      </c>
      <c r="AA841" s="13">
        <v>20000</v>
      </c>
      <c r="AB841" s="2" t="s">
        <v>95</v>
      </c>
      <c r="AC841" s="2" t="s">
        <v>6772</v>
      </c>
      <c r="AD841" s="27"/>
      <c r="AL841" s="2" t="s">
        <v>5533</v>
      </c>
    </row>
    <row r="842" spans="1:38" hidden="1" x14ac:dyDescent="0.2">
      <c r="A842" s="2" t="s">
        <v>2643</v>
      </c>
      <c r="B842" s="2" t="s">
        <v>2744</v>
      </c>
      <c r="C842" s="2" t="s">
        <v>2745</v>
      </c>
      <c r="D842" s="2" t="s">
        <v>2746</v>
      </c>
      <c r="E842" s="13">
        <v>20000</v>
      </c>
      <c r="F842" s="13">
        <v>20000</v>
      </c>
      <c r="G842" s="14">
        <v>43315</v>
      </c>
      <c r="H842" s="15">
        <v>0.98621527777777995</v>
      </c>
      <c r="I842" s="14">
        <v>43317</v>
      </c>
      <c r="J842" s="15">
        <v>0</v>
      </c>
      <c r="K842" s="13">
        <v>0</v>
      </c>
      <c r="L842" s="2" t="s">
        <v>64</v>
      </c>
      <c r="M842" s="2" t="s">
        <v>2653</v>
      </c>
      <c r="N842" s="14"/>
      <c r="O842" s="14">
        <v>43318</v>
      </c>
      <c r="P842" s="2" t="s">
        <v>1573</v>
      </c>
      <c r="Q842" s="2" t="s">
        <v>98</v>
      </c>
      <c r="R842" s="2" t="s">
        <v>131</v>
      </c>
      <c r="S842" s="14"/>
      <c r="T842" s="2" t="s">
        <v>6645</v>
      </c>
      <c r="U842" s="2" t="s">
        <v>429</v>
      </c>
      <c r="V842" s="2" t="s">
        <v>69</v>
      </c>
      <c r="W842" s="2" t="s">
        <v>70</v>
      </c>
      <c r="X842" s="13">
        <v>822</v>
      </c>
      <c r="Y842" s="2" t="s">
        <v>71</v>
      </c>
      <c r="Z842" s="2" t="s">
        <v>72</v>
      </c>
      <c r="AA842" s="13">
        <v>20000</v>
      </c>
      <c r="AB842" s="2" t="s">
        <v>73</v>
      </c>
      <c r="AC842" s="2" t="s">
        <v>6772</v>
      </c>
      <c r="AD842" s="27">
        <v>43250</v>
      </c>
      <c r="AL842" s="2" t="s">
        <v>5534</v>
      </c>
    </row>
    <row r="843" spans="1:38" hidden="1" x14ac:dyDescent="0.2">
      <c r="A843" s="2" t="s">
        <v>2643</v>
      </c>
      <c r="B843" s="2" t="s">
        <v>2747</v>
      </c>
      <c r="C843" s="2" t="s">
        <v>2682</v>
      </c>
      <c r="D843" s="2" t="s">
        <v>2683</v>
      </c>
      <c r="E843" s="13">
        <v>3000</v>
      </c>
      <c r="F843" s="13">
        <v>3000</v>
      </c>
      <c r="G843" s="14">
        <v>43318</v>
      </c>
      <c r="H843" s="15">
        <v>0.84792824074074002</v>
      </c>
      <c r="I843" s="14">
        <v>43319</v>
      </c>
      <c r="J843" s="15">
        <v>0</v>
      </c>
      <c r="K843" s="13">
        <v>0</v>
      </c>
      <c r="L843" s="2" t="s">
        <v>64</v>
      </c>
      <c r="M843" s="2" t="s">
        <v>2647</v>
      </c>
      <c r="N843" s="14">
        <v>43321</v>
      </c>
      <c r="O843" s="14">
        <v>43320</v>
      </c>
      <c r="P843" s="2" t="s">
        <v>504</v>
      </c>
      <c r="Q843" s="2" t="s">
        <v>2748</v>
      </c>
      <c r="R843" s="2" t="s">
        <v>80</v>
      </c>
      <c r="S843" s="14">
        <v>43321</v>
      </c>
      <c r="T843" s="2" t="s">
        <v>6665</v>
      </c>
      <c r="U843" s="2" t="s">
        <v>1209</v>
      </c>
      <c r="V843" s="2" t="s">
        <v>2684</v>
      </c>
      <c r="W843" s="2" t="s">
        <v>70</v>
      </c>
      <c r="X843" s="13">
        <v>822</v>
      </c>
      <c r="Y843" s="2" t="s">
        <v>71</v>
      </c>
      <c r="Z843" s="2" t="s">
        <v>72</v>
      </c>
      <c r="AA843" s="13">
        <v>3000</v>
      </c>
      <c r="AB843" s="2" t="s">
        <v>73</v>
      </c>
      <c r="AC843" s="2" t="s">
        <v>6773</v>
      </c>
      <c r="AD843" s="27">
        <v>43272</v>
      </c>
      <c r="AL843" s="2" t="s">
        <v>5535</v>
      </c>
    </row>
    <row r="844" spans="1:38" hidden="1" x14ac:dyDescent="0.2">
      <c r="A844" s="2" t="s">
        <v>2643</v>
      </c>
      <c r="B844" s="2" t="s">
        <v>2749</v>
      </c>
      <c r="C844" s="2" t="s">
        <v>2735</v>
      </c>
      <c r="D844" s="2" t="s">
        <v>2736</v>
      </c>
      <c r="E844" s="13">
        <v>10000</v>
      </c>
      <c r="F844" s="13">
        <v>10000</v>
      </c>
      <c r="G844" s="14">
        <v>43321</v>
      </c>
      <c r="H844" s="15">
        <v>0.49309027777777997</v>
      </c>
      <c r="I844" s="14">
        <v>43321</v>
      </c>
      <c r="J844" s="15">
        <v>0.99998842592592996</v>
      </c>
      <c r="K844" s="13">
        <v>0</v>
      </c>
      <c r="L844" s="2" t="s">
        <v>64</v>
      </c>
      <c r="M844" s="2" t="s">
        <v>2671</v>
      </c>
      <c r="N844" s="14">
        <v>43323</v>
      </c>
      <c r="O844" s="14">
        <v>43323</v>
      </c>
      <c r="P844" s="2" t="s">
        <v>1573</v>
      </c>
      <c r="Q844" s="2" t="s">
        <v>98</v>
      </c>
      <c r="R844" s="2" t="s">
        <v>131</v>
      </c>
      <c r="S844" s="14"/>
      <c r="U844" s="2" t="s">
        <v>495</v>
      </c>
      <c r="V844" s="2" t="s">
        <v>69</v>
      </c>
      <c r="W844" s="2" t="s">
        <v>70</v>
      </c>
      <c r="X844" s="13">
        <v>0</v>
      </c>
      <c r="Y844" s="2" t="s">
        <v>71</v>
      </c>
      <c r="Z844" s="2" t="s">
        <v>72</v>
      </c>
      <c r="AA844" s="13">
        <v>10000</v>
      </c>
      <c r="AB844" s="2" t="s">
        <v>95</v>
      </c>
      <c r="AC844" s="2" t="s">
        <v>6772</v>
      </c>
      <c r="AD844" s="27"/>
      <c r="AL844" s="2" t="s">
        <v>5536</v>
      </c>
    </row>
    <row r="845" spans="1:38" hidden="1" x14ac:dyDescent="0.2">
      <c r="A845" s="2" t="s">
        <v>2643</v>
      </c>
      <c r="B845" s="2" t="s">
        <v>4599</v>
      </c>
      <c r="C845" s="2" t="s">
        <v>4578</v>
      </c>
      <c r="D845" s="2" t="s">
        <v>4579</v>
      </c>
      <c r="E845" s="13">
        <v>5050</v>
      </c>
      <c r="F845" s="13">
        <v>5050</v>
      </c>
      <c r="G845" s="14">
        <v>43322</v>
      </c>
      <c r="H845" s="15">
        <v>0.70938657407407002</v>
      </c>
      <c r="I845" s="14">
        <v>43322</v>
      </c>
      <c r="J845" s="15">
        <v>0.96537037037036999</v>
      </c>
      <c r="K845" s="13">
        <v>20</v>
      </c>
      <c r="L845" s="2" t="s">
        <v>64</v>
      </c>
      <c r="M845" s="2" t="s">
        <v>2716</v>
      </c>
      <c r="N845" s="14">
        <v>43326</v>
      </c>
      <c r="O845" s="14">
        <v>43324</v>
      </c>
      <c r="P845" s="2" t="s">
        <v>4580</v>
      </c>
      <c r="Q845" s="2" t="s">
        <v>4600</v>
      </c>
      <c r="R845" s="2" t="s">
        <v>93</v>
      </c>
      <c r="S845" s="14">
        <v>43326</v>
      </c>
      <c r="U845" s="2" t="s">
        <v>495</v>
      </c>
      <c r="V845" s="2" t="s">
        <v>4582</v>
      </c>
      <c r="W845" s="2" t="s">
        <v>70</v>
      </c>
      <c r="X845" s="13">
        <v>822</v>
      </c>
      <c r="Y845" s="2" t="s">
        <v>71</v>
      </c>
      <c r="Z845" s="2" t="s">
        <v>72</v>
      </c>
      <c r="AA845" s="13">
        <v>5000</v>
      </c>
      <c r="AB845" s="2" t="s">
        <v>73</v>
      </c>
      <c r="AC845" s="2" t="s">
        <v>6773</v>
      </c>
      <c r="AD845" s="27"/>
      <c r="AL845" s="2" t="s">
        <v>7291</v>
      </c>
    </row>
    <row r="846" spans="1:38" hidden="1" x14ac:dyDescent="0.2">
      <c r="A846" s="2" t="s">
        <v>2643</v>
      </c>
      <c r="B846" s="2" t="s">
        <v>2750</v>
      </c>
      <c r="C846" s="2" t="s">
        <v>2463</v>
      </c>
      <c r="D846" s="2" t="s">
        <v>2464</v>
      </c>
      <c r="E846" s="13">
        <v>20000</v>
      </c>
      <c r="F846" s="13">
        <v>20000</v>
      </c>
      <c r="G846" s="14">
        <v>43322</v>
      </c>
      <c r="H846" s="15">
        <v>0.98620370370370003</v>
      </c>
      <c r="I846" s="14">
        <v>43323</v>
      </c>
      <c r="J846" s="15">
        <v>0.99998842592592996</v>
      </c>
      <c r="K846" s="13">
        <v>0</v>
      </c>
      <c r="L846" s="2" t="s">
        <v>64</v>
      </c>
      <c r="M846" s="2" t="s">
        <v>2653</v>
      </c>
      <c r="N846" s="14">
        <v>43325</v>
      </c>
      <c r="O846" s="14">
        <v>43325</v>
      </c>
      <c r="P846" s="2" t="s">
        <v>1573</v>
      </c>
      <c r="Q846" s="2" t="s">
        <v>98</v>
      </c>
      <c r="R846" s="2" t="s">
        <v>131</v>
      </c>
      <c r="S846" s="14"/>
      <c r="U846" s="2" t="s">
        <v>516</v>
      </c>
      <c r="V846" s="2" t="s">
        <v>69</v>
      </c>
      <c r="W846" s="2" t="s">
        <v>70</v>
      </c>
      <c r="X846" s="13">
        <v>0</v>
      </c>
      <c r="Y846" s="2" t="s">
        <v>71</v>
      </c>
      <c r="Z846" s="2" t="s">
        <v>72</v>
      </c>
      <c r="AA846" s="13">
        <v>20000</v>
      </c>
      <c r="AB846" s="2" t="s">
        <v>95</v>
      </c>
      <c r="AC846" s="2" t="s">
        <v>6772</v>
      </c>
      <c r="AD846" s="27"/>
      <c r="AL846" s="2" t="s">
        <v>5537</v>
      </c>
    </row>
    <row r="847" spans="1:38" hidden="1" x14ac:dyDescent="0.2">
      <c r="A847" s="2" t="s">
        <v>2643</v>
      </c>
      <c r="B847" s="2" t="s">
        <v>2751</v>
      </c>
      <c r="C847" s="2" t="s">
        <v>2735</v>
      </c>
      <c r="D847" s="2" t="s">
        <v>2736</v>
      </c>
      <c r="E847" s="13">
        <v>10000</v>
      </c>
      <c r="F847" s="13">
        <v>10000</v>
      </c>
      <c r="G847" s="14">
        <v>43328</v>
      </c>
      <c r="H847" s="15">
        <v>0.49309027777777997</v>
      </c>
      <c r="I847" s="14">
        <v>43328</v>
      </c>
      <c r="J847" s="15">
        <v>0.99998842592592996</v>
      </c>
      <c r="K847" s="13">
        <v>0</v>
      </c>
      <c r="L847" s="2" t="s">
        <v>64</v>
      </c>
      <c r="M847" s="2" t="s">
        <v>2671</v>
      </c>
      <c r="N847" s="14">
        <v>43330</v>
      </c>
      <c r="O847" s="14">
        <v>43330</v>
      </c>
      <c r="P847" s="2" t="s">
        <v>1573</v>
      </c>
      <c r="Q847" s="2" t="s">
        <v>98</v>
      </c>
      <c r="R847" s="2" t="s">
        <v>131</v>
      </c>
      <c r="S847" s="14"/>
      <c r="U847" s="2" t="s">
        <v>495</v>
      </c>
      <c r="V847" s="2" t="s">
        <v>69</v>
      </c>
      <c r="W847" s="2" t="s">
        <v>70</v>
      </c>
      <c r="X847" s="13">
        <v>0</v>
      </c>
      <c r="Y847" s="2" t="s">
        <v>71</v>
      </c>
      <c r="Z847" s="2" t="s">
        <v>72</v>
      </c>
      <c r="AA847" s="13">
        <v>10000</v>
      </c>
      <c r="AB847" s="2" t="s">
        <v>95</v>
      </c>
      <c r="AC847" s="2" t="s">
        <v>6772</v>
      </c>
      <c r="AD847" s="27"/>
      <c r="AL847" s="2" t="s">
        <v>5538</v>
      </c>
    </row>
    <row r="848" spans="1:38" hidden="1" x14ac:dyDescent="0.2">
      <c r="A848" s="2" t="s">
        <v>2643</v>
      </c>
      <c r="B848" s="2" t="s">
        <v>2752</v>
      </c>
      <c r="C848" s="2" t="s">
        <v>409</v>
      </c>
      <c r="D848" s="2" t="s">
        <v>410</v>
      </c>
      <c r="E848" s="13">
        <v>5000</v>
      </c>
      <c r="F848" s="13">
        <v>5000</v>
      </c>
      <c r="G848" s="14">
        <v>43329</v>
      </c>
      <c r="H848" s="15">
        <v>0.74655092592592998</v>
      </c>
      <c r="I848" s="14">
        <v>43330</v>
      </c>
      <c r="J848" s="15">
        <v>0</v>
      </c>
      <c r="K848" s="13">
        <v>0</v>
      </c>
      <c r="L848" s="2" t="s">
        <v>64</v>
      </c>
      <c r="M848" s="2" t="s">
        <v>2665</v>
      </c>
      <c r="N848" s="14">
        <v>43332</v>
      </c>
      <c r="O848" s="14">
        <v>43331</v>
      </c>
      <c r="P848" s="2" t="s">
        <v>404</v>
      </c>
      <c r="Q848" s="2" t="s">
        <v>2753</v>
      </c>
      <c r="R848" s="2" t="s">
        <v>80</v>
      </c>
      <c r="S848" s="14">
        <v>43332</v>
      </c>
      <c r="U848" s="2" t="s">
        <v>280</v>
      </c>
      <c r="V848" s="2" t="s">
        <v>413</v>
      </c>
      <c r="W848" s="2" t="s">
        <v>70</v>
      </c>
      <c r="X848" s="13">
        <v>822</v>
      </c>
      <c r="Y848" s="2" t="s">
        <v>71</v>
      </c>
      <c r="Z848" s="2" t="s">
        <v>72</v>
      </c>
      <c r="AA848" s="13">
        <v>5000</v>
      </c>
      <c r="AB848" s="2" t="s">
        <v>73</v>
      </c>
      <c r="AC848" s="2" t="s">
        <v>6773</v>
      </c>
      <c r="AD848" s="27"/>
      <c r="AI848" s="2" t="s">
        <v>6153</v>
      </c>
      <c r="AL848" s="2" t="s">
        <v>7292</v>
      </c>
    </row>
    <row r="849" spans="1:38" hidden="1" x14ac:dyDescent="0.2">
      <c r="A849" s="2" t="s">
        <v>2643</v>
      </c>
      <c r="B849" s="2" t="s">
        <v>2754</v>
      </c>
      <c r="C849" s="2" t="s">
        <v>2663</v>
      </c>
      <c r="D849" s="2" t="s">
        <v>2664</v>
      </c>
      <c r="E849" s="13">
        <v>5000</v>
      </c>
      <c r="F849" s="13">
        <v>5000</v>
      </c>
      <c r="G849" s="14">
        <v>43336</v>
      </c>
      <c r="H849" s="15">
        <v>0.74655092592592998</v>
      </c>
      <c r="I849" s="14">
        <v>43337</v>
      </c>
      <c r="J849" s="15">
        <v>0</v>
      </c>
      <c r="K849" s="13">
        <v>0</v>
      </c>
      <c r="L849" s="2" t="s">
        <v>64</v>
      </c>
      <c r="M849" s="2" t="s">
        <v>2665</v>
      </c>
      <c r="N849" s="14">
        <v>43339</v>
      </c>
      <c r="O849" s="14">
        <v>43338</v>
      </c>
      <c r="P849" s="2" t="s">
        <v>404</v>
      </c>
      <c r="Q849" s="2" t="s">
        <v>2755</v>
      </c>
      <c r="R849" s="2" t="s">
        <v>80</v>
      </c>
      <c r="S849" s="14">
        <v>43339</v>
      </c>
      <c r="U849" s="2" t="s">
        <v>1209</v>
      </c>
      <c r="V849" s="2" t="s">
        <v>2667</v>
      </c>
      <c r="W849" s="2" t="s">
        <v>70</v>
      </c>
      <c r="X849" s="13">
        <v>822</v>
      </c>
      <c r="Y849" s="2" t="s">
        <v>71</v>
      </c>
      <c r="Z849" s="2" t="s">
        <v>72</v>
      </c>
      <c r="AA849" s="13">
        <v>5000</v>
      </c>
      <c r="AB849" s="2" t="s">
        <v>73</v>
      </c>
      <c r="AC849" s="2" t="s">
        <v>6773</v>
      </c>
      <c r="AD849" s="27"/>
      <c r="AL849" s="2" t="s">
        <v>5539</v>
      </c>
    </row>
    <row r="850" spans="1:38" hidden="1" x14ac:dyDescent="0.2">
      <c r="A850" s="2" t="s">
        <v>2643</v>
      </c>
      <c r="B850" s="2" t="s">
        <v>2756</v>
      </c>
      <c r="C850" s="2" t="s">
        <v>2757</v>
      </c>
      <c r="D850" s="2" t="s">
        <v>2758</v>
      </c>
      <c r="E850" s="13">
        <v>5050</v>
      </c>
      <c r="F850" s="13">
        <v>5050</v>
      </c>
      <c r="G850" s="14">
        <v>43337</v>
      </c>
      <c r="H850" s="15">
        <v>0.74401620370370003</v>
      </c>
      <c r="I850" s="14">
        <v>43338</v>
      </c>
      <c r="J850" s="15">
        <v>0</v>
      </c>
      <c r="K850" s="13">
        <v>20</v>
      </c>
      <c r="L850" s="2" t="s">
        <v>64</v>
      </c>
      <c r="M850" s="2" t="s">
        <v>2716</v>
      </c>
      <c r="N850" s="14">
        <v>43340</v>
      </c>
      <c r="O850" s="14">
        <v>43339</v>
      </c>
      <c r="P850" s="2" t="s">
        <v>2759</v>
      </c>
      <c r="Q850" s="2" t="s">
        <v>2760</v>
      </c>
      <c r="R850" s="2" t="s">
        <v>80</v>
      </c>
      <c r="S850" s="14">
        <v>43340</v>
      </c>
      <c r="U850" s="2" t="s">
        <v>429</v>
      </c>
      <c r="V850" s="2" t="s">
        <v>2761</v>
      </c>
      <c r="W850" s="2" t="s">
        <v>70</v>
      </c>
      <c r="X850" s="13">
        <v>822</v>
      </c>
      <c r="Y850" s="2" t="s">
        <v>71</v>
      </c>
      <c r="Z850" s="2" t="s">
        <v>72</v>
      </c>
      <c r="AA850" s="13">
        <v>5000</v>
      </c>
      <c r="AB850" s="2" t="s">
        <v>73</v>
      </c>
      <c r="AC850" s="2" t="s">
        <v>6773</v>
      </c>
      <c r="AD850" s="27"/>
      <c r="AI850" s="2" t="s">
        <v>6153</v>
      </c>
      <c r="AL850" s="2" t="s">
        <v>7293</v>
      </c>
    </row>
    <row r="851" spans="1:38" hidden="1" x14ac:dyDescent="0.2">
      <c r="A851" s="2" t="s">
        <v>2643</v>
      </c>
      <c r="B851" s="2" t="s">
        <v>2762</v>
      </c>
      <c r="C851" s="2" t="s">
        <v>2763</v>
      </c>
      <c r="D851" s="2" t="s">
        <v>2764</v>
      </c>
      <c r="E851" s="13">
        <v>5000</v>
      </c>
      <c r="F851" s="13">
        <v>5000</v>
      </c>
      <c r="G851" s="14">
        <v>43349</v>
      </c>
      <c r="H851" s="15">
        <v>0.74655092592592998</v>
      </c>
      <c r="I851" s="14">
        <v>43350</v>
      </c>
      <c r="J851" s="15">
        <v>0</v>
      </c>
      <c r="K851" s="13">
        <v>0</v>
      </c>
      <c r="L851" s="2" t="s">
        <v>64</v>
      </c>
      <c r="M851" s="2" t="s">
        <v>2665</v>
      </c>
      <c r="N851" s="14">
        <v>43353</v>
      </c>
      <c r="O851" s="14">
        <v>43351</v>
      </c>
      <c r="P851" s="2" t="s">
        <v>91</v>
      </c>
      <c r="Q851" s="2" t="s">
        <v>2765</v>
      </c>
      <c r="R851" s="2" t="s">
        <v>80</v>
      </c>
      <c r="S851" s="14">
        <v>43353</v>
      </c>
      <c r="U851" s="2" t="s">
        <v>495</v>
      </c>
      <c r="V851" s="2" t="s">
        <v>2766</v>
      </c>
      <c r="W851" s="2" t="s">
        <v>70</v>
      </c>
      <c r="X851" s="13">
        <v>822</v>
      </c>
      <c r="Y851" s="2" t="s">
        <v>71</v>
      </c>
      <c r="Z851" s="2" t="s">
        <v>72</v>
      </c>
      <c r="AA851" s="13">
        <v>5000</v>
      </c>
      <c r="AB851" s="2" t="s">
        <v>73</v>
      </c>
      <c r="AC851" s="2" t="s">
        <v>6773</v>
      </c>
      <c r="AD851" s="27"/>
      <c r="AL851" s="2" t="s">
        <v>7294</v>
      </c>
    </row>
    <row r="852" spans="1:38" hidden="1" x14ac:dyDescent="0.2">
      <c r="A852" s="2" t="s">
        <v>2643</v>
      </c>
      <c r="B852" s="2" t="s">
        <v>2767</v>
      </c>
      <c r="C852" s="2" t="s">
        <v>2768</v>
      </c>
      <c r="D852" s="2" t="s">
        <v>2769</v>
      </c>
      <c r="E852" s="13">
        <v>8100</v>
      </c>
      <c r="F852" s="13">
        <v>8100</v>
      </c>
      <c r="G852" s="14">
        <v>43350</v>
      </c>
      <c r="H852" s="15">
        <v>0.58942129629630002</v>
      </c>
      <c r="I852" s="14">
        <v>43351</v>
      </c>
      <c r="J852" s="15">
        <v>0</v>
      </c>
      <c r="K852" s="13">
        <v>20</v>
      </c>
      <c r="L852" s="2" t="s">
        <v>64</v>
      </c>
      <c r="M852" s="2" t="s">
        <v>2770</v>
      </c>
      <c r="N852" s="14">
        <v>43353</v>
      </c>
      <c r="O852" s="14">
        <v>43352</v>
      </c>
      <c r="P852" s="2" t="s">
        <v>524</v>
      </c>
      <c r="Q852" s="2" t="s">
        <v>2771</v>
      </c>
      <c r="R852" s="2" t="s">
        <v>80</v>
      </c>
      <c r="S852" s="14">
        <v>43357</v>
      </c>
      <c r="U852" s="2" t="s">
        <v>453</v>
      </c>
      <c r="V852" s="2" t="s">
        <v>2772</v>
      </c>
      <c r="W852" s="2" t="s">
        <v>70</v>
      </c>
      <c r="X852" s="13">
        <v>822</v>
      </c>
      <c r="Y852" s="2" t="s">
        <v>71</v>
      </c>
      <c r="Z852" s="2" t="s">
        <v>72</v>
      </c>
      <c r="AA852" s="13">
        <v>8100</v>
      </c>
      <c r="AB852" s="2" t="s">
        <v>73</v>
      </c>
      <c r="AC852" s="2" t="s">
        <v>6773</v>
      </c>
      <c r="AD852" s="27"/>
      <c r="AI852" s="2" t="s">
        <v>6153</v>
      </c>
      <c r="AL852" s="2" t="s">
        <v>5540</v>
      </c>
    </row>
    <row r="853" spans="1:38" hidden="1" x14ac:dyDescent="0.2">
      <c r="A853" s="2" t="s">
        <v>2643</v>
      </c>
      <c r="B853" s="2" t="s">
        <v>4601</v>
      </c>
      <c r="C853" s="2" t="s">
        <v>3120</v>
      </c>
      <c r="D853" s="2" t="s">
        <v>3121</v>
      </c>
      <c r="E853" s="13">
        <v>4000</v>
      </c>
      <c r="F853" s="13">
        <v>4000</v>
      </c>
      <c r="G853" s="14">
        <v>43374</v>
      </c>
      <c r="H853" s="15">
        <v>0.79724537037037002</v>
      </c>
      <c r="I853" s="14">
        <v>43375</v>
      </c>
      <c r="J853" s="15">
        <v>0</v>
      </c>
      <c r="K853" s="13">
        <v>0</v>
      </c>
      <c r="L853" s="2" t="s">
        <v>64</v>
      </c>
      <c r="M853" s="2" t="s">
        <v>4602</v>
      </c>
      <c r="N853" s="14">
        <v>43377</v>
      </c>
      <c r="O853" s="14">
        <v>43376</v>
      </c>
      <c r="P853" s="2" t="s">
        <v>466</v>
      </c>
      <c r="Q853" s="2" t="s">
        <v>4603</v>
      </c>
      <c r="R853" s="2" t="s">
        <v>80</v>
      </c>
      <c r="S853" s="14">
        <v>43377</v>
      </c>
      <c r="U853" s="2" t="s">
        <v>495</v>
      </c>
      <c r="V853" s="2" t="s">
        <v>3123</v>
      </c>
      <c r="W853" s="2" t="s">
        <v>70</v>
      </c>
      <c r="X853" s="13">
        <v>822</v>
      </c>
      <c r="Y853" s="2" t="s">
        <v>71</v>
      </c>
      <c r="Z853" s="2" t="s">
        <v>72</v>
      </c>
      <c r="AA853" s="13">
        <v>4000</v>
      </c>
      <c r="AB853" s="2" t="s">
        <v>73</v>
      </c>
      <c r="AC853" s="2" t="s">
        <v>6773</v>
      </c>
      <c r="AD853" s="27"/>
      <c r="AL853" s="2" t="s">
        <v>5541</v>
      </c>
    </row>
    <row r="854" spans="1:38" hidden="1" x14ac:dyDescent="0.2">
      <c r="A854" s="2" t="s">
        <v>2773</v>
      </c>
      <c r="B854" s="2" t="s">
        <v>7022</v>
      </c>
      <c r="C854" s="2" t="s">
        <v>2793</v>
      </c>
      <c r="D854" s="2" t="s">
        <v>2794</v>
      </c>
      <c r="E854" s="13">
        <v>13800</v>
      </c>
      <c r="F854" s="13">
        <v>40800</v>
      </c>
      <c r="G854" s="14">
        <v>43287</v>
      </c>
      <c r="H854" s="15">
        <v>0</v>
      </c>
      <c r="I854" s="14">
        <v>43288</v>
      </c>
      <c r="J854" s="15">
        <v>0.87224537037036998</v>
      </c>
      <c r="K854" s="13">
        <v>0</v>
      </c>
      <c r="L854" s="2" t="s">
        <v>64</v>
      </c>
      <c r="M854" s="2" t="s">
        <v>2894</v>
      </c>
      <c r="N854" s="14">
        <v>43308</v>
      </c>
      <c r="O854" s="14">
        <v>43308</v>
      </c>
      <c r="P854" s="2" t="s">
        <v>91</v>
      </c>
      <c r="Q854" s="2" t="s">
        <v>7023</v>
      </c>
      <c r="R854" s="2" t="s">
        <v>93</v>
      </c>
      <c r="S854" s="14">
        <v>43308</v>
      </c>
      <c r="T854" s="2" t="s">
        <v>7129</v>
      </c>
      <c r="U854" s="2" t="s">
        <v>2797</v>
      </c>
      <c r="V854" s="2" t="s">
        <v>2798</v>
      </c>
      <c r="W854" s="2" t="s">
        <v>2799</v>
      </c>
      <c r="X854" s="13">
        <v>908</v>
      </c>
      <c r="Y854" s="2" t="s">
        <v>71</v>
      </c>
      <c r="Z854" s="2" t="s">
        <v>72</v>
      </c>
      <c r="AA854" s="13">
        <v>13000</v>
      </c>
      <c r="AB854" s="2" t="s">
        <v>107</v>
      </c>
      <c r="AC854" s="2" t="s">
        <v>6773</v>
      </c>
      <c r="AD854" s="27">
        <v>43279</v>
      </c>
      <c r="AL854" s="2" t="s">
        <v>7295</v>
      </c>
    </row>
    <row r="855" spans="1:38" hidden="1" x14ac:dyDescent="0.2">
      <c r="A855" s="2" t="s">
        <v>2773</v>
      </c>
      <c r="B855" s="2" t="s">
        <v>4126</v>
      </c>
      <c r="C855" s="2" t="s">
        <v>4127</v>
      </c>
      <c r="D855" s="2" t="s">
        <v>4128</v>
      </c>
      <c r="E855" s="13">
        <v>15183</v>
      </c>
      <c r="F855" s="13">
        <v>15183</v>
      </c>
      <c r="G855" s="14">
        <v>43288</v>
      </c>
      <c r="H855" s="15">
        <v>0.95892361111111002</v>
      </c>
      <c r="I855" s="14">
        <v>43289</v>
      </c>
      <c r="J855" s="15">
        <v>0.65564814814814998</v>
      </c>
      <c r="K855" s="13">
        <v>0</v>
      </c>
      <c r="L855" s="2" t="s">
        <v>64</v>
      </c>
      <c r="M855" s="2" t="s">
        <v>4129</v>
      </c>
      <c r="N855" s="14">
        <v>43339</v>
      </c>
      <c r="O855" s="14">
        <v>43291</v>
      </c>
      <c r="P855" s="2" t="s">
        <v>91</v>
      </c>
      <c r="Q855" s="2" t="s">
        <v>4130</v>
      </c>
      <c r="R855" s="2" t="s">
        <v>80</v>
      </c>
      <c r="S855" s="14">
        <v>43339</v>
      </c>
      <c r="T855" s="2" t="s">
        <v>6666</v>
      </c>
      <c r="U855" s="2" t="s">
        <v>4131</v>
      </c>
      <c r="V855" s="2" t="s">
        <v>4132</v>
      </c>
      <c r="W855" s="2" t="s">
        <v>70</v>
      </c>
      <c r="X855" s="13">
        <v>908</v>
      </c>
      <c r="Y855" s="2" t="s">
        <v>71</v>
      </c>
      <c r="Z855" s="2" t="s">
        <v>72</v>
      </c>
      <c r="AA855" s="13">
        <v>15000</v>
      </c>
      <c r="AB855" s="2" t="s">
        <v>107</v>
      </c>
      <c r="AC855" s="2" t="s">
        <v>6773</v>
      </c>
      <c r="AD855" s="27">
        <v>43283</v>
      </c>
      <c r="AL855" s="2" t="s">
        <v>5542</v>
      </c>
    </row>
    <row r="856" spans="1:38" x14ac:dyDescent="0.2">
      <c r="A856" s="2" t="s">
        <v>2773</v>
      </c>
      <c r="B856" s="2" t="s">
        <v>2784</v>
      </c>
      <c r="C856" s="2" t="s">
        <v>1275</v>
      </c>
      <c r="D856" s="2" t="s">
        <v>1276</v>
      </c>
      <c r="E856" s="13">
        <v>3000</v>
      </c>
      <c r="F856" s="13">
        <v>3000</v>
      </c>
      <c r="G856" s="14">
        <v>43289</v>
      </c>
      <c r="H856" s="15">
        <v>0.77649305555556003</v>
      </c>
      <c r="I856" s="14">
        <v>43289</v>
      </c>
      <c r="J856" s="15">
        <v>0.91415509259258998</v>
      </c>
      <c r="K856" s="13">
        <v>0</v>
      </c>
      <c r="L856" s="2" t="s">
        <v>64</v>
      </c>
      <c r="M856" s="2" t="s">
        <v>2785</v>
      </c>
      <c r="N856" s="14">
        <v>43298</v>
      </c>
      <c r="O856" s="14">
        <v>43291</v>
      </c>
      <c r="P856" s="2" t="s">
        <v>91</v>
      </c>
      <c r="Q856" s="2" t="s">
        <v>7024</v>
      </c>
      <c r="R856" s="2" t="s">
        <v>80</v>
      </c>
      <c r="S856" s="14">
        <v>43298</v>
      </c>
      <c r="T856" s="2" t="s">
        <v>6667</v>
      </c>
      <c r="U856" s="2" t="s">
        <v>484</v>
      </c>
      <c r="V856" s="2" t="s">
        <v>1279</v>
      </c>
      <c r="W856" s="2" t="s">
        <v>70</v>
      </c>
      <c r="X856" s="13">
        <v>908</v>
      </c>
      <c r="Y856" s="2" t="s">
        <v>71</v>
      </c>
      <c r="Z856" s="2" t="s">
        <v>72</v>
      </c>
      <c r="AA856" s="13">
        <v>3000</v>
      </c>
      <c r="AB856" s="2" t="s">
        <v>107</v>
      </c>
      <c r="AC856" s="2" t="s">
        <v>6773</v>
      </c>
      <c r="AD856" s="27">
        <v>43270</v>
      </c>
      <c r="AI856" s="2" t="s">
        <v>6153</v>
      </c>
      <c r="AL856" s="2" t="s">
        <v>5543</v>
      </c>
    </row>
    <row r="857" spans="1:38" x14ac:dyDescent="0.2">
      <c r="A857" s="2" t="s">
        <v>2773</v>
      </c>
      <c r="B857" s="2" t="s">
        <v>2774</v>
      </c>
      <c r="C857" s="2" t="s">
        <v>2775</v>
      </c>
      <c r="D857" s="2" t="s">
        <v>2776</v>
      </c>
      <c r="E857" s="13">
        <v>20300</v>
      </c>
      <c r="F857" s="13">
        <v>20300</v>
      </c>
      <c r="G857" s="14">
        <v>43289</v>
      </c>
      <c r="H857" s="15">
        <v>0.98498842592592994</v>
      </c>
      <c r="I857" s="14">
        <v>43290</v>
      </c>
      <c r="J857" s="15">
        <v>0.91651620370370002</v>
      </c>
      <c r="K857" s="13">
        <v>0</v>
      </c>
      <c r="L857" s="2" t="s">
        <v>64</v>
      </c>
      <c r="M857" s="2" t="s">
        <v>4604</v>
      </c>
      <c r="N857" s="14"/>
      <c r="O857" s="14">
        <v>43292</v>
      </c>
      <c r="P857" s="2" t="s">
        <v>2002</v>
      </c>
      <c r="Q857" s="2" t="s">
        <v>2779</v>
      </c>
      <c r="R857" s="2" t="s">
        <v>80</v>
      </c>
      <c r="S857" s="14">
        <v>43294</v>
      </c>
      <c r="T857" s="2" t="s">
        <v>6668</v>
      </c>
      <c r="U857" s="2" t="s">
        <v>1324</v>
      </c>
      <c r="V857" s="2" t="s">
        <v>69</v>
      </c>
      <c r="W857" s="2" t="s">
        <v>70</v>
      </c>
      <c r="X857" s="13">
        <v>908</v>
      </c>
      <c r="Y857" s="2" t="s">
        <v>71</v>
      </c>
      <c r="Z857" s="2" t="s">
        <v>72</v>
      </c>
      <c r="AA857" s="13">
        <v>20000</v>
      </c>
      <c r="AB857" s="2" t="s">
        <v>107</v>
      </c>
      <c r="AC857" s="2" t="s">
        <v>6772</v>
      </c>
      <c r="AD857" s="27">
        <v>43283</v>
      </c>
      <c r="AL857" s="2" t="s">
        <v>5544</v>
      </c>
    </row>
    <row r="858" spans="1:38" x14ac:dyDescent="0.2">
      <c r="A858" s="2" t="s">
        <v>2773</v>
      </c>
      <c r="B858" s="2" t="s">
        <v>2778</v>
      </c>
      <c r="C858" s="2" t="s">
        <v>2775</v>
      </c>
      <c r="D858" s="2" t="s">
        <v>2776</v>
      </c>
      <c r="E858" s="13">
        <v>20000</v>
      </c>
      <c r="F858" s="13">
        <v>20000</v>
      </c>
      <c r="G858" s="14">
        <v>43291</v>
      </c>
      <c r="H858" s="15">
        <v>0</v>
      </c>
      <c r="I858" s="14">
        <v>43291</v>
      </c>
      <c r="J858" s="15">
        <v>0.91776620370369999</v>
      </c>
      <c r="K858" s="13">
        <v>0</v>
      </c>
      <c r="L858" s="2" t="s">
        <v>64</v>
      </c>
      <c r="M858" s="2" t="s">
        <v>2777</v>
      </c>
      <c r="N858" s="14"/>
      <c r="O858" s="14">
        <v>43293</v>
      </c>
      <c r="P858" s="2" t="s">
        <v>2002</v>
      </c>
      <c r="Q858" s="2" t="s">
        <v>2781</v>
      </c>
      <c r="R858" s="2" t="s">
        <v>80</v>
      </c>
      <c r="S858" s="14">
        <v>43297</v>
      </c>
      <c r="T858" s="2" t="s">
        <v>6669</v>
      </c>
      <c r="U858" s="2" t="s">
        <v>1324</v>
      </c>
      <c r="V858" s="2" t="s">
        <v>69</v>
      </c>
      <c r="W858" s="2" t="s">
        <v>70</v>
      </c>
      <c r="X858" s="13">
        <v>908</v>
      </c>
      <c r="Y858" s="2" t="s">
        <v>71</v>
      </c>
      <c r="Z858" s="2" t="s">
        <v>72</v>
      </c>
      <c r="AA858" s="13">
        <v>20000</v>
      </c>
      <c r="AB858" s="2" t="s">
        <v>73</v>
      </c>
      <c r="AC858" s="2" t="s">
        <v>6772</v>
      </c>
      <c r="AD858" s="27">
        <v>43283</v>
      </c>
      <c r="AL858" s="2" t="s">
        <v>7296</v>
      </c>
    </row>
    <row r="859" spans="1:38" x14ac:dyDescent="0.2">
      <c r="A859" s="2" t="s">
        <v>2773</v>
      </c>
      <c r="B859" s="2" t="s">
        <v>2780</v>
      </c>
      <c r="C859" s="2" t="s">
        <v>2775</v>
      </c>
      <c r="D859" s="2" t="s">
        <v>2776</v>
      </c>
      <c r="E859" s="13">
        <v>20000</v>
      </c>
      <c r="F859" s="13">
        <v>20000</v>
      </c>
      <c r="G859" s="14">
        <v>43292</v>
      </c>
      <c r="H859" s="15">
        <v>0</v>
      </c>
      <c r="I859" s="14">
        <v>43292</v>
      </c>
      <c r="J859" s="15">
        <v>0.91776620370369999</v>
      </c>
      <c r="K859" s="13">
        <v>0</v>
      </c>
      <c r="L859" s="2" t="s">
        <v>64</v>
      </c>
      <c r="M859" s="2" t="s">
        <v>2777</v>
      </c>
      <c r="N859" s="14"/>
      <c r="O859" s="14">
        <v>43294</v>
      </c>
      <c r="P859" s="2" t="s">
        <v>2002</v>
      </c>
      <c r="Q859" s="2" t="s">
        <v>2783</v>
      </c>
      <c r="R859" s="2" t="s">
        <v>80</v>
      </c>
      <c r="S859" s="14">
        <v>43297</v>
      </c>
      <c r="T859" s="2" t="s">
        <v>6670</v>
      </c>
      <c r="U859" s="2" t="s">
        <v>1324</v>
      </c>
      <c r="V859" s="2" t="s">
        <v>69</v>
      </c>
      <c r="W859" s="2" t="s">
        <v>70</v>
      </c>
      <c r="X859" s="13">
        <v>908</v>
      </c>
      <c r="Y859" s="2" t="s">
        <v>71</v>
      </c>
      <c r="Z859" s="2" t="s">
        <v>72</v>
      </c>
      <c r="AA859" s="13">
        <v>20000</v>
      </c>
      <c r="AB859" s="2" t="s">
        <v>73</v>
      </c>
      <c r="AC859" s="2" t="s">
        <v>6772</v>
      </c>
      <c r="AD859" s="27">
        <v>43283</v>
      </c>
      <c r="AL859" s="2" t="s">
        <v>7297</v>
      </c>
    </row>
    <row r="860" spans="1:38" x14ac:dyDescent="0.2">
      <c r="A860" s="2" t="s">
        <v>2773</v>
      </c>
      <c r="B860" s="2" t="s">
        <v>2782</v>
      </c>
      <c r="C860" s="2" t="s">
        <v>2775</v>
      </c>
      <c r="D860" s="2" t="s">
        <v>2776</v>
      </c>
      <c r="E860" s="13">
        <v>20000</v>
      </c>
      <c r="F860" s="13">
        <v>20000</v>
      </c>
      <c r="G860" s="14">
        <v>43293</v>
      </c>
      <c r="H860" s="15">
        <v>4.1666666666670002E-2</v>
      </c>
      <c r="I860" s="14">
        <v>43293</v>
      </c>
      <c r="J860" s="15">
        <v>0.95943287037036995</v>
      </c>
      <c r="K860" s="13">
        <v>0</v>
      </c>
      <c r="L860" s="2" t="s">
        <v>64</v>
      </c>
      <c r="M860" s="2" t="s">
        <v>2777</v>
      </c>
      <c r="N860" s="14"/>
      <c r="O860" s="14">
        <v>43295</v>
      </c>
      <c r="P860" s="2" t="s">
        <v>2002</v>
      </c>
      <c r="Q860" s="2" t="s">
        <v>7025</v>
      </c>
      <c r="R860" s="2" t="s">
        <v>80</v>
      </c>
      <c r="S860" s="14">
        <v>43298</v>
      </c>
      <c r="T860" s="2" t="s">
        <v>6671</v>
      </c>
      <c r="U860" s="2" t="s">
        <v>1324</v>
      </c>
      <c r="V860" s="2" t="s">
        <v>69</v>
      </c>
      <c r="W860" s="2" t="s">
        <v>70</v>
      </c>
      <c r="X860" s="13">
        <v>908</v>
      </c>
      <c r="Y860" s="2" t="s">
        <v>71</v>
      </c>
      <c r="Z860" s="2" t="s">
        <v>72</v>
      </c>
      <c r="AA860" s="13">
        <v>20000</v>
      </c>
      <c r="AB860" s="2" t="s">
        <v>73</v>
      </c>
      <c r="AC860" s="2" t="s">
        <v>6772</v>
      </c>
      <c r="AD860" s="27">
        <v>43283</v>
      </c>
      <c r="AL860" s="2" t="s">
        <v>7298</v>
      </c>
    </row>
    <row r="861" spans="1:38" x14ac:dyDescent="0.2">
      <c r="A861" s="2" t="s">
        <v>2773</v>
      </c>
      <c r="B861" s="2" t="s">
        <v>4605</v>
      </c>
      <c r="C861" s="2" t="s">
        <v>2775</v>
      </c>
      <c r="D861" s="2" t="s">
        <v>2776</v>
      </c>
      <c r="E861" s="13">
        <v>20000</v>
      </c>
      <c r="F861" s="13">
        <v>20000</v>
      </c>
      <c r="G861" s="14">
        <v>43294</v>
      </c>
      <c r="H861" s="15">
        <v>4.1666666666670002E-2</v>
      </c>
      <c r="I861" s="14">
        <v>43294</v>
      </c>
      <c r="J861" s="15">
        <v>0.95943287037036995</v>
      </c>
      <c r="K861" s="13">
        <v>0</v>
      </c>
      <c r="L861" s="2" t="s">
        <v>64</v>
      </c>
      <c r="M861" s="2" t="s">
        <v>2777</v>
      </c>
      <c r="N861" s="14"/>
      <c r="O861" s="14">
        <v>43296</v>
      </c>
      <c r="P861" s="2" t="s">
        <v>2002</v>
      </c>
      <c r="Q861" s="2" t="s">
        <v>2787</v>
      </c>
      <c r="R861" s="2" t="s">
        <v>80</v>
      </c>
      <c r="S861" s="14">
        <v>43298</v>
      </c>
      <c r="T861" s="2" t="s">
        <v>6672</v>
      </c>
      <c r="U861" s="2" t="s">
        <v>1324</v>
      </c>
      <c r="V861" s="2" t="s">
        <v>69</v>
      </c>
      <c r="W861" s="2" t="s">
        <v>70</v>
      </c>
      <c r="X861" s="13">
        <v>908</v>
      </c>
      <c r="Y861" s="2" t="s">
        <v>71</v>
      </c>
      <c r="Z861" s="2" t="s">
        <v>72</v>
      </c>
      <c r="AA861" s="13">
        <v>20000</v>
      </c>
      <c r="AB861" s="2" t="s">
        <v>73</v>
      </c>
      <c r="AC861" s="2" t="s">
        <v>6772</v>
      </c>
      <c r="AD861" s="27">
        <v>43287</v>
      </c>
      <c r="AL861" s="2" t="s">
        <v>5545</v>
      </c>
    </row>
    <row r="862" spans="1:38" x14ac:dyDescent="0.2">
      <c r="A862" s="2" t="s">
        <v>2773</v>
      </c>
      <c r="B862" s="2" t="s">
        <v>2786</v>
      </c>
      <c r="C862" s="2" t="s">
        <v>2775</v>
      </c>
      <c r="D862" s="2" t="s">
        <v>2776</v>
      </c>
      <c r="E862" s="13">
        <v>20000</v>
      </c>
      <c r="F862" s="13">
        <v>20000</v>
      </c>
      <c r="G862" s="14">
        <v>43295</v>
      </c>
      <c r="H862" s="15">
        <v>4.1666666666670002E-2</v>
      </c>
      <c r="I862" s="14">
        <v>43295</v>
      </c>
      <c r="J862" s="15">
        <v>0.95943287037036995</v>
      </c>
      <c r="K862" s="13">
        <v>0</v>
      </c>
      <c r="L862" s="2" t="s">
        <v>64</v>
      </c>
      <c r="M862" s="2" t="s">
        <v>2777</v>
      </c>
      <c r="N862" s="14"/>
      <c r="O862" s="14">
        <v>43297</v>
      </c>
      <c r="P862" s="2" t="s">
        <v>2002</v>
      </c>
      <c r="Q862" s="2" t="s">
        <v>2789</v>
      </c>
      <c r="R862" s="2" t="s">
        <v>80</v>
      </c>
      <c r="S862" s="14">
        <v>43301</v>
      </c>
      <c r="U862" s="2" t="s">
        <v>1324</v>
      </c>
      <c r="V862" s="2" t="s">
        <v>69</v>
      </c>
      <c r="W862" s="2" t="s">
        <v>70</v>
      </c>
      <c r="X862" s="13">
        <v>0</v>
      </c>
      <c r="Y862" s="2" t="s">
        <v>71</v>
      </c>
      <c r="Z862" s="2" t="s">
        <v>72</v>
      </c>
      <c r="AA862" s="13">
        <v>20000</v>
      </c>
      <c r="AB862" s="2" t="s">
        <v>95</v>
      </c>
      <c r="AC862" s="2" t="s">
        <v>6772</v>
      </c>
      <c r="AD862" s="27"/>
      <c r="AL862" s="2" t="s">
        <v>5546</v>
      </c>
    </row>
    <row r="863" spans="1:38" hidden="1" x14ac:dyDescent="0.2">
      <c r="A863" s="2" t="s">
        <v>2773</v>
      </c>
      <c r="B863" s="2" t="s">
        <v>2788</v>
      </c>
      <c r="C863" s="2" t="s">
        <v>2775</v>
      </c>
      <c r="D863" s="2" t="s">
        <v>2776</v>
      </c>
      <c r="E863" s="13">
        <v>20000</v>
      </c>
      <c r="F863" s="13">
        <v>20000</v>
      </c>
      <c r="G863" s="14">
        <v>43296</v>
      </c>
      <c r="H863" s="15">
        <v>8.3333333333329998E-2</v>
      </c>
      <c r="I863" s="14">
        <v>43297</v>
      </c>
      <c r="J863" s="15">
        <v>1.09953703704E-3</v>
      </c>
      <c r="K863" s="13">
        <v>0</v>
      </c>
      <c r="L863" s="2" t="s">
        <v>64</v>
      </c>
      <c r="M863" s="2" t="s">
        <v>2777</v>
      </c>
      <c r="N863" s="14"/>
      <c r="O863" s="14">
        <v>43299</v>
      </c>
      <c r="P863" s="2" t="s">
        <v>2002</v>
      </c>
      <c r="Q863" s="2" t="s">
        <v>2791</v>
      </c>
      <c r="R863" s="2" t="s">
        <v>80</v>
      </c>
      <c r="S863" s="14">
        <v>43305</v>
      </c>
      <c r="U863" s="2" t="s">
        <v>1324</v>
      </c>
      <c r="V863" s="2" t="s">
        <v>69</v>
      </c>
      <c r="W863" s="2" t="s">
        <v>70</v>
      </c>
      <c r="X863" s="13">
        <v>0</v>
      </c>
      <c r="Y863" s="2" t="s">
        <v>71</v>
      </c>
      <c r="Z863" s="2" t="s">
        <v>72</v>
      </c>
      <c r="AA863" s="13">
        <v>20000</v>
      </c>
      <c r="AB863" s="2" t="s">
        <v>95</v>
      </c>
      <c r="AC863" s="2" t="s">
        <v>6772</v>
      </c>
      <c r="AD863" s="27"/>
      <c r="AL863" s="2" t="s">
        <v>5547</v>
      </c>
    </row>
    <row r="864" spans="1:38" hidden="1" x14ac:dyDescent="0.2">
      <c r="A864" s="2" t="s">
        <v>2773</v>
      </c>
      <c r="B864" s="2" t="s">
        <v>2790</v>
      </c>
      <c r="C864" s="2" t="s">
        <v>2775</v>
      </c>
      <c r="D864" s="2" t="s">
        <v>2776</v>
      </c>
      <c r="E864" s="13">
        <v>20000</v>
      </c>
      <c r="F864" s="13">
        <v>20000</v>
      </c>
      <c r="G864" s="14">
        <v>43298</v>
      </c>
      <c r="H864" s="15">
        <v>3.6284722222219998E-2</v>
      </c>
      <c r="I864" s="14">
        <v>43298</v>
      </c>
      <c r="J864" s="15">
        <v>0.95405092592592999</v>
      </c>
      <c r="K864" s="13">
        <v>0</v>
      </c>
      <c r="L864" s="2" t="s">
        <v>64</v>
      </c>
      <c r="M864" s="2" t="s">
        <v>2777</v>
      </c>
      <c r="N864" s="14"/>
      <c r="O864" s="14">
        <v>43300</v>
      </c>
      <c r="P864" s="2" t="s">
        <v>2002</v>
      </c>
      <c r="Q864" s="2" t="s">
        <v>2806</v>
      </c>
      <c r="R864" s="2" t="s">
        <v>80</v>
      </c>
      <c r="S864" s="14">
        <v>43305</v>
      </c>
      <c r="U864" s="2" t="s">
        <v>1324</v>
      </c>
      <c r="V864" s="2" t="s">
        <v>69</v>
      </c>
      <c r="W864" s="2" t="s">
        <v>70</v>
      </c>
      <c r="X864" s="13">
        <v>0</v>
      </c>
      <c r="Y864" s="2" t="s">
        <v>71</v>
      </c>
      <c r="Z864" s="2" t="s">
        <v>72</v>
      </c>
      <c r="AA864" s="13">
        <v>20000</v>
      </c>
      <c r="AB864" s="2" t="s">
        <v>95</v>
      </c>
      <c r="AC864" s="2" t="s">
        <v>6772</v>
      </c>
      <c r="AD864" s="27"/>
      <c r="AL864" s="2" t="s">
        <v>5548</v>
      </c>
    </row>
    <row r="865" spans="1:38" hidden="1" x14ac:dyDescent="0.2">
      <c r="A865" s="2" t="s">
        <v>2773</v>
      </c>
      <c r="B865" s="2" t="s">
        <v>2828</v>
      </c>
      <c r="C865" s="2" t="s">
        <v>2823</v>
      </c>
      <c r="D865" s="2" t="s">
        <v>2824</v>
      </c>
      <c r="E865" s="13">
        <v>5000</v>
      </c>
      <c r="F865" s="13">
        <v>5000</v>
      </c>
      <c r="G865" s="14">
        <v>43299</v>
      </c>
      <c r="H865" s="15">
        <v>4.1388888888890002E-2</v>
      </c>
      <c r="I865" s="14">
        <v>43299</v>
      </c>
      <c r="J865" s="15">
        <v>0.27083333333332998</v>
      </c>
      <c r="K865" s="13">
        <v>20</v>
      </c>
      <c r="L865" s="2" t="s">
        <v>64</v>
      </c>
      <c r="M865" s="2" t="s">
        <v>2803</v>
      </c>
      <c r="N865" s="14">
        <v>43305</v>
      </c>
      <c r="O865" s="14">
        <v>43302</v>
      </c>
      <c r="P865" s="2" t="s">
        <v>2825</v>
      </c>
      <c r="Q865" s="2" t="s">
        <v>2829</v>
      </c>
      <c r="R865" s="2" t="s">
        <v>80</v>
      </c>
      <c r="S865" s="14">
        <v>43311</v>
      </c>
      <c r="T865" s="2" t="s">
        <v>6673</v>
      </c>
      <c r="U865" s="2" t="s">
        <v>2827</v>
      </c>
      <c r="V865" s="2" t="s">
        <v>69</v>
      </c>
      <c r="W865" s="2" t="s">
        <v>70</v>
      </c>
      <c r="X865" s="13">
        <v>908</v>
      </c>
      <c r="Y865" s="2" t="s">
        <v>71</v>
      </c>
      <c r="Z865" s="2" t="s">
        <v>72</v>
      </c>
      <c r="AA865" s="13">
        <v>5000</v>
      </c>
      <c r="AB865" s="2" t="s">
        <v>73</v>
      </c>
      <c r="AC865" s="2" t="s">
        <v>6773</v>
      </c>
      <c r="AD865" s="27">
        <v>43215</v>
      </c>
      <c r="AL865" s="2" t="s">
        <v>5549</v>
      </c>
    </row>
    <row r="866" spans="1:38" hidden="1" x14ac:dyDescent="0.2">
      <c r="A866" s="2" t="s">
        <v>2773</v>
      </c>
      <c r="B866" s="2" t="s">
        <v>2802</v>
      </c>
      <c r="C866" s="2" t="s">
        <v>1275</v>
      </c>
      <c r="D866" s="2" t="s">
        <v>1276</v>
      </c>
      <c r="E866" s="13">
        <v>5000</v>
      </c>
      <c r="F866" s="13">
        <v>5000</v>
      </c>
      <c r="G866" s="14">
        <v>43299</v>
      </c>
      <c r="H866" s="15">
        <v>0.29166666666667002</v>
      </c>
      <c r="I866" s="14">
        <v>43299</v>
      </c>
      <c r="J866" s="15">
        <v>0.52111111111110997</v>
      </c>
      <c r="K866" s="13">
        <v>0</v>
      </c>
      <c r="L866" s="2" t="s">
        <v>64</v>
      </c>
      <c r="M866" s="2" t="s">
        <v>2803</v>
      </c>
      <c r="N866" s="14">
        <v>43304</v>
      </c>
      <c r="O866" s="14">
        <v>43301</v>
      </c>
      <c r="P866" s="2" t="s">
        <v>91</v>
      </c>
      <c r="Q866" s="2" t="s">
        <v>2804</v>
      </c>
      <c r="R866" s="2" t="s">
        <v>80</v>
      </c>
      <c r="S866" s="14">
        <v>43304</v>
      </c>
      <c r="T866" s="2" t="s">
        <v>6674</v>
      </c>
      <c r="U866" s="2" t="s">
        <v>484</v>
      </c>
      <c r="V866" s="2" t="s">
        <v>1279</v>
      </c>
      <c r="W866" s="2" t="s">
        <v>70</v>
      </c>
      <c r="X866" s="13">
        <v>908</v>
      </c>
      <c r="Y866" s="2" t="s">
        <v>71</v>
      </c>
      <c r="Z866" s="2" t="s">
        <v>72</v>
      </c>
      <c r="AA866" s="13">
        <v>5000</v>
      </c>
      <c r="AB866" s="2" t="s">
        <v>73</v>
      </c>
      <c r="AC866" s="2" t="s">
        <v>6773</v>
      </c>
      <c r="AD866" s="27">
        <v>43276</v>
      </c>
      <c r="AI866" s="2" t="s">
        <v>6153</v>
      </c>
      <c r="AL866" s="2" t="s">
        <v>5550</v>
      </c>
    </row>
    <row r="867" spans="1:38" hidden="1" x14ac:dyDescent="0.2">
      <c r="A867" s="2" t="s">
        <v>2773</v>
      </c>
      <c r="B867" s="2" t="s">
        <v>2800</v>
      </c>
      <c r="C867" s="2" t="s">
        <v>1275</v>
      </c>
      <c r="D867" s="2" t="s">
        <v>1276</v>
      </c>
      <c r="E867" s="13">
        <v>3000</v>
      </c>
      <c r="F867" s="13">
        <v>3000</v>
      </c>
      <c r="G867" s="14">
        <v>43299</v>
      </c>
      <c r="H867" s="15">
        <v>0.67346064814814999</v>
      </c>
      <c r="I867" s="14">
        <v>43299</v>
      </c>
      <c r="J867" s="15">
        <v>0.81112268518519004</v>
      </c>
      <c r="K867" s="13">
        <v>0</v>
      </c>
      <c r="L867" s="2" t="s">
        <v>64</v>
      </c>
      <c r="M867" s="2" t="s">
        <v>2785</v>
      </c>
      <c r="N867" s="14">
        <v>43305</v>
      </c>
      <c r="O867" s="14">
        <v>43301</v>
      </c>
      <c r="P867" s="2" t="s">
        <v>91</v>
      </c>
      <c r="Q867" s="2" t="s">
        <v>2801</v>
      </c>
      <c r="R867" s="2" t="s">
        <v>80</v>
      </c>
      <c r="S867" s="14">
        <v>43305</v>
      </c>
      <c r="T867" s="2" t="s">
        <v>6675</v>
      </c>
      <c r="U867" s="2" t="s">
        <v>484</v>
      </c>
      <c r="V867" s="2" t="s">
        <v>1279</v>
      </c>
      <c r="W867" s="2" t="s">
        <v>70</v>
      </c>
      <c r="X867" s="13">
        <v>908</v>
      </c>
      <c r="Y867" s="2" t="s">
        <v>71</v>
      </c>
      <c r="Z867" s="2" t="s">
        <v>72</v>
      </c>
      <c r="AA867" s="13">
        <v>3000</v>
      </c>
      <c r="AB867" s="2" t="s">
        <v>73</v>
      </c>
      <c r="AC867" s="2" t="s">
        <v>6773</v>
      </c>
      <c r="AD867" s="27">
        <v>43278</v>
      </c>
      <c r="AI867" s="2" t="s">
        <v>6153</v>
      </c>
      <c r="AL867" s="2" t="s">
        <v>5551</v>
      </c>
    </row>
    <row r="868" spans="1:38" hidden="1" x14ac:dyDescent="0.2">
      <c r="A868" s="2" t="s">
        <v>2773</v>
      </c>
      <c r="B868" s="2" t="s">
        <v>4606</v>
      </c>
      <c r="C868" s="2" t="s">
        <v>2502</v>
      </c>
      <c r="D868" s="2" t="s">
        <v>2503</v>
      </c>
      <c r="E868" s="13">
        <v>5050</v>
      </c>
      <c r="F868" s="13">
        <v>5050</v>
      </c>
      <c r="G868" s="14">
        <v>43299</v>
      </c>
      <c r="H868" s="15">
        <v>0.875</v>
      </c>
      <c r="I868" s="14">
        <v>43300</v>
      </c>
      <c r="J868" s="15">
        <v>0.10673611111111</v>
      </c>
      <c r="K868" s="13">
        <v>0</v>
      </c>
      <c r="L868" s="2" t="s">
        <v>64</v>
      </c>
      <c r="M868" s="2" t="s">
        <v>2864</v>
      </c>
      <c r="N868" s="14">
        <v>43313</v>
      </c>
      <c r="O868" s="14">
        <v>43302</v>
      </c>
      <c r="P868" s="2" t="s">
        <v>1961</v>
      </c>
      <c r="Q868" s="2" t="s">
        <v>2832</v>
      </c>
      <c r="R868" s="2" t="s">
        <v>80</v>
      </c>
      <c r="S868" s="14">
        <v>43313</v>
      </c>
      <c r="U868" s="2" t="s">
        <v>2504</v>
      </c>
      <c r="V868" s="2" t="s">
        <v>69</v>
      </c>
      <c r="W868" s="2" t="s">
        <v>70</v>
      </c>
      <c r="X868" s="13">
        <v>0</v>
      </c>
      <c r="Y868" s="2" t="s">
        <v>71</v>
      </c>
      <c r="Z868" s="2" t="s">
        <v>72</v>
      </c>
      <c r="AA868" s="13">
        <v>5000</v>
      </c>
      <c r="AB868" s="2" t="s">
        <v>95</v>
      </c>
      <c r="AC868" s="2" t="s">
        <v>6773</v>
      </c>
      <c r="AD868" s="27"/>
      <c r="AL868" s="2" t="s">
        <v>5552</v>
      </c>
    </row>
    <row r="869" spans="1:38" hidden="1" x14ac:dyDescent="0.2">
      <c r="A869" s="2" t="s">
        <v>2773</v>
      </c>
      <c r="B869" s="2" t="s">
        <v>2805</v>
      </c>
      <c r="C869" s="2" t="s">
        <v>2775</v>
      </c>
      <c r="D869" s="2" t="s">
        <v>2776</v>
      </c>
      <c r="E869" s="13">
        <v>20000</v>
      </c>
      <c r="F869" s="13">
        <v>20000</v>
      </c>
      <c r="G869" s="14">
        <v>43300</v>
      </c>
      <c r="H869" s="15">
        <v>8.2233796296299996E-2</v>
      </c>
      <c r="I869" s="14">
        <v>43301</v>
      </c>
      <c r="J869" s="15">
        <v>0</v>
      </c>
      <c r="K869" s="13">
        <v>0</v>
      </c>
      <c r="L869" s="2" t="s">
        <v>64</v>
      </c>
      <c r="M869" s="2" t="s">
        <v>2777</v>
      </c>
      <c r="N869" s="14"/>
      <c r="O869" s="14">
        <v>43302</v>
      </c>
      <c r="P869" s="2" t="s">
        <v>2002</v>
      </c>
      <c r="Q869" s="2" t="s">
        <v>2808</v>
      </c>
      <c r="R869" s="2" t="s">
        <v>80</v>
      </c>
      <c r="S869" s="14">
        <v>43308</v>
      </c>
      <c r="U869" s="2" t="s">
        <v>1324</v>
      </c>
      <c r="V869" s="2" t="s">
        <v>69</v>
      </c>
      <c r="W869" s="2" t="s">
        <v>70</v>
      </c>
      <c r="X869" s="13">
        <v>0</v>
      </c>
      <c r="Y869" s="2" t="s">
        <v>71</v>
      </c>
      <c r="Z869" s="2" t="s">
        <v>72</v>
      </c>
      <c r="AA869" s="13">
        <v>20000</v>
      </c>
      <c r="AB869" s="2" t="s">
        <v>95</v>
      </c>
      <c r="AC869" s="2" t="s">
        <v>6772</v>
      </c>
      <c r="AD869" s="27"/>
      <c r="AL869" s="2" t="s">
        <v>5553</v>
      </c>
    </row>
    <row r="870" spans="1:38" hidden="1" x14ac:dyDescent="0.2">
      <c r="A870" s="2" t="s">
        <v>2773</v>
      </c>
      <c r="B870" s="2" t="s">
        <v>2807</v>
      </c>
      <c r="C870" s="2" t="s">
        <v>2775</v>
      </c>
      <c r="D870" s="2" t="s">
        <v>2776</v>
      </c>
      <c r="E870" s="13">
        <v>20000</v>
      </c>
      <c r="F870" s="13">
        <v>20000</v>
      </c>
      <c r="G870" s="14">
        <v>43301</v>
      </c>
      <c r="H870" s="15">
        <v>8.2233796296299996E-2</v>
      </c>
      <c r="I870" s="14">
        <v>43302</v>
      </c>
      <c r="J870" s="15">
        <v>0</v>
      </c>
      <c r="K870" s="13">
        <v>0</v>
      </c>
      <c r="L870" s="2" t="s">
        <v>64</v>
      </c>
      <c r="M870" s="2" t="s">
        <v>2777</v>
      </c>
      <c r="N870" s="14"/>
      <c r="O870" s="14">
        <v>43303</v>
      </c>
      <c r="P870" s="2" t="s">
        <v>2002</v>
      </c>
      <c r="Q870" s="2" t="s">
        <v>2810</v>
      </c>
      <c r="R870" s="2" t="s">
        <v>80</v>
      </c>
      <c r="S870" s="14">
        <v>43312</v>
      </c>
      <c r="U870" s="2" t="s">
        <v>1324</v>
      </c>
      <c r="V870" s="2" t="s">
        <v>69</v>
      </c>
      <c r="W870" s="2" t="s">
        <v>70</v>
      </c>
      <c r="X870" s="13">
        <v>0</v>
      </c>
      <c r="Y870" s="2" t="s">
        <v>71</v>
      </c>
      <c r="Z870" s="2" t="s">
        <v>72</v>
      </c>
      <c r="AA870" s="13">
        <v>20000</v>
      </c>
      <c r="AB870" s="2" t="s">
        <v>95</v>
      </c>
      <c r="AC870" s="2" t="s">
        <v>6772</v>
      </c>
      <c r="AD870" s="27"/>
      <c r="AL870" s="2" t="s">
        <v>5554</v>
      </c>
    </row>
    <row r="871" spans="1:38" hidden="1" x14ac:dyDescent="0.2">
      <c r="A871" s="2" t="s">
        <v>2773</v>
      </c>
      <c r="B871" s="2" t="s">
        <v>2809</v>
      </c>
      <c r="C871" s="2" t="s">
        <v>2775</v>
      </c>
      <c r="D871" s="2" t="s">
        <v>2776</v>
      </c>
      <c r="E871" s="13">
        <v>20000</v>
      </c>
      <c r="F871" s="13">
        <v>20000</v>
      </c>
      <c r="G871" s="14">
        <v>43302</v>
      </c>
      <c r="H871" s="15">
        <v>8.2233796296299996E-2</v>
      </c>
      <c r="I871" s="14">
        <v>43303</v>
      </c>
      <c r="J871" s="15">
        <v>0</v>
      </c>
      <c r="K871" s="13">
        <v>0</v>
      </c>
      <c r="L871" s="2" t="s">
        <v>64</v>
      </c>
      <c r="M871" s="2" t="s">
        <v>2777</v>
      </c>
      <c r="N871" s="14"/>
      <c r="O871" s="14">
        <v>43304</v>
      </c>
      <c r="P871" s="2" t="s">
        <v>2002</v>
      </c>
      <c r="Q871" s="2" t="s">
        <v>2834</v>
      </c>
      <c r="R871" s="2" t="s">
        <v>80</v>
      </c>
      <c r="S871" s="14">
        <v>43312</v>
      </c>
      <c r="U871" s="2" t="s">
        <v>1324</v>
      </c>
      <c r="V871" s="2" t="s">
        <v>69</v>
      </c>
      <c r="W871" s="2" t="s">
        <v>70</v>
      </c>
      <c r="X871" s="13">
        <v>0</v>
      </c>
      <c r="Y871" s="2" t="s">
        <v>71</v>
      </c>
      <c r="Z871" s="2" t="s">
        <v>72</v>
      </c>
      <c r="AA871" s="13">
        <v>20000</v>
      </c>
      <c r="AB871" s="2" t="s">
        <v>95</v>
      </c>
      <c r="AC871" s="2" t="s">
        <v>6772</v>
      </c>
      <c r="AD871" s="27"/>
      <c r="AL871" s="2" t="s">
        <v>5555</v>
      </c>
    </row>
    <row r="872" spans="1:38" hidden="1" x14ac:dyDescent="0.2">
      <c r="A872" s="2" t="s">
        <v>2773</v>
      </c>
      <c r="B872" s="2" t="s">
        <v>2813</v>
      </c>
      <c r="C872" s="2" t="s">
        <v>1982</v>
      </c>
      <c r="D872" s="2" t="s">
        <v>1983</v>
      </c>
      <c r="E872" s="13">
        <v>5000</v>
      </c>
      <c r="F872" s="13">
        <v>5000</v>
      </c>
      <c r="G872" s="14">
        <v>43303</v>
      </c>
      <c r="H872" s="15">
        <v>0.16666666666666999</v>
      </c>
      <c r="I872" s="14">
        <v>43303</v>
      </c>
      <c r="J872" s="15">
        <v>0.39611111111111003</v>
      </c>
      <c r="K872" s="13">
        <v>20</v>
      </c>
      <c r="L872" s="2" t="s">
        <v>64</v>
      </c>
      <c r="M872" s="2" t="s">
        <v>2803</v>
      </c>
      <c r="N872" s="14">
        <v>43306</v>
      </c>
      <c r="O872" s="14">
        <v>43305</v>
      </c>
      <c r="P872" s="2" t="s">
        <v>1910</v>
      </c>
      <c r="Q872" s="2" t="s">
        <v>2814</v>
      </c>
      <c r="R872" s="2" t="s">
        <v>80</v>
      </c>
      <c r="S872" s="14">
        <v>43306</v>
      </c>
      <c r="T872" s="2" t="s">
        <v>6676</v>
      </c>
      <c r="U872" s="2" t="s">
        <v>1985</v>
      </c>
      <c r="V872" s="2" t="s">
        <v>1986</v>
      </c>
      <c r="W872" s="2" t="s">
        <v>70</v>
      </c>
      <c r="X872" s="13">
        <v>908</v>
      </c>
      <c r="Y872" s="2" t="s">
        <v>71</v>
      </c>
      <c r="Z872" s="2" t="s">
        <v>72</v>
      </c>
      <c r="AA872" s="13">
        <v>5000</v>
      </c>
      <c r="AB872" s="2" t="s">
        <v>73</v>
      </c>
      <c r="AC872" s="2" t="s">
        <v>6773</v>
      </c>
      <c r="AD872" s="27">
        <v>43259</v>
      </c>
      <c r="AI872" s="2" t="s">
        <v>6153</v>
      </c>
      <c r="AL872" s="2" t="s">
        <v>5556</v>
      </c>
    </row>
    <row r="873" spans="1:38" hidden="1" x14ac:dyDescent="0.2">
      <c r="A873" s="2" t="s">
        <v>2773</v>
      </c>
      <c r="B873" s="2" t="s">
        <v>7026</v>
      </c>
      <c r="C873" s="2" t="s">
        <v>2745</v>
      </c>
      <c r="D873" s="2" t="s">
        <v>2746</v>
      </c>
      <c r="E873" s="13">
        <v>20364</v>
      </c>
      <c r="F873" s="13">
        <v>20364</v>
      </c>
      <c r="G873" s="14">
        <v>43303</v>
      </c>
      <c r="H873" s="15">
        <v>0.48618055555556</v>
      </c>
      <c r="I873" s="14">
        <v>43304</v>
      </c>
      <c r="J873" s="15">
        <v>0.42064814814814999</v>
      </c>
      <c r="K873" s="13">
        <v>0</v>
      </c>
      <c r="L873" s="2" t="s">
        <v>64</v>
      </c>
      <c r="M873" s="2" t="s">
        <v>7027</v>
      </c>
      <c r="N873" s="14"/>
      <c r="O873" s="14">
        <v>43306</v>
      </c>
      <c r="P873" s="2" t="s">
        <v>1573</v>
      </c>
      <c r="Q873" s="2" t="s">
        <v>7028</v>
      </c>
      <c r="R873" s="2" t="s">
        <v>80</v>
      </c>
      <c r="S873" s="14">
        <v>43311</v>
      </c>
      <c r="T873" s="2" t="s">
        <v>7130</v>
      </c>
      <c r="U873" s="2" t="s">
        <v>429</v>
      </c>
      <c r="V873" s="2" t="s">
        <v>69</v>
      </c>
      <c r="W873" s="2" t="s">
        <v>70</v>
      </c>
      <c r="X873" s="13">
        <v>908</v>
      </c>
      <c r="Y873" s="2" t="s">
        <v>71</v>
      </c>
      <c r="Z873" s="2" t="s">
        <v>72</v>
      </c>
      <c r="AA873" s="13">
        <v>20364</v>
      </c>
      <c r="AB873" s="2" t="s">
        <v>107</v>
      </c>
      <c r="AC873" s="2" t="s">
        <v>6772</v>
      </c>
      <c r="AD873" s="27">
        <v>43248</v>
      </c>
      <c r="AL873" s="2" t="s">
        <v>7299</v>
      </c>
    </row>
    <row r="874" spans="1:38" hidden="1" x14ac:dyDescent="0.2">
      <c r="A874" s="2" t="s">
        <v>2773</v>
      </c>
      <c r="B874" s="2" t="s">
        <v>2815</v>
      </c>
      <c r="C874" s="2" t="s">
        <v>2816</v>
      </c>
      <c r="D874" s="2" t="s">
        <v>2817</v>
      </c>
      <c r="E874" s="13">
        <v>5000</v>
      </c>
      <c r="F874" s="13">
        <v>5000</v>
      </c>
      <c r="G874" s="14">
        <v>43304</v>
      </c>
      <c r="H874" s="15">
        <v>0.58333333333333004</v>
      </c>
      <c r="I874" s="14">
        <v>43304</v>
      </c>
      <c r="J874" s="15">
        <v>0.81277777777778004</v>
      </c>
      <c r="K874" s="13">
        <v>20</v>
      </c>
      <c r="L874" s="2" t="s">
        <v>64</v>
      </c>
      <c r="M874" s="2" t="s">
        <v>2803</v>
      </c>
      <c r="N874" s="14">
        <v>43312</v>
      </c>
      <c r="O874" s="14">
        <v>43306</v>
      </c>
      <c r="P874" s="2" t="s">
        <v>91</v>
      </c>
      <c r="Q874" s="2" t="s">
        <v>2818</v>
      </c>
      <c r="R874" s="2" t="s">
        <v>80</v>
      </c>
      <c r="S874" s="14">
        <v>43311</v>
      </c>
      <c r="T874" s="2" t="s">
        <v>6677</v>
      </c>
      <c r="U874" s="2" t="s">
        <v>1273</v>
      </c>
      <c r="V874" s="2" t="s">
        <v>2819</v>
      </c>
      <c r="W874" s="2" t="s">
        <v>98</v>
      </c>
      <c r="X874" s="13">
        <v>908</v>
      </c>
      <c r="Y874" s="2" t="s">
        <v>71</v>
      </c>
      <c r="Z874" s="2" t="s">
        <v>72</v>
      </c>
      <c r="AA874" s="13">
        <v>5000</v>
      </c>
      <c r="AB874" s="2" t="s">
        <v>73</v>
      </c>
      <c r="AC874" s="2" t="s">
        <v>6773</v>
      </c>
      <c r="AD874" s="27">
        <v>43182</v>
      </c>
      <c r="AL874" s="2" t="s">
        <v>5557</v>
      </c>
    </row>
    <row r="875" spans="1:38" hidden="1" x14ac:dyDescent="0.2">
      <c r="A875" s="2" t="s">
        <v>2773</v>
      </c>
      <c r="B875" s="2" t="s">
        <v>2820</v>
      </c>
      <c r="C875" s="2" t="s">
        <v>2321</v>
      </c>
      <c r="D875" s="2" t="s">
        <v>2322</v>
      </c>
      <c r="E875" s="13">
        <v>20000</v>
      </c>
      <c r="F875" s="13">
        <v>20000</v>
      </c>
      <c r="G875" s="14">
        <v>43304</v>
      </c>
      <c r="H875" s="15">
        <v>0.95833333333333004</v>
      </c>
      <c r="I875" s="14">
        <v>43305</v>
      </c>
      <c r="J875" s="15">
        <v>0.87609953703704002</v>
      </c>
      <c r="K875" s="13">
        <v>0</v>
      </c>
      <c r="L875" s="2" t="s">
        <v>64</v>
      </c>
      <c r="M875" s="2" t="s">
        <v>2777</v>
      </c>
      <c r="N875" s="14">
        <v>43306</v>
      </c>
      <c r="O875" s="14">
        <v>43307</v>
      </c>
      <c r="P875" s="2" t="s">
        <v>2323</v>
      </c>
      <c r="Q875" s="2" t="s">
        <v>2821</v>
      </c>
      <c r="R875" s="2" t="s">
        <v>80</v>
      </c>
      <c r="S875" s="14">
        <v>43314</v>
      </c>
      <c r="U875" s="2" t="s">
        <v>1273</v>
      </c>
      <c r="V875" s="2" t="s">
        <v>2325</v>
      </c>
      <c r="W875" s="2" t="s">
        <v>70</v>
      </c>
      <c r="X875" s="13">
        <v>0</v>
      </c>
      <c r="Y875" s="2" t="s">
        <v>71</v>
      </c>
      <c r="Z875" s="2" t="s">
        <v>72</v>
      </c>
      <c r="AA875" s="13">
        <v>20000</v>
      </c>
      <c r="AB875" s="2" t="s">
        <v>95</v>
      </c>
      <c r="AC875" s="2" t="s">
        <v>6772</v>
      </c>
      <c r="AD875" s="27"/>
      <c r="AI875" s="2" t="s">
        <v>6153</v>
      </c>
      <c r="AL875" s="2" t="s">
        <v>5558</v>
      </c>
    </row>
    <row r="876" spans="1:38" hidden="1" x14ac:dyDescent="0.2">
      <c r="A876" s="2" t="s">
        <v>2773</v>
      </c>
      <c r="B876" s="2" t="s">
        <v>2822</v>
      </c>
      <c r="C876" s="2" t="s">
        <v>2321</v>
      </c>
      <c r="D876" s="2" t="s">
        <v>2322</v>
      </c>
      <c r="E876" s="13">
        <v>20000</v>
      </c>
      <c r="F876" s="13">
        <v>20000</v>
      </c>
      <c r="G876" s="14">
        <v>43306</v>
      </c>
      <c r="H876" s="15">
        <v>8.2233796296299996E-2</v>
      </c>
      <c r="I876" s="14">
        <v>43307</v>
      </c>
      <c r="J876" s="15">
        <v>0</v>
      </c>
      <c r="K876" s="13">
        <v>0</v>
      </c>
      <c r="L876" s="2" t="s">
        <v>64</v>
      </c>
      <c r="M876" s="2" t="s">
        <v>2777</v>
      </c>
      <c r="N876" s="14">
        <v>43309</v>
      </c>
      <c r="O876" s="14">
        <v>43308</v>
      </c>
      <c r="P876" s="2" t="s">
        <v>2323</v>
      </c>
      <c r="Q876" s="2" t="s">
        <v>4133</v>
      </c>
      <c r="R876" s="2" t="s">
        <v>80</v>
      </c>
      <c r="S876" s="14">
        <v>43314</v>
      </c>
      <c r="U876" s="2" t="s">
        <v>1273</v>
      </c>
      <c r="V876" s="2" t="s">
        <v>2325</v>
      </c>
      <c r="W876" s="2" t="s">
        <v>70</v>
      </c>
      <c r="X876" s="13">
        <v>0</v>
      </c>
      <c r="Y876" s="2" t="s">
        <v>71</v>
      </c>
      <c r="Z876" s="2" t="s">
        <v>72</v>
      </c>
      <c r="AA876" s="13">
        <v>20000</v>
      </c>
      <c r="AB876" s="2" t="s">
        <v>95</v>
      </c>
      <c r="AC876" s="2" t="s">
        <v>6772</v>
      </c>
      <c r="AD876" s="27"/>
      <c r="AI876" s="2" t="s">
        <v>6153</v>
      </c>
      <c r="AL876" s="2" t="s">
        <v>5559</v>
      </c>
    </row>
    <row r="877" spans="1:38" hidden="1" x14ac:dyDescent="0.2">
      <c r="A877" s="2" t="s">
        <v>2773</v>
      </c>
      <c r="B877" s="2" t="s">
        <v>2830</v>
      </c>
      <c r="C877" s="2" t="s">
        <v>2823</v>
      </c>
      <c r="D877" s="2" t="s">
        <v>2824</v>
      </c>
      <c r="E877" s="13">
        <v>5000</v>
      </c>
      <c r="F877" s="13">
        <v>5000</v>
      </c>
      <c r="G877" s="14">
        <v>43307</v>
      </c>
      <c r="H877" s="15">
        <v>0.77055555555555999</v>
      </c>
      <c r="I877" s="14">
        <v>43308</v>
      </c>
      <c r="J877" s="15">
        <v>0</v>
      </c>
      <c r="K877" s="13">
        <v>20</v>
      </c>
      <c r="L877" s="2" t="s">
        <v>64</v>
      </c>
      <c r="M877" s="2" t="s">
        <v>2803</v>
      </c>
      <c r="N877" s="14">
        <v>43319</v>
      </c>
      <c r="O877" s="14">
        <v>43309</v>
      </c>
      <c r="P877" s="2" t="s">
        <v>2825</v>
      </c>
      <c r="Q877" s="2" t="s">
        <v>2831</v>
      </c>
      <c r="R877" s="2" t="s">
        <v>80</v>
      </c>
      <c r="S877" s="14">
        <v>43319</v>
      </c>
      <c r="T877" s="2" t="s">
        <v>6678</v>
      </c>
      <c r="U877" s="2" t="s">
        <v>2827</v>
      </c>
      <c r="V877" s="2" t="s">
        <v>69</v>
      </c>
      <c r="W877" s="2" t="s">
        <v>70</v>
      </c>
      <c r="X877" s="13">
        <v>908</v>
      </c>
      <c r="Y877" s="2" t="s">
        <v>71</v>
      </c>
      <c r="Z877" s="2" t="s">
        <v>72</v>
      </c>
      <c r="AA877" s="13">
        <v>5000</v>
      </c>
      <c r="AB877" s="2" t="s">
        <v>73</v>
      </c>
      <c r="AC877" s="2" t="s">
        <v>6773</v>
      </c>
      <c r="AD877" s="27">
        <v>43265</v>
      </c>
      <c r="AL877" s="2" t="s">
        <v>5560</v>
      </c>
    </row>
    <row r="878" spans="1:38" hidden="1" x14ac:dyDescent="0.2">
      <c r="A878" s="2" t="s">
        <v>2773</v>
      </c>
      <c r="B878" s="2" t="s">
        <v>4607</v>
      </c>
      <c r="C878" s="2" t="s">
        <v>4608</v>
      </c>
      <c r="D878" s="2" t="s">
        <v>4609</v>
      </c>
      <c r="E878" s="13">
        <v>10200</v>
      </c>
      <c r="F878" s="13">
        <v>10200</v>
      </c>
      <c r="G878" s="14">
        <v>43308</v>
      </c>
      <c r="H878" s="15">
        <v>0.34076388888888998</v>
      </c>
      <c r="I878" s="14">
        <v>43308</v>
      </c>
      <c r="J878" s="15">
        <v>0.80883101851852002</v>
      </c>
      <c r="K878" s="13">
        <v>0</v>
      </c>
      <c r="L878" s="2" t="s">
        <v>64</v>
      </c>
      <c r="M878" s="2" t="s">
        <v>4610</v>
      </c>
      <c r="N878" s="14">
        <v>43334</v>
      </c>
      <c r="O878" s="14">
        <v>43328</v>
      </c>
      <c r="P878" s="2" t="s">
        <v>91</v>
      </c>
      <c r="Q878" s="2" t="s">
        <v>4611</v>
      </c>
      <c r="R878" s="2" t="s">
        <v>80</v>
      </c>
      <c r="S878" s="14">
        <v>43334</v>
      </c>
      <c r="T878" s="2" t="s">
        <v>6679</v>
      </c>
      <c r="U878" s="2" t="s">
        <v>2797</v>
      </c>
      <c r="V878" s="2" t="s">
        <v>2798</v>
      </c>
      <c r="W878" s="2" t="s">
        <v>70</v>
      </c>
      <c r="X878" s="13">
        <v>908</v>
      </c>
      <c r="Y878" s="2" t="s">
        <v>71</v>
      </c>
      <c r="Z878" s="2" t="s">
        <v>72</v>
      </c>
      <c r="AA878" s="13">
        <v>10000</v>
      </c>
      <c r="AB878" s="2" t="s">
        <v>73</v>
      </c>
      <c r="AC878" s="2" t="s">
        <v>6773</v>
      </c>
      <c r="AD878" s="27">
        <v>43287</v>
      </c>
      <c r="AL878" s="2" t="s">
        <v>5561</v>
      </c>
    </row>
    <row r="879" spans="1:38" hidden="1" x14ac:dyDescent="0.2">
      <c r="A879" s="2" t="s">
        <v>2773</v>
      </c>
      <c r="B879" s="2" t="s">
        <v>4612</v>
      </c>
      <c r="C879" s="2" t="s">
        <v>4513</v>
      </c>
      <c r="D879" s="2" t="s">
        <v>4514</v>
      </c>
      <c r="E879" s="13">
        <v>5050</v>
      </c>
      <c r="F879" s="13">
        <v>5050</v>
      </c>
      <c r="G879" s="14">
        <v>43308</v>
      </c>
      <c r="H879" s="15">
        <v>0.82966435185184995</v>
      </c>
      <c r="I879" s="14">
        <v>43309</v>
      </c>
      <c r="J879" s="15">
        <v>6.1400462962959999E-2</v>
      </c>
      <c r="K879" s="13">
        <v>0</v>
      </c>
      <c r="L879" s="2" t="s">
        <v>64</v>
      </c>
      <c r="M879" s="2" t="s">
        <v>2864</v>
      </c>
      <c r="N879" s="14">
        <v>43314</v>
      </c>
      <c r="O879" s="14">
        <v>43311</v>
      </c>
      <c r="P879" s="2" t="s">
        <v>91</v>
      </c>
      <c r="Q879" s="2" t="s">
        <v>4613</v>
      </c>
      <c r="R879" s="2" t="s">
        <v>80</v>
      </c>
      <c r="S879" s="14">
        <v>43314</v>
      </c>
      <c r="T879" s="2" t="s">
        <v>6680</v>
      </c>
      <c r="U879" s="2" t="s">
        <v>516</v>
      </c>
      <c r="V879" s="2" t="s">
        <v>4516</v>
      </c>
      <c r="W879" s="2" t="s">
        <v>70</v>
      </c>
      <c r="X879" s="13">
        <v>908</v>
      </c>
      <c r="Y879" s="2" t="s">
        <v>71</v>
      </c>
      <c r="Z879" s="2" t="s">
        <v>72</v>
      </c>
      <c r="AA879" s="13">
        <v>5000</v>
      </c>
      <c r="AB879" s="2" t="s">
        <v>73</v>
      </c>
      <c r="AC879" s="2" t="s">
        <v>6773</v>
      </c>
      <c r="AD879" s="27">
        <v>43286</v>
      </c>
      <c r="AI879" s="2" t="s">
        <v>6153</v>
      </c>
      <c r="AL879" s="2" t="s">
        <v>5562</v>
      </c>
    </row>
    <row r="880" spans="1:38" hidden="1" x14ac:dyDescent="0.2">
      <c r="A880" s="2" t="s">
        <v>2773</v>
      </c>
      <c r="B880" s="2" t="s">
        <v>2833</v>
      </c>
      <c r="C880" s="2" t="s">
        <v>2775</v>
      </c>
      <c r="D880" s="2" t="s">
        <v>2776</v>
      </c>
      <c r="E880" s="13">
        <v>20000</v>
      </c>
      <c r="F880" s="13">
        <v>20000</v>
      </c>
      <c r="G880" s="14">
        <v>43309</v>
      </c>
      <c r="H880" s="15">
        <v>8.2233796296299996E-2</v>
      </c>
      <c r="I880" s="14">
        <v>43310</v>
      </c>
      <c r="J880" s="15">
        <v>0</v>
      </c>
      <c r="K880" s="13">
        <v>0</v>
      </c>
      <c r="L880" s="2" t="s">
        <v>64</v>
      </c>
      <c r="M880" s="2" t="s">
        <v>2777</v>
      </c>
      <c r="N880" s="14"/>
      <c r="O880" s="14">
        <v>43311</v>
      </c>
      <c r="P880" s="2" t="s">
        <v>2002</v>
      </c>
      <c r="Q880" s="2" t="s">
        <v>2837</v>
      </c>
      <c r="R880" s="2" t="s">
        <v>80</v>
      </c>
      <c r="S880" s="14">
        <v>43319</v>
      </c>
      <c r="U880" s="2" t="s">
        <v>1324</v>
      </c>
      <c r="V880" s="2" t="s">
        <v>69</v>
      </c>
      <c r="W880" s="2" t="s">
        <v>70</v>
      </c>
      <c r="X880" s="13">
        <v>0</v>
      </c>
      <c r="Y880" s="2" t="s">
        <v>71</v>
      </c>
      <c r="Z880" s="2" t="s">
        <v>72</v>
      </c>
      <c r="AA880" s="13">
        <v>20000</v>
      </c>
      <c r="AB880" s="2" t="s">
        <v>95</v>
      </c>
      <c r="AC880" s="2" t="s">
        <v>6772</v>
      </c>
      <c r="AD880" s="27"/>
      <c r="AL880" s="2" t="s">
        <v>5563</v>
      </c>
    </row>
    <row r="881" spans="1:38" hidden="1" x14ac:dyDescent="0.2">
      <c r="A881" s="2" t="s">
        <v>2773</v>
      </c>
      <c r="B881" s="2" t="s">
        <v>2835</v>
      </c>
      <c r="C881" s="2" t="s">
        <v>2775</v>
      </c>
      <c r="D881" s="2" t="s">
        <v>2776</v>
      </c>
      <c r="E881" s="13">
        <v>20000</v>
      </c>
      <c r="F881" s="13">
        <v>20000</v>
      </c>
      <c r="G881" s="14">
        <v>43310</v>
      </c>
      <c r="H881" s="15">
        <v>8.2233796296299996E-2</v>
      </c>
      <c r="I881" s="14">
        <v>43311</v>
      </c>
      <c r="J881" s="15">
        <v>0</v>
      </c>
      <c r="K881" s="13">
        <v>0</v>
      </c>
      <c r="L881" s="2" t="s">
        <v>64</v>
      </c>
      <c r="M881" s="2" t="s">
        <v>2777</v>
      </c>
      <c r="N881" s="14"/>
      <c r="O881" s="14">
        <v>43312</v>
      </c>
      <c r="P881" s="2" t="s">
        <v>2002</v>
      </c>
      <c r="Q881" s="2" t="s">
        <v>2839</v>
      </c>
      <c r="R881" s="2" t="s">
        <v>80</v>
      </c>
      <c r="S881" s="14">
        <v>43319</v>
      </c>
      <c r="U881" s="2" t="s">
        <v>1324</v>
      </c>
      <c r="V881" s="2" t="s">
        <v>69</v>
      </c>
      <c r="W881" s="2" t="s">
        <v>70</v>
      </c>
      <c r="X881" s="13">
        <v>0</v>
      </c>
      <c r="Y881" s="2" t="s">
        <v>71</v>
      </c>
      <c r="Z881" s="2" t="s">
        <v>72</v>
      </c>
      <c r="AA881" s="13">
        <v>20000</v>
      </c>
      <c r="AB881" s="2" t="s">
        <v>95</v>
      </c>
      <c r="AC881" s="2" t="s">
        <v>6772</v>
      </c>
      <c r="AD881" s="27"/>
      <c r="AL881" s="2" t="s">
        <v>5564</v>
      </c>
    </row>
    <row r="882" spans="1:38" hidden="1" x14ac:dyDescent="0.2">
      <c r="A882" s="2" t="s">
        <v>2773</v>
      </c>
      <c r="B882" s="2" t="s">
        <v>2836</v>
      </c>
      <c r="C882" s="2" t="s">
        <v>2775</v>
      </c>
      <c r="D882" s="2" t="s">
        <v>2776</v>
      </c>
      <c r="E882" s="13">
        <v>20000</v>
      </c>
      <c r="F882" s="13">
        <v>20000</v>
      </c>
      <c r="G882" s="14">
        <v>43311</v>
      </c>
      <c r="H882" s="15">
        <v>8.2233796296299996E-2</v>
      </c>
      <c r="I882" s="14">
        <v>43312</v>
      </c>
      <c r="J882" s="15">
        <v>0</v>
      </c>
      <c r="K882" s="13">
        <v>0</v>
      </c>
      <c r="L882" s="2" t="s">
        <v>64</v>
      </c>
      <c r="M882" s="2" t="s">
        <v>2777</v>
      </c>
      <c r="N882" s="14"/>
      <c r="O882" s="14">
        <v>43313</v>
      </c>
      <c r="P882" s="2" t="s">
        <v>2002</v>
      </c>
      <c r="Q882" s="2" t="s">
        <v>2841</v>
      </c>
      <c r="R882" s="2" t="s">
        <v>80</v>
      </c>
      <c r="S882" s="14">
        <v>43319</v>
      </c>
      <c r="U882" s="2" t="s">
        <v>1324</v>
      </c>
      <c r="V882" s="2" t="s">
        <v>69</v>
      </c>
      <c r="W882" s="2" t="s">
        <v>70</v>
      </c>
      <c r="X882" s="13">
        <v>0</v>
      </c>
      <c r="Y882" s="2" t="s">
        <v>71</v>
      </c>
      <c r="Z882" s="2" t="s">
        <v>72</v>
      </c>
      <c r="AA882" s="13">
        <v>20000</v>
      </c>
      <c r="AB882" s="2" t="s">
        <v>95</v>
      </c>
      <c r="AC882" s="2" t="s">
        <v>6772</v>
      </c>
      <c r="AD882" s="27"/>
      <c r="AL882" s="2" t="s">
        <v>5565</v>
      </c>
    </row>
    <row r="883" spans="1:38" hidden="1" x14ac:dyDescent="0.2">
      <c r="A883" s="2" t="s">
        <v>2773</v>
      </c>
      <c r="B883" s="2" t="s">
        <v>2838</v>
      </c>
      <c r="C883" s="2" t="s">
        <v>2775</v>
      </c>
      <c r="D883" s="2" t="s">
        <v>2776</v>
      </c>
      <c r="E883" s="13">
        <v>20000</v>
      </c>
      <c r="F883" s="13">
        <v>20000</v>
      </c>
      <c r="G883" s="14">
        <v>43312</v>
      </c>
      <c r="H883" s="15">
        <v>8.2233796296299996E-2</v>
      </c>
      <c r="I883" s="14">
        <v>43313</v>
      </c>
      <c r="J883" s="15">
        <v>0</v>
      </c>
      <c r="K883" s="13">
        <v>0</v>
      </c>
      <c r="L883" s="2" t="s">
        <v>64</v>
      </c>
      <c r="M883" s="2" t="s">
        <v>2777</v>
      </c>
      <c r="N883" s="14"/>
      <c r="O883" s="14">
        <v>43314</v>
      </c>
      <c r="P883" s="2" t="s">
        <v>2002</v>
      </c>
      <c r="Q883" s="2" t="s">
        <v>7029</v>
      </c>
      <c r="R883" s="2" t="s">
        <v>80</v>
      </c>
      <c r="S883" s="14">
        <v>43320</v>
      </c>
      <c r="U883" s="2" t="s">
        <v>1324</v>
      </c>
      <c r="V883" s="2" t="s">
        <v>69</v>
      </c>
      <c r="W883" s="2" t="s">
        <v>70</v>
      </c>
      <c r="X883" s="13">
        <v>0</v>
      </c>
      <c r="Y883" s="2" t="s">
        <v>71</v>
      </c>
      <c r="Z883" s="2" t="s">
        <v>72</v>
      </c>
      <c r="AA883" s="13">
        <v>20000</v>
      </c>
      <c r="AB883" s="2" t="s">
        <v>95</v>
      </c>
      <c r="AC883" s="2" t="s">
        <v>6772</v>
      </c>
      <c r="AD883" s="27"/>
      <c r="AL883" s="2" t="s">
        <v>5566</v>
      </c>
    </row>
    <row r="884" spans="1:38" hidden="1" x14ac:dyDescent="0.2">
      <c r="A884" s="2" t="s">
        <v>2773</v>
      </c>
      <c r="B884" s="2" t="s">
        <v>2840</v>
      </c>
      <c r="C884" s="2" t="s">
        <v>2775</v>
      </c>
      <c r="D884" s="2" t="s">
        <v>2776</v>
      </c>
      <c r="E884" s="13">
        <v>20000</v>
      </c>
      <c r="F884" s="13">
        <v>20000</v>
      </c>
      <c r="G884" s="14">
        <v>43313</v>
      </c>
      <c r="H884" s="15">
        <v>8.2233796296299996E-2</v>
      </c>
      <c r="I884" s="14">
        <v>43314</v>
      </c>
      <c r="J884" s="15">
        <v>0</v>
      </c>
      <c r="K884" s="13">
        <v>0</v>
      </c>
      <c r="L884" s="2" t="s">
        <v>64</v>
      </c>
      <c r="M884" s="2" t="s">
        <v>2777</v>
      </c>
      <c r="N884" s="14"/>
      <c r="O884" s="14">
        <v>43315</v>
      </c>
      <c r="P884" s="2" t="s">
        <v>2002</v>
      </c>
      <c r="Q884" s="2" t="s">
        <v>2844</v>
      </c>
      <c r="R884" s="2" t="s">
        <v>80</v>
      </c>
      <c r="S884" s="14">
        <v>43320</v>
      </c>
      <c r="U884" s="2" t="s">
        <v>1324</v>
      </c>
      <c r="V884" s="2" t="s">
        <v>69</v>
      </c>
      <c r="W884" s="2" t="s">
        <v>70</v>
      </c>
      <c r="X884" s="13">
        <v>0</v>
      </c>
      <c r="Y884" s="2" t="s">
        <v>71</v>
      </c>
      <c r="Z884" s="2" t="s">
        <v>72</v>
      </c>
      <c r="AA884" s="13">
        <v>20000</v>
      </c>
      <c r="AB884" s="2" t="s">
        <v>95</v>
      </c>
      <c r="AC884" s="2" t="s">
        <v>6772</v>
      </c>
      <c r="AD884" s="27"/>
      <c r="AL884" s="2" t="s">
        <v>5567</v>
      </c>
    </row>
    <row r="885" spans="1:38" hidden="1" x14ac:dyDescent="0.2">
      <c r="A885" s="2" t="s">
        <v>2773</v>
      </c>
      <c r="B885" s="2" t="s">
        <v>4614</v>
      </c>
      <c r="C885" s="2" t="s">
        <v>4615</v>
      </c>
      <c r="D885" s="2" t="s">
        <v>4616</v>
      </c>
      <c r="E885" s="13">
        <v>10100</v>
      </c>
      <c r="F885" s="13">
        <v>10100</v>
      </c>
      <c r="G885" s="14">
        <v>43314</v>
      </c>
      <c r="H885" s="15">
        <v>0.34535879629630001</v>
      </c>
      <c r="I885" s="14">
        <v>43314</v>
      </c>
      <c r="J885" s="15">
        <v>0.80883101851852002</v>
      </c>
      <c r="K885" s="13">
        <v>0</v>
      </c>
      <c r="L885" s="2" t="s">
        <v>64</v>
      </c>
      <c r="M885" s="2" t="s">
        <v>4617</v>
      </c>
      <c r="N885" s="14">
        <v>43335</v>
      </c>
      <c r="O885" s="14">
        <v>43334</v>
      </c>
      <c r="P885" s="2" t="s">
        <v>4618</v>
      </c>
      <c r="Q885" s="2" t="s">
        <v>4619</v>
      </c>
      <c r="R885" s="2" t="s">
        <v>80</v>
      </c>
      <c r="S885" s="14">
        <v>43335</v>
      </c>
      <c r="T885" s="2" t="s">
        <v>6681</v>
      </c>
      <c r="U885" s="2" t="s">
        <v>4620</v>
      </c>
      <c r="V885" s="2" t="s">
        <v>4621</v>
      </c>
      <c r="W885" s="2" t="s">
        <v>70</v>
      </c>
      <c r="X885" s="13">
        <v>0</v>
      </c>
      <c r="Y885" s="2" t="s">
        <v>71</v>
      </c>
      <c r="Z885" s="2" t="s">
        <v>72</v>
      </c>
      <c r="AA885" s="13">
        <v>10000</v>
      </c>
      <c r="AB885" s="2" t="s">
        <v>281</v>
      </c>
      <c r="AC885" s="2" t="s">
        <v>6773</v>
      </c>
      <c r="AD885" s="27">
        <v>43287</v>
      </c>
      <c r="AL885" s="2" t="s">
        <v>5568</v>
      </c>
    </row>
    <row r="886" spans="1:38" hidden="1" x14ac:dyDescent="0.2">
      <c r="A886" s="2" t="s">
        <v>2773</v>
      </c>
      <c r="B886" s="2" t="s">
        <v>4622</v>
      </c>
      <c r="C886" s="2" t="s">
        <v>1275</v>
      </c>
      <c r="D886" s="2" t="s">
        <v>1276</v>
      </c>
      <c r="E886" s="13">
        <v>5050</v>
      </c>
      <c r="F886" s="13">
        <v>5050</v>
      </c>
      <c r="G886" s="14">
        <v>43314</v>
      </c>
      <c r="H886" s="15">
        <v>0.82966435185184995</v>
      </c>
      <c r="I886" s="14">
        <v>43315</v>
      </c>
      <c r="J886" s="15">
        <v>6.1400462962959999E-2</v>
      </c>
      <c r="K886" s="13">
        <v>0</v>
      </c>
      <c r="L886" s="2" t="s">
        <v>64</v>
      </c>
      <c r="M886" s="2" t="s">
        <v>2864</v>
      </c>
      <c r="N886" s="14">
        <v>43319</v>
      </c>
      <c r="O886" s="14">
        <v>43317</v>
      </c>
      <c r="P886" s="2" t="s">
        <v>91</v>
      </c>
      <c r="Q886" s="2" t="s">
        <v>4623</v>
      </c>
      <c r="R886" s="2" t="s">
        <v>80</v>
      </c>
      <c r="S886" s="14">
        <v>43319</v>
      </c>
      <c r="T886" s="2" t="s">
        <v>6682</v>
      </c>
      <c r="U886" s="2" t="s">
        <v>484</v>
      </c>
      <c r="V886" s="2" t="s">
        <v>1279</v>
      </c>
      <c r="W886" s="2" t="s">
        <v>70</v>
      </c>
      <c r="X886" s="13">
        <v>908</v>
      </c>
      <c r="Y886" s="2" t="s">
        <v>71</v>
      </c>
      <c r="Z886" s="2" t="s">
        <v>72</v>
      </c>
      <c r="AA886" s="13">
        <v>5000</v>
      </c>
      <c r="AB886" s="2" t="s">
        <v>73</v>
      </c>
      <c r="AC886" s="2" t="s">
        <v>6773</v>
      </c>
      <c r="AD886" s="27">
        <v>43286</v>
      </c>
      <c r="AI886" s="2" t="s">
        <v>6153</v>
      </c>
      <c r="AL886" s="2" t="s">
        <v>5569</v>
      </c>
    </row>
    <row r="887" spans="1:38" hidden="1" x14ac:dyDescent="0.2">
      <c r="A887" s="2" t="s">
        <v>2773</v>
      </c>
      <c r="B887" s="2" t="s">
        <v>2842</v>
      </c>
      <c r="C887" s="2" t="s">
        <v>2745</v>
      </c>
      <c r="D887" s="2" t="s">
        <v>2746</v>
      </c>
      <c r="E887" s="13">
        <v>20000</v>
      </c>
      <c r="F887" s="13">
        <v>20000</v>
      </c>
      <c r="G887" s="14">
        <v>43315</v>
      </c>
      <c r="H887" s="15">
        <v>8.2233796296299996E-2</v>
      </c>
      <c r="I887" s="14">
        <v>43316</v>
      </c>
      <c r="J887" s="15">
        <v>0</v>
      </c>
      <c r="K887" s="13">
        <v>0</v>
      </c>
      <c r="L887" s="2" t="s">
        <v>64</v>
      </c>
      <c r="M887" s="2" t="s">
        <v>2777</v>
      </c>
      <c r="N887" s="14"/>
      <c r="O887" s="14">
        <v>43317</v>
      </c>
      <c r="P887" s="2" t="s">
        <v>1573</v>
      </c>
      <c r="Q887" s="2" t="s">
        <v>98</v>
      </c>
      <c r="R887" s="2" t="s">
        <v>131</v>
      </c>
      <c r="S887" s="14"/>
      <c r="T887" s="2" t="s">
        <v>6683</v>
      </c>
      <c r="U887" s="2" t="s">
        <v>429</v>
      </c>
      <c r="V887" s="2" t="s">
        <v>69</v>
      </c>
      <c r="W887" s="2" t="s">
        <v>70</v>
      </c>
      <c r="X887" s="13">
        <v>0</v>
      </c>
      <c r="Y887" s="2" t="s">
        <v>71</v>
      </c>
      <c r="Z887" s="2" t="s">
        <v>72</v>
      </c>
      <c r="AA887" s="13">
        <v>20000</v>
      </c>
      <c r="AB887" s="2" t="s">
        <v>73</v>
      </c>
      <c r="AC887" s="2" t="s">
        <v>6772</v>
      </c>
      <c r="AD887" s="27">
        <v>43250</v>
      </c>
      <c r="AL887" s="2" t="s">
        <v>5570</v>
      </c>
    </row>
    <row r="888" spans="1:38" hidden="1" x14ac:dyDescent="0.2">
      <c r="A888" s="2" t="s">
        <v>2773</v>
      </c>
      <c r="B888" s="2" t="s">
        <v>2843</v>
      </c>
      <c r="C888" s="2" t="s">
        <v>2775</v>
      </c>
      <c r="D888" s="2" t="s">
        <v>2776</v>
      </c>
      <c r="E888" s="13">
        <v>20000</v>
      </c>
      <c r="F888" s="13">
        <v>20000</v>
      </c>
      <c r="G888" s="14">
        <v>43315</v>
      </c>
      <c r="H888" s="15">
        <v>8.2233796296299996E-2</v>
      </c>
      <c r="I888" s="14">
        <v>43316</v>
      </c>
      <c r="J888" s="15">
        <v>0</v>
      </c>
      <c r="K888" s="13">
        <v>0</v>
      </c>
      <c r="L888" s="2" t="s">
        <v>64</v>
      </c>
      <c r="M888" s="2" t="s">
        <v>2777</v>
      </c>
      <c r="N888" s="14"/>
      <c r="O888" s="14">
        <v>43317</v>
      </c>
      <c r="P888" s="2" t="s">
        <v>2002</v>
      </c>
      <c r="Q888" s="2" t="s">
        <v>2847</v>
      </c>
      <c r="R888" s="2" t="s">
        <v>80</v>
      </c>
      <c r="S888" s="14">
        <v>43322</v>
      </c>
      <c r="U888" s="2" t="s">
        <v>1324</v>
      </c>
      <c r="V888" s="2" t="s">
        <v>69</v>
      </c>
      <c r="W888" s="2" t="s">
        <v>70</v>
      </c>
      <c r="X888" s="13">
        <v>0</v>
      </c>
      <c r="Y888" s="2" t="s">
        <v>71</v>
      </c>
      <c r="Z888" s="2" t="s">
        <v>72</v>
      </c>
      <c r="AA888" s="13">
        <v>20000</v>
      </c>
      <c r="AB888" s="2" t="s">
        <v>95</v>
      </c>
      <c r="AC888" s="2" t="s">
        <v>6772</v>
      </c>
      <c r="AD888" s="27"/>
      <c r="AL888" s="2" t="s">
        <v>5571</v>
      </c>
    </row>
    <row r="889" spans="1:38" hidden="1" x14ac:dyDescent="0.2">
      <c r="A889" s="2" t="s">
        <v>2773</v>
      </c>
      <c r="B889" s="2" t="s">
        <v>2845</v>
      </c>
      <c r="C889" s="2" t="s">
        <v>2775</v>
      </c>
      <c r="D889" s="2" t="s">
        <v>2776</v>
      </c>
      <c r="E889" s="13">
        <v>20000</v>
      </c>
      <c r="F889" s="13">
        <v>20000</v>
      </c>
      <c r="G889" s="14">
        <v>43316</v>
      </c>
      <c r="H889" s="15">
        <v>8.2233796296299996E-2</v>
      </c>
      <c r="I889" s="14">
        <v>43317</v>
      </c>
      <c r="J889" s="15">
        <v>0</v>
      </c>
      <c r="K889" s="13">
        <v>0</v>
      </c>
      <c r="L889" s="2" t="s">
        <v>64</v>
      </c>
      <c r="M889" s="2" t="s">
        <v>2777</v>
      </c>
      <c r="N889" s="14"/>
      <c r="O889" s="14">
        <v>43318</v>
      </c>
      <c r="P889" s="2" t="s">
        <v>2002</v>
      </c>
      <c r="Q889" s="2" t="s">
        <v>2850</v>
      </c>
      <c r="R889" s="2" t="s">
        <v>80</v>
      </c>
      <c r="S889" s="14">
        <v>43326</v>
      </c>
      <c r="U889" s="2" t="s">
        <v>1324</v>
      </c>
      <c r="V889" s="2" t="s">
        <v>69</v>
      </c>
      <c r="W889" s="2" t="s">
        <v>70</v>
      </c>
      <c r="X889" s="13">
        <v>0</v>
      </c>
      <c r="Y889" s="2" t="s">
        <v>71</v>
      </c>
      <c r="Z889" s="2" t="s">
        <v>72</v>
      </c>
      <c r="AA889" s="13">
        <v>20000</v>
      </c>
      <c r="AB889" s="2" t="s">
        <v>95</v>
      </c>
      <c r="AC889" s="2" t="s">
        <v>6772</v>
      </c>
      <c r="AD889" s="27"/>
      <c r="AL889" s="2" t="s">
        <v>5572</v>
      </c>
    </row>
    <row r="890" spans="1:38" hidden="1" x14ac:dyDescent="0.2">
      <c r="A890" s="2" t="s">
        <v>2773</v>
      </c>
      <c r="B890" s="2" t="s">
        <v>2846</v>
      </c>
      <c r="C890" s="2" t="s">
        <v>2775</v>
      </c>
      <c r="D890" s="2" t="s">
        <v>2776</v>
      </c>
      <c r="E890" s="13">
        <v>20000</v>
      </c>
      <c r="F890" s="13">
        <v>20000</v>
      </c>
      <c r="G890" s="14">
        <v>43317</v>
      </c>
      <c r="H890" s="15">
        <v>8.2233796296299996E-2</v>
      </c>
      <c r="I890" s="14">
        <v>43318</v>
      </c>
      <c r="J890" s="15">
        <v>0</v>
      </c>
      <c r="K890" s="13">
        <v>0</v>
      </c>
      <c r="L890" s="2" t="s">
        <v>64</v>
      </c>
      <c r="M890" s="2" t="s">
        <v>2777</v>
      </c>
      <c r="N890" s="14">
        <v>43320</v>
      </c>
      <c r="O890" s="14">
        <v>43319</v>
      </c>
      <c r="P890" s="2" t="s">
        <v>2002</v>
      </c>
      <c r="Q890" s="2" t="s">
        <v>4624</v>
      </c>
      <c r="R890" s="2" t="s">
        <v>80</v>
      </c>
      <c r="S890" s="14">
        <v>43328</v>
      </c>
      <c r="U890" s="2" t="s">
        <v>1324</v>
      </c>
      <c r="V890" s="2" t="s">
        <v>69</v>
      </c>
      <c r="W890" s="2" t="s">
        <v>70</v>
      </c>
      <c r="X890" s="13">
        <v>0</v>
      </c>
      <c r="Y890" s="2" t="s">
        <v>71</v>
      </c>
      <c r="Z890" s="2" t="s">
        <v>72</v>
      </c>
      <c r="AA890" s="13">
        <v>20000</v>
      </c>
      <c r="AB890" s="2" t="s">
        <v>95</v>
      </c>
      <c r="AC890" s="2" t="s">
        <v>6772</v>
      </c>
      <c r="AD890" s="27"/>
      <c r="AL890" s="2" t="s">
        <v>5573</v>
      </c>
    </row>
    <row r="891" spans="1:38" hidden="1" x14ac:dyDescent="0.2">
      <c r="A891" s="2" t="s">
        <v>2773</v>
      </c>
      <c r="B891" s="2" t="s">
        <v>2848</v>
      </c>
      <c r="C891" s="2" t="s">
        <v>2745</v>
      </c>
      <c r="D891" s="2" t="s">
        <v>2746</v>
      </c>
      <c r="E891" s="13">
        <v>20000</v>
      </c>
      <c r="F891" s="13">
        <v>20000</v>
      </c>
      <c r="G891" s="14">
        <v>43318</v>
      </c>
      <c r="H891" s="15">
        <v>8.2233796296299996E-2</v>
      </c>
      <c r="I891" s="14">
        <v>43319</v>
      </c>
      <c r="J891" s="15">
        <v>0</v>
      </c>
      <c r="K891" s="13">
        <v>0</v>
      </c>
      <c r="L891" s="2" t="s">
        <v>64</v>
      </c>
      <c r="M891" s="2" t="s">
        <v>2777</v>
      </c>
      <c r="N891" s="14"/>
      <c r="O891" s="14">
        <v>43320</v>
      </c>
      <c r="P891" s="2" t="s">
        <v>1573</v>
      </c>
      <c r="Q891" s="2" t="s">
        <v>98</v>
      </c>
      <c r="R891" s="2" t="s">
        <v>131</v>
      </c>
      <c r="S891" s="14"/>
      <c r="T891" s="2" t="s">
        <v>6684</v>
      </c>
      <c r="U891" s="2" t="s">
        <v>429</v>
      </c>
      <c r="V891" s="2" t="s">
        <v>69</v>
      </c>
      <c r="W891" s="2" t="s">
        <v>70</v>
      </c>
      <c r="X891" s="13">
        <v>0</v>
      </c>
      <c r="Y891" s="2" t="s">
        <v>71</v>
      </c>
      <c r="Z891" s="2" t="s">
        <v>72</v>
      </c>
      <c r="AA891" s="13">
        <v>20000</v>
      </c>
      <c r="AB891" s="2" t="s">
        <v>73</v>
      </c>
      <c r="AC891" s="2" t="s">
        <v>6772</v>
      </c>
      <c r="AD891" s="27">
        <v>43250</v>
      </c>
      <c r="AL891" s="2" t="s">
        <v>5574</v>
      </c>
    </row>
    <row r="892" spans="1:38" hidden="1" x14ac:dyDescent="0.2">
      <c r="A892" s="2" t="s">
        <v>2773</v>
      </c>
      <c r="B892" s="2" t="s">
        <v>2849</v>
      </c>
      <c r="C892" s="2" t="s">
        <v>2775</v>
      </c>
      <c r="D892" s="2" t="s">
        <v>2776</v>
      </c>
      <c r="E892" s="13">
        <v>20000</v>
      </c>
      <c r="F892" s="13">
        <v>20000</v>
      </c>
      <c r="G892" s="14">
        <v>43318</v>
      </c>
      <c r="H892" s="15">
        <v>8.2233796296299996E-2</v>
      </c>
      <c r="I892" s="14">
        <v>43319</v>
      </c>
      <c r="J892" s="15">
        <v>0</v>
      </c>
      <c r="K892" s="13">
        <v>0</v>
      </c>
      <c r="L892" s="2" t="s">
        <v>64</v>
      </c>
      <c r="M892" s="2" t="s">
        <v>2777</v>
      </c>
      <c r="N892" s="14">
        <v>43321</v>
      </c>
      <c r="O892" s="14">
        <v>43320</v>
      </c>
      <c r="P892" s="2" t="s">
        <v>2002</v>
      </c>
      <c r="Q892" s="2" t="s">
        <v>2852</v>
      </c>
      <c r="R892" s="2" t="s">
        <v>80</v>
      </c>
      <c r="S892" s="14">
        <v>43328</v>
      </c>
      <c r="U892" s="2" t="s">
        <v>1324</v>
      </c>
      <c r="V892" s="2" t="s">
        <v>69</v>
      </c>
      <c r="W892" s="2" t="s">
        <v>70</v>
      </c>
      <c r="X892" s="13">
        <v>0</v>
      </c>
      <c r="Y892" s="2" t="s">
        <v>71</v>
      </c>
      <c r="Z892" s="2" t="s">
        <v>72</v>
      </c>
      <c r="AA892" s="13">
        <v>20000</v>
      </c>
      <c r="AB892" s="2" t="s">
        <v>95</v>
      </c>
      <c r="AC892" s="2" t="s">
        <v>6772</v>
      </c>
      <c r="AD892" s="27"/>
      <c r="AL892" s="2" t="s">
        <v>5575</v>
      </c>
    </row>
    <row r="893" spans="1:38" hidden="1" x14ac:dyDescent="0.2">
      <c r="A893" s="2" t="s">
        <v>2773</v>
      </c>
      <c r="B893" s="2" t="s">
        <v>2851</v>
      </c>
      <c r="C893" s="2" t="s">
        <v>2775</v>
      </c>
      <c r="D893" s="2" t="s">
        <v>2776</v>
      </c>
      <c r="E893" s="13">
        <v>20000</v>
      </c>
      <c r="F893" s="13">
        <v>20000</v>
      </c>
      <c r="G893" s="14">
        <v>43319</v>
      </c>
      <c r="H893" s="15">
        <v>8.2233796296299996E-2</v>
      </c>
      <c r="I893" s="14">
        <v>43320</v>
      </c>
      <c r="J893" s="15">
        <v>0</v>
      </c>
      <c r="K893" s="13">
        <v>0</v>
      </c>
      <c r="L893" s="2" t="s">
        <v>64</v>
      </c>
      <c r="M893" s="2" t="s">
        <v>2777</v>
      </c>
      <c r="N893" s="14"/>
      <c r="O893" s="14">
        <v>43321</v>
      </c>
      <c r="P893" s="2" t="s">
        <v>2002</v>
      </c>
      <c r="Q893" s="2" t="s">
        <v>2854</v>
      </c>
      <c r="R893" s="2" t="s">
        <v>80</v>
      </c>
      <c r="S893" s="14">
        <v>43328</v>
      </c>
      <c r="U893" s="2" t="s">
        <v>1324</v>
      </c>
      <c r="V893" s="2" t="s">
        <v>69</v>
      </c>
      <c r="W893" s="2" t="s">
        <v>70</v>
      </c>
      <c r="X893" s="13">
        <v>0</v>
      </c>
      <c r="Y893" s="2" t="s">
        <v>71</v>
      </c>
      <c r="Z893" s="2" t="s">
        <v>72</v>
      </c>
      <c r="AA893" s="13">
        <v>20000</v>
      </c>
      <c r="AB893" s="2" t="s">
        <v>95</v>
      </c>
      <c r="AC893" s="2" t="s">
        <v>6772</v>
      </c>
      <c r="AD893" s="27"/>
      <c r="AL893" s="2" t="s">
        <v>5576</v>
      </c>
    </row>
    <row r="894" spans="1:38" hidden="1" x14ac:dyDescent="0.2">
      <c r="A894" s="2" t="s">
        <v>2773</v>
      </c>
      <c r="B894" s="2" t="s">
        <v>2792</v>
      </c>
      <c r="C894" s="2" t="s">
        <v>2793</v>
      </c>
      <c r="D894" s="2" t="s">
        <v>2794</v>
      </c>
      <c r="E894" s="13">
        <v>30600</v>
      </c>
      <c r="F894" s="13">
        <v>30600</v>
      </c>
      <c r="G894" s="14">
        <v>43320</v>
      </c>
      <c r="H894" s="15">
        <v>0.60943287037036997</v>
      </c>
      <c r="I894" s="14">
        <v>43322</v>
      </c>
      <c r="J894" s="15">
        <v>1.3622685185189999E-2</v>
      </c>
      <c r="K894" s="13">
        <v>0</v>
      </c>
      <c r="L894" s="2" t="s">
        <v>64</v>
      </c>
      <c r="M894" s="2" t="s">
        <v>2795</v>
      </c>
      <c r="N894" s="14">
        <v>43320</v>
      </c>
      <c r="O894" s="14">
        <v>43342</v>
      </c>
      <c r="P894" s="2" t="s">
        <v>91</v>
      </c>
      <c r="Q894" s="2" t="s">
        <v>2796</v>
      </c>
      <c r="R894" s="2" t="s">
        <v>93</v>
      </c>
      <c r="S894" s="14">
        <v>43320</v>
      </c>
      <c r="T894" s="2" t="s">
        <v>6685</v>
      </c>
      <c r="U894" s="2" t="s">
        <v>2797</v>
      </c>
      <c r="V894" s="2" t="s">
        <v>2798</v>
      </c>
      <c r="W894" s="2" t="s">
        <v>2799</v>
      </c>
      <c r="X894" s="13">
        <v>908</v>
      </c>
      <c r="Y894" s="2" t="s">
        <v>71</v>
      </c>
      <c r="Z894" s="2" t="s">
        <v>72</v>
      </c>
      <c r="AA894" s="13">
        <v>30000</v>
      </c>
      <c r="AB894" s="2" t="s">
        <v>107</v>
      </c>
      <c r="AC894" s="2" t="s">
        <v>6773</v>
      </c>
      <c r="AD894" s="27">
        <v>43279</v>
      </c>
      <c r="AL894" s="2" t="s">
        <v>5577</v>
      </c>
    </row>
    <row r="895" spans="1:38" hidden="1" x14ac:dyDescent="0.2">
      <c r="A895" s="2" t="s">
        <v>2773</v>
      </c>
      <c r="B895" s="2" t="s">
        <v>2853</v>
      </c>
      <c r="C895" s="2" t="s">
        <v>2775</v>
      </c>
      <c r="D895" s="2" t="s">
        <v>2776</v>
      </c>
      <c r="E895" s="13">
        <v>20000</v>
      </c>
      <c r="F895" s="13">
        <v>20000</v>
      </c>
      <c r="G895" s="14">
        <v>43321</v>
      </c>
      <c r="H895" s="15">
        <v>8.2233796296299996E-2</v>
      </c>
      <c r="I895" s="14">
        <v>43322</v>
      </c>
      <c r="J895" s="15">
        <v>0</v>
      </c>
      <c r="K895" s="13">
        <v>0</v>
      </c>
      <c r="L895" s="2" t="s">
        <v>64</v>
      </c>
      <c r="M895" s="2" t="s">
        <v>2777</v>
      </c>
      <c r="N895" s="14">
        <v>43324</v>
      </c>
      <c r="O895" s="14">
        <v>43323</v>
      </c>
      <c r="P895" s="2" t="s">
        <v>2002</v>
      </c>
      <c r="Q895" s="2" t="s">
        <v>2856</v>
      </c>
      <c r="R895" s="2" t="s">
        <v>80</v>
      </c>
      <c r="S895" s="14">
        <v>43333</v>
      </c>
      <c r="U895" s="2" t="s">
        <v>1324</v>
      </c>
      <c r="V895" s="2" t="s">
        <v>69</v>
      </c>
      <c r="W895" s="2" t="s">
        <v>70</v>
      </c>
      <c r="X895" s="13">
        <v>0</v>
      </c>
      <c r="Y895" s="2" t="s">
        <v>71</v>
      </c>
      <c r="Z895" s="2" t="s">
        <v>72</v>
      </c>
      <c r="AA895" s="13">
        <v>20000</v>
      </c>
      <c r="AB895" s="2" t="s">
        <v>95</v>
      </c>
      <c r="AC895" s="2" t="s">
        <v>6772</v>
      </c>
      <c r="AD895" s="27"/>
      <c r="AL895" s="2" t="s">
        <v>5578</v>
      </c>
    </row>
    <row r="896" spans="1:38" hidden="1" x14ac:dyDescent="0.2">
      <c r="A896" s="2" t="s">
        <v>2773</v>
      </c>
      <c r="B896" s="2" t="s">
        <v>2855</v>
      </c>
      <c r="C896" s="2" t="s">
        <v>2775</v>
      </c>
      <c r="D896" s="2" t="s">
        <v>2776</v>
      </c>
      <c r="E896" s="13">
        <v>20000</v>
      </c>
      <c r="F896" s="13">
        <v>20000</v>
      </c>
      <c r="G896" s="14">
        <v>43322</v>
      </c>
      <c r="H896" s="15">
        <v>8.2233796296299996E-2</v>
      </c>
      <c r="I896" s="14">
        <v>43323</v>
      </c>
      <c r="J896" s="15">
        <v>0</v>
      </c>
      <c r="K896" s="13">
        <v>0</v>
      </c>
      <c r="L896" s="2" t="s">
        <v>64</v>
      </c>
      <c r="M896" s="2" t="s">
        <v>2777</v>
      </c>
      <c r="N896" s="14">
        <v>43325</v>
      </c>
      <c r="O896" s="14">
        <v>43324</v>
      </c>
      <c r="P896" s="2" t="s">
        <v>2002</v>
      </c>
      <c r="Q896" s="2" t="s">
        <v>2867</v>
      </c>
      <c r="R896" s="2" t="s">
        <v>80</v>
      </c>
      <c r="S896" s="14">
        <v>43333</v>
      </c>
      <c r="U896" s="2" t="s">
        <v>1324</v>
      </c>
      <c r="V896" s="2" t="s">
        <v>69</v>
      </c>
      <c r="W896" s="2" t="s">
        <v>70</v>
      </c>
      <c r="X896" s="13">
        <v>0</v>
      </c>
      <c r="Y896" s="2" t="s">
        <v>71</v>
      </c>
      <c r="Z896" s="2" t="s">
        <v>72</v>
      </c>
      <c r="AA896" s="13">
        <v>20000</v>
      </c>
      <c r="AB896" s="2" t="s">
        <v>95</v>
      </c>
      <c r="AC896" s="2" t="s">
        <v>6772</v>
      </c>
      <c r="AD896" s="27"/>
      <c r="AL896" s="2" t="s">
        <v>5579</v>
      </c>
    </row>
    <row r="897" spans="1:38" hidden="1" x14ac:dyDescent="0.2">
      <c r="A897" s="2" t="s">
        <v>2773</v>
      </c>
      <c r="B897" s="2" t="s">
        <v>2863</v>
      </c>
      <c r="C897" s="2" t="s">
        <v>2823</v>
      </c>
      <c r="D897" s="2" t="s">
        <v>2824</v>
      </c>
      <c r="E897" s="13">
        <v>5050</v>
      </c>
      <c r="F897" s="13">
        <v>5050</v>
      </c>
      <c r="G897" s="14">
        <v>43323</v>
      </c>
      <c r="H897" s="15">
        <v>0.76826388888888997</v>
      </c>
      <c r="I897" s="14">
        <v>43324</v>
      </c>
      <c r="J897" s="15">
        <v>0</v>
      </c>
      <c r="K897" s="13">
        <v>20</v>
      </c>
      <c r="L897" s="2" t="s">
        <v>64</v>
      </c>
      <c r="M897" s="2" t="s">
        <v>2864</v>
      </c>
      <c r="N897" s="14">
        <v>43326</v>
      </c>
      <c r="O897" s="14">
        <v>43325</v>
      </c>
      <c r="P897" s="2" t="s">
        <v>2825</v>
      </c>
      <c r="Q897" s="2" t="s">
        <v>2865</v>
      </c>
      <c r="R897" s="2" t="s">
        <v>80</v>
      </c>
      <c r="S897" s="14">
        <v>43326</v>
      </c>
      <c r="U897" s="2" t="s">
        <v>2827</v>
      </c>
      <c r="V897" s="2" t="s">
        <v>69</v>
      </c>
      <c r="W897" s="2" t="s">
        <v>70</v>
      </c>
      <c r="X897" s="13">
        <v>908</v>
      </c>
      <c r="Y897" s="2" t="s">
        <v>71</v>
      </c>
      <c r="Z897" s="2" t="s">
        <v>72</v>
      </c>
      <c r="AA897" s="13">
        <v>5000</v>
      </c>
      <c r="AB897" s="2" t="s">
        <v>73</v>
      </c>
      <c r="AC897" s="2" t="s">
        <v>6773</v>
      </c>
      <c r="AD897" s="27"/>
      <c r="AL897" s="2" t="s">
        <v>7300</v>
      </c>
    </row>
    <row r="898" spans="1:38" hidden="1" x14ac:dyDescent="0.2">
      <c r="A898" s="2" t="s">
        <v>2773</v>
      </c>
      <c r="B898" s="2" t="s">
        <v>2866</v>
      </c>
      <c r="C898" s="2" t="s">
        <v>2775</v>
      </c>
      <c r="D898" s="2" t="s">
        <v>2776</v>
      </c>
      <c r="E898" s="13">
        <v>20000</v>
      </c>
      <c r="F898" s="13">
        <v>20000</v>
      </c>
      <c r="G898" s="14">
        <v>43324</v>
      </c>
      <c r="H898" s="15">
        <v>8.2233796296299996E-2</v>
      </c>
      <c r="I898" s="14">
        <v>43325</v>
      </c>
      <c r="J898" s="15">
        <v>0</v>
      </c>
      <c r="K898" s="13">
        <v>0</v>
      </c>
      <c r="L898" s="2" t="s">
        <v>64</v>
      </c>
      <c r="M898" s="2" t="s">
        <v>2777</v>
      </c>
      <c r="N898" s="14">
        <v>43327</v>
      </c>
      <c r="O898" s="14">
        <v>43326</v>
      </c>
      <c r="P898" s="2" t="s">
        <v>2002</v>
      </c>
      <c r="Q898" s="2" t="s">
        <v>2869</v>
      </c>
      <c r="R898" s="2" t="s">
        <v>80</v>
      </c>
      <c r="S898" s="14">
        <v>43334</v>
      </c>
      <c r="U898" s="2" t="s">
        <v>1324</v>
      </c>
      <c r="V898" s="2" t="s">
        <v>69</v>
      </c>
      <c r="W898" s="2" t="s">
        <v>70</v>
      </c>
      <c r="X898" s="13">
        <v>0</v>
      </c>
      <c r="Y898" s="2" t="s">
        <v>71</v>
      </c>
      <c r="Z898" s="2" t="s">
        <v>72</v>
      </c>
      <c r="AA898" s="13">
        <v>20000</v>
      </c>
      <c r="AB898" s="2" t="s">
        <v>95</v>
      </c>
      <c r="AC898" s="2" t="s">
        <v>6772</v>
      </c>
      <c r="AD898" s="27"/>
      <c r="AL898" s="2" t="s">
        <v>5580</v>
      </c>
    </row>
    <row r="899" spans="1:38" hidden="1" x14ac:dyDescent="0.2">
      <c r="A899" s="2" t="s">
        <v>2773</v>
      </c>
      <c r="B899" s="2" t="s">
        <v>2868</v>
      </c>
      <c r="C899" s="2" t="s">
        <v>2775</v>
      </c>
      <c r="D899" s="2" t="s">
        <v>2776</v>
      </c>
      <c r="E899" s="13">
        <v>20000</v>
      </c>
      <c r="F899" s="13">
        <v>20000</v>
      </c>
      <c r="G899" s="14">
        <v>43325</v>
      </c>
      <c r="H899" s="15">
        <v>8.2233796296299996E-2</v>
      </c>
      <c r="I899" s="14">
        <v>43326</v>
      </c>
      <c r="J899" s="15">
        <v>0</v>
      </c>
      <c r="K899" s="13">
        <v>0</v>
      </c>
      <c r="L899" s="2" t="s">
        <v>64</v>
      </c>
      <c r="M899" s="2" t="s">
        <v>2777</v>
      </c>
      <c r="N899" s="14"/>
      <c r="O899" s="14">
        <v>43327</v>
      </c>
      <c r="P899" s="2" t="s">
        <v>2002</v>
      </c>
      <c r="Q899" s="2" t="s">
        <v>2871</v>
      </c>
      <c r="R899" s="2" t="s">
        <v>80</v>
      </c>
      <c r="S899" s="14">
        <v>43335</v>
      </c>
      <c r="U899" s="2" t="s">
        <v>1324</v>
      </c>
      <c r="V899" s="2" t="s">
        <v>69</v>
      </c>
      <c r="W899" s="2" t="s">
        <v>70</v>
      </c>
      <c r="X899" s="13">
        <v>0</v>
      </c>
      <c r="Y899" s="2" t="s">
        <v>71</v>
      </c>
      <c r="Z899" s="2" t="s">
        <v>72</v>
      </c>
      <c r="AA899" s="13">
        <v>20000</v>
      </c>
      <c r="AB899" s="2" t="s">
        <v>95</v>
      </c>
      <c r="AC899" s="2" t="s">
        <v>6772</v>
      </c>
      <c r="AD899" s="27"/>
      <c r="AL899" s="2" t="s">
        <v>5581</v>
      </c>
    </row>
    <row r="900" spans="1:38" hidden="1" x14ac:dyDescent="0.2">
      <c r="A900" s="2" t="s">
        <v>2773</v>
      </c>
      <c r="B900" s="2" t="s">
        <v>2870</v>
      </c>
      <c r="C900" s="2" t="s">
        <v>2775</v>
      </c>
      <c r="D900" s="2" t="s">
        <v>2776</v>
      </c>
      <c r="E900" s="13">
        <v>20000</v>
      </c>
      <c r="F900" s="13">
        <v>20000</v>
      </c>
      <c r="G900" s="14">
        <v>43326</v>
      </c>
      <c r="H900" s="15">
        <v>8.2233796296299996E-2</v>
      </c>
      <c r="I900" s="14">
        <v>43327</v>
      </c>
      <c r="J900" s="15">
        <v>0</v>
      </c>
      <c r="K900" s="13">
        <v>0</v>
      </c>
      <c r="L900" s="2" t="s">
        <v>64</v>
      </c>
      <c r="M900" s="2" t="s">
        <v>2777</v>
      </c>
      <c r="N900" s="14">
        <v>43329</v>
      </c>
      <c r="O900" s="14">
        <v>43328</v>
      </c>
      <c r="P900" s="2" t="s">
        <v>2002</v>
      </c>
      <c r="Q900" s="2" t="s">
        <v>2873</v>
      </c>
      <c r="R900" s="2" t="s">
        <v>80</v>
      </c>
      <c r="S900" s="14">
        <v>43335</v>
      </c>
      <c r="U900" s="2" t="s">
        <v>1324</v>
      </c>
      <c r="V900" s="2" t="s">
        <v>69</v>
      </c>
      <c r="W900" s="2" t="s">
        <v>70</v>
      </c>
      <c r="X900" s="13">
        <v>0</v>
      </c>
      <c r="Y900" s="2" t="s">
        <v>71</v>
      </c>
      <c r="Z900" s="2" t="s">
        <v>72</v>
      </c>
      <c r="AA900" s="13">
        <v>20000</v>
      </c>
      <c r="AB900" s="2" t="s">
        <v>95</v>
      </c>
      <c r="AC900" s="2" t="s">
        <v>6772</v>
      </c>
      <c r="AD900" s="27"/>
      <c r="AL900" s="2" t="s">
        <v>5582</v>
      </c>
    </row>
    <row r="901" spans="1:38" hidden="1" x14ac:dyDescent="0.2">
      <c r="A901" s="2" t="s">
        <v>2773</v>
      </c>
      <c r="B901" s="2" t="s">
        <v>2872</v>
      </c>
      <c r="C901" s="2" t="s">
        <v>2775</v>
      </c>
      <c r="D901" s="2" t="s">
        <v>2776</v>
      </c>
      <c r="E901" s="13">
        <v>20000</v>
      </c>
      <c r="F901" s="13">
        <v>20000</v>
      </c>
      <c r="G901" s="14">
        <v>43327</v>
      </c>
      <c r="H901" s="15">
        <v>8.2233796296299996E-2</v>
      </c>
      <c r="I901" s="14">
        <v>43328</v>
      </c>
      <c r="J901" s="15">
        <v>0</v>
      </c>
      <c r="K901" s="13">
        <v>0</v>
      </c>
      <c r="L901" s="2" t="s">
        <v>64</v>
      </c>
      <c r="M901" s="2" t="s">
        <v>2777</v>
      </c>
      <c r="N901" s="14"/>
      <c r="O901" s="14">
        <v>43329</v>
      </c>
      <c r="P901" s="2" t="s">
        <v>2002</v>
      </c>
      <c r="Q901" s="2" t="s">
        <v>2875</v>
      </c>
      <c r="R901" s="2" t="s">
        <v>80</v>
      </c>
      <c r="S901" s="14">
        <v>43340</v>
      </c>
      <c r="U901" s="2" t="s">
        <v>1324</v>
      </c>
      <c r="V901" s="2" t="s">
        <v>69</v>
      </c>
      <c r="W901" s="2" t="s">
        <v>70</v>
      </c>
      <c r="X901" s="13">
        <v>0</v>
      </c>
      <c r="Y901" s="2" t="s">
        <v>71</v>
      </c>
      <c r="Z901" s="2" t="s">
        <v>72</v>
      </c>
      <c r="AA901" s="13">
        <v>20000</v>
      </c>
      <c r="AB901" s="2" t="s">
        <v>95</v>
      </c>
      <c r="AC901" s="2" t="s">
        <v>6772</v>
      </c>
      <c r="AD901" s="27"/>
      <c r="AL901" s="2" t="s">
        <v>5583</v>
      </c>
    </row>
    <row r="902" spans="1:38" hidden="1" x14ac:dyDescent="0.2">
      <c r="A902" s="2" t="s">
        <v>2773</v>
      </c>
      <c r="B902" s="2" t="s">
        <v>2874</v>
      </c>
      <c r="C902" s="2" t="s">
        <v>2775</v>
      </c>
      <c r="D902" s="2" t="s">
        <v>2776</v>
      </c>
      <c r="E902" s="13">
        <v>20000</v>
      </c>
      <c r="F902" s="13">
        <v>20000</v>
      </c>
      <c r="G902" s="14">
        <v>43329</v>
      </c>
      <c r="H902" s="15">
        <v>8.2233796296299996E-2</v>
      </c>
      <c r="I902" s="14">
        <v>43330</v>
      </c>
      <c r="J902" s="15">
        <v>0</v>
      </c>
      <c r="K902" s="13">
        <v>0</v>
      </c>
      <c r="L902" s="2" t="s">
        <v>64</v>
      </c>
      <c r="M902" s="2" t="s">
        <v>2777</v>
      </c>
      <c r="N902" s="14"/>
      <c r="O902" s="14">
        <v>43331</v>
      </c>
      <c r="P902" s="2" t="s">
        <v>2002</v>
      </c>
      <c r="Q902" s="2" t="s">
        <v>2877</v>
      </c>
      <c r="R902" s="2" t="s">
        <v>80</v>
      </c>
      <c r="S902" s="14">
        <v>43340</v>
      </c>
      <c r="U902" s="2" t="s">
        <v>1324</v>
      </c>
      <c r="V902" s="2" t="s">
        <v>69</v>
      </c>
      <c r="W902" s="2" t="s">
        <v>70</v>
      </c>
      <c r="X902" s="13">
        <v>0</v>
      </c>
      <c r="Y902" s="2" t="s">
        <v>71</v>
      </c>
      <c r="Z902" s="2" t="s">
        <v>72</v>
      </c>
      <c r="AA902" s="13">
        <v>20000</v>
      </c>
      <c r="AB902" s="2" t="s">
        <v>95</v>
      </c>
      <c r="AC902" s="2" t="s">
        <v>6772</v>
      </c>
      <c r="AD902" s="27"/>
      <c r="AL902" s="2" t="s">
        <v>5584</v>
      </c>
    </row>
    <row r="903" spans="1:38" hidden="1" x14ac:dyDescent="0.2">
      <c r="A903" s="2" t="s">
        <v>2773</v>
      </c>
      <c r="B903" s="2" t="s">
        <v>2876</v>
      </c>
      <c r="C903" s="2" t="s">
        <v>2775</v>
      </c>
      <c r="D903" s="2" t="s">
        <v>2776</v>
      </c>
      <c r="E903" s="13">
        <v>20000</v>
      </c>
      <c r="F903" s="13">
        <v>20000</v>
      </c>
      <c r="G903" s="14">
        <v>43330</v>
      </c>
      <c r="H903" s="15">
        <v>8.2233796296299996E-2</v>
      </c>
      <c r="I903" s="14">
        <v>43331</v>
      </c>
      <c r="J903" s="15">
        <v>0</v>
      </c>
      <c r="K903" s="13">
        <v>0</v>
      </c>
      <c r="L903" s="2" t="s">
        <v>64</v>
      </c>
      <c r="M903" s="2" t="s">
        <v>2777</v>
      </c>
      <c r="N903" s="14">
        <v>43333</v>
      </c>
      <c r="O903" s="14">
        <v>43332</v>
      </c>
      <c r="P903" s="2" t="s">
        <v>2002</v>
      </c>
      <c r="Q903" s="2" t="s">
        <v>2879</v>
      </c>
      <c r="R903" s="2" t="s">
        <v>80</v>
      </c>
      <c r="S903" s="14">
        <v>43341</v>
      </c>
      <c r="U903" s="2" t="s">
        <v>1324</v>
      </c>
      <c r="V903" s="2" t="s">
        <v>69</v>
      </c>
      <c r="W903" s="2" t="s">
        <v>70</v>
      </c>
      <c r="X903" s="13">
        <v>0</v>
      </c>
      <c r="Y903" s="2" t="s">
        <v>71</v>
      </c>
      <c r="Z903" s="2" t="s">
        <v>72</v>
      </c>
      <c r="AA903" s="13">
        <v>20000</v>
      </c>
      <c r="AB903" s="2" t="s">
        <v>95</v>
      </c>
      <c r="AC903" s="2" t="s">
        <v>6772</v>
      </c>
      <c r="AD903" s="27"/>
      <c r="AL903" s="2" t="s">
        <v>5585</v>
      </c>
    </row>
    <row r="904" spans="1:38" hidden="1" x14ac:dyDescent="0.2">
      <c r="A904" s="2" t="s">
        <v>2773</v>
      </c>
      <c r="B904" s="2" t="s">
        <v>2878</v>
      </c>
      <c r="C904" s="2" t="s">
        <v>2775</v>
      </c>
      <c r="D904" s="2" t="s">
        <v>2776</v>
      </c>
      <c r="E904" s="13">
        <v>20000</v>
      </c>
      <c r="F904" s="13">
        <v>20000</v>
      </c>
      <c r="G904" s="14">
        <v>43331</v>
      </c>
      <c r="H904" s="15">
        <v>8.2233796296299996E-2</v>
      </c>
      <c r="I904" s="14">
        <v>43332</v>
      </c>
      <c r="J904" s="15">
        <v>0</v>
      </c>
      <c r="K904" s="13">
        <v>0</v>
      </c>
      <c r="L904" s="2" t="s">
        <v>64</v>
      </c>
      <c r="M904" s="2" t="s">
        <v>2777</v>
      </c>
      <c r="N904" s="14">
        <v>43334</v>
      </c>
      <c r="O904" s="14">
        <v>43333</v>
      </c>
      <c r="P904" s="2" t="s">
        <v>2002</v>
      </c>
      <c r="Q904" s="2" t="s">
        <v>2899</v>
      </c>
      <c r="R904" s="2" t="s">
        <v>80</v>
      </c>
      <c r="S904" s="14">
        <v>43347</v>
      </c>
      <c r="U904" s="2" t="s">
        <v>1324</v>
      </c>
      <c r="V904" s="2" t="s">
        <v>69</v>
      </c>
      <c r="W904" s="2" t="s">
        <v>70</v>
      </c>
      <c r="X904" s="13">
        <v>0</v>
      </c>
      <c r="Y904" s="2" t="s">
        <v>71</v>
      </c>
      <c r="Z904" s="2" t="s">
        <v>72</v>
      </c>
      <c r="AA904" s="13">
        <v>20000</v>
      </c>
      <c r="AB904" s="2" t="s">
        <v>95</v>
      </c>
      <c r="AC904" s="2" t="s">
        <v>6772</v>
      </c>
      <c r="AD904" s="27"/>
      <c r="AL904" s="2" t="s">
        <v>5586</v>
      </c>
    </row>
    <row r="905" spans="1:38" hidden="1" x14ac:dyDescent="0.2">
      <c r="A905" s="2" t="s">
        <v>2773</v>
      </c>
      <c r="B905" s="2" t="s">
        <v>2880</v>
      </c>
      <c r="C905" s="2" t="s">
        <v>2881</v>
      </c>
      <c r="D905" s="2" t="s">
        <v>2882</v>
      </c>
      <c r="E905" s="13">
        <v>19000</v>
      </c>
      <c r="F905" s="13">
        <v>19000</v>
      </c>
      <c r="G905" s="14">
        <v>43333</v>
      </c>
      <c r="H905" s="15">
        <v>0.12812499999999999</v>
      </c>
      <c r="I905" s="14">
        <v>43334</v>
      </c>
      <c r="J905" s="15">
        <v>0</v>
      </c>
      <c r="K905" s="13">
        <v>20</v>
      </c>
      <c r="L905" s="2" t="s">
        <v>64</v>
      </c>
      <c r="M905" s="2" t="s">
        <v>2883</v>
      </c>
      <c r="N905" s="14">
        <v>43333</v>
      </c>
      <c r="O905" s="14">
        <v>43334</v>
      </c>
      <c r="P905" s="2" t="s">
        <v>91</v>
      </c>
      <c r="Q905" s="2" t="s">
        <v>2884</v>
      </c>
      <c r="R905" s="2" t="s">
        <v>80</v>
      </c>
      <c r="S905" s="14">
        <v>43340</v>
      </c>
      <c r="U905" s="2" t="s">
        <v>2885</v>
      </c>
      <c r="V905" s="2" t="s">
        <v>1933</v>
      </c>
      <c r="W905" s="2" t="s">
        <v>70</v>
      </c>
      <c r="X905" s="13">
        <v>908</v>
      </c>
      <c r="Y905" s="2" t="s">
        <v>71</v>
      </c>
      <c r="Z905" s="2" t="s">
        <v>72</v>
      </c>
      <c r="AA905" s="13">
        <v>19000</v>
      </c>
      <c r="AB905" s="2" t="s">
        <v>73</v>
      </c>
      <c r="AC905" s="2" t="s">
        <v>6773</v>
      </c>
      <c r="AD905" s="27"/>
      <c r="AL905" s="2" t="s">
        <v>7301</v>
      </c>
    </row>
    <row r="906" spans="1:38" hidden="1" x14ac:dyDescent="0.2">
      <c r="A906" s="2" t="s">
        <v>2773</v>
      </c>
      <c r="B906" s="2" t="s">
        <v>4625</v>
      </c>
      <c r="C906" s="2" t="s">
        <v>2793</v>
      </c>
      <c r="D906" s="2" t="s">
        <v>2794</v>
      </c>
      <c r="E906" s="16">
        <v>30599.999</v>
      </c>
      <c r="F906" s="16">
        <v>30599.999</v>
      </c>
      <c r="G906" s="14">
        <v>43334</v>
      </c>
      <c r="H906" s="15">
        <v>2.0833333333330002E-2</v>
      </c>
      <c r="I906" s="14">
        <v>43335</v>
      </c>
      <c r="J906" s="15">
        <v>0.42502314814815001</v>
      </c>
      <c r="K906" s="13">
        <v>0</v>
      </c>
      <c r="L906" s="2" t="s">
        <v>64</v>
      </c>
      <c r="M906" s="2" t="s">
        <v>2795</v>
      </c>
      <c r="N906" s="14">
        <v>43356</v>
      </c>
      <c r="O906" s="14">
        <v>43355</v>
      </c>
      <c r="P906" s="2" t="s">
        <v>91</v>
      </c>
      <c r="Q906" s="2" t="s">
        <v>4626</v>
      </c>
      <c r="R906" s="2" t="s">
        <v>80</v>
      </c>
      <c r="S906" s="14">
        <v>43356</v>
      </c>
      <c r="U906" s="2" t="s">
        <v>2797</v>
      </c>
      <c r="V906" s="2" t="s">
        <v>2798</v>
      </c>
      <c r="W906" s="2" t="s">
        <v>2799</v>
      </c>
      <c r="X906" s="13">
        <v>908</v>
      </c>
      <c r="Y906" s="2" t="s">
        <v>71</v>
      </c>
      <c r="Z906" s="2" t="s">
        <v>72</v>
      </c>
      <c r="AA906" s="13">
        <v>30000</v>
      </c>
      <c r="AB906" s="2" t="s">
        <v>73</v>
      </c>
      <c r="AC906" s="2" t="s">
        <v>6773</v>
      </c>
      <c r="AD906" s="27"/>
      <c r="AL906" s="2" t="s">
        <v>7302</v>
      </c>
    </row>
    <row r="907" spans="1:38" hidden="1" x14ac:dyDescent="0.2">
      <c r="A907" s="2" t="s">
        <v>2773</v>
      </c>
      <c r="B907" s="2" t="s">
        <v>2886</v>
      </c>
      <c r="C907" s="2" t="s">
        <v>2881</v>
      </c>
      <c r="D907" s="2" t="s">
        <v>2882</v>
      </c>
      <c r="E907" s="13">
        <v>3000</v>
      </c>
      <c r="F907" s="13">
        <v>3000</v>
      </c>
      <c r="G907" s="14">
        <v>43335</v>
      </c>
      <c r="H907" s="15">
        <v>0.86233796296295995</v>
      </c>
      <c r="I907" s="14">
        <v>43336</v>
      </c>
      <c r="J907" s="15">
        <v>0</v>
      </c>
      <c r="K907" s="13">
        <v>0</v>
      </c>
      <c r="L907" s="2" t="s">
        <v>64</v>
      </c>
      <c r="M907" s="2" t="s">
        <v>2785</v>
      </c>
      <c r="N907" s="14">
        <v>43336</v>
      </c>
      <c r="O907" s="14">
        <v>43336</v>
      </c>
      <c r="P907" s="2" t="s">
        <v>91</v>
      </c>
      <c r="Q907" s="2" t="s">
        <v>2887</v>
      </c>
      <c r="R907" s="2" t="s">
        <v>80</v>
      </c>
      <c r="S907" s="14">
        <v>43336</v>
      </c>
      <c r="U907" s="2" t="s">
        <v>2885</v>
      </c>
      <c r="V907" s="2" t="s">
        <v>1933</v>
      </c>
      <c r="W907" s="2" t="s">
        <v>70</v>
      </c>
      <c r="X907" s="13">
        <v>908</v>
      </c>
      <c r="Y907" s="2" t="s">
        <v>71</v>
      </c>
      <c r="Z907" s="2" t="s">
        <v>72</v>
      </c>
      <c r="AA907" s="13">
        <v>3000</v>
      </c>
      <c r="AB907" s="2" t="s">
        <v>73</v>
      </c>
      <c r="AC907" s="2" t="s">
        <v>6773</v>
      </c>
      <c r="AD907" s="27"/>
      <c r="AL907" s="2" t="s">
        <v>5587</v>
      </c>
    </row>
    <row r="908" spans="1:38" hidden="1" x14ac:dyDescent="0.2">
      <c r="A908" s="2" t="s">
        <v>2773</v>
      </c>
      <c r="B908" s="2" t="s">
        <v>2888</v>
      </c>
      <c r="C908" s="2" t="s">
        <v>2881</v>
      </c>
      <c r="D908" s="2" t="s">
        <v>2882</v>
      </c>
      <c r="E908" s="13">
        <v>19000</v>
      </c>
      <c r="F908" s="13">
        <v>19000</v>
      </c>
      <c r="G908" s="14">
        <v>43336</v>
      </c>
      <c r="H908" s="15">
        <v>0.12812499999999999</v>
      </c>
      <c r="I908" s="14">
        <v>43337</v>
      </c>
      <c r="J908" s="15">
        <v>0</v>
      </c>
      <c r="K908" s="13">
        <v>20</v>
      </c>
      <c r="L908" s="2" t="s">
        <v>64</v>
      </c>
      <c r="M908" s="2" t="s">
        <v>2883</v>
      </c>
      <c r="N908" s="14">
        <v>43353</v>
      </c>
      <c r="O908" s="14">
        <v>43337</v>
      </c>
      <c r="P908" s="2" t="s">
        <v>91</v>
      </c>
      <c r="Q908" s="2" t="s">
        <v>2889</v>
      </c>
      <c r="R908" s="2" t="s">
        <v>80</v>
      </c>
      <c r="S908" s="14">
        <v>43353</v>
      </c>
      <c r="U908" s="2" t="s">
        <v>2885</v>
      </c>
      <c r="V908" s="2" t="s">
        <v>1933</v>
      </c>
      <c r="W908" s="2" t="s">
        <v>70</v>
      </c>
      <c r="X908" s="13">
        <v>908</v>
      </c>
      <c r="Y908" s="2" t="s">
        <v>71</v>
      </c>
      <c r="Z908" s="2" t="s">
        <v>72</v>
      </c>
      <c r="AA908" s="13">
        <v>19000</v>
      </c>
      <c r="AB908" s="2" t="s">
        <v>73</v>
      </c>
      <c r="AC908" s="2" t="s">
        <v>6773</v>
      </c>
      <c r="AD908" s="27"/>
      <c r="AL908" s="2" t="s">
        <v>5588</v>
      </c>
    </row>
    <row r="909" spans="1:38" hidden="1" x14ac:dyDescent="0.2">
      <c r="A909" s="2" t="s">
        <v>2773</v>
      </c>
      <c r="B909" s="2" t="s">
        <v>2890</v>
      </c>
      <c r="C909" s="2" t="s">
        <v>2881</v>
      </c>
      <c r="D909" s="2" t="s">
        <v>2882</v>
      </c>
      <c r="E909" s="13">
        <v>20000</v>
      </c>
      <c r="F909" s="13">
        <v>20000</v>
      </c>
      <c r="G909" s="14">
        <v>43337</v>
      </c>
      <c r="H909" s="15">
        <v>8.2233796296299996E-2</v>
      </c>
      <c r="I909" s="14">
        <v>43338</v>
      </c>
      <c r="J909" s="15">
        <v>0</v>
      </c>
      <c r="K909" s="13">
        <v>20</v>
      </c>
      <c r="L909" s="2" t="s">
        <v>64</v>
      </c>
      <c r="M909" s="2" t="s">
        <v>2777</v>
      </c>
      <c r="N909" s="14">
        <v>43347</v>
      </c>
      <c r="O909" s="14">
        <v>43338</v>
      </c>
      <c r="P909" s="2" t="s">
        <v>91</v>
      </c>
      <c r="Q909" s="2" t="s">
        <v>2891</v>
      </c>
      <c r="R909" s="2" t="s">
        <v>80</v>
      </c>
      <c r="S909" s="14">
        <v>43347</v>
      </c>
      <c r="U909" s="2" t="s">
        <v>2885</v>
      </c>
      <c r="V909" s="2" t="s">
        <v>1933</v>
      </c>
      <c r="W909" s="2" t="s">
        <v>70</v>
      </c>
      <c r="X909" s="13">
        <v>908</v>
      </c>
      <c r="Y909" s="2" t="s">
        <v>71</v>
      </c>
      <c r="Z909" s="2" t="s">
        <v>72</v>
      </c>
      <c r="AA909" s="13">
        <v>20000</v>
      </c>
      <c r="AB909" s="2" t="s">
        <v>73</v>
      </c>
      <c r="AC909" s="2" t="s">
        <v>6773</v>
      </c>
      <c r="AD909" s="27"/>
      <c r="AL909" s="2" t="s">
        <v>5589</v>
      </c>
    </row>
    <row r="910" spans="1:38" hidden="1" x14ac:dyDescent="0.2">
      <c r="A910" s="2" t="s">
        <v>2773</v>
      </c>
      <c r="B910" s="2" t="s">
        <v>2892</v>
      </c>
      <c r="C910" s="2" t="s">
        <v>2816</v>
      </c>
      <c r="D910" s="2" t="s">
        <v>2817</v>
      </c>
      <c r="E910" s="13">
        <v>5000</v>
      </c>
      <c r="F910" s="13">
        <v>5000</v>
      </c>
      <c r="G910" s="14">
        <v>43337</v>
      </c>
      <c r="H910" s="15">
        <v>0.77055555555555999</v>
      </c>
      <c r="I910" s="14">
        <v>43338</v>
      </c>
      <c r="J910" s="15">
        <v>0</v>
      </c>
      <c r="K910" s="13">
        <v>20</v>
      </c>
      <c r="L910" s="2" t="s">
        <v>64</v>
      </c>
      <c r="M910" s="2" t="s">
        <v>2803</v>
      </c>
      <c r="N910" s="14">
        <v>43341</v>
      </c>
      <c r="O910" s="14">
        <v>43339</v>
      </c>
      <c r="P910" s="2" t="s">
        <v>91</v>
      </c>
      <c r="Q910" s="2" t="s">
        <v>2893</v>
      </c>
      <c r="R910" s="2" t="s">
        <v>80</v>
      </c>
      <c r="S910" s="14">
        <v>43340</v>
      </c>
      <c r="U910" s="2" t="s">
        <v>1273</v>
      </c>
      <c r="V910" s="2" t="s">
        <v>2819</v>
      </c>
      <c r="W910" s="2" t="s">
        <v>98</v>
      </c>
      <c r="X910" s="13">
        <v>908</v>
      </c>
      <c r="Y910" s="2" t="s">
        <v>71</v>
      </c>
      <c r="Z910" s="2" t="s">
        <v>72</v>
      </c>
      <c r="AA910" s="13">
        <v>5000</v>
      </c>
      <c r="AB910" s="2" t="s">
        <v>73</v>
      </c>
      <c r="AC910" s="2" t="s">
        <v>6773</v>
      </c>
      <c r="AD910" s="27"/>
      <c r="AL910" s="2" t="s">
        <v>5590</v>
      </c>
    </row>
    <row r="911" spans="1:38" hidden="1" x14ac:dyDescent="0.2">
      <c r="A911" s="2" t="s">
        <v>2773</v>
      </c>
      <c r="B911" s="2" t="s">
        <v>4627</v>
      </c>
      <c r="C911" s="2" t="s">
        <v>2793</v>
      </c>
      <c r="D911" s="2" t="s">
        <v>2794</v>
      </c>
      <c r="E911" s="16">
        <v>40799.998</v>
      </c>
      <c r="F911" s="16">
        <v>40799.998</v>
      </c>
      <c r="G911" s="14">
        <v>43338</v>
      </c>
      <c r="H911" s="15">
        <v>2.0833333333330002E-2</v>
      </c>
      <c r="I911" s="14">
        <v>43339</v>
      </c>
      <c r="J911" s="15">
        <v>0.89307870370370002</v>
      </c>
      <c r="K911" s="13">
        <v>0</v>
      </c>
      <c r="L911" s="2" t="s">
        <v>64</v>
      </c>
      <c r="M911" s="2" t="s">
        <v>2894</v>
      </c>
      <c r="N911" s="14">
        <v>43360</v>
      </c>
      <c r="O911" s="14">
        <v>43359</v>
      </c>
      <c r="P911" s="2" t="s">
        <v>91</v>
      </c>
      <c r="Q911" s="2" t="s">
        <v>4628</v>
      </c>
      <c r="R911" s="2" t="s">
        <v>80</v>
      </c>
      <c r="S911" s="14">
        <v>43360</v>
      </c>
      <c r="U911" s="2" t="s">
        <v>2797</v>
      </c>
      <c r="V911" s="2" t="s">
        <v>2798</v>
      </c>
      <c r="W911" s="2" t="s">
        <v>2799</v>
      </c>
      <c r="X911" s="13">
        <v>908</v>
      </c>
      <c r="Y911" s="2" t="s">
        <v>71</v>
      </c>
      <c r="Z911" s="2" t="s">
        <v>72</v>
      </c>
      <c r="AA911" s="13">
        <v>40000</v>
      </c>
      <c r="AB911" s="2" t="s">
        <v>73</v>
      </c>
      <c r="AC911" s="2" t="s">
        <v>6773</v>
      </c>
      <c r="AD911" s="27"/>
      <c r="AL911" s="2" t="s">
        <v>5591</v>
      </c>
    </row>
    <row r="912" spans="1:38" hidden="1" x14ac:dyDescent="0.2">
      <c r="A912" s="2" t="s">
        <v>2773</v>
      </c>
      <c r="B912" s="2" t="s">
        <v>2895</v>
      </c>
      <c r="C912" s="2" t="s">
        <v>2342</v>
      </c>
      <c r="D912" s="2" t="s">
        <v>2343</v>
      </c>
      <c r="E912" s="13">
        <v>5067</v>
      </c>
      <c r="F912" s="13">
        <v>5067</v>
      </c>
      <c r="G912" s="14">
        <v>43340</v>
      </c>
      <c r="H912" s="15">
        <v>0.82888888888889001</v>
      </c>
      <c r="I912" s="14">
        <v>43341</v>
      </c>
      <c r="J912" s="15">
        <v>6.1400462962959999E-2</v>
      </c>
      <c r="K912" s="13">
        <v>20</v>
      </c>
      <c r="L912" s="2" t="s">
        <v>64</v>
      </c>
      <c r="M912" s="2" t="s">
        <v>2896</v>
      </c>
      <c r="N912" s="14">
        <v>43347</v>
      </c>
      <c r="O912" s="14">
        <v>43343</v>
      </c>
      <c r="P912" s="2" t="s">
        <v>1971</v>
      </c>
      <c r="Q912" s="2" t="s">
        <v>2897</v>
      </c>
      <c r="R912" s="2" t="s">
        <v>80</v>
      </c>
      <c r="S912" s="14">
        <v>43347</v>
      </c>
      <c r="U912" s="2" t="s">
        <v>1273</v>
      </c>
      <c r="V912" s="2" t="s">
        <v>2345</v>
      </c>
      <c r="W912" s="2" t="s">
        <v>70</v>
      </c>
      <c r="X912" s="13">
        <v>908</v>
      </c>
      <c r="Y912" s="2" t="s">
        <v>71</v>
      </c>
      <c r="Z912" s="2" t="s">
        <v>72</v>
      </c>
      <c r="AA912" s="13">
        <v>5000</v>
      </c>
      <c r="AB912" s="2" t="s">
        <v>73</v>
      </c>
      <c r="AC912" s="2" t="s">
        <v>6773</v>
      </c>
      <c r="AD912" s="27"/>
      <c r="AL912" s="2" t="s">
        <v>5592</v>
      </c>
    </row>
    <row r="913" spans="1:38" hidden="1" x14ac:dyDescent="0.2">
      <c r="A913" s="2" t="s">
        <v>2773</v>
      </c>
      <c r="B913" s="2" t="s">
        <v>2898</v>
      </c>
      <c r="C913" s="2" t="s">
        <v>2775</v>
      </c>
      <c r="D913" s="2" t="s">
        <v>2776</v>
      </c>
      <c r="E913" s="13">
        <v>20000</v>
      </c>
      <c r="F913" s="13">
        <v>20000</v>
      </c>
      <c r="G913" s="14">
        <v>43341</v>
      </c>
      <c r="H913" s="15">
        <v>8.2233796296299996E-2</v>
      </c>
      <c r="I913" s="14">
        <v>43342</v>
      </c>
      <c r="J913" s="15">
        <v>0</v>
      </c>
      <c r="K913" s="13">
        <v>0</v>
      </c>
      <c r="L913" s="2" t="s">
        <v>64</v>
      </c>
      <c r="M913" s="2" t="s">
        <v>2777</v>
      </c>
      <c r="N913" s="14">
        <v>43346</v>
      </c>
      <c r="O913" s="14">
        <v>43343</v>
      </c>
      <c r="P913" s="2" t="s">
        <v>2002</v>
      </c>
      <c r="Q913" s="2" t="s">
        <v>2901</v>
      </c>
      <c r="R913" s="2" t="s">
        <v>80</v>
      </c>
      <c r="S913" s="14">
        <v>43347</v>
      </c>
      <c r="U913" s="2" t="s">
        <v>1324</v>
      </c>
      <c r="V913" s="2" t="s">
        <v>69</v>
      </c>
      <c r="W913" s="2" t="s">
        <v>70</v>
      </c>
      <c r="X913" s="13">
        <v>0</v>
      </c>
      <c r="Y913" s="2" t="s">
        <v>71</v>
      </c>
      <c r="Z913" s="2" t="s">
        <v>72</v>
      </c>
      <c r="AA913" s="13">
        <v>20000</v>
      </c>
      <c r="AB913" s="2" t="s">
        <v>95</v>
      </c>
      <c r="AC913" s="2" t="s">
        <v>6772</v>
      </c>
      <c r="AD913" s="27"/>
      <c r="AL913" s="2" t="s">
        <v>5593</v>
      </c>
    </row>
    <row r="914" spans="1:38" hidden="1" x14ac:dyDescent="0.2">
      <c r="A914" s="2" t="s">
        <v>2773</v>
      </c>
      <c r="B914" s="2" t="s">
        <v>2900</v>
      </c>
      <c r="C914" s="2" t="s">
        <v>2775</v>
      </c>
      <c r="D914" s="2" t="s">
        <v>2776</v>
      </c>
      <c r="E914" s="13">
        <v>20000</v>
      </c>
      <c r="F914" s="13">
        <v>20000</v>
      </c>
      <c r="G914" s="14">
        <v>43342</v>
      </c>
      <c r="H914" s="15">
        <v>8.2233796296299996E-2</v>
      </c>
      <c r="I914" s="14">
        <v>43343</v>
      </c>
      <c r="J914" s="15">
        <v>0</v>
      </c>
      <c r="K914" s="13">
        <v>0</v>
      </c>
      <c r="L914" s="2" t="s">
        <v>64</v>
      </c>
      <c r="M914" s="2" t="s">
        <v>2777</v>
      </c>
      <c r="N914" s="14">
        <v>43345</v>
      </c>
      <c r="O914" s="14">
        <v>43344</v>
      </c>
      <c r="P914" s="2" t="s">
        <v>2002</v>
      </c>
      <c r="Q914" s="2" t="s">
        <v>2903</v>
      </c>
      <c r="R914" s="2" t="s">
        <v>80</v>
      </c>
      <c r="S914" s="14">
        <v>43347</v>
      </c>
      <c r="U914" s="2" t="s">
        <v>1324</v>
      </c>
      <c r="V914" s="2" t="s">
        <v>69</v>
      </c>
      <c r="W914" s="2" t="s">
        <v>70</v>
      </c>
      <c r="X914" s="13">
        <v>0</v>
      </c>
      <c r="Y914" s="2" t="s">
        <v>71</v>
      </c>
      <c r="Z914" s="2" t="s">
        <v>72</v>
      </c>
      <c r="AA914" s="13">
        <v>20000</v>
      </c>
      <c r="AB914" s="2" t="s">
        <v>95</v>
      </c>
      <c r="AC914" s="2" t="s">
        <v>6772</v>
      </c>
      <c r="AD914" s="27"/>
      <c r="AL914" s="2" t="s">
        <v>5594</v>
      </c>
    </row>
    <row r="915" spans="1:38" hidden="1" x14ac:dyDescent="0.2">
      <c r="A915" s="2" t="s">
        <v>2773</v>
      </c>
      <c r="B915" s="2" t="s">
        <v>2902</v>
      </c>
      <c r="C915" s="2" t="s">
        <v>2775</v>
      </c>
      <c r="D915" s="2" t="s">
        <v>2776</v>
      </c>
      <c r="E915" s="13">
        <v>20000</v>
      </c>
      <c r="F915" s="13">
        <v>20000</v>
      </c>
      <c r="G915" s="14">
        <v>43343</v>
      </c>
      <c r="H915" s="15">
        <v>8.2233796296299996E-2</v>
      </c>
      <c r="I915" s="14">
        <v>43344</v>
      </c>
      <c r="J915" s="15">
        <v>0</v>
      </c>
      <c r="K915" s="13">
        <v>0</v>
      </c>
      <c r="L915" s="2" t="s">
        <v>64</v>
      </c>
      <c r="M915" s="2" t="s">
        <v>2777</v>
      </c>
      <c r="N915" s="14">
        <v>43346</v>
      </c>
      <c r="O915" s="14">
        <v>43345</v>
      </c>
      <c r="P915" s="2" t="s">
        <v>2002</v>
      </c>
      <c r="Q915" s="2" t="s">
        <v>2905</v>
      </c>
      <c r="R915" s="2" t="s">
        <v>80</v>
      </c>
      <c r="S915" s="14">
        <v>43349</v>
      </c>
      <c r="U915" s="2" t="s">
        <v>1324</v>
      </c>
      <c r="V915" s="2" t="s">
        <v>69</v>
      </c>
      <c r="W915" s="2" t="s">
        <v>70</v>
      </c>
      <c r="X915" s="13">
        <v>0</v>
      </c>
      <c r="Y915" s="2" t="s">
        <v>71</v>
      </c>
      <c r="Z915" s="2" t="s">
        <v>72</v>
      </c>
      <c r="AA915" s="13">
        <v>20000</v>
      </c>
      <c r="AB915" s="2" t="s">
        <v>95</v>
      </c>
      <c r="AC915" s="2" t="s">
        <v>6772</v>
      </c>
      <c r="AD915" s="27"/>
      <c r="AL915" s="2" t="s">
        <v>5595</v>
      </c>
    </row>
    <row r="916" spans="1:38" hidden="1" x14ac:dyDescent="0.2">
      <c r="A916" s="2" t="s">
        <v>2773</v>
      </c>
      <c r="B916" s="2" t="s">
        <v>2904</v>
      </c>
      <c r="C916" s="2" t="s">
        <v>2775</v>
      </c>
      <c r="D916" s="2" t="s">
        <v>2776</v>
      </c>
      <c r="E916" s="13">
        <v>20000</v>
      </c>
      <c r="F916" s="13">
        <v>20000</v>
      </c>
      <c r="G916" s="14">
        <v>43344</v>
      </c>
      <c r="H916" s="15">
        <v>8.2233796296299996E-2</v>
      </c>
      <c r="I916" s="14">
        <v>43345</v>
      </c>
      <c r="J916" s="15">
        <v>0</v>
      </c>
      <c r="K916" s="13">
        <v>0</v>
      </c>
      <c r="L916" s="2" t="s">
        <v>64</v>
      </c>
      <c r="M916" s="2" t="s">
        <v>2777</v>
      </c>
      <c r="N916" s="14">
        <v>43347</v>
      </c>
      <c r="O916" s="14">
        <v>43346</v>
      </c>
      <c r="P916" s="2" t="s">
        <v>2002</v>
      </c>
      <c r="Q916" s="2" t="s">
        <v>2907</v>
      </c>
      <c r="R916" s="2" t="s">
        <v>80</v>
      </c>
      <c r="S916" s="14">
        <v>43349</v>
      </c>
      <c r="U916" s="2" t="s">
        <v>1324</v>
      </c>
      <c r="V916" s="2" t="s">
        <v>69</v>
      </c>
      <c r="W916" s="2" t="s">
        <v>70</v>
      </c>
      <c r="X916" s="13">
        <v>0</v>
      </c>
      <c r="Y916" s="2" t="s">
        <v>71</v>
      </c>
      <c r="Z916" s="2" t="s">
        <v>72</v>
      </c>
      <c r="AA916" s="13">
        <v>20000</v>
      </c>
      <c r="AB916" s="2" t="s">
        <v>95</v>
      </c>
      <c r="AC916" s="2" t="s">
        <v>6772</v>
      </c>
      <c r="AD916" s="27"/>
      <c r="AL916" s="2" t="s">
        <v>5596</v>
      </c>
    </row>
    <row r="917" spans="1:38" hidden="1" x14ac:dyDescent="0.2">
      <c r="A917" s="2" t="s">
        <v>2773</v>
      </c>
      <c r="B917" s="2" t="s">
        <v>2906</v>
      </c>
      <c r="C917" s="2" t="s">
        <v>2775</v>
      </c>
      <c r="D917" s="2" t="s">
        <v>2776</v>
      </c>
      <c r="E917" s="13">
        <v>20000</v>
      </c>
      <c r="F917" s="13">
        <v>20000</v>
      </c>
      <c r="G917" s="14">
        <v>43346</v>
      </c>
      <c r="H917" s="15">
        <v>8.2233796296299996E-2</v>
      </c>
      <c r="I917" s="14">
        <v>43347</v>
      </c>
      <c r="J917" s="15">
        <v>0</v>
      </c>
      <c r="K917" s="13">
        <v>0</v>
      </c>
      <c r="L917" s="2" t="s">
        <v>64</v>
      </c>
      <c r="M917" s="2" t="s">
        <v>2777</v>
      </c>
      <c r="N917" s="14">
        <v>43349</v>
      </c>
      <c r="O917" s="14">
        <v>43348</v>
      </c>
      <c r="P917" s="2" t="s">
        <v>2002</v>
      </c>
      <c r="Q917" s="2" t="s">
        <v>2909</v>
      </c>
      <c r="R917" s="2" t="s">
        <v>80</v>
      </c>
      <c r="S917" s="14">
        <v>43349</v>
      </c>
      <c r="U917" s="2" t="s">
        <v>1324</v>
      </c>
      <c r="V917" s="2" t="s">
        <v>69</v>
      </c>
      <c r="W917" s="2" t="s">
        <v>70</v>
      </c>
      <c r="X917" s="13">
        <v>0</v>
      </c>
      <c r="Y917" s="2" t="s">
        <v>71</v>
      </c>
      <c r="Z917" s="2" t="s">
        <v>72</v>
      </c>
      <c r="AA917" s="13">
        <v>20000</v>
      </c>
      <c r="AB917" s="2" t="s">
        <v>95</v>
      </c>
      <c r="AC917" s="2" t="s">
        <v>6772</v>
      </c>
      <c r="AD917" s="27"/>
      <c r="AL917" s="2" t="s">
        <v>5597</v>
      </c>
    </row>
    <row r="918" spans="1:38" hidden="1" x14ac:dyDescent="0.2">
      <c r="A918" s="2" t="s">
        <v>2773</v>
      </c>
      <c r="B918" s="2" t="s">
        <v>2908</v>
      </c>
      <c r="C918" s="2" t="s">
        <v>2775</v>
      </c>
      <c r="D918" s="2" t="s">
        <v>2776</v>
      </c>
      <c r="E918" s="13">
        <v>20000</v>
      </c>
      <c r="F918" s="13">
        <v>20000</v>
      </c>
      <c r="G918" s="14">
        <v>43347</v>
      </c>
      <c r="H918" s="15">
        <v>8.2233796296299996E-2</v>
      </c>
      <c r="I918" s="14">
        <v>43348</v>
      </c>
      <c r="J918" s="15">
        <v>0</v>
      </c>
      <c r="K918" s="13">
        <v>0</v>
      </c>
      <c r="L918" s="2" t="s">
        <v>64</v>
      </c>
      <c r="M918" s="2" t="s">
        <v>2777</v>
      </c>
      <c r="N918" s="14">
        <v>43350</v>
      </c>
      <c r="O918" s="14">
        <v>43349</v>
      </c>
      <c r="P918" s="2" t="s">
        <v>2002</v>
      </c>
      <c r="Q918" s="2" t="s">
        <v>2911</v>
      </c>
      <c r="R918" s="2" t="s">
        <v>80</v>
      </c>
      <c r="S918" s="14">
        <v>43354</v>
      </c>
      <c r="U918" s="2" t="s">
        <v>1324</v>
      </c>
      <c r="V918" s="2" t="s">
        <v>69</v>
      </c>
      <c r="W918" s="2" t="s">
        <v>70</v>
      </c>
      <c r="X918" s="13">
        <v>0</v>
      </c>
      <c r="Y918" s="2" t="s">
        <v>71</v>
      </c>
      <c r="Z918" s="2" t="s">
        <v>72</v>
      </c>
      <c r="AA918" s="13">
        <v>20000</v>
      </c>
      <c r="AB918" s="2" t="s">
        <v>95</v>
      </c>
      <c r="AC918" s="2" t="s">
        <v>6772</v>
      </c>
      <c r="AD918" s="27"/>
      <c r="AL918" s="2" t="s">
        <v>5598</v>
      </c>
    </row>
    <row r="919" spans="1:38" hidden="1" x14ac:dyDescent="0.2">
      <c r="A919" s="2" t="s">
        <v>2773</v>
      </c>
      <c r="B919" s="2" t="s">
        <v>2910</v>
      </c>
      <c r="C919" s="2" t="s">
        <v>2775</v>
      </c>
      <c r="D919" s="2" t="s">
        <v>2776</v>
      </c>
      <c r="E919" s="13">
        <v>20000</v>
      </c>
      <c r="F919" s="13">
        <v>20000</v>
      </c>
      <c r="G919" s="14">
        <v>43348</v>
      </c>
      <c r="H919" s="15">
        <v>8.2233796296299996E-2</v>
      </c>
      <c r="I919" s="14">
        <v>43349</v>
      </c>
      <c r="J919" s="15">
        <v>0</v>
      </c>
      <c r="K919" s="13">
        <v>0</v>
      </c>
      <c r="L919" s="2" t="s">
        <v>64</v>
      </c>
      <c r="M919" s="2" t="s">
        <v>2777</v>
      </c>
      <c r="N919" s="14">
        <v>43351</v>
      </c>
      <c r="O919" s="14">
        <v>43350</v>
      </c>
      <c r="P919" s="2" t="s">
        <v>2002</v>
      </c>
      <c r="Q919" s="2" t="s">
        <v>2913</v>
      </c>
      <c r="R919" s="2" t="s">
        <v>80</v>
      </c>
      <c r="S919" s="14">
        <v>43354</v>
      </c>
      <c r="U919" s="2" t="s">
        <v>1324</v>
      </c>
      <c r="V919" s="2" t="s">
        <v>69</v>
      </c>
      <c r="W919" s="2" t="s">
        <v>70</v>
      </c>
      <c r="X919" s="13">
        <v>0</v>
      </c>
      <c r="Y919" s="2" t="s">
        <v>71</v>
      </c>
      <c r="Z919" s="2" t="s">
        <v>72</v>
      </c>
      <c r="AA919" s="13">
        <v>20000</v>
      </c>
      <c r="AB919" s="2" t="s">
        <v>95</v>
      </c>
      <c r="AC919" s="2" t="s">
        <v>6772</v>
      </c>
      <c r="AD919" s="27"/>
      <c r="AL919" s="2" t="s">
        <v>5599</v>
      </c>
    </row>
    <row r="920" spans="1:38" hidden="1" x14ac:dyDescent="0.2">
      <c r="A920" s="2" t="s">
        <v>2773</v>
      </c>
      <c r="B920" s="2" t="s">
        <v>2912</v>
      </c>
      <c r="C920" s="2" t="s">
        <v>2775</v>
      </c>
      <c r="D920" s="2" t="s">
        <v>2776</v>
      </c>
      <c r="E920" s="13">
        <v>20000</v>
      </c>
      <c r="F920" s="13">
        <v>20000</v>
      </c>
      <c r="G920" s="14">
        <v>43350</v>
      </c>
      <c r="H920" s="15">
        <v>8.2233796296299996E-2</v>
      </c>
      <c r="I920" s="14">
        <v>43351</v>
      </c>
      <c r="J920" s="15">
        <v>0</v>
      </c>
      <c r="K920" s="13">
        <v>0</v>
      </c>
      <c r="L920" s="2" t="s">
        <v>64</v>
      </c>
      <c r="M920" s="2" t="s">
        <v>2777</v>
      </c>
      <c r="N920" s="14">
        <v>43358</v>
      </c>
      <c r="O920" s="14">
        <v>43352</v>
      </c>
      <c r="P920" s="2" t="s">
        <v>2002</v>
      </c>
      <c r="Q920" s="2" t="s">
        <v>2915</v>
      </c>
      <c r="R920" s="2" t="s">
        <v>80</v>
      </c>
      <c r="S920" s="14">
        <v>43356</v>
      </c>
      <c r="U920" s="2" t="s">
        <v>1324</v>
      </c>
      <c r="V920" s="2" t="s">
        <v>69</v>
      </c>
      <c r="W920" s="2" t="s">
        <v>70</v>
      </c>
      <c r="X920" s="13">
        <v>0</v>
      </c>
      <c r="Y920" s="2" t="s">
        <v>71</v>
      </c>
      <c r="Z920" s="2" t="s">
        <v>72</v>
      </c>
      <c r="AA920" s="13">
        <v>20000</v>
      </c>
      <c r="AB920" s="2" t="s">
        <v>95</v>
      </c>
      <c r="AC920" s="2" t="s">
        <v>6772</v>
      </c>
      <c r="AD920" s="27"/>
      <c r="AL920" s="2" t="s">
        <v>5600</v>
      </c>
    </row>
    <row r="921" spans="1:38" hidden="1" x14ac:dyDescent="0.2">
      <c r="A921" s="2" t="s">
        <v>2773</v>
      </c>
      <c r="B921" s="2" t="s">
        <v>2914</v>
      </c>
      <c r="C921" s="2" t="s">
        <v>2775</v>
      </c>
      <c r="D921" s="2" t="s">
        <v>2776</v>
      </c>
      <c r="E921" s="13">
        <v>20000</v>
      </c>
      <c r="F921" s="13">
        <v>20000</v>
      </c>
      <c r="G921" s="14">
        <v>43352</v>
      </c>
      <c r="H921" s="15">
        <v>8.2233796296299996E-2</v>
      </c>
      <c r="I921" s="14">
        <v>43353</v>
      </c>
      <c r="J921" s="15">
        <v>0</v>
      </c>
      <c r="K921" s="13">
        <v>0</v>
      </c>
      <c r="L921" s="2" t="s">
        <v>64</v>
      </c>
      <c r="M921" s="2" t="s">
        <v>2777</v>
      </c>
      <c r="N921" s="14">
        <v>43356</v>
      </c>
      <c r="O921" s="14">
        <v>43354</v>
      </c>
      <c r="P921" s="2" t="s">
        <v>2002</v>
      </c>
      <c r="Q921" s="2" t="s">
        <v>2917</v>
      </c>
      <c r="R921" s="2" t="s">
        <v>80</v>
      </c>
      <c r="S921" s="14">
        <v>43361</v>
      </c>
      <c r="U921" s="2" t="s">
        <v>1324</v>
      </c>
      <c r="V921" s="2" t="s">
        <v>69</v>
      </c>
      <c r="W921" s="2" t="s">
        <v>70</v>
      </c>
      <c r="X921" s="13">
        <v>0</v>
      </c>
      <c r="Y921" s="2" t="s">
        <v>71</v>
      </c>
      <c r="Z921" s="2" t="s">
        <v>72</v>
      </c>
      <c r="AA921" s="13">
        <v>20000</v>
      </c>
      <c r="AB921" s="2" t="s">
        <v>95</v>
      </c>
      <c r="AC921" s="2" t="s">
        <v>6772</v>
      </c>
      <c r="AD921" s="27"/>
      <c r="AL921" s="2" t="s">
        <v>5601</v>
      </c>
    </row>
    <row r="922" spans="1:38" hidden="1" x14ac:dyDescent="0.2">
      <c r="A922" s="2" t="s">
        <v>2773</v>
      </c>
      <c r="B922" s="2" t="s">
        <v>2916</v>
      </c>
      <c r="C922" s="2" t="s">
        <v>2775</v>
      </c>
      <c r="D922" s="2" t="s">
        <v>2776</v>
      </c>
      <c r="E922" s="13">
        <v>20000</v>
      </c>
      <c r="F922" s="13">
        <v>20000</v>
      </c>
      <c r="G922" s="14">
        <v>43353</v>
      </c>
      <c r="H922" s="15">
        <v>8.2233796296299996E-2</v>
      </c>
      <c r="I922" s="14">
        <v>43354</v>
      </c>
      <c r="J922" s="15">
        <v>0</v>
      </c>
      <c r="K922" s="13">
        <v>0</v>
      </c>
      <c r="L922" s="2" t="s">
        <v>64</v>
      </c>
      <c r="M922" s="2" t="s">
        <v>2777</v>
      </c>
      <c r="N922" s="14">
        <v>43357</v>
      </c>
      <c r="O922" s="14">
        <v>43355</v>
      </c>
      <c r="P922" s="2" t="s">
        <v>2002</v>
      </c>
      <c r="Q922" s="2" t="s">
        <v>2919</v>
      </c>
      <c r="R922" s="2" t="s">
        <v>80</v>
      </c>
      <c r="S922" s="14">
        <v>43361</v>
      </c>
      <c r="U922" s="2" t="s">
        <v>1324</v>
      </c>
      <c r="V922" s="2" t="s">
        <v>69</v>
      </c>
      <c r="W922" s="2" t="s">
        <v>70</v>
      </c>
      <c r="X922" s="13">
        <v>0</v>
      </c>
      <c r="Y922" s="2" t="s">
        <v>71</v>
      </c>
      <c r="Z922" s="2" t="s">
        <v>72</v>
      </c>
      <c r="AA922" s="13">
        <v>20000</v>
      </c>
      <c r="AB922" s="2" t="s">
        <v>95</v>
      </c>
      <c r="AC922" s="2" t="s">
        <v>6772</v>
      </c>
      <c r="AD922" s="27"/>
      <c r="AL922" s="2" t="s">
        <v>5602</v>
      </c>
    </row>
    <row r="923" spans="1:38" hidden="1" x14ac:dyDescent="0.2">
      <c r="A923" s="2" t="s">
        <v>2773</v>
      </c>
      <c r="B923" s="2" t="s">
        <v>2918</v>
      </c>
      <c r="C923" s="2" t="s">
        <v>2775</v>
      </c>
      <c r="D923" s="2" t="s">
        <v>2776</v>
      </c>
      <c r="E923" s="13">
        <v>20000</v>
      </c>
      <c r="F923" s="13">
        <v>20000</v>
      </c>
      <c r="G923" s="14">
        <v>43355</v>
      </c>
      <c r="H923" s="15">
        <v>8.2233796296299996E-2</v>
      </c>
      <c r="I923" s="14">
        <v>43356</v>
      </c>
      <c r="J923" s="15">
        <v>0</v>
      </c>
      <c r="K923" s="13">
        <v>0</v>
      </c>
      <c r="L923" s="2" t="s">
        <v>64</v>
      </c>
      <c r="M923" s="2" t="s">
        <v>2777</v>
      </c>
      <c r="N923" s="14">
        <v>43358</v>
      </c>
      <c r="O923" s="14">
        <v>43357</v>
      </c>
      <c r="P923" s="2" t="s">
        <v>2002</v>
      </c>
      <c r="Q923" s="2" t="s">
        <v>7030</v>
      </c>
      <c r="R923" s="2" t="s">
        <v>80</v>
      </c>
      <c r="S923" s="14">
        <v>43363</v>
      </c>
      <c r="U923" s="2" t="s">
        <v>1324</v>
      </c>
      <c r="V923" s="2" t="s">
        <v>69</v>
      </c>
      <c r="W923" s="2" t="s">
        <v>70</v>
      </c>
      <c r="X923" s="13">
        <v>0</v>
      </c>
      <c r="Y923" s="2" t="s">
        <v>71</v>
      </c>
      <c r="Z923" s="2" t="s">
        <v>72</v>
      </c>
      <c r="AA923" s="13">
        <v>20000</v>
      </c>
      <c r="AB923" s="2" t="s">
        <v>95</v>
      </c>
      <c r="AC923" s="2" t="s">
        <v>6772</v>
      </c>
      <c r="AD923" s="27"/>
      <c r="AL923" s="2" t="s">
        <v>5603</v>
      </c>
    </row>
    <row r="924" spans="1:38" hidden="1" x14ac:dyDescent="0.2">
      <c r="A924" s="2" t="s">
        <v>2773</v>
      </c>
      <c r="B924" s="2" t="s">
        <v>2920</v>
      </c>
      <c r="C924" s="2" t="s">
        <v>2775</v>
      </c>
      <c r="D924" s="2" t="s">
        <v>2776</v>
      </c>
      <c r="E924" s="13">
        <v>20000</v>
      </c>
      <c r="F924" s="13">
        <v>20000</v>
      </c>
      <c r="G924" s="14">
        <v>43357</v>
      </c>
      <c r="H924" s="15">
        <v>8.2233796296299996E-2</v>
      </c>
      <c r="I924" s="14">
        <v>43358</v>
      </c>
      <c r="J924" s="15">
        <v>0</v>
      </c>
      <c r="K924" s="13">
        <v>0</v>
      </c>
      <c r="L924" s="2" t="s">
        <v>64</v>
      </c>
      <c r="M924" s="2" t="s">
        <v>2777</v>
      </c>
      <c r="N924" s="14">
        <v>43361</v>
      </c>
      <c r="O924" s="14">
        <v>43359</v>
      </c>
      <c r="P924" s="2" t="s">
        <v>2002</v>
      </c>
      <c r="Q924" s="2" t="s">
        <v>7031</v>
      </c>
      <c r="R924" s="2" t="s">
        <v>80</v>
      </c>
      <c r="S924" s="14">
        <v>43363</v>
      </c>
      <c r="U924" s="2" t="s">
        <v>1324</v>
      </c>
      <c r="V924" s="2" t="s">
        <v>69</v>
      </c>
      <c r="W924" s="2" t="s">
        <v>70</v>
      </c>
      <c r="X924" s="13">
        <v>0</v>
      </c>
      <c r="Y924" s="2" t="s">
        <v>71</v>
      </c>
      <c r="Z924" s="2" t="s">
        <v>72</v>
      </c>
      <c r="AA924" s="13">
        <v>20000</v>
      </c>
      <c r="AB924" s="2" t="s">
        <v>95</v>
      </c>
      <c r="AC924" s="2" t="s">
        <v>6772</v>
      </c>
      <c r="AD924" s="27"/>
      <c r="AL924" s="2" t="s">
        <v>5604</v>
      </c>
    </row>
    <row r="925" spans="1:38" hidden="1" x14ac:dyDescent="0.2">
      <c r="A925" s="2" t="s">
        <v>2773</v>
      </c>
      <c r="B925" s="2" t="s">
        <v>4629</v>
      </c>
      <c r="C925" s="2" t="s">
        <v>2131</v>
      </c>
      <c r="D925" s="2" t="s">
        <v>2132</v>
      </c>
      <c r="E925" s="16">
        <v>8243.741</v>
      </c>
      <c r="F925" s="16">
        <v>8243.741</v>
      </c>
      <c r="G925" s="14">
        <v>43358</v>
      </c>
      <c r="H925" s="15">
        <v>0.62171296296295997</v>
      </c>
      <c r="I925" s="14">
        <v>43359</v>
      </c>
      <c r="J925" s="15">
        <v>0</v>
      </c>
      <c r="K925" s="13">
        <v>20</v>
      </c>
      <c r="L925" s="2" t="s">
        <v>64</v>
      </c>
      <c r="M925" s="2" t="s">
        <v>7032</v>
      </c>
      <c r="N925" s="14">
        <v>43361</v>
      </c>
      <c r="O925" s="14">
        <v>43360</v>
      </c>
      <c r="P925" s="2" t="s">
        <v>2002</v>
      </c>
      <c r="Q925" s="2" t="s">
        <v>2133</v>
      </c>
      <c r="R925" s="2" t="s">
        <v>80</v>
      </c>
      <c r="S925" s="14">
        <v>43361</v>
      </c>
      <c r="U925" s="2" t="s">
        <v>1355</v>
      </c>
      <c r="V925" s="2" t="s">
        <v>69</v>
      </c>
      <c r="W925" s="2" t="s">
        <v>70</v>
      </c>
      <c r="X925" s="13">
        <v>908</v>
      </c>
      <c r="Y925" s="2" t="s">
        <v>71</v>
      </c>
      <c r="Z925" s="2" t="s">
        <v>72</v>
      </c>
      <c r="AA925" s="16">
        <v>8005.1859999999997</v>
      </c>
      <c r="AB925" s="2" t="s">
        <v>73</v>
      </c>
      <c r="AC925" s="2" t="s">
        <v>6773</v>
      </c>
      <c r="AD925" s="27"/>
      <c r="AL925" s="2" t="s">
        <v>7303</v>
      </c>
    </row>
    <row r="926" spans="1:38" hidden="1" x14ac:dyDescent="0.2">
      <c r="A926" s="2" t="s">
        <v>2773</v>
      </c>
      <c r="B926" s="2" t="s">
        <v>2921</v>
      </c>
      <c r="C926" s="2" t="s">
        <v>2881</v>
      </c>
      <c r="D926" s="2" t="s">
        <v>2882</v>
      </c>
      <c r="E926" s="13">
        <v>19000</v>
      </c>
      <c r="F926" s="13">
        <v>19000</v>
      </c>
      <c r="G926" s="14">
        <v>43366</v>
      </c>
      <c r="H926" s="15">
        <v>0.12812499999999999</v>
      </c>
      <c r="I926" s="14">
        <v>43367</v>
      </c>
      <c r="J926" s="15">
        <v>0</v>
      </c>
      <c r="K926" s="13">
        <v>20</v>
      </c>
      <c r="L926" s="2" t="s">
        <v>64</v>
      </c>
      <c r="M926" s="2" t="s">
        <v>2883</v>
      </c>
      <c r="N926" s="14">
        <v>43367</v>
      </c>
      <c r="O926" s="14">
        <v>43367</v>
      </c>
      <c r="P926" s="2" t="s">
        <v>91</v>
      </c>
      <c r="Q926" s="2" t="s">
        <v>2922</v>
      </c>
      <c r="R926" s="2" t="s">
        <v>80</v>
      </c>
      <c r="S926" s="14">
        <v>43367</v>
      </c>
      <c r="U926" s="2" t="s">
        <v>2885</v>
      </c>
      <c r="V926" s="2" t="s">
        <v>1933</v>
      </c>
      <c r="W926" s="2" t="s">
        <v>70</v>
      </c>
      <c r="X926" s="13">
        <v>908</v>
      </c>
      <c r="Y926" s="2" t="s">
        <v>71</v>
      </c>
      <c r="Z926" s="2" t="s">
        <v>72</v>
      </c>
      <c r="AA926" s="13">
        <v>19000</v>
      </c>
      <c r="AB926" s="2" t="s">
        <v>73</v>
      </c>
      <c r="AC926" s="2" t="s">
        <v>6773</v>
      </c>
      <c r="AD926" s="27"/>
      <c r="AL926" s="2" t="s">
        <v>5605</v>
      </c>
    </row>
    <row r="927" spans="1:38" hidden="1" x14ac:dyDescent="0.2">
      <c r="A927" s="2" t="s">
        <v>2773</v>
      </c>
      <c r="B927" s="2" t="s">
        <v>4630</v>
      </c>
      <c r="C927" s="2" t="s">
        <v>2881</v>
      </c>
      <c r="D927" s="2" t="s">
        <v>2882</v>
      </c>
      <c r="E927" s="13">
        <v>20000</v>
      </c>
      <c r="F927" s="13">
        <v>20000</v>
      </c>
      <c r="G927" s="14">
        <v>43376</v>
      </c>
      <c r="H927" s="15">
        <v>8.2233796296299996E-2</v>
      </c>
      <c r="I927" s="14">
        <v>43377</v>
      </c>
      <c r="J927" s="15">
        <v>0</v>
      </c>
      <c r="K927" s="13">
        <v>20</v>
      </c>
      <c r="L927" s="2" t="s">
        <v>64</v>
      </c>
      <c r="M927" s="2" t="s">
        <v>2777</v>
      </c>
      <c r="N927" s="14">
        <v>43377</v>
      </c>
      <c r="O927" s="14">
        <v>43377</v>
      </c>
      <c r="P927" s="2" t="s">
        <v>91</v>
      </c>
      <c r="Q927" s="2" t="s">
        <v>4631</v>
      </c>
      <c r="R927" s="2" t="s">
        <v>80</v>
      </c>
      <c r="S927" s="14">
        <v>43377</v>
      </c>
      <c r="U927" s="2" t="s">
        <v>2885</v>
      </c>
      <c r="V927" s="2" t="s">
        <v>1933</v>
      </c>
      <c r="W927" s="2" t="s">
        <v>70</v>
      </c>
      <c r="X927" s="13">
        <v>908</v>
      </c>
      <c r="Y927" s="2" t="s">
        <v>71</v>
      </c>
      <c r="Z927" s="2" t="s">
        <v>72</v>
      </c>
      <c r="AA927" s="13">
        <v>20000</v>
      </c>
      <c r="AB927" s="2" t="s">
        <v>73</v>
      </c>
      <c r="AC927" s="2" t="s">
        <v>6773</v>
      </c>
      <c r="AD927" s="27"/>
      <c r="AL927" s="2" t="s">
        <v>5606</v>
      </c>
    </row>
    <row r="928" spans="1:38" hidden="1" x14ac:dyDescent="0.2">
      <c r="A928" s="2" t="s">
        <v>2773</v>
      </c>
      <c r="B928" s="2" t="s">
        <v>4632</v>
      </c>
      <c r="C928" s="2" t="s">
        <v>2924</v>
      </c>
      <c r="D928" s="2" t="s">
        <v>2925</v>
      </c>
      <c r="E928" s="13">
        <v>10000</v>
      </c>
      <c r="F928" s="13">
        <v>10000</v>
      </c>
      <c r="G928" s="14">
        <v>43377</v>
      </c>
      <c r="H928" s="15">
        <v>0.54111111111110999</v>
      </c>
      <c r="I928" s="14">
        <v>43378</v>
      </c>
      <c r="J928" s="15">
        <v>0</v>
      </c>
      <c r="K928" s="13">
        <v>20</v>
      </c>
      <c r="L928" s="2" t="s">
        <v>64</v>
      </c>
      <c r="M928" s="2" t="s">
        <v>2860</v>
      </c>
      <c r="N928" s="14">
        <v>43383</v>
      </c>
      <c r="O928" s="14">
        <v>43379</v>
      </c>
      <c r="P928" s="2" t="s">
        <v>2002</v>
      </c>
      <c r="Q928" s="2" t="s">
        <v>4633</v>
      </c>
      <c r="R928" s="2" t="s">
        <v>80</v>
      </c>
      <c r="S928" s="14">
        <v>43383</v>
      </c>
      <c r="U928" s="2" t="s">
        <v>418</v>
      </c>
      <c r="V928" s="2" t="s">
        <v>69</v>
      </c>
      <c r="W928" s="2" t="s">
        <v>70</v>
      </c>
      <c r="X928" s="13">
        <v>908</v>
      </c>
      <c r="Y928" s="2" t="s">
        <v>71</v>
      </c>
      <c r="Z928" s="2" t="s">
        <v>72</v>
      </c>
      <c r="AA928" s="13">
        <v>10000</v>
      </c>
      <c r="AB928" s="2" t="s">
        <v>73</v>
      </c>
      <c r="AC928" s="2" t="s">
        <v>6773</v>
      </c>
      <c r="AD928" s="27"/>
      <c r="AL928" s="2" t="s">
        <v>7304</v>
      </c>
    </row>
    <row r="929" spans="1:38" hidden="1" x14ac:dyDescent="0.2">
      <c r="A929" s="2" t="s">
        <v>2927</v>
      </c>
      <c r="B929" s="2" t="s">
        <v>7033</v>
      </c>
      <c r="C929" s="2" t="s">
        <v>7034</v>
      </c>
      <c r="D929" s="2" t="s">
        <v>7035</v>
      </c>
      <c r="E929" s="13">
        <v>1090</v>
      </c>
      <c r="F929" s="13">
        <v>3090</v>
      </c>
      <c r="G929" s="14">
        <v>43287</v>
      </c>
      <c r="H929" s="15">
        <v>0</v>
      </c>
      <c r="I929" s="14">
        <v>43287</v>
      </c>
      <c r="J929" s="15">
        <v>0.15974537037037001</v>
      </c>
      <c r="K929" s="13">
        <v>0</v>
      </c>
      <c r="L929" s="2" t="s">
        <v>64</v>
      </c>
      <c r="M929" s="2" t="s">
        <v>7036</v>
      </c>
      <c r="N929" s="14">
        <v>43298</v>
      </c>
      <c r="O929" s="14">
        <v>43289</v>
      </c>
      <c r="P929" s="2" t="s">
        <v>1284</v>
      </c>
      <c r="Q929" s="2" t="s">
        <v>7037</v>
      </c>
      <c r="R929" s="2" t="s">
        <v>80</v>
      </c>
      <c r="S929" s="14">
        <v>43298</v>
      </c>
      <c r="T929" s="2" t="s">
        <v>7131</v>
      </c>
      <c r="U929" s="2" t="s">
        <v>511</v>
      </c>
      <c r="V929" s="2" t="s">
        <v>7038</v>
      </c>
      <c r="W929" s="2" t="s">
        <v>70</v>
      </c>
      <c r="X929" s="13">
        <v>806</v>
      </c>
      <c r="Y929" s="2" t="s">
        <v>71</v>
      </c>
      <c r="Z929" s="2" t="s">
        <v>72</v>
      </c>
      <c r="AA929" s="13">
        <v>1000</v>
      </c>
      <c r="AB929" s="2" t="s">
        <v>107</v>
      </c>
      <c r="AC929" s="2" t="s">
        <v>6773</v>
      </c>
      <c r="AD929" s="27">
        <v>43272</v>
      </c>
      <c r="AI929" s="2" t="s">
        <v>6153</v>
      </c>
      <c r="AL929" s="2" t="s">
        <v>7305</v>
      </c>
    </row>
    <row r="930" spans="1:38" hidden="1" x14ac:dyDescent="0.2">
      <c r="A930" s="2" t="s">
        <v>2927</v>
      </c>
      <c r="B930" s="2" t="s">
        <v>7039</v>
      </c>
      <c r="C930" s="2" t="s">
        <v>7040</v>
      </c>
      <c r="D930" s="2" t="s">
        <v>7041</v>
      </c>
      <c r="E930" s="13">
        <v>50</v>
      </c>
      <c r="F930" s="13">
        <v>5050</v>
      </c>
      <c r="G930" s="14">
        <v>43287</v>
      </c>
      <c r="H930" s="15">
        <v>0.22224537037037001</v>
      </c>
      <c r="I930" s="14">
        <v>43287</v>
      </c>
      <c r="J930" s="15">
        <v>0.48331018518518998</v>
      </c>
      <c r="K930" s="13">
        <v>0</v>
      </c>
      <c r="L930" s="2" t="s">
        <v>64</v>
      </c>
      <c r="M930" s="2" t="s">
        <v>2928</v>
      </c>
      <c r="N930" s="14">
        <v>43297</v>
      </c>
      <c r="O930" s="14">
        <v>43289</v>
      </c>
      <c r="P930" s="2" t="s">
        <v>2239</v>
      </c>
      <c r="Q930" s="2" t="s">
        <v>98</v>
      </c>
      <c r="R930" s="2" t="s">
        <v>131</v>
      </c>
      <c r="S930" s="14"/>
      <c r="T930" s="2" t="s">
        <v>7132</v>
      </c>
      <c r="U930" s="2" t="s">
        <v>1608</v>
      </c>
      <c r="V930" s="2" t="s">
        <v>81</v>
      </c>
      <c r="W930" s="2" t="s">
        <v>70</v>
      </c>
      <c r="X930" s="13">
        <v>806</v>
      </c>
      <c r="Y930" s="2" t="s">
        <v>71</v>
      </c>
      <c r="Z930" s="2" t="s">
        <v>72</v>
      </c>
      <c r="AA930" s="13">
        <v>0</v>
      </c>
      <c r="AB930" s="2" t="s">
        <v>107</v>
      </c>
      <c r="AC930" s="2" t="s">
        <v>6773</v>
      </c>
      <c r="AD930" s="27">
        <v>43277</v>
      </c>
      <c r="AI930" s="2" t="s">
        <v>6153</v>
      </c>
      <c r="AL930" s="2" t="s">
        <v>7306</v>
      </c>
    </row>
    <row r="931" spans="1:38" hidden="1" x14ac:dyDescent="0.2">
      <c r="A931" s="2" t="s">
        <v>2927</v>
      </c>
      <c r="B931" s="2" t="s">
        <v>7042</v>
      </c>
      <c r="C931" s="2" t="s">
        <v>7040</v>
      </c>
      <c r="D931" s="2" t="s">
        <v>7041</v>
      </c>
      <c r="E931" s="13">
        <v>50</v>
      </c>
      <c r="F931" s="13">
        <v>5050</v>
      </c>
      <c r="G931" s="14">
        <v>43287</v>
      </c>
      <c r="H931" s="15">
        <v>0.50414351851852002</v>
      </c>
      <c r="I931" s="14">
        <v>43287</v>
      </c>
      <c r="J931" s="15">
        <v>0.76520833333333005</v>
      </c>
      <c r="K931" s="13">
        <v>0</v>
      </c>
      <c r="L931" s="2" t="s">
        <v>64</v>
      </c>
      <c r="M931" s="2" t="s">
        <v>2928</v>
      </c>
      <c r="N931" s="14">
        <v>43297</v>
      </c>
      <c r="O931" s="14">
        <v>43289</v>
      </c>
      <c r="P931" s="2" t="s">
        <v>2239</v>
      </c>
      <c r="Q931" s="2" t="s">
        <v>98</v>
      </c>
      <c r="R931" s="2" t="s">
        <v>131</v>
      </c>
      <c r="S931" s="14"/>
      <c r="T931" s="2" t="s">
        <v>7133</v>
      </c>
      <c r="U931" s="2" t="s">
        <v>1608</v>
      </c>
      <c r="V931" s="2" t="s">
        <v>81</v>
      </c>
      <c r="W931" s="2" t="s">
        <v>70</v>
      </c>
      <c r="X931" s="13">
        <v>806</v>
      </c>
      <c r="Y931" s="2" t="s">
        <v>71</v>
      </c>
      <c r="Z931" s="2" t="s">
        <v>72</v>
      </c>
      <c r="AA931" s="13">
        <v>0</v>
      </c>
      <c r="AB931" s="2" t="s">
        <v>107</v>
      </c>
      <c r="AC931" s="2" t="s">
        <v>6773</v>
      </c>
      <c r="AD931" s="27">
        <v>43277</v>
      </c>
      <c r="AI931" s="2" t="s">
        <v>6153</v>
      </c>
      <c r="AL931" s="2" t="s">
        <v>7307</v>
      </c>
    </row>
    <row r="932" spans="1:38" hidden="1" x14ac:dyDescent="0.2">
      <c r="A932" s="2" t="s">
        <v>2927</v>
      </c>
      <c r="B932" s="2" t="s">
        <v>7043</v>
      </c>
      <c r="C932" s="2" t="s">
        <v>2931</v>
      </c>
      <c r="D932" s="2" t="s">
        <v>2932</v>
      </c>
      <c r="E932" s="13">
        <v>5080</v>
      </c>
      <c r="F932" s="13">
        <v>5080</v>
      </c>
      <c r="G932" s="14">
        <v>43288</v>
      </c>
      <c r="H932" s="15">
        <v>0.14584490740740999</v>
      </c>
      <c r="I932" s="14">
        <v>43288</v>
      </c>
      <c r="J932" s="15">
        <v>0.40846064814814997</v>
      </c>
      <c r="K932" s="13">
        <v>0</v>
      </c>
      <c r="L932" s="2" t="s">
        <v>64</v>
      </c>
      <c r="M932" s="2" t="s">
        <v>7044</v>
      </c>
      <c r="N932" s="14">
        <v>43299</v>
      </c>
      <c r="O932" s="14">
        <v>43295</v>
      </c>
      <c r="P932" s="2" t="s">
        <v>2934</v>
      </c>
      <c r="Q932" s="2" t="s">
        <v>7045</v>
      </c>
      <c r="R932" s="2" t="s">
        <v>80</v>
      </c>
      <c r="S932" s="14">
        <v>43299</v>
      </c>
      <c r="T932" s="2" t="s">
        <v>7134</v>
      </c>
      <c r="U932" s="2" t="s">
        <v>1529</v>
      </c>
      <c r="V932" s="2" t="s">
        <v>2935</v>
      </c>
      <c r="W932" s="2" t="s">
        <v>70</v>
      </c>
      <c r="X932" s="13">
        <v>806</v>
      </c>
      <c r="Y932" s="2" t="s">
        <v>71</v>
      </c>
      <c r="Z932" s="2" t="s">
        <v>72</v>
      </c>
      <c r="AA932" s="13">
        <v>5000</v>
      </c>
      <c r="AB932" s="2" t="s">
        <v>107</v>
      </c>
      <c r="AC932" s="2" t="s">
        <v>6773</v>
      </c>
      <c r="AD932" s="27">
        <v>43224</v>
      </c>
      <c r="AI932" s="2" t="s">
        <v>6153</v>
      </c>
      <c r="AL932" s="2" t="s">
        <v>7308</v>
      </c>
    </row>
    <row r="933" spans="1:38" hidden="1" x14ac:dyDescent="0.2">
      <c r="A933" s="2" t="s">
        <v>2927</v>
      </c>
      <c r="B933" s="2" t="s">
        <v>7046</v>
      </c>
      <c r="C933" s="2" t="s">
        <v>7047</v>
      </c>
      <c r="D933" s="2" t="s">
        <v>7048</v>
      </c>
      <c r="E933" s="16">
        <v>4634.55</v>
      </c>
      <c r="F933" s="16">
        <v>4634.55</v>
      </c>
      <c r="G933" s="14">
        <v>43288</v>
      </c>
      <c r="H933" s="15">
        <v>0.45012731481481</v>
      </c>
      <c r="I933" s="14">
        <v>43288</v>
      </c>
      <c r="J933" s="15">
        <v>0.68971064814814997</v>
      </c>
      <c r="K933" s="13">
        <v>0</v>
      </c>
      <c r="L933" s="2" t="s">
        <v>64</v>
      </c>
      <c r="M933" s="2" t="s">
        <v>7049</v>
      </c>
      <c r="N933" s="14"/>
      <c r="O933" s="14">
        <v>43290</v>
      </c>
      <c r="P933" s="2" t="s">
        <v>2279</v>
      </c>
      <c r="Q933" s="2" t="s">
        <v>7050</v>
      </c>
      <c r="R933" s="2" t="s">
        <v>80</v>
      </c>
      <c r="S933" s="14">
        <v>43306</v>
      </c>
      <c r="T933" s="2" t="s">
        <v>7135</v>
      </c>
      <c r="U933" s="2" t="s">
        <v>1666</v>
      </c>
      <c r="V933" s="2" t="s">
        <v>1240</v>
      </c>
      <c r="W933" s="2" t="s">
        <v>70</v>
      </c>
      <c r="X933" s="13">
        <v>806</v>
      </c>
      <c r="Y933" s="2" t="s">
        <v>71</v>
      </c>
      <c r="Z933" s="2" t="s">
        <v>72</v>
      </c>
      <c r="AA933" s="13">
        <v>4500</v>
      </c>
      <c r="AB933" s="2" t="s">
        <v>107</v>
      </c>
      <c r="AC933" s="2" t="s">
        <v>6773</v>
      </c>
      <c r="AD933" s="27">
        <v>43283</v>
      </c>
      <c r="AI933" s="2" t="s">
        <v>6153</v>
      </c>
      <c r="AL933" s="2" t="s">
        <v>7309</v>
      </c>
    </row>
    <row r="934" spans="1:38" x14ac:dyDescent="0.2">
      <c r="A934" s="2" t="s">
        <v>2927</v>
      </c>
      <c r="B934" s="2" t="s">
        <v>2956</v>
      </c>
      <c r="C934" s="2" t="s">
        <v>2957</v>
      </c>
      <c r="D934" s="2" t="s">
        <v>2958</v>
      </c>
      <c r="E934" s="13">
        <v>20376</v>
      </c>
      <c r="F934" s="13">
        <v>20376</v>
      </c>
      <c r="G934" s="14">
        <v>43289</v>
      </c>
      <c r="H934" s="15">
        <v>2.0833333333330002E-2</v>
      </c>
      <c r="I934" s="14">
        <v>43290</v>
      </c>
      <c r="J934" s="15">
        <v>7.4178240740740004E-2</v>
      </c>
      <c r="K934" s="13">
        <v>0</v>
      </c>
      <c r="L934" s="2" t="s">
        <v>64</v>
      </c>
      <c r="M934" s="2" t="s">
        <v>2982</v>
      </c>
      <c r="N934" s="14">
        <v>43298</v>
      </c>
      <c r="O934" s="14">
        <v>43292</v>
      </c>
      <c r="P934" s="2" t="s">
        <v>2378</v>
      </c>
      <c r="Q934" s="2" t="s">
        <v>2960</v>
      </c>
      <c r="R934" s="2" t="s">
        <v>80</v>
      </c>
      <c r="S934" s="14">
        <v>43298</v>
      </c>
      <c r="T934" s="2" t="s">
        <v>6687</v>
      </c>
      <c r="U934" s="2" t="s">
        <v>1568</v>
      </c>
      <c r="V934" s="2" t="s">
        <v>2961</v>
      </c>
      <c r="W934" s="2" t="s">
        <v>70</v>
      </c>
      <c r="X934" s="13">
        <v>806</v>
      </c>
      <c r="Y934" s="2" t="s">
        <v>71</v>
      </c>
      <c r="Z934" s="2" t="s">
        <v>72</v>
      </c>
      <c r="AA934" s="13">
        <v>20000</v>
      </c>
      <c r="AB934" s="2" t="s">
        <v>107</v>
      </c>
      <c r="AC934" s="2" t="s">
        <v>6773</v>
      </c>
      <c r="AD934" s="27">
        <v>43272</v>
      </c>
      <c r="AI934" s="2" t="s">
        <v>6153</v>
      </c>
      <c r="AL934" s="2" t="s">
        <v>5607</v>
      </c>
    </row>
    <row r="935" spans="1:38" x14ac:dyDescent="0.2">
      <c r="A935" s="2" t="s">
        <v>2927</v>
      </c>
      <c r="B935" s="2" t="s">
        <v>2936</v>
      </c>
      <c r="C935" s="2" t="s">
        <v>2937</v>
      </c>
      <c r="D935" s="2" t="s">
        <v>2938</v>
      </c>
      <c r="E935" s="13">
        <v>10221</v>
      </c>
      <c r="F935" s="13">
        <v>10221</v>
      </c>
      <c r="G935" s="14">
        <v>43290</v>
      </c>
      <c r="H935" s="15">
        <v>0.11584490740741001</v>
      </c>
      <c r="I935" s="14">
        <v>43290</v>
      </c>
      <c r="J935" s="15">
        <v>0.64422453703703997</v>
      </c>
      <c r="K935" s="13">
        <v>20</v>
      </c>
      <c r="L935" s="2" t="s">
        <v>64</v>
      </c>
      <c r="M935" s="2" t="s">
        <v>4634</v>
      </c>
      <c r="N935" s="14">
        <v>43297</v>
      </c>
      <c r="O935" s="14">
        <v>43292</v>
      </c>
      <c r="P935" s="2" t="s">
        <v>2183</v>
      </c>
      <c r="Q935" s="2" t="s">
        <v>2939</v>
      </c>
      <c r="R935" s="2" t="s">
        <v>80</v>
      </c>
      <c r="S935" s="14">
        <v>43297</v>
      </c>
      <c r="T935" s="2" t="s">
        <v>6686</v>
      </c>
      <c r="U935" s="2" t="s">
        <v>2940</v>
      </c>
      <c r="V935" s="2" t="s">
        <v>1240</v>
      </c>
      <c r="W935" s="2" t="s">
        <v>70</v>
      </c>
      <c r="X935" s="13">
        <v>806</v>
      </c>
      <c r="Y935" s="2" t="s">
        <v>71</v>
      </c>
      <c r="Z935" s="2" t="s">
        <v>72</v>
      </c>
      <c r="AA935" s="13">
        <v>10000</v>
      </c>
      <c r="AB935" s="2" t="s">
        <v>107</v>
      </c>
      <c r="AC935" s="2" t="s">
        <v>6773</v>
      </c>
      <c r="AD935" s="27">
        <v>43241</v>
      </c>
      <c r="AL935" s="2" t="s">
        <v>5608</v>
      </c>
    </row>
    <row r="936" spans="1:38" x14ac:dyDescent="0.2">
      <c r="A936" s="2" t="s">
        <v>2927</v>
      </c>
      <c r="B936" s="2" t="s">
        <v>7051</v>
      </c>
      <c r="C936" s="2" t="s">
        <v>1530</v>
      </c>
      <c r="D936" s="2" t="s">
        <v>1531</v>
      </c>
      <c r="E936" s="16">
        <v>5064.5</v>
      </c>
      <c r="F936" s="16">
        <v>5064.5</v>
      </c>
      <c r="G936" s="14">
        <v>43290</v>
      </c>
      <c r="H936" s="15">
        <v>0.70833333333333004</v>
      </c>
      <c r="I936" s="14">
        <v>43290</v>
      </c>
      <c r="J936" s="15">
        <v>0.97015046296296004</v>
      </c>
      <c r="K936" s="13">
        <v>20</v>
      </c>
      <c r="L936" s="2" t="s">
        <v>64</v>
      </c>
      <c r="M936" s="2" t="s">
        <v>7052</v>
      </c>
      <c r="N936" s="14">
        <v>43297</v>
      </c>
      <c r="O936" s="14">
        <v>43292</v>
      </c>
      <c r="P936" s="2" t="s">
        <v>3287</v>
      </c>
      <c r="Q936" s="2" t="s">
        <v>7053</v>
      </c>
      <c r="R936" s="2" t="s">
        <v>80</v>
      </c>
      <c r="S936" s="14">
        <v>43297</v>
      </c>
      <c r="T936" s="2" t="s">
        <v>7136</v>
      </c>
      <c r="U936" s="2" t="s">
        <v>1533</v>
      </c>
      <c r="V936" s="2" t="s">
        <v>1534</v>
      </c>
      <c r="W936" s="2" t="s">
        <v>70</v>
      </c>
      <c r="X936" s="13">
        <v>806</v>
      </c>
      <c r="Y936" s="2" t="s">
        <v>71</v>
      </c>
      <c r="Z936" s="2" t="s">
        <v>72</v>
      </c>
      <c r="AA936" s="13">
        <v>5000</v>
      </c>
      <c r="AB936" s="2" t="s">
        <v>73</v>
      </c>
      <c r="AC936" s="2" t="s">
        <v>6773</v>
      </c>
      <c r="AD936" s="27">
        <v>43178</v>
      </c>
      <c r="AI936" s="2" t="s">
        <v>6153</v>
      </c>
      <c r="AL936" s="2" t="s">
        <v>7310</v>
      </c>
    </row>
    <row r="937" spans="1:38" x14ac:dyDescent="0.2">
      <c r="A937" s="2" t="s">
        <v>2927</v>
      </c>
      <c r="B937" s="2" t="s">
        <v>2941</v>
      </c>
      <c r="C937" s="2" t="s">
        <v>2942</v>
      </c>
      <c r="D937" s="2" t="s">
        <v>2943</v>
      </c>
      <c r="E937" s="16">
        <v>17471.134999999998</v>
      </c>
      <c r="F937" s="16">
        <v>17471.134999999998</v>
      </c>
      <c r="G937" s="14">
        <v>43291</v>
      </c>
      <c r="H937" s="15">
        <v>2.0833333333330002E-2</v>
      </c>
      <c r="I937" s="14">
        <v>43291</v>
      </c>
      <c r="J937" s="15">
        <v>0.92401620370369997</v>
      </c>
      <c r="K937" s="13">
        <v>20</v>
      </c>
      <c r="L937" s="2" t="s">
        <v>64</v>
      </c>
      <c r="M937" s="2" t="s">
        <v>4635</v>
      </c>
      <c r="N937" s="14">
        <v>43301</v>
      </c>
      <c r="O937" s="14">
        <v>43293</v>
      </c>
      <c r="P937" s="2" t="s">
        <v>2944</v>
      </c>
      <c r="Q937" s="2" t="s">
        <v>2945</v>
      </c>
      <c r="R937" s="2" t="s">
        <v>80</v>
      </c>
      <c r="S937" s="14">
        <v>43301</v>
      </c>
      <c r="T937" s="2" t="s">
        <v>6688</v>
      </c>
      <c r="U937" s="2" t="s">
        <v>1474</v>
      </c>
      <c r="V937" s="2" t="s">
        <v>2946</v>
      </c>
      <c r="W937" s="2" t="s">
        <v>70</v>
      </c>
      <c r="X937" s="13">
        <v>806</v>
      </c>
      <c r="Y937" s="2" t="s">
        <v>71</v>
      </c>
      <c r="Z937" s="2" t="s">
        <v>72</v>
      </c>
      <c r="AA937" s="13">
        <v>17050</v>
      </c>
      <c r="AB937" s="2" t="s">
        <v>107</v>
      </c>
      <c r="AC937" s="2" t="s">
        <v>6773</v>
      </c>
      <c r="AD937" s="27">
        <v>43185</v>
      </c>
      <c r="AI937" s="2" t="s">
        <v>6153</v>
      </c>
      <c r="AL937" s="2" t="s">
        <v>5609</v>
      </c>
    </row>
    <row r="938" spans="1:38" x14ac:dyDescent="0.2">
      <c r="A938" s="2" t="s">
        <v>2927</v>
      </c>
      <c r="B938" s="2" t="s">
        <v>2966</v>
      </c>
      <c r="C938" s="2" t="s">
        <v>2967</v>
      </c>
      <c r="D938" s="2" t="s">
        <v>2968</v>
      </c>
      <c r="E938" s="16">
        <v>9398.43</v>
      </c>
      <c r="F938" s="16">
        <v>9398.43</v>
      </c>
      <c r="G938" s="14">
        <v>43291</v>
      </c>
      <c r="H938" s="15">
        <v>0.95833333333333004</v>
      </c>
      <c r="I938" s="14">
        <v>43292</v>
      </c>
      <c r="J938" s="15">
        <v>0.44418981481481001</v>
      </c>
      <c r="K938" s="13">
        <v>0</v>
      </c>
      <c r="L938" s="2" t="s">
        <v>64</v>
      </c>
      <c r="M938" s="2" t="s">
        <v>4636</v>
      </c>
      <c r="N938" s="14">
        <v>43299</v>
      </c>
      <c r="O938" s="14">
        <v>43294</v>
      </c>
      <c r="P938" s="2" t="s">
        <v>2944</v>
      </c>
      <c r="Q938" s="2" t="s">
        <v>2969</v>
      </c>
      <c r="R938" s="2" t="s">
        <v>80</v>
      </c>
      <c r="S938" s="14">
        <v>43299</v>
      </c>
      <c r="T938" s="2" t="s">
        <v>6689</v>
      </c>
      <c r="U938" s="2" t="s">
        <v>1568</v>
      </c>
      <c r="V938" s="2" t="s">
        <v>2970</v>
      </c>
      <c r="W938" s="2" t="s">
        <v>70</v>
      </c>
      <c r="X938" s="13">
        <v>806</v>
      </c>
      <c r="Y938" s="2" t="s">
        <v>71</v>
      </c>
      <c r="Z938" s="2" t="s">
        <v>72</v>
      </c>
      <c r="AA938" s="13">
        <v>9225</v>
      </c>
      <c r="AB938" s="2" t="s">
        <v>73</v>
      </c>
      <c r="AC938" s="2" t="s">
        <v>6773</v>
      </c>
      <c r="AD938" s="27">
        <v>43271</v>
      </c>
      <c r="AI938" s="2" t="s">
        <v>6153</v>
      </c>
      <c r="AL938" s="2" t="s">
        <v>5610</v>
      </c>
    </row>
    <row r="939" spans="1:38" x14ac:dyDescent="0.2">
      <c r="A939" s="2" t="s">
        <v>2927</v>
      </c>
      <c r="B939" s="2" t="s">
        <v>2947</v>
      </c>
      <c r="C939" s="2" t="s">
        <v>2948</v>
      </c>
      <c r="D939" s="2" t="s">
        <v>2949</v>
      </c>
      <c r="E939" s="13">
        <v>5000</v>
      </c>
      <c r="F939" s="13">
        <v>5000</v>
      </c>
      <c r="G939" s="14">
        <v>43292</v>
      </c>
      <c r="H939" s="15">
        <v>0.51395833333332996</v>
      </c>
      <c r="I939" s="14">
        <v>43292</v>
      </c>
      <c r="J939" s="15">
        <v>0.77244212962962999</v>
      </c>
      <c r="K939" s="13">
        <v>0</v>
      </c>
      <c r="L939" s="2" t="s">
        <v>64</v>
      </c>
      <c r="M939" s="2" t="s">
        <v>2950</v>
      </c>
      <c r="N939" s="14">
        <v>43297</v>
      </c>
      <c r="O939" s="14">
        <v>43294</v>
      </c>
      <c r="P939" s="2" t="s">
        <v>91</v>
      </c>
      <c r="Q939" s="2" t="s">
        <v>2951</v>
      </c>
      <c r="R939" s="2" t="s">
        <v>80</v>
      </c>
      <c r="S939" s="14">
        <v>43297</v>
      </c>
      <c r="T939" s="2" t="s">
        <v>6690</v>
      </c>
      <c r="U939" s="2" t="s">
        <v>1474</v>
      </c>
      <c r="V939" s="2" t="s">
        <v>2952</v>
      </c>
      <c r="W939" s="2" t="s">
        <v>70</v>
      </c>
      <c r="X939" s="13">
        <v>806</v>
      </c>
      <c r="Y939" s="2" t="s">
        <v>71</v>
      </c>
      <c r="Z939" s="2" t="s">
        <v>72</v>
      </c>
      <c r="AA939" s="13">
        <v>5000</v>
      </c>
      <c r="AB939" s="2" t="s">
        <v>73</v>
      </c>
      <c r="AC939" s="2" t="s">
        <v>6773</v>
      </c>
      <c r="AD939" s="27">
        <v>43265</v>
      </c>
      <c r="AI939" s="2" t="s">
        <v>6153</v>
      </c>
      <c r="AL939" s="2" t="s">
        <v>5611</v>
      </c>
    </row>
    <row r="940" spans="1:38" x14ac:dyDescent="0.2">
      <c r="A940" s="2" t="s">
        <v>2927</v>
      </c>
      <c r="B940" s="2" t="s">
        <v>2953</v>
      </c>
      <c r="C940" s="2" t="s">
        <v>1707</v>
      </c>
      <c r="D940" s="2" t="s">
        <v>1708</v>
      </c>
      <c r="E940" s="13">
        <v>18000</v>
      </c>
      <c r="F940" s="13">
        <v>18000</v>
      </c>
      <c r="G940" s="14">
        <v>43292</v>
      </c>
      <c r="H940" s="15">
        <v>0.79327546296296003</v>
      </c>
      <c r="I940" s="14">
        <v>43293</v>
      </c>
      <c r="J940" s="15">
        <v>0.72379629629630005</v>
      </c>
      <c r="K940" s="13">
        <v>0</v>
      </c>
      <c r="L940" s="2" t="s">
        <v>64</v>
      </c>
      <c r="M940" s="2" t="s">
        <v>2954</v>
      </c>
      <c r="N940" s="14">
        <v>43297</v>
      </c>
      <c r="O940" s="14">
        <v>43295</v>
      </c>
      <c r="P940" s="2" t="s">
        <v>91</v>
      </c>
      <c r="Q940" s="2" t="s">
        <v>2955</v>
      </c>
      <c r="R940" s="2" t="s">
        <v>80</v>
      </c>
      <c r="S940" s="14">
        <v>43297</v>
      </c>
      <c r="T940" s="2" t="s">
        <v>6718</v>
      </c>
      <c r="U940" s="2" t="s">
        <v>1710</v>
      </c>
      <c r="V940" s="2" t="s">
        <v>1711</v>
      </c>
      <c r="W940" s="2" t="s">
        <v>70</v>
      </c>
      <c r="X940" s="13">
        <v>806</v>
      </c>
      <c r="Y940" s="2" t="s">
        <v>71</v>
      </c>
      <c r="Z940" s="2" t="s">
        <v>72</v>
      </c>
      <c r="AA940" s="13">
        <v>18000</v>
      </c>
      <c r="AB940" s="2" t="s">
        <v>73</v>
      </c>
      <c r="AC940" s="2" t="s">
        <v>6773</v>
      </c>
      <c r="AD940" s="27">
        <v>43258</v>
      </c>
      <c r="AI940" s="2" t="s">
        <v>6153</v>
      </c>
      <c r="AL940" s="2" t="s">
        <v>5612</v>
      </c>
    </row>
    <row r="941" spans="1:38" x14ac:dyDescent="0.2">
      <c r="A941" s="2" t="s">
        <v>2927</v>
      </c>
      <c r="B941" s="2" t="s">
        <v>2971</v>
      </c>
      <c r="C941" s="2" t="s">
        <v>1498</v>
      </c>
      <c r="D941" s="2" t="s">
        <v>1499</v>
      </c>
      <c r="E941" s="13">
        <v>10000</v>
      </c>
      <c r="F941" s="13">
        <v>10000</v>
      </c>
      <c r="G941" s="14">
        <v>43293</v>
      </c>
      <c r="H941" s="15">
        <v>0.74462962962962997</v>
      </c>
      <c r="I941" s="14">
        <v>43294</v>
      </c>
      <c r="J941" s="15">
        <v>0.26158564814815</v>
      </c>
      <c r="K941" s="13">
        <v>20</v>
      </c>
      <c r="L941" s="2" t="s">
        <v>64</v>
      </c>
      <c r="M941" s="2" t="s">
        <v>2930</v>
      </c>
      <c r="N941" s="14">
        <v>43336</v>
      </c>
      <c r="O941" s="14">
        <v>43296</v>
      </c>
      <c r="P941" s="2" t="s">
        <v>91</v>
      </c>
      <c r="Q941" s="2" t="s">
        <v>2972</v>
      </c>
      <c r="R941" s="2" t="s">
        <v>80</v>
      </c>
      <c r="S941" s="14">
        <v>43300</v>
      </c>
      <c r="T941" s="2" t="s">
        <v>6691</v>
      </c>
      <c r="U941" s="2" t="s">
        <v>1501</v>
      </c>
      <c r="V941" s="2" t="s">
        <v>1502</v>
      </c>
      <c r="W941" s="2" t="s">
        <v>70</v>
      </c>
      <c r="X941" s="13">
        <v>806</v>
      </c>
      <c r="Y941" s="2" t="s">
        <v>71</v>
      </c>
      <c r="Z941" s="2" t="s">
        <v>72</v>
      </c>
      <c r="AA941" s="13">
        <v>10000</v>
      </c>
      <c r="AB941" s="2" t="s">
        <v>73</v>
      </c>
      <c r="AC941" s="2" t="s">
        <v>6773</v>
      </c>
      <c r="AD941" s="27">
        <v>43238</v>
      </c>
      <c r="AI941" s="2" t="s">
        <v>6153</v>
      </c>
      <c r="AL941" s="2" t="s">
        <v>5613</v>
      </c>
    </row>
    <row r="942" spans="1:38" x14ac:dyDescent="0.2">
      <c r="A942" s="2" t="s">
        <v>2927</v>
      </c>
      <c r="B942" s="2" t="s">
        <v>2189</v>
      </c>
      <c r="C942" s="2" t="s">
        <v>2190</v>
      </c>
      <c r="D942" s="2" t="s">
        <v>2191</v>
      </c>
      <c r="E942" s="13">
        <v>20376</v>
      </c>
      <c r="F942" s="13">
        <v>20376</v>
      </c>
      <c r="G942" s="14">
        <v>43294</v>
      </c>
      <c r="H942" s="15">
        <v>0.28241898148147998</v>
      </c>
      <c r="I942" s="14">
        <v>43295</v>
      </c>
      <c r="J942" s="15">
        <v>0.33576388888889003</v>
      </c>
      <c r="K942" s="13">
        <v>20</v>
      </c>
      <c r="L942" s="2" t="s">
        <v>64</v>
      </c>
      <c r="M942" s="2" t="s">
        <v>2982</v>
      </c>
      <c r="N942" s="14">
        <v>43299</v>
      </c>
      <c r="O942" s="14">
        <v>43297</v>
      </c>
      <c r="P942" s="2" t="s">
        <v>91</v>
      </c>
      <c r="Q942" s="2" t="s">
        <v>2192</v>
      </c>
      <c r="R942" s="2" t="s">
        <v>80</v>
      </c>
      <c r="S942" s="14">
        <v>43299</v>
      </c>
      <c r="T942" s="2" t="s">
        <v>6692</v>
      </c>
      <c r="U942" s="2" t="s">
        <v>1568</v>
      </c>
      <c r="V942" s="2" t="s">
        <v>2193</v>
      </c>
      <c r="W942" s="2" t="s">
        <v>70</v>
      </c>
      <c r="X942" s="13">
        <v>806</v>
      </c>
      <c r="Y942" s="2" t="s">
        <v>71</v>
      </c>
      <c r="Z942" s="2" t="s">
        <v>72</v>
      </c>
      <c r="AA942" s="13">
        <v>20000</v>
      </c>
      <c r="AB942" s="2" t="s">
        <v>73</v>
      </c>
      <c r="AC942" s="2" t="s">
        <v>6773</v>
      </c>
      <c r="AD942" s="27">
        <v>43273</v>
      </c>
      <c r="AI942" s="2" t="s">
        <v>6153</v>
      </c>
      <c r="AL942" s="2" t="s">
        <v>5614</v>
      </c>
    </row>
    <row r="943" spans="1:38" hidden="1" x14ac:dyDescent="0.2">
      <c r="A943" s="2" t="s">
        <v>2927</v>
      </c>
      <c r="B943" s="2" t="s">
        <v>2962</v>
      </c>
      <c r="C943" s="2" t="s">
        <v>2380</v>
      </c>
      <c r="D943" s="2" t="s">
        <v>2381</v>
      </c>
      <c r="E943" s="13">
        <v>5000</v>
      </c>
      <c r="F943" s="13">
        <v>5000</v>
      </c>
      <c r="G943" s="14">
        <v>43296</v>
      </c>
      <c r="H943" s="15">
        <v>0.38996527777778001</v>
      </c>
      <c r="I943" s="14">
        <v>43296</v>
      </c>
      <c r="J943" s="15">
        <v>0.64844907407407004</v>
      </c>
      <c r="K943" s="13">
        <v>20</v>
      </c>
      <c r="L943" s="2" t="s">
        <v>64</v>
      </c>
      <c r="M943" s="2" t="s">
        <v>2950</v>
      </c>
      <c r="N943" s="14">
        <v>43299</v>
      </c>
      <c r="O943" s="14">
        <v>43298</v>
      </c>
      <c r="P943" s="2" t="s">
        <v>2187</v>
      </c>
      <c r="Q943" s="2" t="s">
        <v>2963</v>
      </c>
      <c r="R943" s="2" t="s">
        <v>80</v>
      </c>
      <c r="S943" s="14">
        <v>43299</v>
      </c>
      <c r="T943" s="2" t="s">
        <v>6694</v>
      </c>
      <c r="U943" s="2" t="s">
        <v>1474</v>
      </c>
      <c r="V943" s="2" t="s">
        <v>81</v>
      </c>
      <c r="W943" s="2" t="s">
        <v>70</v>
      </c>
      <c r="X943" s="13">
        <v>806</v>
      </c>
      <c r="Y943" s="2" t="s">
        <v>71</v>
      </c>
      <c r="Z943" s="2" t="s">
        <v>72</v>
      </c>
      <c r="AA943" s="13">
        <v>5000</v>
      </c>
      <c r="AB943" s="2" t="s">
        <v>73</v>
      </c>
      <c r="AC943" s="2" t="s">
        <v>6773</v>
      </c>
      <c r="AD943" s="27">
        <v>43271</v>
      </c>
      <c r="AI943" s="2" t="s">
        <v>6153</v>
      </c>
      <c r="AL943" s="2" t="s">
        <v>5615</v>
      </c>
    </row>
    <row r="944" spans="1:38" hidden="1" x14ac:dyDescent="0.2">
      <c r="A944" s="2" t="s">
        <v>2927</v>
      </c>
      <c r="B944" s="2" t="s">
        <v>2978</v>
      </c>
      <c r="C944" s="2" t="s">
        <v>2380</v>
      </c>
      <c r="D944" s="2" t="s">
        <v>2381</v>
      </c>
      <c r="E944" s="13">
        <v>10247</v>
      </c>
      <c r="F944" s="13">
        <v>10247</v>
      </c>
      <c r="G944" s="14">
        <v>43296</v>
      </c>
      <c r="H944" s="15">
        <v>0.66928240740740996</v>
      </c>
      <c r="I944" s="14">
        <v>43297</v>
      </c>
      <c r="J944" s="15">
        <v>0.19900462962963</v>
      </c>
      <c r="K944" s="13">
        <v>20</v>
      </c>
      <c r="L944" s="2" t="s">
        <v>64</v>
      </c>
      <c r="M944" s="2" t="s">
        <v>2979</v>
      </c>
      <c r="N944" s="14">
        <v>43305</v>
      </c>
      <c r="O944" s="14">
        <v>43299</v>
      </c>
      <c r="P944" s="2" t="s">
        <v>2187</v>
      </c>
      <c r="Q944" s="2" t="s">
        <v>2980</v>
      </c>
      <c r="R944" s="2" t="s">
        <v>80</v>
      </c>
      <c r="S944" s="14">
        <v>43305</v>
      </c>
      <c r="T944" s="2" t="s">
        <v>6695</v>
      </c>
      <c r="U944" s="2" t="s">
        <v>1474</v>
      </c>
      <c r="V944" s="2" t="s">
        <v>81</v>
      </c>
      <c r="W944" s="2" t="s">
        <v>70</v>
      </c>
      <c r="X944" s="13">
        <v>806</v>
      </c>
      <c r="Y944" s="2" t="s">
        <v>71</v>
      </c>
      <c r="Z944" s="2" t="s">
        <v>72</v>
      </c>
      <c r="AA944" s="13">
        <v>10000</v>
      </c>
      <c r="AB944" s="2" t="s">
        <v>73</v>
      </c>
      <c r="AC944" s="2" t="s">
        <v>6773</v>
      </c>
      <c r="AD944" s="27">
        <v>43277</v>
      </c>
      <c r="AI944" s="2" t="s">
        <v>6153</v>
      </c>
      <c r="AL944" s="2" t="s">
        <v>5616</v>
      </c>
    </row>
    <row r="945" spans="1:38" hidden="1" x14ac:dyDescent="0.2">
      <c r="A945" s="2" t="s">
        <v>2927</v>
      </c>
      <c r="B945" s="2" t="s">
        <v>2973</v>
      </c>
      <c r="C945" s="2" t="s">
        <v>2974</v>
      </c>
      <c r="D945" s="2" t="s">
        <v>2975</v>
      </c>
      <c r="E945" s="13">
        <v>10194</v>
      </c>
      <c r="F945" s="13">
        <v>10194</v>
      </c>
      <c r="G945" s="14">
        <v>43297</v>
      </c>
      <c r="H945" s="15">
        <v>0.21983796296295999</v>
      </c>
      <c r="I945" s="14">
        <v>43297</v>
      </c>
      <c r="J945" s="15">
        <v>0.74682870370370003</v>
      </c>
      <c r="K945" s="13">
        <v>0</v>
      </c>
      <c r="L945" s="2" t="s">
        <v>64</v>
      </c>
      <c r="M945" s="2" t="s">
        <v>2976</v>
      </c>
      <c r="N945" s="14">
        <v>43307</v>
      </c>
      <c r="O945" s="14">
        <v>43299</v>
      </c>
      <c r="P945" s="2" t="s">
        <v>2187</v>
      </c>
      <c r="Q945" s="2" t="s">
        <v>2977</v>
      </c>
      <c r="R945" s="2" t="s">
        <v>80</v>
      </c>
      <c r="S945" s="14">
        <v>43307</v>
      </c>
      <c r="T945" s="2" t="s">
        <v>6696</v>
      </c>
      <c r="U945" s="2" t="s">
        <v>1557</v>
      </c>
      <c r="V945" s="2" t="s">
        <v>81</v>
      </c>
      <c r="W945" s="2" t="s">
        <v>70</v>
      </c>
      <c r="X945" s="13">
        <v>806</v>
      </c>
      <c r="Y945" s="2" t="s">
        <v>71</v>
      </c>
      <c r="Z945" s="2" t="s">
        <v>72</v>
      </c>
      <c r="AA945" s="13">
        <v>10000</v>
      </c>
      <c r="AB945" s="2" t="s">
        <v>73</v>
      </c>
      <c r="AC945" s="2" t="s">
        <v>6773</v>
      </c>
      <c r="AD945" s="27">
        <v>43279</v>
      </c>
      <c r="AI945" s="2" t="s">
        <v>6153</v>
      </c>
      <c r="AL945" s="2" t="s">
        <v>7311</v>
      </c>
    </row>
    <row r="946" spans="1:38" hidden="1" x14ac:dyDescent="0.2">
      <c r="A946" s="2" t="s">
        <v>2927</v>
      </c>
      <c r="B946" s="2" t="s">
        <v>2964</v>
      </c>
      <c r="C946" s="2" t="s">
        <v>1482</v>
      </c>
      <c r="D946" s="2" t="s">
        <v>1483</v>
      </c>
      <c r="E946" s="13">
        <v>10000</v>
      </c>
      <c r="F946" s="13">
        <v>10000</v>
      </c>
      <c r="G946" s="14">
        <v>43297</v>
      </c>
      <c r="H946" s="15">
        <v>0.76766203703703995</v>
      </c>
      <c r="I946" s="14">
        <v>43298</v>
      </c>
      <c r="J946" s="15">
        <v>0.28461805555556002</v>
      </c>
      <c r="K946" s="13">
        <v>20</v>
      </c>
      <c r="L946" s="2" t="s">
        <v>64</v>
      </c>
      <c r="M946" s="2" t="s">
        <v>2930</v>
      </c>
      <c r="N946" s="14">
        <v>43299</v>
      </c>
      <c r="O946" s="14">
        <v>43300</v>
      </c>
      <c r="P946" s="2" t="s">
        <v>2239</v>
      </c>
      <c r="Q946" s="2" t="s">
        <v>2965</v>
      </c>
      <c r="R946" s="2" t="s">
        <v>80</v>
      </c>
      <c r="S946" s="14">
        <v>43299</v>
      </c>
      <c r="T946" s="2" t="s">
        <v>6697</v>
      </c>
      <c r="U946" s="2" t="s">
        <v>1486</v>
      </c>
      <c r="V946" s="2" t="s">
        <v>81</v>
      </c>
      <c r="W946" s="2" t="s">
        <v>70</v>
      </c>
      <c r="X946" s="13">
        <v>806</v>
      </c>
      <c r="Y946" s="2" t="s">
        <v>71</v>
      </c>
      <c r="Z946" s="2" t="s">
        <v>72</v>
      </c>
      <c r="AA946" s="13">
        <v>10000</v>
      </c>
      <c r="AB946" s="2" t="s">
        <v>73</v>
      </c>
      <c r="AC946" s="2" t="s">
        <v>6773</v>
      </c>
      <c r="AD946" s="27">
        <v>43271</v>
      </c>
      <c r="AI946" s="2" t="s">
        <v>6153</v>
      </c>
      <c r="AL946" s="2" t="s">
        <v>5617</v>
      </c>
    </row>
    <row r="947" spans="1:38" hidden="1" x14ac:dyDescent="0.2">
      <c r="A947" s="2" t="s">
        <v>2927</v>
      </c>
      <c r="B947" s="2" t="s">
        <v>3029</v>
      </c>
      <c r="C947" s="2" t="s">
        <v>1582</v>
      </c>
      <c r="D947" s="2" t="s">
        <v>1583</v>
      </c>
      <c r="E947" s="13">
        <v>5129</v>
      </c>
      <c r="F947" s="13">
        <v>5129</v>
      </c>
      <c r="G947" s="14">
        <v>43298</v>
      </c>
      <c r="H947" s="15">
        <v>0.30545138888889001</v>
      </c>
      <c r="I947" s="14">
        <v>43298</v>
      </c>
      <c r="J947" s="15">
        <v>0.57060185185184997</v>
      </c>
      <c r="K947" s="13">
        <v>0</v>
      </c>
      <c r="L947" s="2" t="s">
        <v>64</v>
      </c>
      <c r="M947" s="2" t="s">
        <v>3010</v>
      </c>
      <c r="N947" s="14">
        <v>43299</v>
      </c>
      <c r="O947" s="14">
        <v>43300</v>
      </c>
      <c r="P947" s="2" t="s">
        <v>2187</v>
      </c>
      <c r="Q947" s="2" t="s">
        <v>4637</v>
      </c>
      <c r="R947" s="2" t="s">
        <v>80</v>
      </c>
      <c r="S947" s="14">
        <v>43301</v>
      </c>
      <c r="U947" s="2" t="s">
        <v>1501</v>
      </c>
      <c r="V947" s="2" t="s">
        <v>81</v>
      </c>
      <c r="W947" s="2" t="s">
        <v>70</v>
      </c>
      <c r="X947" s="13">
        <v>0</v>
      </c>
      <c r="Y947" s="2" t="s">
        <v>71</v>
      </c>
      <c r="Z947" s="2" t="s">
        <v>72</v>
      </c>
      <c r="AA947" s="13">
        <v>5000</v>
      </c>
      <c r="AB947" s="2" t="s">
        <v>95</v>
      </c>
      <c r="AC947" s="2" t="s">
        <v>6772</v>
      </c>
      <c r="AD947" s="27"/>
      <c r="AI947" s="2" t="s">
        <v>6153</v>
      </c>
      <c r="AL947" s="2" t="s">
        <v>5618</v>
      </c>
    </row>
    <row r="948" spans="1:38" hidden="1" x14ac:dyDescent="0.2">
      <c r="A948" s="2" t="s">
        <v>2927</v>
      </c>
      <c r="B948" s="2" t="s">
        <v>2261</v>
      </c>
      <c r="C948" s="2" t="s">
        <v>2197</v>
      </c>
      <c r="D948" s="2" t="s">
        <v>2198</v>
      </c>
      <c r="E948" s="16">
        <v>5061.5</v>
      </c>
      <c r="F948" s="16">
        <v>5061.5</v>
      </c>
      <c r="G948" s="14">
        <v>43298</v>
      </c>
      <c r="H948" s="15">
        <v>0.59143518518519</v>
      </c>
      <c r="I948" s="14">
        <v>43298</v>
      </c>
      <c r="J948" s="15">
        <v>0.85309027777778002</v>
      </c>
      <c r="K948" s="13">
        <v>20</v>
      </c>
      <c r="L948" s="2" t="s">
        <v>64</v>
      </c>
      <c r="M948" s="2" t="s">
        <v>4638</v>
      </c>
      <c r="N948" s="14">
        <v>43299</v>
      </c>
      <c r="O948" s="14">
        <v>43300</v>
      </c>
      <c r="P948" s="2" t="s">
        <v>2199</v>
      </c>
      <c r="Q948" s="2" t="s">
        <v>2263</v>
      </c>
      <c r="R948" s="2" t="s">
        <v>80</v>
      </c>
      <c r="S948" s="14">
        <v>43299</v>
      </c>
      <c r="T948" s="2" t="s">
        <v>6698</v>
      </c>
      <c r="U948" s="2" t="s">
        <v>2201</v>
      </c>
      <c r="V948" s="2" t="s">
        <v>81</v>
      </c>
      <c r="W948" s="2" t="s">
        <v>70</v>
      </c>
      <c r="X948" s="13">
        <v>806</v>
      </c>
      <c r="Y948" s="2" t="s">
        <v>71</v>
      </c>
      <c r="Z948" s="2" t="s">
        <v>72</v>
      </c>
      <c r="AA948" s="13">
        <v>5000</v>
      </c>
      <c r="AB948" s="2" t="s">
        <v>73</v>
      </c>
      <c r="AC948" s="2" t="s">
        <v>6773</v>
      </c>
      <c r="AD948" s="27">
        <v>43271</v>
      </c>
      <c r="AL948" s="2" t="s">
        <v>5619</v>
      </c>
    </row>
    <row r="949" spans="1:38" hidden="1" x14ac:dyDescent="0.2">
      <c r="A949" s="2" t="s">
        <v>2927</v>
      </c>
      <c r="B949" s="2" t="s">
        <v>2981</v>
      </c>
      <c r="C949" s="2" t="s">
        <v>2181</v>
      </c>
      <c r="D949" s="2" t="s">
        <v>2182</v>
      </c>
      <c r="E949" s="13">
        <v>20388</v>
      </c>
      <c r="F949" s="13">
        <v>20388</v>
      </c>
      <c r="G949" s="14">
        <v>43299</v>
      </c>
      <c r="H949" s="15">
        <v>0.18625</v>
      </c>
      <c r="I949" s="14">
        <v>43300</v>
      </c>
      <c r="J949" s="15">
        <v>0.24023148148147999</v>
      </c>
      <c r="K949" s="13">
        <v>0</v>
      </c>
      <c r="L949" s="2" t="s">
        <v>64</v>
      </c>
      <c r="M949" s="2" t="s">
        <v>4639</v>
      </c>
      <c r="N949" s="14">
        <v>43282</v>
      </c>
      <c r="O949" s="14">
        <v>43302</v>
      </c>
      <c r="P949" s="2" t="s">
        <v>2183</v>
      </c>
      <c r="Q949" s="2" t="s">
        <v>7054</v>
      </c>
      <c r="R949" s="2" t="s">
        <v>80</v>
      </c>
      <c r="S949" s="14">
        <v>43298</v>
      </c>
      <c r="T949" s="2" t="s">
        <v>6699</v>
      </c>
      <c r="U949" s="2" t="s">
        <v>1568</v>
      </c>
      <c r="V949" s="2" t="s">
        <v>1240</v>
      </c>
      <c r="W949" s="2" t="s">
        <v>70</v>
      </c>
      <c r="X949" s="13">
        <v>806</v>
      </c>
      <c r="Y949" s="2" t="s">
        <v>71</v>
      </c>
      <c r="Z949" s="2" t="s">
        <v>72</v>
      </c>
      <c r="AA949" s="13">
        <v>20388</v>
      </c>
      <c r="AB949" s="2" t="s">
        <v>107</v>
      </c>
      <c r="AC949" s="2" t="s">
        <v>6772</v>
      </c>
      <c r="AD949" s="27">
        <v>43271</v>
      </c>
      <c r="AI949" s="2" t="s">
        <v>6153</v>
      </c>
      <c r="AL949" s="2" t="s">
        <v>5620</v>
      </c>
    </row>
    <row r="950" spans="1:38" hidden="1" x14ac:dyDescent="0.2">
      <c r="A950" s="2" t="s">
        <v>2927</v>
      </c>
      <c r="B950" s="2" t="s">
        <v>2988</v>
      </c>
      <c r="C950" s="2" t="s">
        <v>1482</v>
      </c>
      <c r="D950" s="2" t="s">
        <v>1483</v>
      </c>
      <c r="E950" s="16">
        <v>5123.5</v>
      </c>
      <c r="F950" s="16">
        <v>5123.5</v>
      </c>
      <c r="G950" s="14">
        <v>43301</v>
      </c>
      <c r="H950" s="15">
        <v>0.58333333333333004</v>
      </c>
      <c r="I950" s="14">
        <v>43301</v>
      </c>
      <c r="J950" s="15">
        <v>0.84819444444444003</v>
      </c>
      <c r="K950" s="13">
        <v>0</v>
      </c>
      <c r="L950" s="2" t="s">
        <v>64</v>
      </c>
      <c r="M950" s="2" t="s">
        <v>2989</v>
      </c>
      <c r="N950" s="14">
        <v>43304</v>
      </c>
      <c r="O950" s="14">
        <v>43303</v>
      </c>
      <c r="P950" s="2" t="s">
        <v>2239</v>
      </c>
      <c r="Q950" s="2" t="s">
        <v>2990</v>
      </c>
      <c r="R950" s="2" t="s">
        <v>80</v>
      </c>
      <c r="S950" s="14">
        <v>43304</v>
      </c>
      <c r="T950" s="2" t="s">
        <v>6700</v>
      </c>
      <c r="U950" s="2" t="s">
        <v>1486</v>
      </c>
      <c r="V950" s="2" t="s">
        <v>81</v>
      </c>
      <c r="W950" s="2" t="s">
        <v>70</v>
      </c>
      <c r="X950" s="13">
        <v>806</v>
      </c>
      <c r="Y950" s="2" t="s">
        <v>71</v>
      </c>
      <c r="Z950" s="2" t="s">
        <v>72</v>
      </c>
      <c r="AA950" s="13">
        <v>5000</v>
      </c>
      <c r="AB950" s="2" t="s">
        <v>73</v>
      </c>
      <c r="AC950" s="2" t="s">
        <v>6773</v>
      </c>
      <c r="AD950" s="27">
        <v>43276</v>
      </c>
      <c r="AI950" s="2" t="s">
        <v>6153</v>
      </c>
      <c r="AL950" s="2" t="s">
        <v>5621</v>
      </c>
    </row>
    <row r="951" spans="1:38" hidden="1" x14ac:dyDescent="0.2">
      <c r="A951" s="2" t="s">
        <v>2927</v>
      </c>
      <c r="B951" s="2" t="s">
        <v>2993</v>
      </c>
      <c r="C951" s="2" t="s">
        <v>2994</v>
      </c>
      <c r="D951" s="2" t="s">
        <v>2995</v>
      </c>
      <c r="E951" s="13">
        <v>4000</v>
      </c>
      <c r="F951" s="13">
        <v>4000</v>
      </c>
      <c r="G951" s="14">
        <v>43302</v>
      </c>
      <c r="H951" s="15">
        <v>0.49306712962963001</v>
      </c>
      <c r="I951" s="14">
        <v>43302</v>
      </c>
      <c r="J951" s="15">
        <v>0.69984953703704</v>
      </c>
      <c r="K951" s="13">
        <v>20</v>
      </c>
      <c r="L951" s="2" t="s">
        <v>64</v>
      </c>
      <c r="M951" s="2" t="s">
        <v>2996</v>
      </c>
      <c r="N951" s="14">
        <v>43305</v>
      </c>
      <c r="O951" s="14">
        <v>43304</v>
      </c>
      <c r="P951" s="2" t="s">
        <v>2934</v>
      </c>
      <c r="Q951" s="2" t="s">
        <v>2997</v>
      </c>
      <c r="R951" s="2" t="s">
        <v>80</v>
      </c>
      <c r="S951" s="14">
        <v>43304</v>
      </c>
      <c r="T951" s="2" t="s">
        <v>6701</v>
      </c>
      <c r="U951" s="2" t="s">
        <v>1608</v>
      </c>
      <c r="V951" s="2" t="s">
        <v>2998</v>
      </c>
      <c r="W951" s="2" t="s">
        <v>70</v>
      </c>
      <c r="X951" s="13">
        <v>806</v>
      </c>
      <c r="Y951" s="2" t="s">
        <v>71</v>
      </c>
      <c r="Z951" s="2" t="s">
        <v>72</v>
      </c>
      <c r="AA951" s="13">
        <v>4000</v>
      </c>
      <c r="AB951" s="2" t="s">
        <v>73</v>
      </c>
      <c r="AC951" s="2" t="s">
        <v>6773</v>
      </c>
      <c r="AD951" s="27">
        <v>43273</v>
      </c>
      <c r="AI951" s="2" t="s">
        <v>6153</v>
      </c>
      <c r="AL951" s="2" t="s">
        <v>5622</v>
      </c>
    </row>
    <row r="952" spans="1:38" hidden="1" x14ac:dyDescent="0.2">
      <c r="A952" s="2" t="s">
        <v>2927</v>
      </c>
      <c r="B952" s="2" t="s">
        <v>2999</v>
      </c>
      <c r="C952" s="2" t="s">
        <v>3000</v>
      </c>
      <c r="D952" s="2" t="s">
        <v>3001</v>
      </c>
      <c r="E952" s="13">
        <v>5000</v>
      </c>
      <c r="F952" s="13">
        <v>5000</v>
      </c>
      <c r="G952" s="14">
        <v>43302</v>
      </c>
      <c r="H952" s="15">
        <v>0.74151620370369997</v>
      </c>
      <c r="I952" s="14">
        <v>43303</v>
      </c>
      <c r="J952" s="15">
        <v>0</v>
      </c>
      <c r="K952" s="13">
        <v>0</v>
      </c>
      <c r="L952" s="2" t="s">
        <v>64</v>
      </c>
      <c r="M952" s="2" t="s">
        <v>2950</v>
      </c>
      <c r="N952" s="14">
        <v>43306</v>
      </c>
      <c r="O952" s="14">
        <v>43304</v>
      </c>
      <c r="P952" s="2" t="s">
        <v>2378</v>
      </c>
      <c r="Q952" s="2" t="s">
        <v>3002</v>
      </c>
      <c r="R952" s="2" t="s">
        <v>80</v>
      </c>
      <c r="S952" s="14">
        <v>43306</v>
      </c>
      <c r="T952" s="2" t="s">
        <v>6702</v>
      </c>
      <c r="U952" s="2" t="s">
        <v>1535</v>
      </c>
      <c r="V952" s="2" t="s">
        <v>3003</v>
      </c>
      <c r="W952" s="2" t="s">
        <v>70</v>
      </c>
      <c r="X952" s="13">
        <v>806</v>
      </c>
      <c r="Y952" s="2" t="s">
        <v>71</v>
      </c>
      <c r="Z952" s="2" t="s">
        <v>72</v>
      </c>
      <c r="AA952" s="13">
        <v>5000</v>
      </c>
      <c r="AB952" s="2" t="s">
        <v>73</v>
      </c>
      <c r="AC952" s="2" t="s">
        <v>6773</v>
      </c>
      <c r="AD952" s="27">
        <v>43264</v>
      </c>
      <c r="AI952" s="2" t="s">
        <v>6153</v>
      </c>
      <c r="AL952" s="2" t="s">
        <v>5623</v>
      </c>
    </row>
    <row r="953" spans="1:38" hidden="1" x14ac:dyDescent="0.2">
      <c r="A953" s="2" t="s">
        <v>2927</v>
      </c>
      <c r="B953" s="2" t="s">
        <v>3014</v>
      </c>
      <c r="C953" s="2" t="s">
        <v>3015</v>
      </c>
      <c r="D953" s="2" t="s">
        <v>3016</v>
      </c>
      <c r="E953" s="16">
        <v>20506.335999999999</v>
      </c>
      <c r="F953" s="16">
        <v>20506.335999999999</v>
      </c>
      <c r="G953" s="14">
        <v>43302</v>
      </c>
      <c r="H953" s="15">
        <v>0.96608796296295996</v>
      </c>
      <c r="I953" s="14">
        <v>43304</v>
      </c>
      <c r="J953" s="15">
        <v>2.6180555555559998E-2</v>
      </c>
      <c r="K953" s="13">
        <v>20</v>
      </c>
      <c r="L953" s="2" t="s">
        <v>64</v>
      </c>
      <c r="M953" s="2" t="s">
        <v>4640</v>
      </c>
      <c r="N953" s="14">
        <v>43311</v>
      </c>
      <c r="O953" s="14">
        <v>43306</v>
      </c>
      <c r="P953" s="2" t="s">
        <v>2183</v>
      </c>
      <c r="Q953" s="2" t="s">
        <v>3017</v>
      </c>
      <c r="R953" s="2" t="s">
        <v>80</v>
      </c>
      <c r="S953" s="14">
        <v>43307</v>
      </c>
      <c r="T953" s="2" t="s">
        <v>6703</v>
      </c>
      <c r="U953" s="2" t="s">
        <v>3018</v>
      </c>
      <c r="V953" s="2" t="s">
        <v>1240</v>
      </c>
      <c r="W953" s="2" t="s">
        <v>70</v>
      </c>
      <c r="X953" s="13">
        <v>806</v>
      </c>
      <c r="Y953" s="2" t="s">
        <v>71</v>
      </c>
      <c r="Z953" s="2" t="s">
        <v>72</v>
      </c>
      <c r="AA953" s="13">
        <v>19975</v>
      </c>
      <c r="AB953" s="2" t="s">
        <v>73</v>
      </c>
      <c r="AC953" s="2" t="s">
        <v>6773</v>
      </c>
      <c r="AD953" s="27">
        <v>43238</v>
      </c>
      <c r="AL953" s="2" t="s">
        <v>5624</v>
      </c>
    </row>
    <row r="954" spans="1:38" hidden="1" x14ac:dyDescent="0.2">
      <c r="A954" s="2" t="s">
        <v>2927</v>
      </c>
      <c r="B954" s="2" t="s">
        <v>3004</v>
      </c>
      <c r="C954" s="2" t="s">
        <v>2937</v>
      </c>
      <c r="D954" s="2" t="s">
        <v>2938</v>
      </c>
      <c r="E954" s="16">
        <v>5110.5</v>
      </c>
      <c r="F954" s="16">
        <v>5110.5</v>
      </c>
      <c r="G954" s="14">
        <v>43303</v>
      </c>
      <c r="H954" s="15">
        <v>0.37424768518519003</v>
      </c>
      <c r="I954" s="14">
        <v>43303</v>
      </c>
      <c r="J954" s="15">
        <v>0.63843749999999999</v>
      </c>
      <c r="K954" s="13">
        <v>0</v>
      </c>
      <c r="L954" s="2" t="s">
        <v>64</v>
      </c>
      <c r="M954" s="2" t="s">
        <v>3005</v>
      </c>
      <c r="N954" s="14">
        <v>43306</v>
      </c>
      <c r="O954" s="14">
        <v>43305</v>
      </c>
      <c r="P954" s="2" t="s">
        <v>2183</v>
      </c>
      <c r="Q954" s="2" t="s">
        <v>3006</v>
      </c>
      <c r="R954" s="2" t="s">
        <v>80</v>
      </c>
      <c r="S954" s="14">
        <v>43306</v>
      </c>
      <c r="T954" s="2" t="s">
        <v>6704</v>
      </c>
      <c r="U954" s="2" t="s">
        <v>2940</v>
      </c>
      <c r="V954" s="2" t="s">
        <v>1240</v>
      </c>
      <c r="W954" s="2" t="s">
        <v>70</v>
      </c>
      <c r="X954" s="13">
        <v>806</v>
      </c>
      <c r="Y954" s="2" t="s">
        <v>71</v>
      </c>
      <c r="Z954" s="2" t="s">
        <v>72</v>
      </c>
      <c r="AA954" s="13">
        <v>5000</v>
      </c>
      <c r="AB954" s="2" t="s">
        <v>73</v>
      </c>
      <c r="AC954" s="2" t="s">
        <v>6773</v>
      </c>
      <c r="AD954" s="27">
        <v>43278</v>
      </c>
      <c r="AL954" s="2" t="s">
        <v>5625</v>
      </c>
    </row>
    <row r="955" spans="1:38" hidden="1" x14ac:dyDescent="0.2">
      <c r="A955" s="2" t="s">
        <v>2927</v>
      </c>
      <c r="B955" s="2" t="s">
        <v>3007</v>
      </c>
      <c r="C955" s="2" t="s">
        <v>3008</v>
      </c>
      <c r="D955" s="2" t="s">
        <v>3009</v>
      </c>
      <c r="E955" s="13">
        <v>5129</v>
      </c>
      <c r="F955" s="13">
        <v>5129</v>
      </c>
      <c r="G955" s="14">
        <v>43303</v>
      </c>
      <c r="H955" s="15">
        <v>0.65927083333333003</v>
      </c>
      <c r="I955" s="14">
        <v>43303</v>
      </c>
      <c r="J955" s="15">
        <v>0.92442129629629999</v>
      </c>
      <c r="K955" s="13">
        <v>20</v>
      </c>
      <c r="L955" s="2" t="s">
        <v>64</v>
      </c>
      <c r="M955" s="2" t="s">
        <v>3010</v>
      </c>
      <c r="N955" s="14">
        <v>43306</v>
      </c>
      <c r="O955" s="14">
        <v>43305</v>
      </c>
      <c r="P955" s="2" t="s">
        <v>3011</v>
      </c>
      <c r="Q955" s="2" t="s">
        <v>3012</v>
      </c>
      <c r="R955" s="2" t="s">
        <v>80</v>
      </c>
      <c r="S955" s="14">
        <v>43306</v>
      </c>
      <c r="T955" s="2" t="s">
        <v>6693</v>
      </c>
      <c r="U955" s="2" t="s">
        <v>1501</v>
      </c>
      <c r="V955" s="2" t="s">
        <v>3013</v>
      </c>
      <c r="W955" s="2" t="s">
        <v>70</v>
      </c>
      <c r="X955" s="13">
        <v>806</v>
      </c>
      <c r="Y955" s="2" t="s">
        <v>71</v>
      </c>
      <c r="Z955" s="2" t="s">
        <v>72</v>
      </c>
      <c r="AA955" s="13">
        <v>5000</v>
      </c>
      <c r="AB955" s="2" t="s">
        <v>73</v>
      </c>
      <c r="AC955" s="2" t="s">
        <v>6773</v>
      </c>
      <c r="AD955" s="27">
        <v>43278</v>
      </c>
      <c r="AI955" s="2" t="s">
        <v>6153</v>
      </c>
      <c r="AL955" s="2" t="s">
        <v>5626</v>
      </c>
    </row>
    <row r="956" spans="1:38" hidden="1" x14ac:dyDescent="0.2">
      <c r="A956" s="2" t="s">
        <v>2927</v>
      </c>
      <c r="B956" s="2" t="s">
        <v>3019</v>
      </c>
      <c r="C956" s="2" t="s">
        <v>3020</v>
      </c>
      <c r="D956" s="2" t="s">
        <v>3021</v>
      </c>
      <c r="E956" s="13">
        <v>5000</v>
      </c>
      <c r="F956" s="13">
        <v>5000</v>
      </c>
      <c r="G956" s="14">
        <v>43304</v>
      </c>
      <c r="H956" s="15">
        <v>0.74151620370369997</v>
      </c>
      <c r="I956" s="14">
        <v>43305</v>
      </c>
      <c r="J956" s="15">
        <v>0</v>
      </c>
      <c r="K956" s="13">
        <v>20</v>
      </c>
      <c r="L956" s="2" t="s">
        <v>64</v>
      </c>
      <c r="M956" s="2" t="s">
        <v>2950</v>
      </c>
      <c r="N956" s="14">
        <v>43315</v>
      </c>
      <c r="O956" s="14">
        <v>43306</v>
      </c>
      <c r="P956" s="2" t="s">
        <v>91</v>
      </c>
      <c r="Q956" s="2" t="s">
        <v>3022</v>
      </c>
      <c r="R956" s="2" t="s">
        <v>80</v>
      </c>
      <c r="S956" s="14">
        <v>43315</v>
      </c>
      <c r="T956" s="2" t="s">
        <v>6705</v>
      </c>
      <c r="U956" s="2" t="s">
        <v>3023</v>
      </c>
      <c r="V956" s="2" t="s">
        <v>1240</v>
      </c>
      <c r="W956" s="2" t="s">
        <v>70</v>
      </c>
      <c r="X956" s="13">
        <v>806</v>
      </c>
      <c r="Y956" s="2" t="s">
        <v>71</v>
      </c>
      <c r="Z956" s="2" t="s">
        <v>72</v>
      </c>
      <c r="AA956" s="13">
        <v>5000</v>
      </c>
      <c r="AB956" s="2" t="s">
        <v>73</v>
      </c>
      <c r="AC956" s="2" t="s">
        <v>6773</v>
      </c>
      <c r="AD956" s="27">
        <v>43262</v>
      </c>
      <c r="AI956" s="2" t="s">
        <v>6153</v>
      </c>
      <c r="AL956" s="2" t="s">
        <v>5627</v>
      </c>
    </row>
    <row r="957" spans="1:38" hidden="1" x14ac:dyDescent="0.2">
      <c r="A957" s="2" t="s">
        <v>2927</v>
      </c>
      <c r="B957" s="2" t="s">
        <v>3024</v>
      </c>
      <c r="C957" s="2" t="s">
        <v>1762</v>
      </c>
      <c r="D957" s="2" t="s">
        <v>1763</v>
      </c>
      <c r="E957" s="13">
        <v>3000</v>
      </c>
      <c r="F957" s="13">
        <v>3000</v>
      </c>
      <c r="G957" s="14">
        <v>43305</v>
      </c>
      <c r="H957" s="15">
        <v>0.84490740740740999</v>
      </c>
      <c r="I957" s="14">
        <v>43306</v>
      </c>
      <c r="J957" s="15">
        <v>0</v>
      </c>
      <c r="K957" s="13">
        <v>20</v>
      </c>
      <c r="L957" s="2" t="s">
        <v>64</v>
      </c>
      <c r="M957" s="2" t="s">
        <v>3025</v>
      </c>
      <c r="N957" s="14">
        <v>43312</v>
      </c>
      <c r="O957" s="14">
        <v>43307</v>
      </c>
      <c r="P957" s="2" t="s">
        <v>2279</v>
      </c>
      <c r="Q957" s="2" t="s">
        <v>3026</v>
      </c>
      <c r="R957" s="2" t="s">
        <v>80</v>
      </c>
      <c r="S957" s="14">
        <v>43312</v>
      </c>
      <c r="T957" s="2" t="s">
        <v>6706</v>
      </c>
      <c r="U957" s="2" t="s">
        <v>1694</v>
      </c>
      <c r="V957" s="2" t="s">
        <v>1240</v>
      </c>
      <c r="W957" s="2" t="s">
        <v>70</v>
      </c>
      <c r="X957" s="13">
        <v>806</v>
      </c>
      <c r="Y957" s="2" t="s">
        <v>71</v>
      </c>
      <c r="Z957" s="2" t="s">
        <v>72</v>
      </c>
      <c r="AA957" s="13">
        <v>3000</v>
      </c>
      <c r="AB957" s="2" t="s">
        <v>73</v>
      </c>
      <c r="AC957" s="2" t="s">
        <v>6773</v>
      </c>
      <c r="AD957" s="27">
        <v>43250</v>
      </c>
      <c r="AI957" s="2" t="s">
        <v>6153</v>
      </c>
      <c r="AL957" s="2" t="s">
        <v>5628</v>
      </c>
    </row>
    <row r="958" spans="1:38" hidden="1" x14ac:dyDescent="0.2">
      <c r="A958" s="2" t="s">
        <v>2927</v>
      </c>
      <c r="B958" s="2" t="s">
        <v>3027</v>
      </c>
      <c r="C958" s="2" t="s">
        <v>2942</v>
      </c>
      <c r="D958" s="2" t="s">
        <v>2943</v>
      </c>
      <c r="E958" s="13">
        <v>20000</v>
      </c>
      <c r="F958" s="13">
        <v>20000</v>
      </c>
      <c r="G958" s="14">
        <v>43306</v>
      </c>
      <c r="H958" s="15">
        <v>0.89050925925926006</v>
      </c>
      <c r="I958" s="14">
        <v>43307</v>
      </c>
      <c r="J958" s="15">
        <v>0.92442129629629999</v>
      </c>
      <c r="K958" s="13">
        <v>20</v>
      </c>
      <c r="L958" s="2" t="s">
        <v>64</v>
      </c>
      <c r="M958" s="2" t="s">
        <v>2959</v>
      </c>
      <c r="N958" s="14">
        <v>43312</v>
      </c>
      <c r="O958" s="14">
        <v>43309</v>
      </c>
      <c r="P958" s="2" t="s">
        <v>2944</v>
      </c>
      <c r="Q958" s="2" t="s">
        <v>3028</v>
      </c>
      <c r="R958" s="2" t="s">
        <v>80</v>
      </c>
      <c r="S958" s="14">
        <v>43312</v>
      </c>
      <c r="T958" s="2" t="s">
        <v>6707</v>
      </c>
      <c r="U958" s="2" t="s">
        <v>1474</v>
      </c>
      <c r="V958" s="2" t="s">
        <v>2946</v>
      </c>
      <c r="W958" s="2" t="s">
        <v>70</v>
      </c>
      <c r="X958" s="13">
        <v>806</v>
      </c>
      <c r="Y958" s="2" t="s">
        <v>71</v>
      </c>
      <c r="Z958" s="2" t="s">
        <v>72</v>
      </c>
      <c r="AA958" s="13">
        <v>20000</v>
      </c>
      <c r="AB958" s="2" t="s">
        <v>73</v>
      </c>
      <c r="AC958" s="2" t="s">
        <v>6773</v>
      </c>
      <c r="AD958" s="27">
        <v>43270</v>
      </c>
      <c r="AI958" s="2" t="s">
        <v>6153</v>
      </c>
      <c r="AL958" s="2" t="s">
        <v>5629</v>
      </c>
    </row>
    <row r="959" spans="1:38" hidden="1" x14ac:dyDescent="0.2">
      <c r="A959" s="2" t="s">
        <v>2927</v>
      </c>
      <c r="B959" s="2" t="s">
        <v>3030</v>
      </c>
      <c r="C959" s="2" t="s">
        <v>2931</v>
      </c>
      <c r="D959" s="2" t="s">
        <v>2932</v>
      </c>
      <c r="E959" s="13">
        <v>6000</v>
      </c>
      <c r="F959" s="13">
        <v>6000</v>
      </c>
      <c r="G959" s="14">
        <v>43308</v>
      </c>
      <c r="H959" s="15">
        <v>0.68982638888889003</v>
      </c>
      <c r="I959" s="14">
        <v>43309</v>
      </c>
      <c r="J959" s="15">
        <v>0</v>
      </c>
      <c r="K959" s="13">
        <v>0</v>
      </c>
      <c r="L959" s="2" t="s">
        <v>64</v>
      </c>
      <c r="M959" s="2" t="s">
        <v>2933</v>
      </c>
      <c r="N959" s="14">
        <v>43321</v>
      </c>
      <c r="O959" s="14">
        <v>43315</v>
      </c>
      <c r="P959" s="2" t="s">
        <v>2934</v>
      </c>
      <c r="Q959" s="2" t="s">
        <v>3031</v>
      </c>
      <c r="R959" s="2" t="s">
        <v>80</v>
      </c>
      <c r="S959" s="14">
        <v>43321</v>
      </c>
      <c r="T959" s="2" t="s">
        <v>6708</v>
      </c>
      <c r="U959" s="2" t="s">
        <v>1529</v>
      </c>
      <c r="V959" s="2" t="s">
        <v>2935</v>
      </c>
      <c r="W959" s="2" t="s">
        <v>70</v>
      </c>
      <c r="X959" s="13">
        <v>806</v>
      </c>
      <c r="Y959" s="2" t="s">
        <v>71</v>
      </c>
      <c r="Z959" s="2" t="s">
        <v>72</v>
      </c>
      <c r="AA959" s="13">
        <v>6000</v>
      </c>
      <c r="AB959" s="2" t="s">
        <v>73</v>
      </c>
      <c r="AC959" s="2" t="s">
        <v>6773</v>
      </c>
      <c r="AD959" s="27">
        <v>43255</v>
      </c>
      <c r="AI959" s="2" t="s">
        <v>6153</v>
      </c>
      <c r="AL959" s="2" t="s">
        <v>5630</v>
      </c>
    </row>
    <row r="960" spans="1:38" hidden="1" x14ac:dyDescent="0.2">
      <c r="A960" s="2" t="s">
        <v>2927</v>
      </c>
      <c r="B960" s="2" t="s">
        <v>3032</v>
      </c>
      <c r="C960" s="2" t="s">
        <v>3033</v>
      </c>
      <c r="D960" s="2" t="s">
        <v>3034</v>
      </c>
      <c r="E960" s="13">
        <v>13500</v>
      </c>
      <c r="F960" s="13">
        <v>13500</v>
      </c>
      <c r="G960" s="14">
        <v>43309</v>
      </c>
      <c r="H960" s="15">
        <v>0.24736111111111</v>
      </c>
      <c r="I960" s="14">
        <v>43309</v>
      </c>
      <c r="J960" s="15">
        <v>0.94525462962963003</v>
      </c>
      <c r="K960" s="13">
        <v>20</v>
      </c>
      <c r="L960" s="2" t="s">
        <v>64</v>
      </c>
      <c r="M960" s="2" t="s">
        <v>3035</v>
      </c>
      <c r="N960" s="14">
        <v>43312</v>
      </c>
      <c r="O960" s="14">
        <v>43311</v>
      </c>
      <c r="P960" s="2" t="s">
        <v>91</v>
      </c>
      <c r="Q960" s="2" t="s">
        <v>3036</v>
      </c>
      <c r="R960" s="2" t="s">
        <v>80</v>
      </c>
      <c r="S960" s="14">
        <v>43312</v>
      </c>
      <c r="T960" s="2" t="s">
        <v>6709</v>
      </c>
      <c r="U960" s="2" t="s">
        <v>1501</v>
      </c>
      <c r="V960" s="2" t="s">
        <v>3037</v>
      </c>
      <c r="W960" s="2" t="s">
        <v>70</v>
      </c>
      <c r="X960" s="13">
        <v>806</v>
      </c>
      <c r="Y960" s="2" t="s">
        <v>71</v>
      </c>
      <c r="Z960" s="2" t="s">
        <v>72</v>
      </c>
      <c r="AA960" s="13">
        <v>13500</v>
      </c>
      <c r="AB960" s="2" t="s">
        <v>73</v>
      </c>
      <c r="AC960" s="2" t="s">
        <v>6773</v>
      </c>
      <c r="AD960" s="27">
        <v>43271</v>
      </c>
      <c r="AI960" s="2" t="s">
        <v>6153</v>
      </c>
      <c r="AL960" s="2" t="s">
        <v>5631</v>
      </c>
    </row>
    <row r="961" spans="1:38" hidden="1" x14ac:dyDescent="0.2">
      <c r="A961" s="2" t="s">
        <v>2927</v>
      </c>
      <c r="B961" s="2" t="s">
        <v>3038</v>
      </c>
      <c r="C961" s="2" t="s">
        <v>3039</v>
      </c>
      <c r="D961" s="2" t="s">
        <v>3040</v>
      </c>
      <c r="E961" s="13">
        <v>5050</v>
      </c>
      <c r="F961" s="13">
        <v>5050</v>
      </c>
      <c r="G961" s="14">
        <v>43309</v>
      </c>
      <c r="H961" s="15">
        <v>0.43129629629630001</v>
      </c>
      <c r="I961" s="14">
        <v>43309</v>
      </c>
      <c r="J961" s="15">
        <v>0.69236111111110998</v>
      </c>
      <c r="K961" s="13">
        <v>20</v>
      </c>
      <c r="L961" s="2" t="s">
        <v>64</v>
      </c>
      <c r="M961" s="2" t="s">
        <v>2928</v>
      </c>
      <c r="N961" s="14">
        <v>43311</v>
      </c>
      <c r="O961" s="14">
        <v>43311</v>
      </c>
      <c r="P961" s="2" t="s">
        <v>2187</v>
      </c>
      <c r="Q961" s="2" t="s">
        <v>3041</v>
      </c>
      <c r="R961" s="2" t="s">
        <v>80</v>
      </c>
      <c r="S961" s="14">
        <v>43311</v>
      </c>
      <c r="T961" s="2" t="s">
        <v>6710</v>
      </c>
      <c r="U961" s="2" t="s">
        <v>3023</v>
      </c>
      <c r="V961" s="2" t="s">
        <v>81</v>
      </c>
      <c r="W961" s="2" t="s">
        <v>70</v>
      </c>
      <c r="X961" s="13">
        <v>806</v>
      </c>
      <c r="Y961" s="2" t="s">
        <v>71</v>
      </c>
      <c r="Z961" s="2" t="s">
        <v>72</v>
      </c>
      <c r="AA961" s="13">
        <v>5050</v>
      </c>
      <c r="AB961" s="2" t="s">
        <v>73</v>
      </c>
      <c r="AC961" s="2" t="s">
        <v>6773</v>
      </c>
      <c r="AD961" s="27">
        <v>43238</v>
      </c>
      <c r="AI961" s="2" t="s">
        <v>6153</v>
      </c>
      <c r="AL961" s="2" t="s">
        <v>5632</v>
      </c>
    </row>
    <row r="962" spans="1:38" hidden="1" x14ac:dyDescent="0.2">
      <c r="A962" s="2" t="s">
        <v>2927</v>
      </c>
      <c r="B962" s="2" t="s">
        <v>3042</v>
      </c>
      <c r="C962" s="2" t="s">
        <v>3033</v>
      </c>
      <c r="D962" s="2" t="s">
        <v>3034</v>
      </c>
      <c r="E962" s="13">
        <v>10000</v>
      </c>
      <c r="F962" s="13">
        <v>10000</v>
      </c>
      <c r="G962" s="14">
        <v>43309</v>
      </c>
      <c r="H962" s="15">
        <v>0.43182870370370002</v>
      </c>
      <c r="I962" s="14">
        <v>43309</v>
      </c>
      <c r="J962" s="15">
        <v>0.94878472222221999</v>
      </c>
      <c r="K962" s="13">
        <v>20</v>
      </c>
      <c r="L962" s="2" t="s">
        <v>64</v>
      </c>
      <c r="M962" s="2" t="s">
        <v>2930</v>
      </c>
      <c r="N962" s="14">
        <v>43311</v>
      </c>
      <c r="O962" s="14">
        <v>43311</v>
      </c>
      <c r="P962" s="2" t="s">
        <v>91</v>
      </c>
      <c r="Q962" s="2" t="s">
        <v>3043</v>
      </c>
      <c r="R962" s="2" t="s">
        <v>80</v>
      </c>
      <c r="S962" s="14">
        <v>43311</v>
      </c>
      <c r="T962" s="2" t="s">
        <v>6711</v>
      </c>
      <c r="U962" s="2" t="s">
        <v>1501</v>
      </c>
      <c r="V962" s="2" t="s">
        <v>3037</v>
      </c>
      <c r="W962" s="2" t="s">
        <v>70</v>
      </c>
      <c r="X962" s="13">
        <v>806</v>
      </c>
      <c r="Y962" s="2" t="s">
        <v>71</v>
      </c>
      <c r="Z962" s="2" t="s">
        <v>72</v>
      </c>
      <c r="AA962" s="13">
        <v>10000</v>
      </c>
      <c r="AB962" s="2" t="s">
        <v>73</v>
      </c>
      <c r="AC962" s="2" t="s">
        <v>6773</v>
      </c>
      <c r="AD962" s="27">
        <v>43264</v>
      </c>
      <c r="AI962" s="2" t="s">
        <v>6153</v>
      </c>
      <c r="AL962" s="2" t="s">
        <v>5633</v>
      </c>
    </row>
    <row r="963" spans="1:38" hidden="1" x14ac:dyDescent="0.2">
      <c r="A963" s="2" t="s">
        <v>2927</v>
      </c>
      <c r="B963" s="2" t="s">
        <v>3044</v>
      </c>
      <c r="C963" s="2" t="s">
        <v>2384</v>
      </c>
      <c r="D963" s="2" t="s">
        <v>2385</v>
      </c>
      <c r="E963" s="16">
        <v>5062.5</v>
      </c>
      <c r="F963" s="16">
        <v>5062.5</v>
      </c>
      <c r="G963" s="14">
        <v>43309</v>
      </c>
      <c r="H963" s="15">
        <v>0.96961805555556002</v>
      </c>
      <c r="I963" s="14">
        <v>43310</v>
      </c>
      <c r="J963" s="15">
        <v>0.23133101851852</v>
      </c>
      <c r="K963" s="13">
        <v>0</v>
      </c>
      <c r="L963" s="2" t="s">
        <v>64</v>
      </c>
      <c r="M963" s="2" t="s">
        <v>4641</v>
      </c>
      <c r="N963" s="14"/>
      <c r="O963" s="14">
        <v>43312</v>
      </c>
      <c r="P963" s="2" t="s">
        <v>2239</v>
      </c>
      <c r="Q963" s="2" t="s">
        <v>98</v>
      </c>
      <c r="R963" s="2" t="s">
        <v>131</v>
      </c>
      <c r="S963" s="14"/>
      <c r="U963" s="2" t="s">
        <v>1523</v>
      </c>
      <c r="V963" s="2" t="s">
        <v>81</v>
      </c>
      <c r="W963" s="2" t="s">
        <v>70</v>
      </c>
      <c r="X963" s="13">
        <v>0</v>
      </c>
      <c r="Y963" s="2" t="s">
        <v>71</v>
      </c>
      <c r="Z963" s="2" t="s">
        <v>72</v>
      </c>
      <c r="AA963" s="13">
        <v>5000</v>
      </c>
      <c r="AB963" s="2" t="s">
        <v>95</v>
      </c>
      <c r="AC963" s="2" t="s">
        <v>6772</v>
      </c>
      <c r="AD963" s="27"/>
      <c r="AI963" s="2" t="s">
        <v>6153</v>
      </c>
      <c r="AL963" s="2" t="s">
        <v>5634</v>
      </c>
    </row>
    <row r="964" spans="1:38" hidden="1" x14ac:dyDescent="0.2">
      <c r="A964" s="2" t="s">
        <v>2927</v>
      </c>
      <c r="B964" s="2" t="s">
        <v>3046</v>
      </c>
      <c r="C964" s="2" t="s">
        <v>3039</v>
      </c>
      <c r="D964" s="2" t="s">
        <v>3040</v>
      </c>
      <c r="E964" s="13">
        <v>5000</v>
      </c>
      <c r="F964" s="13">
        <v>5000</v>
      </c>
      <c r="G964" s="14">
        <v>43310</v>
      </c>
      <c r="H964" s="15">
        <v>0.74151620370369997</v>
      </c>
      <c r="I964" s="14">
        <v>43311</v>
      </c>
      <c r="J964" s="15">
        <v>0</v>
      </c>
      <c r="K964" s="13">
        <v>20</v>
      </c>
      <c r="L964" s="2" t="s">
        <v>64</v>
      </c>
      <c r="M964" s="2" t="s">
        <v>2950</v>
      </c>
      <c r="N964" s="14">
        <v>43315</v>
      </c>
      <c r="O964" s="14">
        <v>43312</v>
      </c>
      <c r="P964" s="2" t="s">
        <v>2187</v>
      </c>
      <c r="Q964" s="2" t="s">
        <v>3047</v>
      </c>
      <c r="R964" s="2" t="s">
        <v>80</v>
      </c>
      <c r="S964" s="14">
        <v>43315</v>
      </c>
      <c r="T964" s="2" t="s">
        <v>6712</v>
      </c>
      <c r="U964" s="2" t="s">
        <v>3023</v>
      </c>
      <c r="V964" s="2" t="s">
        <v>81</v>
      </c>
      <c r="W964" s="2" t="s">
        <v>70</v>
      </c>
      <c r="X964" s="13">
        <v>806</v>
      </c>
      <c r="Y964" s="2" t="s">
        <v>71</v>
      </c>
      <c r="Z964" s="2" t="s">
        <v>72</v>
      </c>
      <c r="AA964" s="13">
        <v>5000</v>
      </c>
      <c r="AB964" s="2" t="s">
        <v>73</v>
      </c>
      <c r="AC964" s="2" t="s">
        <v>6773</v>
      </c>
      <c r="AD964" s="27">
        <v>43262</v>
      </c>
      <c r="AI964" s="2" t="s">
        <v>6153</v>
      </c>
      <c r="AL964" s="2" t="s">
        <v>5635</v>
      </c>
    </row>
    <row r="965" spans="1:38" hidden="1" x14ac:dyDescent="0.2">
      <c r="A965" s="2" t="s">
        <v>2927</v>
      </c>
      <c r="B965" s="2" t="s">
        <v>4642</v>
      </c>
      <c r="C965" s="2" t="s">
        <v>4643</v>
      </c>
      <c r="D965" s="2" t="s">
        <v>4644</v>
      </c>
      <c r="E965" s="16">
        <v>3058.2</v>
      </c>
      <c r="F965" s="16">
        <v>3058.2</v>
      </c>
      <c r="G965" s="14">
        <v>43311</v>
      </c>
      <c r="H965" s="15">
        <v>0.48203703703703998</v>
      </c>
      <c r="I965" s="14">
        <v>43311</v>
      </c>
      <c r="J965" s="15">
        <v>0.64012731481481</v>
      </c>
      <c r="K965" s="13">
        <v>0</v>
      </c>
      <c r="L965" s="2" t="s">
        <v>64</v>
      </c>
      <c r="M965" s="2" t="s">
        <v>4645</v>
      </c>
      <c r="N965" s="14">
        <v>43314</v>
      </c>
      <c r="O965" s="14">
        <v>43313</v>
      </c>
      <c r="P965" s="2" t="s">
        <v>91</v>
      </c>
      <c r="Q965" s="2" t="s">
        <v>4646</v>
      </c>
      <c r="R965" s="2" t="s">
        <v>80</v>
      </c>
      <c r="S965" s="14">
        <v>43314</v>
      </c>
      <c r="T965" s="2" t="s">
        <v>6713</v>
      </c>
      <c r="U965" s="2" t="s">
        <v>1557</v>
      </c>
      <c r="V965" s="2" t="s">
        <v>4647</v>
      </c>
      <c r="W965" s="2" t="s">
        <v>70</v>
      </c>
      <c r="X965" s="13">
        <v>806</v>
      </c>
      <c r="Y965" s="2" t="s">
        <v>71</v>
      </c>
      <c r="Z965" s="2" t="s">
        <v>72</v>
      </c>
      <c r="AA965" s="13">
        <v>3000</v>
      </c>
      <c r="AB965" s="2" t="s">
        <v>73</v>
      </c>
      <c r="AC965" s="2" t="s">
        <v>6773</v>
      </c>
      <c r="AD965" s="27">
        <v>43286</v>
      </c>
      <c r="AI965" s="2" t="s">
        <v>6153</v>
      </c>
      <c r="AL965" s="2" t="s">
        <v>5636</v>
      </c>
    </row>
    <row r="966" spans="1:38" hidden="1" x14ac:dyDescent="0.2">
      <c r="A966" s="2" t="s">
        <v>2927</v>
      </c>
      <c r="B966" s="2" t="s">
        <v>4648</v>
      </c>
      <c r="C966" s="2" t="s">
        <v>1482</v>
      </c>
      <c r="D966" s="2" t="s">
        <v>1483</v>
      </c>
      <c r="E966" s="16">
        <v>5123.5</v>
      </c>
      <c r="F966" s="16">
        <v>5123.5</v>
      </c>
      <c r="G966" s="14">
        <v>43311</v>
      </c>
      <c r="H966" s="15">
        <v>0.66096064814815003</v>
      </c>
      <c r="I966" s="14">
        <v>43311</v>
      </c>
      <c r="J966" s="15">
        <v>0.92582175925926002</v>
      </c>
      <c r="K966" s="13">
        <v>0</v>
      </c>
      <c r="L966" s="2" t="s">
        <v>64</v>
      </c>
      <c r="M966" s="2" t="s">
        <v>2989</v>
      </c>
      <c r="N966" s="14">
        <v>43314</v>
      </c>
      <c r="O966" s="14">
        <v>43313</v>
      </c>
      <c r="P966" s="2" t="s">
        <v>2239</v>
      </c>
      <c r="Q966" s="2" t="s">
        <v>4649</v>
      </c>
      <c r="R966" s="2" t="s">
        <v>80</v>
      </c>
      <c r="S966" s="14">
        <v>43314</v>
      </c>
      <c r="T966" s="2" t="s">
        <v>6714</v>
      </c>
      <c r="U966" s="2" t="s">
        <v>1486</v>
      </c>
      <c r="V966" s="2" t="s">
        <v>81</v>
      </c>
      <c r="W966" s="2" t="s">
        <v>70</v>
      </c>
      <c r="X966" s="13">
        <v>806</v>
      </c>
      <c r="Y966" s="2" t="s">
        <v>71</v>
      </c>
      <c r="Z966" s="2" t="s">
        <v>72</v>
      </c>
      <c r="AA966" s="13">
        <v>5000</v>
      </c>
      <c r="AB966" s="2" t="s">
        <v>73</v>
      </c>
      <c r="AC966" s="2" t="s">
        <v>6773</v>
      </c>
      <c r="AD966" s="27">
        <v>43286</v>
      </c>
      <c r="AI966" s="2" t="s">
        <v>6153</v>
      </c>
      <c r="AL966" s="2" t="s">
        <v>5637</v>
      </c>
    </row>
    <row r="967" spans="1:38" hidden="1" x14ac:dyDescent="0.2">
      <c r="A967" s="2" t="s">
        <v>2927</v>
      </c>
      <c r="B967" s="2" t="s">
        <v>3048</v>
      </c>
      <c r="C967" s="2" t="s">
        <v>2184</v>
      </c>
      <c r="D967" s="2" t="s">
        <v>2185</v>
      </c>
      <c r="E967" s="13">
        <v>20376</v>
      </c>
      <c r="F967" s="13">
        <v>20376</v>
      </c>
      <c r="G967" s="14">
        <v>43311</v>
      </c>
      <c r="H967" s="15">
        <v>0.94665509259258995</v>
      </c>
      <c r="I967" s="14">
        <v>43313</v>
      </c>
      <c r="J967" s="15">
        <v>0</v>
      </c>
      <c r="K967" s="13">
        <v>0</v>
      </c>
      <c r="L967" s="2" t="s">
        <v>64</v>
      </c>
      <c r="M967" s="2" t="s">
        <v>2982</v>
      </c>
      <c r="N967" s="14"/>
      <c r="O967" s="14">
        <v>43314</v>
      </c>
      <c r="P967" s="2" t="s">
        <v>2187</v>
      </c>
      <c r="Q967" s="2" t="s">
        <v>7055</v>
      </c>
      <c r="R967" s="2" t="s">
        <v>80</v>
      </c>
      <c r="S967" s="14">
        <v>43315</v>
      </c>
      <c r="T967" s="2" t="s">
        <v>6715</v>
      </c>
      <c r="U967" s="2" t="s">
        <v>1568</v>
      </c>
      <c r="V967" s="2" t="s">
        <v>81</v>
      </c>
      <c r="W967" s="2" t="s">
        <v>70</v>
      </c>
      <c r="X967" s="13">
        <v>806</v>
      </c>
      <c r="Y967" s="2" t="s">
        <v>71</v>
      </c>
      <c r="Z967" s="2" t="s">
        <v>72</v>
      </c>
      <c r="AA967" s="13">
        <v>20376</v>
      </c>
      <c r="AB967" s="2" t="s">
        <v>107</v>
      </c>
      <c r="AC967" s="2" t="s">
        <v>6772</v>
      </c>
      <c r="AD967" s="27">
        <v>43138</v>
      </c>
      <c r="AI967" s="2" t="s">
        <v>6153</v>
      </c>
      <c r="AL967" s="2" t="s">
        <v>5638</v>
      </c>
    </row>
    <row r="968" spans="1:38" hidden="1" x14ac:dyDescent="0.2">
      <c r="A968" s="2" t="s">
        <v>2927</v>
      </c>
      <c r="B968" s="2" t="s">
        <v>3049</v>
      </c>
      <c r="C968" s="2" t="s">
        <v>2384</v>
      </c>
      <c r="D968" s="2" t="s">
        <v>2385</v>
      </c>
      <c r="E968" s="13">
        <v>10125</v>
      </c>
      <c r="F968" s="13">
        <v>10125</v>
      </c>
      <c r="G968" s="14">
        <v>43316</v>
      </c>
      <c r="H968" s="15">
        <v>0.47657407407406999</v>
      </c>
      <c r="I968" s="14">
        <v>43316</v>
      </c>
      <c r="J968" s="15">
        <v>0.99998842592592996</v>
      </c>
      <c r="K968" s="13">
        <v>0</v>
      </c>
      <c r="L968" s="2" t="s">
        <v>64</v>
      </c>
      <c r="M968" s="2" t="s">
        <v>3050</v>
      </c>
      <c r="N968" s="14">
        <v>43318</v>
      </c>
      <c r="O968" s="14">
        <v>43318</v>
      </c>
      <c r="P968" s="2" t="s">
        <v>2239</v>
      </c>
      <c r="Q968" s="2" t="s">
        <v>98</v>
      </c>
      <c r="R968" s="2" t="s">
        <v>131</v>
      </c>
      <c r="S968" s="14"/>
      <c r="U968" s="2" t="s">
        <v>1523</v>
      </c>
      <c r="V968" s="2" t="s">
        <v>81</v>
      </c>
      <c r="W968" s="2" t="s">
        <v>70</v>
      </c>
      <c r="X968" s="13">
        <v>0</v>
      </c>
      <c r="Y968" s="2" t="s">
        <v>71</v>
      </c>
      <c r="Z968" s="2" t="s">
        <v>72</v>
      </c>
      <c r="AA968" s="13">
        <v>10000</v>
      </c>
      <c r="AB968" s="2" t="s">
        <v>95</v>
      </c>
      <c r="AC968" s="2" t="s">
        <v>6772</v>
      </c>
      <c r="AD968" s="27"/>
      <c r="AI968" s="2" t="s">
        <v>6153</v>
      </c>
      <c r="AL968" s="2" t="s">
        <v>5639</v>
      </c>
    </row>
    <row r="969" spans="1:38" hidden="1" x14ac:dyDescent="0.2">
      <c r="A969" s="2" t="s">
        <v>2927</v>
      </c>
      <c r="B969" s="2" t="s">
        <v>3051</v>
      </c>
      <c r="C969" s="2" t="s">
        <v>3052</v>
      </c>
      <c r="D969" s="2" t="s">
        <v>3053</v>
      </c>
      <c r="E969" s="13">
        <v>5350</v>
      </c>
      <c r="F969" s="13">
        <v>5350</v>
      </c>
      <c r="G969" s="14">
        <v>43316</v>
      </c>
      <c r="H969" s="15">
        <v>0.72342592592593002</v>
      </c>
      <c r="I969" s="14">
        <v>43317</v>
      </c>
      <c r="J969" s="15">
        <v>0</v>
      </c>
      <c r="K969" s="13">
        <v>0</v>
      </c>
      <c r="L969" s="2" t="s">
        <v>64</v>
      </c>
      <c r="M969" s="2" t="s">
        <v>3054</v>
      </c>
      <c r="N969" s="14">
        <v>43319</v>
      </c>
      <c r="O969" s="14">
        <v>43318</v>
      </c>
      <c r="P969" s="2" t="s">
        <v>91</v>
      </c>
      <c r="Q969" s="2" t="s">
        <v>3055</v>
      </c>
      <c r="R969" s="2" t="s">
        <v>80</v>
      </c>
      <c r="S969" s="14">
        <v>43319</v>
      </c>
      <c r="T969" s="2" t="s">
        <v>6716</v>
      </c>
      <c r="U969" s="2" t="s">
        <v>1535</v>
      </c>
      <c r="V969" s="2" t="s">
        <v>3056</v>
      </c>
      <c r="W969" s="2" t="s">
        <v>70</v>
      </c>
      <c r="X969" s="13">
        <v>806</v>
      </c>
      <c r="Y969" s="2" t="s">
        <v>71</v>
      </c>
      <c r="Z969" s="2" t="s">
        <v>72</v>
      </c>
      <c r="AA969" s="13">
        <v>5350</v>
      </c>
      <c r="AB969" s="2" t="s">
        <v>73</v>
      </c>
      <c r="AC969" s="2" t="s">
        <v>6773</v>
      </c>
      <c r="AD969" s="27">
        <v>43271</v>
      </c>
      <c r="AI969" s="2" t="s">
        <v>6153</v>
      </c>
      <c r="AL969" s="2" t="s">
        <v>5640</v>
      </c>
    </row>
    <row r="970" spans="1:38" hidden="1" x14ac:dyDescent="0.2">
      <c r="A970" s="2" t="s">
        <v>2927</v>
      </c>
      <c r="B970" s="2" t="s">
        <v>3057</v>
      </c>
      <c r="C970" s="2" t="s">
        <v>1554</v>
      </c>
      <c r="D970" s="2" t="s">
        <v>1555</v>
      </c>
      <c r="E970" s="16">
        <v>4077.6</v>
      </c>
      <c r="F970" s="16">
        <v>4077.6</v>
      </c>
      <c r="G970" s="14">
        <v>43317</v>
      </c>
      <c r="H970" s="15">
        <v>0.73444444444444001</v>
      </c>
      <c r="I970" s="14">
        <v>43317</v>
      </c>
      <c r="J970" s="15">
        <v>0.94524305555555999</v>
      </c>
      <c r="K970" s="13">
        <v>0</v>
      </c>
      <c r="L970" s="2" t="s">
        <v>64</v>
      </c>
      <c r="M970" s="2" t="s">
        <v>3058</v>
      </c>
      <c r="N970" s="14">
        <v>43321</v>
      </c>
      <c r="O970" s="14">
        <v>43319</v>
      </c>
      <c r="P970" s="2" t="s">
        <v>2187</v>
      </c>
      <c r="Q970" s="2" t="s">
        <v>3059</v>
      </c>
      <c r="R970" s="2" t="s">
        <v>80</v>
      </c>
      <c r="S970" s="14">
        <v>43321</v>
      </c>
      <c r="T970" s="2" t="s">
        <v>6717</v>
      </c>
      <c r="U970" s="2" t="s">
        <v>1557</v>
      </c>
      <c r="V970" s="2" t="s">
        <v>554</v>
      </c>
      <c r="W970" s="2" t="s">
        <v>70</v>
      </c>
      <c r="X970" s="13">
        <v>806</v>
      </c>
      <c r="Y970" s="2" t="s">
        <v>71</v>
      </c>
      <c r="Z970" s="2" t="s">
        <v>72</v>
      </c>
      <c r="AA970" s="13">
        <v>4000</v>
      </c>
      <c r="AB970" s="2" t="s">
        <v>73</v>
      </c>
      <c r="AC970" s="2" t="s">
        <v>6773</v>
      </c>
      <c r="AD970" s="27">
        <v>43277</v>
      </c>
      <c r="AI970" s="2" t="s">
        <v>6153</v>
      </c>
      <c r="AL970" s="2" t="s">
        <v>5641</v>
      </c>
    </row>
    <row r="971" spans="1:38" hidden="1" x14ac:dyDescent="0.2">
      <c r="A971" s="2" t="s">
        <v>2927</v>
      </c>
      <c r="B971" s="2" t="s">
        <v>3060</v>
      </c>
      <c r="C971" s="2" t="s">
        <v>2184</v>
      </c>
      <c r="D971" s="2" t="s">
        <v>2185</v>
      </c>
      <c r="E971" s="13">
        <v>20000</v>
      </c>
      <c r="F971" s="13">
        <v>20000</v>
      </c>
      <c r="G971" s="14">
        <v>43317</v>
      </c>
      <c r="H971" s="15">
        <v>0.96607638888889003</v>
      </c>
      <c r="I971" s="14">
        <v>43318</v>
      </c>
      <c r="J971" s="15">
        <v>0.99998842592592996</v>
      </c>
      <c r="K971" s="13">
        <v>0</v>
      </c>
      <c r="L971" s="2" t="s">
        <v>64</v>
      </c>
      <c r="M971" s="2" t="s">
        <v>2959</v>
      </c>
      <c r="N971" s="14">
        <v>43320</v>
      </c>
      <c r="O971" s="14">
        <v>43320</v>
      </c>
      <c r="P971" s="2" t="s">
        <v>2187</v>
      </c>
      <c r="Q971" s="2" t="s">
        <v>98</v>
      </c>
      <c r="R971" s="2" t="s">
        <v>131</v>
      </c>
      <c r="S971" s="14"/>
      <c r="U971" s="2" t="s">
        <v>1568</v>
      </c>
      <c r="V971" s="2" t="s">
        <v>81</v>
      </c>
      <c r="W971" s="2" t="s">
        <v>70</v>
      </c>
      <c r="X971" s="13">
        <v>0</v>
      </c>
      <c r="Y971" s="2" t="s">
        <v>71</v>
      </c>
      <c r="Z971" s="2" t="s">
        <v>72</v>
      </c>
      <c r="AA971" s="13">
        <v>20000</v>
      </c>
      <c r="AB971" s="2" t="s">
        <v>95</v>
      </c>
      <c r="AC971" s="2" t="s">
        <v>6772</v>
      </c>
      <c r="AD971" s="27"/>
      <c r="AI971" s="2" t="s">
        <v>6153</v>
      </c>
      <c r="AL971" s="2" t="s">
        <v>5642</v>
      </c>
    </row>
    <row r="972" spans="1:38" hidden="1" x14ac:dyDescent="0.2">
      <c r="A972" s="2" t="s">
        <v>2927</v>
      </c>
      <c r="B972" s="2" t="s">
        <v>3061</v>
      </c>
      <c r="C972" s="2" t="s">
        <v>2384</v>
      </c>
      <c r="D972" s="2" t="s">
        <v>2385</v>
      </c>
      <c r="E972" s="13">
        <v>20250</v>
      </c>
      <c r="F972" s="13">
        <v>20250</v>
      </c>
      <c r="G972" s="14">
        <v>43323</v>
      </c>
      <c r="H972" s="15">
        <v>2.0821759259260001E-2</v>
      </c>
      <c r="I972" s="14">
        <v>43324</v>
      </c>
      <c r="J972" s="15">
        <v>6.7662037037040004E-2</v>
      </c>
      <c r="K972" s="13">
        <v>0</v>
      </c>
      <c r="L972" s="2" t="s">
        <v>64</v>
      </c>
      <c r="M972" s="2" t="s">
        <v>3062</v>
      </c>
      <c r="N972" s="14">
        <v>43326</v>
      </c>
      <c r="O972" s="14">
        <v>43326</v>
      </c>
      <c r="P972" s="2" t="s">
        <v>2239</v>
      </c>
      <c r="Q972" s="2" t="s">
        <v>4650</v>
      </c>
      <c r="R972" s="2" t="s">
        <v>80</v>
      </c>
      <c r="S972" s="14">
        <v>43340</v>
      </c>
      <c r="U972" s="2" t="s">
        <v>1523</v>
      </c>
      <c r="V972" s="2" t="s">
        <v>81</v>
      </c>
      <c r="W972" s="2" t="s">
        <v>70</v>
      </c>
      <c r="X972" s="13">
        <v>0</v>
      </c>
      <c r="Y972" s="2" t="s">
        <v>71</v>
      </c>
      <c r="Z972" s="2" t="s">
        <v>72</v>
      </c>
      <c r="AA972" s="13">
        <v>20000</v>
      </c>
      <c r="AB972" s="2" t="s">
        <v>95</v>
      </c>
      <c r="AC972" s="2" t="s">
        <v>6772</v>
      </c>
      <c r="AD972" s="27"/>
      <c r="AI972" s="2" t="s">
        <v>6153</v>
      </c>
      <c r="AL972" s="2" t="s">
        <v>5643</v>
      </c>
    </row>
    <row r="973" spans="1:38" hidden="1" x14ac:dyDescent="0.2">
      <c r="A973" s="2" t="s">
        <v>2927</v>
      </c>
      <c r="B973" s="2" t="s">
        <v>3063</v>
      </c>
      <c r="C973" s="2" t="s">
        <v>2184</v>
      </c>
      <c r="D973" s="2" t="s">
        <v>2185</v>
      </c>
      <c r="E973" s="13">
        <v>20376</v>
      </c>
      <c r="F973" s="13">
        <v>20376</v>
      </c>
      <c r="G973" s="14">
        <v>43324</v>
      </c>
      <c r="H973" s="15">
        <v>0.64011574074073996</v>
      </c>
      <c r="I973" s="14">
        <v>43325</v>
      </c>
      <c r="J973" s="15">
        <v>0.69346064814815001</v>
      </c>
      <c r="K973" s="13">
        <v>0</v>
      </c>
      <c r="L973" s="2" t="s">
        <v>64</v>
      </c>
      <c r="M973" s="2" t="s">
        <v>2982</v>
      </c>
      <c r="N973" s="14">
        <v>43327</v>
      </c>
      <c r="O973" s="14">
        <v>43328</v>
      </c>
      <c r="P973" s="2" t="s">
        <v>2187</v>
      </c>
      <c r="Q973" s="2" t="s">
        <v>7056</v>
      </c>
      <c r="R973" s="2" t="s">
        <v>80</v>
      </c>
      <c r="S973" s="14">
        <v>43329</v>
      </c>
      <c r="U973" s="2" t="s">
        <v>1568</v>
      </c>
      <c r="V973" s="2" t="s">
        <v>81</v>
      </c>
      <c r="W973" s="2" t="s">
        <v>70</v>
      </c>
      <c r="X973" s="13">
        <v>0</v>
      </c>
      <c r="Y973" s="2" t="s">
        <v>71</v>
      </c>
      <c r="Z973" s="2" t="s">
        <v>72</v>
      </c>
      <c r="AA973" s="13">
        <v>20000</v>
      </c>
      <c r="AB973" s="2" t="s">
        <v>95</v>
      </c>
      <c r="AC973" s="2" t="s">
        <v>6772</v>
      </c>
      <c r="AD973" s="27"/>
      <c r="AI973" s="2" t="s">
        <v>6153</v>
      </c>
      <c r="AL973" s="2" t="s">
        <v>5644</v>
      </c>
    </row>
    <row r="974" spans="1:38" hidden="1" x14ac:dyDescent="0.2">
      <c r="A974" s="2" t="s">
        <v>2927</v>
      </c>
      <c r="B974" s="2" t="s">
        <v>2991</v>
      </c>
      <c r="C974" s="2" t="s">
        <v>1559</v>
      </c>
      <c r="D974" s="2" t="s">
        <v>1560</v>
      </c>
      <c r="E974" s="13">
        <v>10000</v>
      </c>
      <c r="F974" s="13">
        <v>10000</v>
      </c>
      <c r="G974" s="14">
        <v>43324</v>
      </c>
      <c r="H974" s="15">
        <v>0.66604166666666997</v>
      </c>
      <c r="I974" s="14">
        <v>43325</v>
      </c>
      <c r="J974" s="15">
        <v>0.18299768518519</v>
      </c>
      <c r="K974" s="13">
        <v>20</v>
      </c>
      <c r="L974" s="2" t="s">
        <v>64</v>
      </c>
      <c r="M974" s="2" t="s">
        <v>2930</v>
      </c>
      <c r="N974" s="14">
        <v>43318</v>
      </c>
      <c r="O974" s="14">
        <v>43327</v>
      </c>
      <c r="P974" s="2" t="s">
        <v>2239</v>
      </c>
      <c r="Q974" s="2" t="s">
        <v>2992</v>
      </c>
      <c r="R974" s="2" t="s">
        <v>80</v>
      </c>
      <c r="S974" s="14">
        <v>43318</v>
      </c>
      <c r="U974" s="2" t="s">
        <v>1486</v>
      </c>
      <c r="V974" s="2" t="s">
        <v>554</v>
      </c>
      <c r="W974" s="2" t="s">
        <v>70</v>
      </c>
      <c r="X974" s="13">
        <v>806</v>
      </c>
      <c r="Y974" s="2" t="s">
        <v>71</v>
      </c>
      <c r="Z974" s="2" t="s">
        <v>72</v>
      </c>
      <c r="AA974" s="13">
        <v>10000</v>
      </c>
      <c r="AB974" s="2" t="s">
        <v>73</v>
      </c>
      <c r="AC974" s="2" t="s">
        <v>6773</v>
      </c>
      <c r="AD974" s="27"/>
      <c r="AI974" s="2" t="s">
        <v>6153</v>
      </c>
      <c r="AL974" s="2" t="s">
        <v>7312</v>
      </c>
    </row>
    <row r="975" spans="1:38" hidden="1" x14ac:dyDescent="0.2">
      <c r="A975" s="2" t="s">
        <v>2927</v>
      </c>
      <c r="B975" s="2" t="s">
        <v>2983</v>
      </c>
      <c r="C975" s="2" t="s">
        <v>2984</v>
      </c>
      <c r="D975" s="2" t="s">
        <v>2985</v>
      </c>
      <c r="E975" s="13">
        <v>10000</v>
      </c>
      <c r="F975" s="13">
        <v>10000</v>
      </c>
      <c r="G975" s="14">
        <v>43324</v>
      </c>
      <c r="H975" s="15">
        <v>0.66666666666666996</v>
      </c>
      <c r="I975" s="14">
        <v>43325</v>
      </c>
      <c r="J975" s="15">
        <v>0.18362268518519001</v>
      </c>
      <c r="K975" s="13">
        <v>20</v>
      </c>
      <c r="L975" s="2" t="s">
        <v>64</v>
      </c>
      <c r="M975" s="2" t="s">
        <v>2930</v>
      </c>
      <c r="N975" s="14">
        <v>43318</v>
      </c>
      <c r="O975" s="14">
        <v>43327</v>
      </c>
      <c r="P975" s="2" t="s">
        <v>91</v>
      </c>
      <c r="Q975" s="2" t="s">
        <v>2986</v>
      </c>
      <c r="R975" s="2" t="s">
        <v>80</v>
      </c>
      <c r="S975" s="14">
        <v>43318</v>
      </c>
      <c r="U975" s="2" t="s">
        <v>1486</v>
      </c>
      <c r="V975" s="2" t="s">
        <v>2987</v>
      </c>
      <c r="W975" s="2" t="s">
        <v>70</v>
      </c>
      <c r="X975" s="13">
        <v>806</v>
      </c>
      <c r="Y975" s="2" t="s">
        <v>71</v>
      </c>
      <c r="Z975" s="2" t="s">
        <v>72</v>
      </c>
      <c r="AA975" s="13">
        <v>10000</v>
      </c>
      <c r="AB975" s="2" t="s">
        <v>73</v>
      </c>
      <c r="AC975" s="2" t="s">
        <v>6773</v>
      </c>
      <c r="AD975" s="27"/>
      <c r="AI975" s="2" t="s">
        <v>6153</v>
      </c>
      <c r="AL975" s="2" t="s">
        <v>7313</v>
      </c>
    </row>
    <row r="976" spans="1:38" hidden="1" x14ac:dyDescent="0.2">
      <c r="A976" s="2" t="s">
        <v>2927</v>
      </c>
      <c r="B976" s="2" t="s">
        <v>3064</v>
      </c>
      <c r="C976" s="2" t="s">
        <v>3065</v>
      </c>
      <c r="D976" s="2" t="s">
        <v>3066</v>
      </c>
      <c r="E976" s="16">
        <v>5123.5</v>
      </c>
      <c r="F976" s="16">
        <v>5123.5</v>
      </c>
      <c r="G976" s="14">
        <v>43325</v>
      </c>
      <c r="H976" s="15">
        <v>0.73512731481480997</v>
      </c>
      <c r="I976" s="14">
        <v>43325</v>
      </c>
      <c r="J976" s="15">
        <v>0.99998842592592996</v>
      </c>
      <c r="K976" s="13">
        <v>0</v>
      </c>
      <c r="L976" s="2" t="s">
        <v>64</v>
      </c>
      <c r="M976" s="2" t="s">
        <v>2989</v>
      </c>
      <c r="N976" s="14">
        <v>43327</v>
      </c>
      <c r="O976" s="14">
        <v>43327</v>
      </c>
      <c r="P976" s="2" t="s">
        <v>2279</v>
      </c>
      <c r="Q976" s="2" t="s">
        <v>98</v>
      </c>
      <c r="R976" s="2" t="s">
        <v>131</v>
      </c>
      <c r="S976" s="14"/>
      <c r="U976" s="2" t="s">
        <v>1486</v>
      </c>
      <c r="V976" s="2" t="s">
        <v>1240</v>
      </c>
      <c r="W976" s="2" t="s">
        <v>70</v>
      </c>
      <c r="X976" s="13">
        <v>0</v>
      </c>
      <c r="Y976" s="2" t="s">
        <v>71</v>
      </c>
      <c r="Z976" s="2" t="s">
        <v>72</v>
      </c>
      <c r="AA976" s="13">
        <v>5000</v>
      </c>
      <c r="AB976" s="2" t="s">
        <v>95</v>
      </c>
      <c r="AC976" s="2" t="s">
        <v>6772</v>
      </c>
      <c r="AD976" s="27"/>
      <c r="AI976" s="2" t="s">
        <v>6153</v>
      </c>
      <c r="AL976" s="2" t="s">
        <v>5645</v>
      </c>
    </row>
    <row r="977" spans="1:38" hidden="1" x14ac:dyDescent="0.2">
      <c r="A977" s="2" t="s">
        <v>2927</v>
      </c>
      <c r="B977" s="2" t="s">
        <v>3067</v>
      </c>
      <c r="C977" s="2" t="s">
        <v>1582</v>
      </c>
      <c r="D977" s="2" t="s">
        <v>1583</v>
      </c>
      <c r="E977" s="13">
        <v>10258</v>
      </c>
      <c r="F977" s="13">
        <v>10258</v>
      </c>
      <c r="G977" s="14">
        <v>43327</v>
      </c>
      <c r="H977" s="15">
        <v>0</v>
      </c>
      <c r="I977" s="14">
        <v>43327</v>
      </c>
      <c r="J977" s="15">
        <v>0.51695601851852002</v>
      </c>
      <c r="K977" s="13">
        <v>0</v>
      </c>
      <c r="L977" s="2" t="s">
        <v>64</v>
      </c>
      <c r="M977" s="2" t="s">
        <v>2930</v>
      </c>
      <c r="N977" s="14">
        <v>43330</v>
      </c>
      <c r="O977" s="14">
        <v>43329</v>
      </c>
      <c r="P977" s="2" t="s">
        <v>2187</v>
      </c>
      <c r="Q977" s="2" t="s">
        <v>98</v>
      </c>
      <c r="R977" s="2" t="s">
        <v>131</v>
      </c>
      <c r="S977" s="14"/>
      <c r="U977" s="2" t="s">
        <v>1501</v>
      </c>
      <c r="V977" s="2" t="s">
        <v>81</v>
      </c>
      <c r="W977" s="2" t="s">
        <v>70</v>
      </c>
      <c r="X977" s="13">
        <v>0</v>
      </c>
      <c r="Y977" s="2" t="s">
        <v>71</v>
      </c>
      <c r="Z977" s="2" t="s">
        <v>72</v>
      </c>
      <c r="AA977" s="13">
        <v>10000</v>
      </c>
      <c r="AB977" s="2" t="s">
        <v>95</v>
      </c>
      <c r="AC977" s="2" t="s">
        <v>6772</v>
      </c>
      <c r="AD977" s="27"/>
      <c r="AI977" s="2" t="s">
        <v>6153</v>
      </c>
      <c r="AL977" s="2" t="s">
        <v>5646</v>
      </c>
    </row>
    <row r="978" spans="1:38" hidden="1" x14ac:dyDescent="0.2">
      <c r="A978" s="2" t="s">
        <v>2927</v>
      </c>
      <c r="B978" s="2" t="s">
        <v>3068</v>
      </c>
      <c r="C978" s="2" t="s">
        <v>3069</v>
      </c>
      <c r="D978" s="2" t="s">
        <v>3070</v>
      </c>
      <c r="E978" s="13">
        <v>5000</v>
      </c>
      <c r="F978" s="13">
        <v>5000</v>
      </c>
      <c r="G978" s="14">
        <v>43331</v>
      </c>
      <c r="H978" s="15">
        <v>0.74151620370369997</v>
      </c>
      <c r="I978" s="14">
        <v>43332</v>
      </c>
      <c r="J978" s="15">
        <v>0</v>
      </c>
      <c r="K978" s="13">
        <v>0</v>
      </c>
      <c r="L978" s="2" t="s">
        <v>64</v>
      </c>
      <c r="M978" s="2" t="s">
        <v>2950</v>
      </c>
      <c r="N978" s="14">
        <v>43334</v>
      </c>
      <c r="O978" s="14">
        <v>43333</v>
      </c>
      <c r="P978" s="2" t="s">
        <v>3071</v>
      </c>
      <c r="Q978" s="2" t="s">
        <v>3072</v>
      </c>
      <c r="R978" s="2" t="s">
        <v>80</v>
      </c>
      <c r="S978" s="14">
        <v>43334</v>
      </c>
      <c r="U978" s="2" t="s">
        <v>1501</v>
      </c>
      <c r="V978" s="2" t="s">
        <v>3073</v>
      </c>
      <c r="W978" s="2" t="s">
        <v>70</v>
      </c>
      <c r="X978" s="13">
        <v>806</v>
      </c>
      <c r="Y978" s="2" t="s">
        <v>71</v>
      </c>
      <c r="Z978" s="2" t="s">
        <v>72</v>
      </c>
      <c r="AA978" s="13">
        <v>5000</v>
      </c>
      <c r="AB978" s="2" t="s">
        <v>73</v>
      </c>
      <c r="AC978" s="2" t="s">
        <v>6773</v>
      </c>
      <c r="AD978" s="27"/>
      <c r="AI978" s="2" t="s">
        <v>6153</v>
      </c>
      <c r="AL978" s="2" t="s">
        <v>7314</v>
      </c>
    </row>
    <row r="979" spans="1:38" hidden="1" x14ac:dyDescent="0.2">
      <c r="A979" s="2" t="s">
        <v>2927</v>
      </c>
      <c r="B979" s="2" t="s">
        <v>4651</v>
      </c>
      <c r="C979" s="2" t="s">
        <v>2184</v>
      </c>
      <c r="D979" s="2" t="s">
        <v>2185</v>
      </c>
      <c r="E979" s="13">
        <v>20376</v>
      </c>
      <c r="F979" s="13">
        <v>20376</v>
      </c>
      <c r="G979" s="14">
        <v>43334</v>
      </c>
      <c r="H979" s="15">
        <v>0.87107638888889005</v>
      </c>
      <c r="I979" s="14">
        <v>43335</v>
      </c>
      <c r="J979" s="15">
        <v>0.92442129629629999</v>
      </c>
      <c r="K979" s="13">
        <v>0</v>
      </c>
      <c r="L979" s="2" t="s">
        <v>64</v>
      </c>
      <c r="M979" s="2" t="s">
        <v>2982</v>
      </c>
      <c r="N979" s="14">
        <v>43337</v>
      </c>
      <c r="O979" s="14">
        <v>43337</v>
      </c>
      <c r="P979" s="2" t="s">
        <v>2187</v>
      </c>
      <c r="Q979" s="2" t="s">
        <v>98</v>
      </c>
      <c r="R979" s="2" t="s">
        <v>131</v>
      </c>
      <c r="S979" s="14"/>
      <c r="U979" s="2" t="s">
        <v>1568</v>
      </c>
      <c r="V979" s="2" t="s">
        <v>81</v>
      </c>
      <c r="W979" s="2" t="s">
        <v>70</v>
      </c>
      <c r="X979" s="13">
        <v>0</v>
      </c>
      <c r="Y979" s="2" t="s">
        <v>71</v>
      </c>
      <c r="Z979" s="2" t="s">
        <v>72</v>
      </c>
      <c r="AA979" s="13">
        <v>20000</v>
      </c>
      <c r="AB979" s="2" t="s">
        <v>95</v>
      </c>
      <c r="AC979" s="2" t="s">
        <v>6772</v>
      </c>
      <c r="AD979" s="27"/>
      <c r="AI979" s="2" t="s">
        <v>6153</v>
      </c>
      <c r="AL979" s="2" t="s">
        <v>5647</v>
      </c>
    </row>
    <row r="980" spans="1:38" hidden="1" x14ac:dyDescent="0.2">
      <c r="A980" s="2" t="s">
        <v>2927</v>
      </c>
      <c r="B980" s="2" t="s">
        <v>3074</v>
      </c>
      <c r="C980" s="2" t="s">
        <v>2942</v>
      </c>
      <c r="D980" s="2" t="s">
        <v>2943</v>
      </c>
      <c r="E980" s="13">
        <v>20000</v>
      </c>
      <c r="F980" s="13">
        <v>20000</v>
      </c>
      <c r="G980" s="14">
        <v>43335</v>
      </c>
      <c r="H980" s="15">
        <v>0.96608796296295996</v>
      </c>
      <c r="I980" s="14">
        <v>43337</v>
      </c>
      <c r="J980" s="15">
        <v>0</v>
      </c>
      <c r="K980" s="13">
        <v>20</v>
      </c>
      <c r="L980" s="2" t="s">
        <v>64</v>
      </c>
      <c r="M980" s="2" t="s">
        <v>2959</v>
      </c>
      <c r="N980" s="14">
        <v>43341</v>
      </c>
      <c r="O980" s="14">
        <v>43338</v>
      </c>
      <c r="P980" s="2" t="s">
        <v>2944</v>
      </c>
      <c r="Q980" s="2" t="s">
        <v>3075</v>
      </c>
      <c r="R980" s="2" t="s">
        <v>80</v>
      </c>
      <c r="S980" s="14">
        <v>43341</v>
      </c>
      <c r="U980" s="2" t="s">
        <v>1474</v>
      </c>
      <c r="V980" s="2" t="s">
        <v>2946</v>
      </c>
      <c r="W980" s="2" t="s">
        <v>70</v>
      </c>
      <c r="X980" s="13">
        <v>806</v>
      </c>
      <c r="Y980" s="2" t="s">
        <v>71</v>
      </c>
      <c r="Z980" s="2" t="s">
        <v>72</v>
      </c>
      <c r="AA980" s="13">
        <v>20000</v>
      </c>
      <c r="AB980" s="2" t="s">
        <v>73</v>
      </c>
      <c r="AC980" s="2" t="s">
        <v>6773</v>
      </c>
      <c r="AD980" s="27"/>
      <c r="AI980" s="2" t="s">
        <v>6153</v>
      </c>
      <c r="AL980" s="2" t="s">
        <v>5648</v>
      </c>
    </row>
    <row r="981" spans="1:38" hidden="1" x14ac:dyDescent="0.2">
      <c r="A981" s="2" t="s">
        <v>2927</v>
      </c>
      <c r="B981" s="2" t="s">
        <v>3076</v>
      </c>
      <c r="C981" s="2" t="s">
        <v>1498</v>
      </c>
      <c r="D981" s="2" t="s">
        <v>1499</v>
      </c>
      <c r="E981" s="13">
        <v>10000</v>
      </c>
      <c r="F981" s="13">
        <v>10000</v>
      </c>
      <c r="G981" s="14">
        <v>43337</v>
      </c>
      <c r="H981" s="15">
        <v>0.48304398148147998</v>
      </c>
      <c r="I981" s="14">
        <v>43338</v>
      </c>
      <c r="J981" s="15">
        <v>0</v>
      </c>
      <c r="K981" s="13">
        <v>20</v>
      </c>
      <c r="L981" s="2" t="s">
        <v>64</v>
      </c>
      <c r="M981" s="2" t="s">
        <v>2930</v>
      </c>
      <c r="N981" s="14">
        <v>43340</v>
      </c>
      <c r="O981" s="14">
        <v>43339</v>
      </c>
      <c r="P981" s="2" t="s">
        <v>91</v>
      </c>
      <c r="Q981" s="2" t="s">
        <v>3077</v>
      </c>
      <c r="R981" s="2" t="s">
        <v>80</v>
      </c>
      <c r="S981" s="14">
        <v>43340</v>
      </c>
      <c r="U981" s="2" t="s">
        <v>1501</v>
      </c>
      <c r="V981" s="2" t="s">
        <v>1502</v>
      </c>
      <c r="W981" s="2" t="s">
        <v>70</v>
      </c>
      <c r="X981" s="13">
        <v>806</v>
      </c>
      <c r="Y981" s="2" t="s">
        <v>71</v>
      </c>
      <c r="Z981" s="2" t="s">
        <v>72</v>
      </c>
      <c r="AA981" s="13">
        <v>10000</v>
      </c>
      <c r="AB981" s="2" t="s">
        <v>73</v>
      </c>
      <c r="AC981" s="2" t="s">
        <v>6773</v>
      </c>
      <c r="AD981" s="27"/>
      <c r="AI981" s="2" t="s">
        <v>6153</v>
      </c>
      <c r="AL981" s="2" t="s">
        <v>5649</v>
      </c>
    </row>
    <row r="982" spans="1:38" hidden="1" x14ac:dyDescent="0.2">
      <c r="A982" s="2" t="s">
        <v>2927</v>
      </c>
      <c r="B982" s="2" t="s">
        <v>3078</v>
      </c>
      <c r="C982" s="2" t="s">
        <v>1674</v>
      </c>
      <c r="D982" s="2" t="s">
        <v>1675</v>
      </c>
      <c r="E982" s="13">
        <v>5129</v>
      </c>
      <c r="F982" s="13">
        <v>5129</v>
      </c>
      <c r="G982" s="14">
        <v>43340</v>
      </c>
      <c r="H982" s="15">
        <v>0.42831018518518998</v>
      </c>
      <c r="I982" s="14">
        <v>43340</v>
      </c>
      <c r="J982" s="15">
        <v>0.69346064814815001</v>
      </c>
      <c r="K982" s="13">
        <v>20</v>
      </c>
      <c r="L982" s="2" t="s">
        <v>64</v>
      </c>
      <c r="M982" s="2" t="s">
        <v>3010</v>
      </c>
      <c r="N982" s="14">
        <v>43343</v>
      </c>
      <c r="O982" s="14">
        <v>43342</v>
      </c>
      <c r="P982" s="2" t="s">
        <v>2944</v>
      </c>
      <c r="Q982" s="2" t="s">
        <v>3079</v>
      </c>
      <c r="R982" s="2" t="s">
        <v>80</v>
      </c>
      <c r="S982" s="14">
        <v>43343</v>
      </c>
      <c r="U982" s="2" t="s">
        <v>1501</v>
      </c>
      <c r="V982" s="2" t="s">
        <v>1677</v>
      </c>
      <c r="W982" s="2" t="s">
        <v>70</v>
      </c>
      <c r="X982" s="13">
        <v>806</v>
      </c>
      <c r="Y982" s="2" t="s">
        <v>71</v>
      </c>
      <c r="Z982" s="2" t="s">
        <v>72</v>
      </c>
      <c r="AA982" s="13">
        <v>5000</v>
      </c>
      <c r="AB982" s="2" t="s">
        <v>73</v>
      </c>
      <c r="AC982" s="2" t="s">
        <v>6773</v>
      </c>
      <c r="AD982" s="27"/>
      <c r="AI982" s="2" t="s">
        <v>6153</v>
      </c>
      <c r="AL982" s="2" t="s">
        <v>5650</v>
      </c>
    </row>
    <row r="983" spans="1:38" hidden="1" x14ac:dyDescent="0.2">
      <c r="A983" s="2" t="s">
        <v>2927</v>
      </c>
      <c r="B983" s="2" t="s">
        <v>3080</v>
      </c>
      <c r="C983" s="2" t="s">
        <v>3065</v>
      </c>
      <c r="D983" s="2" t="s">
        <v>3066</v>
      </c>
      <c r="E983" s="16">
        <v>5123.5</v>
      </c>
      <c r="F983" s="16">
        <v>5123.5</v>
      </c>
      <c r="G983" s="14">
        <v>43340</v>
      </c>
      <c r="H983" s="15">
        <v>0.73512731481480997</v>
      </c>
      <c r="I983" s="14">
        <v>43340</v>
      </c>
      <c r="J983" s="15">
        <v>0.99998842592592996</v>
      </c>
      <c r="K983" s="13">
        <v>0</v>
      </c>
      <c r="L983" s="2" t="s">
        <v>64</v>
      </c>
      <c r="M983" s="2" t="s">
        <v>2989</v>
      </c>
      <c r="N983" s="14">
        <v>43342</v>
      </c>
      <c r="O983" s="14">
        <v>43342</v>
      </c>
      <c r="P983" s="2" t="s">
        <v>2279</v>
      </c>
      <c r="Q983" s="2" t="s">
        <v>7057</v>
      </c>
      <c r="R983" s="2" t="s">
        <v>80</v>
      </c>
      <c r="S983" s="14">
        <v>43353</v>
      </c>
      <c r="U983" s="2" t="s">
        <v>1486</v>
      </c>
      <c r="V983" s="2" t="s">
        <v>1240</v>
      </c>
      <c r="W983" s="2" t="s">
        <v>70</v>
      </c>
      <c r="X983" s="13">
        <v>0</v>
      </c>
      <c r="Y983" s="2" t="s">
        <v>71</v>
      </c>
      <c r="Z983" s="2" t="s">
        <v>72</v>
      </c>
      <c r="AA983" s="13">
        <v>5000</v>
      </c>
      <c r="AB983" s="2" t="s">
        <v>95</v>
      </c>
      <c r="AC983" s="2" t="s">
        <v>6772</v>
      </c>
      <c r="AD983" s="27"/>
      <c r="AI983" s="2" t="s">
        <v>6153</v>
      </c>
      <c r="AL983" s="2" t="s">
        <v>5651</v>
      </c>
    </row>
    <row r="984" spans="1:38" hidden="1" x14ac:dyDescent="0.2">
      <c r="A984" s="2" t="s">
        <v>2927</v>
      </c>
      <c r="B984" s="2" t="s">
        <v>3081</v>
      </c>
      <c r="C984" s="2" t="s">
        <v>3082</v>
      </c>
      <c r="D984" s="2" t="s">
        <v>3083</v>
      </c>
      <c r="E984" s="13">
        <v>20250</v>
      </c>
      <c r="F984" s="13">
        <v>20250</v>
      </c>
      <c r="G984" s="14">
        <v>43343</v>
      </c>
      <c r="H984" s="15">
        <v>0.95315972222222001</v>
      </c>
      <c r="I984" s="14">
        <v>43345</v>
      </c>
      <c r="J984" s="15">
        <v>0</v>
      </c>
      <c r="K984" s="13">
        <v>0</v>
      </c>
      <c r="L984" s="2" t="s">
        <v>64</v>
      </c>
      <c r="M984" s="2" t="s">
        <v>3062</v>
      </c>
      <c r="N984" s="14">
        <v>43347</v>
      </c>
      <c r="O984" s="14">
        <v>43346</v>
      </c>
      <c r="P984" s="2" t="s">
        <v>2239</v>
      </c>
      <c r="Q984" s="2" t="s">
        <v>3084</v>
      </c>
      <c r="R984" s="2" t="s">
        <v>80</v>
      </c>
      <c r="S984" s="14">
        <v>43347</v>
      </c>
      <c r="U984" s="2" t="s">
        <v>1523</v>
      </c>
      <c r="V984" s="2" t="s">
        <v>3085</v>
      </c>
      <c r="W984" s="2" t="s">
        <v>70</v>
      </c>
      <c r="X984" s="13">
        <v>806</v>
      </c>
      <c r="Y984" s="2" t="s">
        <v>71</v>
      </c>
      <c r="Z984" s="2" t="s">
        <v>72</v>
      </c>
      <c r="AA984" s="13">
        <v>20000</v>
      </c>
      <c r="AB984" s="2" t="s">
        <v>73</v>
      </c>
      <c r="AC984" s="2" t="s">
        <v>6773</v>
      </c>
      <c r="AD984" s="27"/>
      <c r="AI984" s="2" t="s">
        <v>6153</v>
      </c>
      <c r="AL984" s="2" t="s">
        <v>7315</v>
      </c>
    </row>
    <row r="985" spans="1:38" hidden="1" x14ac:dyDescent="0.2">
      <c r="A985" s="2" t="s">
        <v>2927</v>
      </c>
      <c r="B985" s="2" t="s">
        <v>4652</v>
      </c>
      <c r="C985" s="2" t="s">
        <v>1582</v>
      </c>
      <c r="D985" s="2" t="s">
        <v>1583</v>
      </c>
      <c r="E985" s="13">
        <v>5129</v>
      </c>
      <c r="F985" s="13">
        <v>5129</v>
      </c>
      <c r="G985" s="14">
        <v>43351</v>
      </c>
      <c r="H985" s="15">
        <v>0.73483796296296</v>
      </c>
      <c r="I985" s="14">
        <v>43351</v>
      </c>
      <c r="J985" s="15">
        <v>0.99998842592592996</v>
      </c>
      <c r="K985" s="13">
        <v>0</v>
      </c>
      <c r="L985" s="2" t="s">
        <v>64</v>
      </c>
      <c r="M985" s="2" t="s">
        <v>3010</v>
      </c>
      <c r="N985" s="14">
        <v>43353</v>
      </c>
      <c r="O985" s="14">
        <v>43353</v>
      </c>
      <c r="P985" s="2" t="s">
        <v>2187</v>
      </c>
      <c r="Q985" s="2" t="s">
        <v>98</v>
      </c>
      <c r="R985" s="2" t="s">
        <v>131</v>
      </c>
      <c r="S985" s="14"/>
      <c r="U985" s="2" t="s">
        <v>1501</v>
      </c>
      <c r="V985" s="2" t="s">
        <v>81</v>
      </c>
      <c r="W985" s="2" t="s">
        <v>70</v>
      </c>
      <c r="X985" s="13">
        <v>0</v>
      </c>
      <c r="Y985" s="2" t="s">
        <v>71</v>
      </c>
      <c r="Z985" s="2" t="s">
        <v>72</v>
      </c>
      <c r="AA985" s="13">
        <v>5000</v>
      </c>
      <c r="AB985" s="2" t="s">
        <v>95</v>
      </c>
      <c r="AC985" s="2" t="s">
        <v>6772</v>
      </c>
      <c r="AD985" s="27"/>
      <c r="AI985" s="2" t="s">
        <v>6153</v>
      </c>
      <c r="AL985" s="2" t="s">
        <v>5652</v>
      </c>
    </row>
    <row r="986" spans="1:38" hidden="1" x14ac:dyDescent="0.2">
      <c r="A986" s="2" t="s">
        <v>2927</v>
      </c>
      <c r="B986" s="2" t="s">
        <v>3086</v>
      </c>
      <c r="C986" s="2" t="s">
        <v>3065</v>
      </c>
      <c r="D986" s="2" t="s">
        <v>3066</v>
      </c>
      <c r="E986" s="16">
        <v>7172.9</v>
      </c>
      <c r="F986" s="16">
        <v>7172.9</v>
      </c>
      <c r="G986" s="14">
        <v>43356</v>
      </c>
      <c r="H986" s="15">
        <v>0.62917824074074002</v>
      </c>
      <c r="I986" s="14">
        <v>43356</v>
      </c>
      <c r="J986" s="15">
        <v>0.99998842592592996</v>
      </c>
      <c r="K986" s="13">
        <v>0</v>
      </c>
      <c r="L986" s="2" t="s">
        <v>64</v>
      </c>
      <c r="M986" s="2" t="s">
        <v>3087</v>
      </c>
      <c r="N986" s="14">
        <v>43358</v>
      </c>
      <c r="O986" s="14">
        <v>43358</v>
      </c>
      <c r="P986" s="2" t="s">
        <v>2279</v>
      </c>
      <c r="Q986" s="2" t="s">
        <v>98</v>
      </c>
      <c r="R986" s="2" t="s">
        <v>131</v>
      </c>
      <c r="S986" s="14"/>
      <c r="U986" s="2" t="s">
        <v>1486</v>
      </c>
      <c r="V986" s="2" t="s">
        <v>1240</v>
      </c>
      <c r="W986" s="2" t="s">
        <v>70</v>
      </c>
      <c r="X986" s="13">
        <v>0</v>
      </c>
      <c r="Y986" s="2" t="s">
        <v>71</v>
      </c>
      <c r="Z986" s="2" t="s">
        <v>72</v>
      </c>
      <c r="AA986" s="13">
        <v>7000</v>
      </c>
      <c r="AB986" s="2" t="s">
        <v>95</v>
      </c>
      <c r="AC986" s="2" t="s">
        <v>6772</v>
      </c>
      <c r="AD986" s="27"/>
      <c r="AI986" s="2" t="s">
        <v>6153</v>
      </c>
      <c r="AL986" s="2" t="s">
        <v>5653</v>
      </c>
    </row>
    <row r="987" spans="1:38" hidden="1" x14ac:dyDescent="0.2">
      <c r="A987" s="2" t="s">
        <v>2927</v>
      </c>
      <c r="B987" s="2" t="s">
        <v>4653</v>
      </c>
      <c r="C987" s="2" t="s">
        <v>1582</v>
      </c>
      <c r="D987" s="2" t="s">
        <v>1583</v>
      </c>
      <c r="E987" s="13">
        <v>5129</v>
      </c>
      <c r="F987" s="13">
        <v>5129</v>
      </c>
      <c r="G987" s="14">
        <v>43358</v>
      </c>
      <c r="H987" s="15">
        <v>0.73483796296296</v>
      </c>
      <c r="I987" s="14">
        <v>43358</v>
      </c>
      <c r="J987" s="15">
        <v>0.99998842592592996</v>
      </c>
      <c r="K987" s="13">
        <v>0</v>
      </c>
      <c r="L987" s="2" t="s">
        <v>64</v>
      </c>
      <c r="M987" s="2" t="s">
        <v>3010</v>
      </c>
      <c r="N987" s="14">
        <v>43360</v>
      </c>
      <c r="O987" s="14">
        <v>43360</v>
      </c>
      <c r="P987" s="2" t="s">
        <v>2187</v>
      </c>
      <c r="Q987" s="2" t="s">
        <v>4654</v>
      </c>
      <c r="R987" s="2" t="s">
        <v>80</v>
      </c>
      <c r="S987" s="14">
        <v>43362</v>
      </c>
      <c r="U987" s="2" t="s">
        <v>1501</v>
      </c>
      <c r="V987" s="2" t="s">
        <v>81</v>
      </c>
      <c r="W987" s="2" t="s">
        <v>70</v>
      </c>
      <c r="X987" s="13">
        <v>0</v>
      </c>
      <c r="Y987" s="2" t="s">
        <v>71</v>
      </c>
      <c r="Z987" s="2" t="s">
        <v>72</v>
      </c>
      <c r="AA987" s="13">
        <v>5000</v>
      </c>
      <c r="AB987" s="2" t="s">
        <v>95</v>
      </c>
      <c r="AC987" s="2" t="s">
        <v>6772</v>
      </c>
      <c r="AD987" s="27"/>
      <c r="AI987" s="2" t="s">
        <v>6153</v>
      </c>
      <c r="AL987" s="2" t="s">
        <v>5654</v>
      </c>
    </row>
    <row r="988" spans="1:38" hidden="1" x14ac:dyDescent="0.2">
      <c r="A988" s="2" t="s">
        <v>2927</v>
      </c>
      <c r="B988" s="2" t="s">
        <v>4655</v>
      </c>
      <c r="C988" s="2" t="s">
        <v>1582</v>
      </c>
      <c r="D988" s="2" t="s">
        <v>1583</v>
      </c>
      <c r="E988" s="13">
        <v>5129</v>
      </c>
      <c r="F988" s="13">
        <v>5129</v>
      </c>
      <c r="G988" s="14">
        <v>43365</v>
      </c>
      <c r="H988" s="15">
        <v>0.73483796296296</v>
      </c>
      <c r="I988" s="14">
        <v>43365</v>
      </c>
      <c r="J988" s="15">
        <v>0.99998842592592996</v>
      </c>
      <c r="K988" s="13">
        <v>0</v>
      </c>
      <c r="L988" s="2" t="s">
        <v>64</v>
      </c>
      <c r="M988" s="2" t="s">
        <v>3010</v>
      </c>
      <c r="N988" s="14">
        <v>43367</v>
      </c>
      <c r="O988" s="14">
        <v>43367</v>
      </c>
      <c r="P988" s="2" t="s">
        <v>2187</v>
      </c>
      <c r="Q988" s="2" t="s">
        <v>98</v>
      </c>
      <c r="R988" s="2" t="s">
        <v>131</v>
      </c>
      <c r="S988" s="14"/>
      <c r="U988" s="2" t="s">
        <v>1501</v>
      </c>
      <c r="V988" s="2" t="s">
        <v>81</v>
      </c>
      <c r="W988" s="2" t="s">
        <v>70</v>
      </c>
      <c r="X988" s="13">
        <v>0</v>
      </c>
      <c r="Y988" s="2" t="s">
        <v>71</v>
      </c>
      <c r="Z988" s="2" t="s">
        <v>72</v>
      </c>
      <c r="AA988" s="13">
        <v>5000</v>
      </c>
      <c r="AB988" s="2" t="s">
        <v>95</v>
      </c>
      <c r="AC988" s="2" t="s">
        <v>6772</v>
      </c>
      <c r="AD988" s="27"/>
      <c r="AI988" s="2" t="s">
        <v>6153</v>
      </c>
      <c r="AL988" s="2" t="s">
        <v>5655</v>
      </c>
    </row>
    <row r="989" spans="1:38" hidden="1" x14ac:dyDescent="0.2">
      <c r="A989" s="2" t="s">
        <v>3088</v>
      </c>
      <c r="B989" s="2" t="s">
        <v>7058</v>
      </c>
      <c r="C989" s="2" t="s">
        <v>7059</v>
      </c>
      <c r="D989" s="2" t="s">
        <v>7060</v>
      </c>
      <c r="E989" s="13">
        <v>103</v>
      </c>
      <c r="F989" s="13">
        <v>2078</v>
      </c>
      <c r="G989" s="14">
        <v>43287</v>
      </c>
      <c r="H989" s="15">
        <v>0</v>
      </c>
      <c r="I989" s="14">
        <v>43287</v>
      </c>
      <c r="J989" s="15">
        <v>0.20135416666667</v>
      </c>
      <c r="K989" s="13">
        <v>20</v>
      </c>
      <c r="L989" s="2" t="s">
        <v>64</v>
      </c>
      <c r="M989" s="2" t="s">
        <v>7061</v>
      </c>
      <c r="N989" s="14">
        <v>43318</v>
      </c>
      <c r="O989" s="14">
        <v>43289</v>
      </c>
      <c r="P989" s="2" t="s">
        <v>459</v>
      </c>
      <c r="Q989" s="2" t="s">
        <v>7062</v>
      </c>
      <c r="R989" s="2" t="s">
        <v>80</v>
      </c>
      <c r="S989" s="14">
        <v>43318</v>
      </c>
      <c r="T989" s="2" t="s">
        <v>7137</v>
      </c>
      <c r="U989" s="2" t="s">
        <v>1355</v>
      </c>
      <c r="V989" s="2" t="s">
        <v>7063</v>
      </c>
      <c r="W989" s="2" t="s">
        <v>70</v>
      </c>
      <c r="X989" s="13">
        <v>430</v>
      </c>
      <c r="Y989" s="2" t="s">
        <v>71</v>
      </c>
      <c r="Z989" s="2" t="s">
        <v>72</v>
      </c>
      <c r="AA989" s="13">
        <v>25</v>
      </c>
      <c r="AB989" s="2" t="s">
        <v>107</v>
      </c>
      <c r="AC989" s="2" t="s">
        <v>6773</v>
      </c>
      <c r="AD989" s="27">
        <v>43276</v>
      </c>
      <c r="AL989" s="2" t="s">
        <v>7316</v>
      </c>
    </row>
    <row r="990" spans="1:38" hidden="1" x14ac:dyDescent="0.2">
      <c r="A990" s="2" t="s">
        <v>3088</v>
      </c>
      <c r="B990" s="2" t="s">
        <v>7064</v>
      </c>
      <c r="C990" s="2" t="s">
        <v>2252</v>
      </c>
      <c r="D990" s="2" t="s">
        <v>2253</v>
      </c>
      <c r="E990" s="13">
        <v>147</v>
      </c>
      <c r="F990" s="13">
        <v>10147</v>
      </c>
      <c r="G990" s="14">
        <v>43287</v>
      </c>
      <c r="H990" s="15">
        <v>0.22218750000000001</v>
      </c>
      <c r="I990" s="14">
        <v>43288</v>
      </c>
      <c r="J990" s="15">
        <v>0.20542824074074001</v>
      </c>
      <c r="K990" s="13">
        <v>0</v>
      </c>
      <c r="L990" s="2" t="s">
        <v>64</v>
      </c>
      <c r="M990" s="2" t="s">
        <v>3089</v>
      </c>
      <c r="N990" s="14"/>
      <c r="O990" s="14">
        <v>43290</v>
      </c>
      <c r="P990" s="2" t="s">
        <v>524</v>
      </c>
      <c r="Q990" s="2" t="s">
        <v>98</v>
      </c>
      <c r="R990" s="2" t="s">
        <v>131</v>
      </c>
      <c r="S990" s="14"/>
      <c r="T990" s="2" t="s">
        <v>7138</v>
      </c>
      <c r="U990" s="2" t="s">
        <v>1324</v>
      </c>
      <c r="V990" s="2" t="s">
        <v>2254</v>
      </c>
      <c r="W990" s="2" t="s">
        <v>70</v>
      </c>
      <c r="X990" s="13">
        <v>430</v>
      </c>
      <c r="Y990" s="2" t="s">
        <v>71</v>
      </c>
      <c r="Z990" s="2" t="s">
        <v>72</v>
      </c>
      <c r="AA990" s="13">
        <v>0</v>
      </c>
      <c r="AB990" s="2" t="s">
        <v>107</v>
      </c>
      <c r="AC990" s="2" t="s">
        <v>6772</v>
      </c>
      <c r="AD990" s="27">
        <v>43280</v>
      </c>
      <c r="AL990" s="2" t="s">
        <v>7317</v>
      </c>
    </row>
    <row r="991" spans="1:38" hidden="1" x14ac:dyDescent="0.2">
      <c r="A991" s="2" t="s">
        <v>3088</v>
      </c>
      <c r="B991" s="2" t="s">
        <v>7065</v>
      </c>
      <c r="C991" s="2" t="s">
        <v>3097</v>
      </c>
      <c r="D991" s="2" t="s">
        <v>3098</v>
      </c>
      <c r="E991" s="16">
        <v>1073.5</v>
      </c>
      <c r="F991" s="16">
        <v>5073.5</v>
      </c>
      <c r="G991" s="14">
        <v>43288</v>
      </c>
      <c r="H991" s="15">
        <v>0.24709490740741</v>
      </c>
      <c r="I991" s="14">
        <v>43288</v>
      </c>
      <c r="J991" s="15">
        <v>0.73870370370369998</v>
      </c>
      <c r="K991" s="13">
        <v>20</v>
      </c>
      <c r="L991" s="2" t="s">
        <v>64</v>
      </c>
      <c r="M991" s="2" t="s">
        <v>7066</v>
      </c>
      <c r="N991" s="14">
        <v>43327</v>
      </c>
      <c r="O991" s="14">
        <v>43290</v>
      </c>
      <c r="P991" s="2" t="s">
        <v>459</v>
      </c>
      <c r="Q991" s="2" t="s">
        <v>7067</v>
      </c>
      <c r="R991" s="2" t="s">
        <v>80</v>
      </c>
      <c r="S991" s="14">
        <v>43297</v>
      </c>
      <c r="T991" s="2" t="s">
        <v>7139</v>
      </c>
      <c r="U991" s="2" t="s">
        <v>1324</v>
      </c>
      <c r="V991" s="2" t="s">
        <v>3100</v>
      </c>
      <c r="W991" s="2" t="s">
        <v>70</v>
      </c>
      <c r="X991" s="13">
        <v>430</v>
      </c>
      <c r="Y991" s="2" t="s">
        <v>71</v>
      </c>
      <c r="Z991" s="2" t="s">
        <v>72</v>
      </c>
      <c r="AA991" s="13">
        <v>1000</v>
      </c>
      <c r="AB991" s="2" t="s">
        <v>107</v>
      </c>
      <c r="AC991" s="2" t="s">
        <v>6773</v>
      </c>
      <c r="AD991" s="27">
        <v>43178</v>
      </c>
      <c r="AL991" s="2" t="s">
        <v>7318</v>
      </c>
    </row>
    <row r="992" spans="1:38" x14ac:dyDescent="0.2">
      <c r="A992" s="2" t="s">
        <v>3088</v>
      </c>
      <c r="B992" s="2" t="s">
        <v>7068</v>
      </c>
      <c r="C992" s="2" t="s">
        <v>3195</v>
      </c>
      <c r="D992" s="2" t="s">
        <v>3196</v>
      </c>
      <c r="E992" s="16">
        <v>2042.4</v>
      </c>
      <c r="F992" s="16">
        <v>2042.4</v>
      </c>
      <c r="G992" s="14">
        <v>43289</v>
      </c>
      <c r="H992" s="15">
        <v>4.1655092592590003E-2</v>
      </c>
      <c r="I992" s="14">
        <v>43289</v>
      </c>
      <c r="J992" s="15">
        <v>0.23956018518519001</v>
      </c>
      <c r="K992" s="13">
        <v>0</v>
      </c>
      <c r="L992" s="2" t="s">
        <v>64</v>
      </c>
      <c r="M992" s="2" t="s">
        <v>7069</v>
      </c>
      <c r="N992" s="14">
        <v>43297</v>
      </c>
      <c r="O992" s="14">
        <v>43291</v>
      </c>
      <c r="P992" s="2" t="s">
        <v>91</v>
      </c>
      <c r="Q992" s="2" t="s">
        <v>7070</v>
      </c>
      <c r="R992" s="2" t="s">
        <v>80</v>
      </c>
      <c r="S992" s="14">
        <v>43297</v>
      </c>
      <c r="T992" s="2" t="s">
        <v>7140</v>
      </c>
      <c r="U992" s="2" t="s">
        <v>1244</v>
      </c>
      <c r="V992" s="2" t="s">
        <v>3197</v>
      </c>
      <c r="W992" s="2" t="s">
        <v>70</v>
      </c>
      <c r="X992" s="13">
        <v>430</v>
      </c>
      <c r="Y992" s="2" t="s">
        <v>71</v>
      </c>
      <c r="Z992" s="2" t="s">
        <v>72</v>
      </c>
      <c r="AA992" s="13">
        <v>2000</v>
      </c>
      <c r="AB992" s="2" t="s">
        <v>107</v>
      </c>
      <c r="AC992" s="2" t="s">
        <v>6773</v>
      </c>
      <c r="AD992" s="27">
        <v>43263</v>
      </c>
      <c r="AL992" s="2" t="s">
        <v>7319</v>
      </c>
    </row>
    <row r="993" spans="1:38" x14ac:dyDescent="0.2">
      <c r="A993" s="2" t="s">
        <v>3088</v>
      </c>
      <c r="B993" s="2" t="s">
        <v>3101</v>
      </c>
      <c r="C993" s="2" t="s">
        <v>1228</v>
      </c>
      <c r="D993" s="2" t="s">
        <v>1229</v>
      </c>
      <c r="E993" s="13">
        <v>20446</v>
      </c>
      <c r="F993" s="13">
        <v>20446</v>
      </c>
      <c r="G993" s="14">
        <v>43289</v>
      </c>
      <c r="H993" s="15">
        <v>0.26039351851852</v>
      </c>
      <c r="I993" s="14">
        <v>43291</v>
      </c>
      <c r="J993" s="15">
        <v>0.24159722222221999</v>
      </c>
      <c r="K993" s="13">
        <v>0</v>
      </c>
      <c r="L993" s="2" t="s">
        <v>64</v>
      </c>
      <c r="M993" s="2" t="s">
        <v>3102</v>
      </c>
      <c r="N993" s="14">
        <v>43304</v>
      </c>
      <c r="O993" s="14">
        <v>43298</v>
      </c>
      <c r="P993" s="2" t="s">
        <v>1231</v>
      </c>
      <c r="Q993" s="2" t="s">
        <v>3103</v>
      </c>
      <c r="R993" s="2" t="s">
        <v>80</v>
      </c>
      <c r="S993" s="14">
        <v>43304</v>
      </c>
      <c r="T993" s="2" t="s">
        <v>6719</v>
      </c>
      <c r="U993" s="2" t="s">
        <v>1233</v>
      </c>
      <c r="V993" s="2" t="s">
        <v>1234</v>
      </c>
      <c r="W993" s="2" t="s">
        <v>70</v>
      </c>
      <c r="X993" s="13">
        <v>430</v>
      </c>
      <c r="Y993" s="2" t="s">
        <v>71</v>
      </c>
      <c r="Z993" s="2" t="s">
        <v>72</v>
      </c>
      <c r="AA993" s="13">
        <v>20446</v>
      </c>
      <c r="AB993" s="2" t="s">
        <v>107</v>
      </c>
      <c r="AC993" s="2" t="s">
        <v>6773</v>
      </c>
      <c r="AD993" s="27">
        <v>43243</v>
      </c>
      <c r="AL993" s="2" t="s">
        <v>5656</v>
      </c>
    </row>
    <row r="994" spans="1:38" x14ac:dyDescent="0.2">
      <c r="A994" s="2" t="s">
        <v>3088</v>
      </c>
      <c r="B994" s="2" t="s">
        <v>7071</v>
      </c>
      <c r="C994" s="2" t="s">
        <v>7072</v>
      </c>
      <c r="D994" s="2" t="s">
        <v>7073</v>
      </c>
      <c r="E994" s="13">
        <v>44</v>
      </c>
      <c r="F994" s="13">
        <v>2044</v>
      </c>
      <c r="G994" s="14">
        <v>43291</v>
      </c>
      <c r="H994" s="15">
        <v>0.26243055555556</v>
      </c>
      <c r="I994" s="14">
        <v>43291</v>
      </c>
      <c r="J994" s="15">
        <v>0.46048611111110999</v>
      </c>
      <c r="K994" s="13">
        <v>20</v>
      </c>
      <c r="L994" s="2" t="s">
        <v>64</v>
      </c>
      <c r="M994" s="2" t="s">
        <v>4086</v>
      </c>
      <c r="N994" s="14">
        <v>43301</v>
      </c>
      <c r="O994" s="14">
        <v>43293</v>
      </c>
      <c r="P994" s="2" t="s">
        <v>91</v>
      </c>
      <c r="Q994" s="2" t="s">
        <v>98</v>
      </c>
      <c r="R994" s="2" t="s">
        <v>131</v>
      </c>
      <c r="S994" s="14"/>
      <c r="T994" s="2" t="s">
        <v>7141</v>
      </c>
      <c r="U994" s="2" t="s">
        <v>418</v>
      </c>
      <c r="V994" s="2" t="s">
        <v>7074</v>
      </c>
      <c r="W994" s="2" t="s">
        <v>70</v>
      </c>
      <c r="X994" s="13">
        <v>430</v>
      </c>
      <c r="Y994" s="2" t="s">
        <v>71</v>
      </c>
      <c r="Z994" s="2" t="s">
        <v>72</v>
      </c>
      <c r="AA994" s="13">
        <v>0</v>
      </c>
      <c r="AB994" s="2" t="s">
        <v>107</v>
      </c>
      <c r="AC994" s="2" t="s">
        <v>6773</v>
      </c>
      <c r="AD994" s="27">
        <v>43255</v>
      </c>
      <c r="AL994" s="2" t="s">
        <v>7320</v>
      </c>
    </row>
    <row r="995" spans="1:38" x14ac:dyDescent="0.2">
      <c r="A995" s="2" t="s">
        <v>3088</v>
      </c>
      <c r="B995" s="2" t="s">
        <v>3095</v>
      </c>
      <c r="C995" s="2" t="s">
        <v>1228</v>
      </c>
      <c r="D995" s="2" t="s">
        <v>1229</v>
      </c>
      <c r="E995" s="16">
        <v>18401.400000000001</v>
      </c>
      <c r="F995" s="16">
        <v>18401.400000000001</v>
      </c>
      <c r="G995" s="14">
        <v>43291</v>
      </c>
      <c r="H995" s="15">
        <v>0.48131944444444003</v>
      </c>
      <c r="I995" s="14">
        <v>43293</v>
      </c>
      <c r="J995" s="15">
        <v>0.26440972222221998</v>
      </c>
      <c r="K995" s="13">
        <v>0</v>
      </c>
      <c r="L995" s="2" t="s">
        <v>64</v>
      </c>
      <c r="M995" s="2" t="s">
        <v>4656</v>
      </c>
      <c r="N995" s="14">
        <v>43300</v>
      </c>
      <c r="O995" s="14">
        <v>43300</v>
      </c>
      <c r="P995" s="2" t="s">
        <v>1231</v>
      </c>
      <c r="Q995" s="2" t="s">
        <v>3096</v>
      </c>
      <c r="R995" s="2" t="s">
        <v>80</v>
      </c>
      <c r="S995" s="14">
        <v>43299</v>
      </c>
      <c r="T995" s="2" t="s">
        <v>6720</v>
      </c>
      <c r="U995" s="2" t="s">
        <v>1233</v>
      </c>
      <c r="V995" s="2" t="s">
        <v>1234</v>
      </c>
      <c r="W995" s="2" t="s">
        <v>70</v>
      </c>
      <c r="X995" s="13">
        <v>430</v>
      </c>
      <c r="Y995" s="2" t="s">
        <v>71</v>
      </c>
      <c r="Z995" s="2" t="s">
        <v>72</v>
      </c>
      <c r="AA995" s="13">
        <v>18000</v>
      </c>
      <c r="AB995" s="2" t="s">
        <v>107</v>
      </c>
      <c r="AC995" s="2" t="s">
        <v>6773</v>
      </c>
      <c r="AD995" s="27">
        <v>43270</v>
      </c>
      <c r="AL995" s="2" t="s">
        <v>5657</v>
      </c>
    </row>
    <row r="996" spans="1:38" hidden="1" x14ac:dyDescent="0.2">
      <c r="A996" s="2" t="s">
        <v>3088</v>
      </c>
      <c r="B996" s="2" t="s">
        <v>3112</v>
      </c>
      <c r="C996" s="2" t="s">
        <v>3097</v>
      </c>
      <c r="D996" s="2" t="s">
        <v>3098</v>
      </c>
      <c r="E996" s="13">
        <v>5000</v>
      </c>
      <c r="F996" s="13">
        <v>5000</v>
      </c>
      <c r="G996" s="14">
        <v>43300</v>
      </c>
      <c r="H996" s="15">
        <v>0.58258101851851996</v>
      </c>
      <c r="I996" s="14">
        <v>43301</v>
      </c>
      <c r="J996" s="15">
        <v>6.7071759259259997E-2</v>
      </c>
      <c r="K996" s="13">
        <v>20</v>
      </c>
      <c r="L996" s="2" t="s">
        <v>64</v>
      </c>
      <c r="M996" s="2" t="s">
        <v>3099</v>
      </c>
      <c r="N996" s="14">
        <v>43341</v>
      </c>
      <c r="O996" s="14">
        <v>43304</v>
      </c>
      <c r="P996" s="2" t="s">
        <v>459</v>
      </c>
      <c r="Q996" s="2" t="s">
        <v>3113</v>
      </c>
      <c r="R996" s="2" t="s">
        <v>80</v>
      </c>
      <c r="S996" s="14">
        <v>43305</v>
      </c>
      <c r="T996" s="2" t="s">
        <v>6721</v>
      </c>
      <c r="U996" s="2" t="s">
        <v>1324</v>
      </c>
      <c r="V996" s="2" t="s">
        <v>3100</v>
      </c>
      <c r="W996" s="2" t="s">
        <v>70</v>
      </c>
      <c r="X996" s="13">
        <v>430</v>
      </c>
      <c r="Y996" s="2" t="s">
        <v>71</v>
      </c>
      <c r="Z996" s="2" t="s">
        <v>72</v>
      </c>
      <c r="AA996" s="13">
        <v>5000</v>
      </c>
      <c r="AB996" s="2" t="s">
        <v>73</v>
      </c>
      <c r="AC996" s="2" t="s">
        <v>6773</v>
      </c>
      <c r="AD996" s="27">
        <v>43178</v>
      </c>
      <c r="AL996" s="2" t="s">
        <v>5658</v>
      </c>
    </row>
    <row r="997" spans="1:38" hidden="1" x14ac:dyDescent="0.2">
      <c r="A997" s="2" t="s">
        <v>3088</v>
      </c>
      <c r="B997" s="2" t="s">
        <v>3106</v>
      </c>
      <c r="C997" s="2" t="s">
        <v>2010</v>
      </c>
      <c r="D997" s="2" t="s">
        <v>2011</v>
      </c>
      <c r="E997" s="16">
        <v>519.54999999999995</v>
      </c>
      <c r="F997" s="16">
        <v>519.54999999999995</v>
      </c>
      <c r="G997" s="14">
        <v>43301</v>
      </c>
      <c r="H997" s="15">
        <v>8.7905092592589995E-2</v>
      </c>
      <c r="I997" s="14">
        <v>43301</v>
      </c>
      <c r="J997" s="15">
        <v>0.13825231481481001</v>
      </c>
      <c r="K997" s="13">
        <v>0</v>
      </c>
      <c r="L997" s="2" t="s">
        <v>64</v>
      </c>
      <c r="M997" s="2" t="s">
        <v>3107</v>
      </c>
      <c r="N997" s="14">
        <v>43304</v>
      </c>
      <c r="O997" s="14">
        <v>43303</v>
      </c>
      <c r="P997" s="2" t="s">
        <v>91</v>
      </c>
      <c r="Q997" s="2" t="s">
        <v>3108</v>
      </c>
      <c r="R997" s="2" t="s">
        <v>80</v>
      </c>
      <c r="S997" s="14">
        <v>43304</v>
      </c>
      <c r="T997" s="2" t="s">
        <v>6722</v>
      </c>
      <c r="U997" s="2" t="s">
        <v>540</v>
      </c>
      <c r="V997" s="2" t="s">
        <v>163</v>
      </c>
      <c r="W997" s="2" t="s">
        <v>70</v>
      </c>
      <c r="X997" s="13">
        <v>430</v>
      </c>
      <c r="Y997" s="2" t="s">
        <v>71</v>
      </c>
      <c r="Z997" s="2" t="s">
        <v>72</v>
      </c>
      <c r="AA997" s="13">
        <v>500</v>
      </c>
      <c r="AB997" s="2" t="s">
        <v>73</v>
      </c>
      <c r="AC997" s="2" t="s">
        <v>6773</v>
      </c>
      <c r="AD997" s="27">
        <v>43276</v>
      </c>
      <c r="AL997" s="2" t="s">
        <v>5659</v>
      </c>
    </row>
    <row r="998" spans="1:38" hidden="1" x14ac:dyDescent="0.2">
      <c r="A998" s="2" t="s">
        <v>3088</v>
      </c>
      <c r="B998" s="2" t="s">
        <v>3109</v>
      </c>
      <c r="C998" s="2" t="s">
        <v>3090</v>
      </c>
      <c r="D998" s="2" t="s">
        <v>3091</v>
      </c>
      <c r="E998" s="13">
        <v>9000</v>
      </c>
      <c r="F998" s="13">
        <v>9000</v>
      </c>
      <c r="G998" s="14">
        <v>43301</v>
      </c>
      <c r="H998" s="15">
        <v>0.15908564814814999</v>
      </c>
      <c r="I998" s="14">
        <v>43302</v>
      </c>
      <c r="J998" s="15">
        <v>3.1180555555559999E-2</v>
      </c>
      <c r="K998" s="13">
        <v>20</v>
      </c>
      <c r="L998" s="2" t="s">
        <v>64</v>
      </c>
      <c r="M998" s="2" t="s">
        <v>3110</v>
      </c>
      <c r="N998" s="14">
        <v>43311</v>
      </c>
      <c r="O998" s="14">
        <v>43309</v>
      </c>
      <c r="P998" s="2" t="s">
        <v>3092</v>
      </c>
      <c r="Q998" s="2" t="s">
        <v>3111</v>
      </c>
      <c r="R998" s="2" t="s">
        <v>80</v>
      </c>
      <c r="S998" s="14">
        <v>43311</v>
      </c>
      <c r="T998" s="2" t="s">
        <v>6723</v>
      </c>
      <c r="U998" s="2" t="s">
        <v>1233</v>
      </c>
      <c r="V998" s="2" t="s">
        <v>3093</v>
      </c>
      <c r="W998" s="2" t="s">
        <v>70</v>
      </c>
      <c r="X998" s="13">
        <v>430</v>
      </c>
      <c r="Y998" s="2" t="s">
        <v>71</v>
      </c>
      <c r="Z998" s="2" t="s">
        <v>72</v>
      </c>
      <c r="AA998" s="13">
        <v>9000</v>
      </c>
      <c r="AB998" s="2" t="s">
        <v>73</v>
      </c>
      <c r="AC998" s="2" t="s">
        <v>6773</v>
      </c>
      <c r="AD998" s="27">
        <v>43263</v>
      </c>
      <c r="AL998" s="2" t="s">
        <v>5660</v>
      </c>
    </row>
    <row r="999" spans="1:38" hidden="1" x14ac:dyDescent="0.2">
      <c r="A999" s="2" t="s">
        <v>3088</v>
      </c>
      <c r="B999" s="2" t="s">
        <v>4136</v>
      </c>
      <c r="C999" s="2" t="s">
        <v>2252</v>
      </c>
      <c r="D999" s="2" t="s">
        <v>2253</v>
      </c>
      <c r="E999" s="13">
        <v>10147</v>
      </c>
      <c r="F999" s="13">
        <v>10147</v>
      </c>
      <c r="G999" s="14">
        <v>43302</v>
      </c>
      <c r="H999" s="15">
        <v>1.674768518519E-2</v>
      </c>
      <c r="I999" s="14">
        <v>43302</v>
      </c>
      <c r="J999" s="15">
        <v>0.99998842592592996</v>
      </c>
      <c r="K999" s="13">
        <v>0</v>
      </c>
      <c r="L999" s="2" t="s">
        <v>64</v>
      </c>
      <c r="M999" s="2" t="s">
        <v>3089</v>
      </c>
      <c r="N999" s="14">
        <v>43304</v>
      </c>
      <c r="O999" s="14">
        <v>43304</v>
      </c>
      <c r="P999" s="2" t="s">
        <v>524</v>
      </c>
      <c r="Q999" s="2" t="s">
        <v>2285</v>
      </c>
      <c r="R999" s="2" t="s">
        <v>80</v>
      </c>
      <c r="S999" s="14">
        <v>43306</v>
      </c>
      <c r="U999" s="2" t="s">
        <v>1324</v>
      </c>
      <c r="V999" s="2" t="s">
        <v>2254</v>
      </c>
      <c r="W999" s="2" t="s">
        <v>70</v>
      </c>
      <c r="X999" s="13">
        <v>0</v>
      </c>
      <c r="Y999" s="2" t="s">
        <v>71</v>
      </c>
      <c r="Z999" s="2" t="s">
        <v>72</v>
      </c>
      <c r="AA999" s="13">
        <v>10000</v>
      </c>
      <c r="AB999" s="2" t="s">
        <v>95</v>
      </c>
      <c r="AC999" s="2" t="s">
        <v>6772</v>
      </c>
      <c r="AD999" s="27"/>
      <c r="AL999" s="2" t="s">
        <v>5661</v>
      </c>
    </row>
    <row r="1000" spans="1:38" hidden="1" x14ac:dyDescent="0.2">
      <c r="A1000" s="2" t="s">
        <v>3088</v>
      </c>
      <c r="B1000" s="2" t="s">
        <v>4137</v>
      </c>
      <c r="C1000" s="2" t="s">
        <v>1228</v>
      </c>
      <c r="D1000" s="2" t="s">
        <v>1229</v>
      </c>
      <c r="E1000" s="16">
        <v>18401.401000000002</v>
      </c>
      <c r="F1000" s="16">
        <v>18401.401000000002</v>
      </c>
      <c r="G1000" s="14">
        <v>43302</v>
      </c>
      <c r="H1000" s="15">
        <v>0.2169212962963</v>
      </c>
      <c r="I1000" s="14">
        <v>43304</v>
      </c>
      <c r="J1000" s="15">
        <v>0</v>
      </c>
      <c r="K1000" s="13">
        <v>0</v>
      </c>
      <c r="L1000" s="2" t="s">
        <v>64</v>
      </c>
      <c r="M1000" s="2" t="s">
        <v>4138</v>
      </c>
      <c r="N1000" s="14">
        <v>43311</v>
      </c>
      <c r="O1000" s="14">
        <v>43310</v>
      </c>
      <c r="P1000" s="2" t="s">
        <v>1231</v>
      </c>
      <c r="Q1000" s="2" t="s">
        <v>4139</v>
      </c>
      <c r="R1000" s="2" t="s">
        <v>80</v>
      </c>
      <c r="S1000" s="14">
        <v>43311</v>
      </c>
      <c r="T1000" s="2" t="s">
        <v>6724</v>
      </c>
      <c r="U1000" s="2" t="s">
        <v>1233</v>
      </c>
      <c r="V1000" s="2" t="s">
        <v>1234</v>
      </c>
      <c r="W1000" s="2" t="s">
        <v>70</v>
      </c>
      <c r="X1000" s="13">
        <v>430</v>
      </c>
      <c r="Y1000" s="2" t="s">
        <v>71</v>
      </c>
      <c r="Z1000" s="2" t="s">
        <v>72</v>
      </c>
      <c r="AA1000" s="13">
        <v>18000</v>
      </c>
      <c r="AB1000" s="2" t="s">
        <v>73</v>
      </c>
      <c r="AC1000" s="2" t="s">
        <v>6773</v>
      </c>
      <c r="AD1000" s="27">
        <v>43283</v>
      </c>
      <c r="AL1000" s="2" t="s">
        <v>5662</v>
      </c>
    </row>
    <row r="1001" spans="1:38" hidden="1" x14ac:dyDescent="0.2">
      <c r="A1001" s="2" t="s">
        <v>3088</v>
      </c>
      <c r="B1001" s="2" t="s">
        <v>4657</v>
      </c>
      <c r="C1001" s="2" t="s">
        <v>4658</v>
      </c>
      <c r="D1001" s="2" t="s">
        <v>4659</v>
      </c>
      <c r="E1001" s="16">
        <v>1019.1</v>
      </c>
      <c r="F1001" s="16">
        <v>1019.1</v>
      </c>
      <c r="G1001" s="14">
        <v>43307</v>
      </c>
      <c r="H1001" s="15">
        <v>0.96953703703703997</v>
      </c>
      <c r="I1001" s="14">
        <v>43308</v>
      </c>
      <c r="J1001" s="15">
        <v>6.8287037037040005E-2</v>
      </c>
      <c r="K1001" s="13">
        <v>0</v>
      </c>
      <c r="L1001" s="2" t="s">
        <v>64</v>
      </c>
      <c r="M1001" s="2" t="s">
        <v>4660</v>
      </c>
      <c r="N1001" s="14">
        <v>43312</v>
      </c>
      <c r="O1001" s="14">
        <v>43310</v>
      </c>
      <c r="P1001" s="2" t="s">
        <v>466</v>
      </c>
      <c r="Q1001" s="2" t="s">
        <v>4661</v>
      </c>
      <c r="R1001" s="2" t="s">
        <v>80</v>
      </c>
      <c r="S1001" s="14">
        <v>43312</v>
      </c>
      <c r="T1001" s="2" t="s">
        <v>6725</v>
      </c>
      <c r="U1001" s="2" t="s">
        <v>495</v>
      </c>
      <c r="V1001" s="2" t="s">
        <v>4662</v>
      </c>
      <c r="W1001" s="2" t="s">
        <v>70</v>
      </c>
      <c r="X1001" s="13">
        <v>430</v>
      </c>
      <c r="Y1001" s="2" t="s">
        <v>71</v>
      </c>
      <c r="Z1001" s="2" t="s">
        <v>72</v>
      </c>
      <c r="AA1001" s="13">
        <v>1000</v>
      </c>
      <c r="AB1001" s="2" t="s">
        <v>73</v>
      </c>
      <c r="AC1001" s="2" t="s">
        <v>6773</v>
      </c>
      <c r="AD1001" s="27">
        <v>43285</v>
      </c>
      <c r="AL1001" s="2" t="s">
        <v>5663</v>
      </c>
    </row>
    <row r="1002" spans="1:38" hidden="1" x14ac:dyDescent="0.2">
      <c r="A1002" s="2" t="s">
        <v>3088</v>
      </c>
      <c r="B1002" s="2" t="s">
        <v>3126</v>
      </c>
      <c r="C1002" s="2" t="s">
        <v>3097</v>
      </c>
      <c r="D1002" s="2" t="s">
        <v>3098</v>
      </c>
      <c r="E1002" s="13">
        <v>5000</v>
      </c>
      <c r="F1002" s="13">
        <v>5000</v>
      </c>
      <c r="G1002" s="14">
        <v>43308</v>
      </c>
      <c r="H1002" s="15">
        <v>8.9120370370370003E-2</v>
      </c>
      <c r="I1002" s="14">
        <v>43308</v>
      </c>
      <c r="J1002" s="15">
        <v>0.57361111111110996</v>
      </c>
      <c r="K1002" s="13">
        <v>20</v>
      </c>
      <c r="L1002" s="2" t="s">
        <v>64</v>
      </c>
      <c r="M1002" s="2" t="s">
        <v>3099</v>
      </c>
      <c r="N1002" s="14">
        <v>43348</v>
      </c>
      <c r="O1002" s="14">
        <v>43312</v>
      </c>
      <c r="P1002" s="2" t="s">
        <v>459</v>
      </c>
      <c r="Q1002" s="2" t="s">
        <v>3127</v>
      </c>
      <c r="R1002" s="2" t="s">
        <v>80</v>
      </c>
      <c r="S1002" s="14">
        <v>43314</v>
      </c>
      <c r="T1002" s="2" t="s">
        <v>6726</v>
      </c>
      <c r="U1002" s="2" t="s">
        <v>1324</v>
      </c>
      <c r="V1002" s="2" t="s">
        <v>3100</v>
      </c>
      <c r="W1002" s="2" t="s">
        <v>70</v>
      </c>
      <c r="X1002" s="13">
        <v>430</v>
      </c>
      <c r="Y1002" s="2" t="s">
        <v>71</v>
      </c>
      <c r="Z1002" s="2" t="s">
        <v>72</v>
      </c>
      <c r="AA1002" s="13">
        <v>5000</v>
      </c>
      <c r="AB1002" s="2" t="s">
        <v>73</v>
      </c>
      <c r="AC1002" s="2" t="s">
        <v>6773</v>
      </c>
      <c r="AD1002" s="27">
        <v>43178</v>
      </c>
      <c r="AL1002" s="2" t="s">
        <v>5664</v>
      </c>
    </row>
    <row r="1003" spans="1:38" hidden="1" x14ac:dyDescent="0.2">
      <c r="A1003" s="2" t="s">
        <v>3088</v>
      </c>
      <c r="B1003" s="2" t="s">
        <v>3114</v>
      </c>
      <c r="C1003" s="2" t="s">
        <v>1228</v>
      </c>
      <c r="D1003" s="2" t="s">
        <v>1229</v>
      </c>
      <c r="E1003" s="16">
        <v>20446.001</v>
      </c>
      <c r="F1003" s="16">
        <v>20446.001</v>
      </c>
      <c r="G1003" s="14">
        <v>43308</v>
      </c>
      <c r="H1003" s="15">
        <v>0.63611111111110996</v>
      </c>
      <c r="I1003" s="14">
        <v>43310</v>
      </c>
      <c r="J1003" s="15">
        <v>0.61731481481480999</v>
      </c>
      <c r="K1003" s="13">
        <v>0</v>
      </c>
      <c r="L1003" s="2" t="s">
        <v>64</v>
      </c>
      <c r="M1003" s="2" t="s">
        <v>3102</v>
      </c>
      <c r="N1003" s="14">
        <v>43325</v>
      </c>
      <c r="O1003" s="14">
        <v>43317</v>
      </c>
      <c r="P1003" s="2" t="s">
        <v>1231</v>
      </c>
      <c r="Q1003" s="2" t="s">
        <v>3115</v>
      </c>
      <c r="R1003" s="2" t="s">
        <v>80</v>
      </c>
      <c r="S1003" s="14">
        <v>43325</v>
      </c>
      <c r="U1003" s="2" t="s">
        <v>1233</v>
      </c>
      <c r="V1003" s="2" t="s">
        <v>1234</v>
      </c>
      <c r="W1003" s="2" t="s">
        <v>70</v>
      </c>
      <c r="X1003" s="13">
        <v>0</v>
      </c>
      <c r="Y1003" s="2" t="s">
        <v>71</v>
      </c>
      <c r="Z1003" s="2" t="s">
        <v>72</v>
      </c>
      <c r="AA1003" s="13">
        <v>20000</v>
      </c>
      <c r="AB1003" s="2" t="s">
        <v>95</v>
      </c>
      <c r="AC1003" s="2" t="s">
        <v>6773</v>
      </c>
      <c r="AD1003" s="27"/>
      <c r="AL1003" s="2" t="s">
        <v>5665</v>
      </c>
    </row>
    <row r="1004" spans="1:38" hidden="1" x14ac:dyDescent="0.2">
      <c r="A1004" s="2" t="s">
        <v>3088</v>
      </c>
      <c r="B1004" s="2" t="s">
        <v>4663</v>
      </c>
      <c r="C1004" s="2" t="s">
        <v>4664</v>
      </c>
      <c r="D1004" s="2" t="s">
        <v>4665</v>
      </c>
      <c r="E1004" s="16">
        <v>2072.4</v>
      </c>
      <c r="F1004" s="16">
        <v>2072.4</v>
      </c>
      <c r="G1004" s="14">
        <v>43311</v>
      </c>
      <c r="H1004" s="15">
        <v>0.40238425925926002</v>
      </c>
      <c r="I1004" s="14">
        <v>43311</v>
      </c>
      <c r="J1004" s="15">
        <v>0.60319444444444004</v>
      </c>
      <c r="K1004" s="13">
        <v>0</v>
      </c>
      <c r="L1004" s="2" t="s">
        <v>64</v>
      </c>
      <c r="M1004" s="2" t="s">
        <v>4666</v>
      </c>
      <c r="N1004" s="14">
        <v>43314</v>
      </c>
      <c r="O1004" s="14">
        <v>43313</v>
      </c>
      <c r="P1004" s="2" t="s">
        <v>524</v>
      </c>
      <c r="Q1004" s="2" t="s">
        <v>4667</v>
      </c>
      <c r="R1004" s="2" t="s">
        <v>80</v>
      </c>
      <c r="S1004" s="14">
        <v>43314</v>
      </c>
      <c r="T1004" s="2" t="s">
        <v>6727</v>
      </c>
      <c r="U1004" s="2" t="s">
        <v>484</v>
      </c>
      <c r="V1004" s="2" t="s">
        <v>4668</v>
      </c>
      <c r="W1004" s="2" t="s">
        <v>70</v>
      </c>
      <c r="X1004" s="13">
        <v>430</v>
      </c>
      <c r="Y1004" s="2" t="s">
        <v>71</v>
      </c>
      <c r="Z1004" s="2" t="s">
        <v>72</v>
      </c>
      <c r="AA1004" s="13">
        <v>2000</v>
      </c>
      <c r="AB1004" s="2" t="s">
        <v>73</v>
      </c>
      <c r="AC1004" s="2" t="s">
        <v>6773</v>
      </c>
      <c r="AD1004" s="27">
        <v>43286</v>
      </c>
      <c r="AL1004" s="2" t="s">
        <v>5666</v>
      </c>
    </row>
    <row r="1005" spans="1:38" hidden="1" x14ac:dyDescent="0.2">
      <c r="A1005" s="2" t="s">
        <v>3088</v>
      </c>
      <c r="B1005" s="2" t="s">
        <v>4669</v>
      </c>
      <c r="C1005" s="2" t="s">
        <v>4670</v>
      </c>
      <c r="D1005" s="2" t="s">
        <v>4671</v>
      </c>
      <c r="E1005" s="13">
        <v>2020</v>
      </c>
      <c r="F1005" s="13">
        <v>2020</v>
      </c>
      <c r="G1005" s="14">
        <v>43311</v>
      </c>
      <c r="H1005" s="15">
        <v>0.62402777777777996</v>
      </c>
      <c r="I1005" s="14">
        <v>43311</v>
      </c>
      <c r="J1005" s="15">
        <v>0.81976851851851995</v>
      </c>
      <c r="K1005" s="13">
        <v>0</v>
      </c>
      <c r="L1005" s="2" t="s">
        <v>64</v>
      </c>
      <c r="M1005" s="2" t="s">
        <v>4672</v>
      </c>
      <c r="N1005" s="14">
        <v>43314</v>
      </c>
      <c r="O1005" s="14">
        <v>43313</v>
      </c>
      <c r="P1005" s="2" t="s">
        <v>2038</v>
      </c>
      <c r="Q1005" s="2" t="s">
        <v>4673</v>
      </c>
      <c r="R1005" s="2" t="s">
        <v>80</v>
      </c>
      <c r="S1005" s="14">
        <v>43314</v>
      </c>
      <c r="T1005" s="2" t="s">
        <v>6728</v>
      </c>
      <c r="U1005" s="2" t="s">
        <v>4674</v>
      </c>
      <c r="V1005" s="2" t="s">
        <v>4675</v>
      </c>
      <c r="W1005" s="2" t="s">
        <v>70</v>
      </c>
      <c r="X1005" s="13">
        <v>430</v>
      </c>
      <c r="Y1005" s="2" t="s">
        <v>71</v>
      </c>
      <c r="Z1005" s="2" t="s">
        <v>72</v>
      </c>
      <c r="AA1005" s="13">
        <v>2000</v>
      </c>
      <c r="AB1005" s="2" t="s">
        <v>73</v>
      </c>
      <c r="AC1005" s="2" t="s">
        <v>6773</v>
      </c>
      <c r="AD1005" s="27">
        <v>43286</v>
      </c>
      <c r="AL1005" s="2" t="s">
        <v>5667</v>
      </c>
    </row>
    <row r="1006" spans="1:38" hidden="1" x14ac:dyDescent="0.2">
      <c r="A1006" s="2" t="s">
        <v>3088</v>
      </c>
      <c r="B1006" s="2" t="s">
        <v>3116</v>
      </c>
      <c r="C1006" s="2" t="s">
        <v>1228</v>
      </c>
      <c r="D1006" s="2" t="s">
        <v>1229</v>
      </c>
      <c r="E1006" s="13">
        <v>1000</v>
      </c>
      <c r="F1006" s="13">
        <v>1000</v>
      </c>
      <c r="G1006" s="14">
        <v>43311</v>
      </c>
      <c r="H1006" s="15">
        <v>0.90310185185184999</v>
      </c>
      <c r="I1006" s="14">
        <v>43312</v>
      </c>
      <c r="J1006" s="15">
        <v>0</v>
      </c>
      <c r="K1006" s="13">
        <v>0</v>
      </c>
      <c r="L1006" s="2" t="s">
        <v>64</v>
      </c>
      <c r="M1006" s="2" t="s">
        <v>3117</v>
      </c>
      <c r="N1006" s="14">
        <v>43319</v>
      </c>
      <c r="O1006" s="14">
        <v>43318</v>
      </c>
      <c r="P1006" s="2" t="s">
        <v>1231</v>
      </c>
      <c r="Q1006" s="2" t="s">
        <v>3118</v>
      </c>
      <c r="R1006" s="2" t="s">
        <v>80</v>
      </c>
      <c r="S1006" s="14">
        <v>43319</v>
      </c>
      <c r="T1006" s="2" t="s">
        <v>6729</v>
      </c>
      <c r="U1006" s="2" t="s">
        <v>1233</v>
      </c>
      <c r="V1006" s="2" t="s">
        <v>1234</v>
      </c>
      <c r="W1006" s="2" t="s">
        <v>70</v>
      </c>
      <c r="X1006" s="13">
        <v>430</v>
      </c>
      <c r="Y1006" s="2" t="s">
        <v>71</v>
      </c>
      <c r="Z1006" s="2" t="s">
        <v>72</v>
      </c>
      <c r="AA1006" s="13">
        <v>1000</v>
      </c>
      <c r="AB1006" s="2" t="s">
        <v>73</v>
      </c>
      <c r="AC1006" s="2" t="s">
        <v>6773</v>
      </c>
      <c r="AD1006" s="27">
        <v>43259</v>
      </c>
      <c r="AL1006" s="2" t="s">
        <v>5668</v>
      </c>
    </row>
    <row r="1007" spans="1:38" hidden="1" x14ac:dyDescent="0.2">
      <c r="A1007" s="2" t="s">
        <v>3088</v>
      </c>
      <c r="B1007" s="2" t="s">
        <v>3119</v>
      </c>
      <c r="C1007" s="2" t="s">
        <v>3120</v>
      </c>
      <c r="D1007" s="2" t="s">
        <v>3121</v>
      </c>
      <c r="E1007" s="13">
        <v>2000</v>
      </c>
      <c r="F1007" s="13">
        <v>2000</v>
      </c>
      <c r="G1007" s="14">
        <v>43315</v>
      </c>
      <c r="H1007" s="15">
        <v>0.80620370370369998</v>
      </c>
      <c r="I1007" s="14">
        <v>43316</v>
      </c>
      <c r="J1007" s="15">
        <v>0</v>
      </c>
      <c r="K1007" s="13">
        <v>0</v>
      </c>
      <c r="L1007" s="2" t="s">
        <v>64</v>
      </c>
      <c r="M1007" s="2" t="s">
        <v>3094</v>
      </c>
      <c r="N1007" s="14">
        <v>43318</v>
      </c>
      <c r="O1007" s="14">
        <v>43317</v>
      </c>
      <c r="P1007" s="2" t="s">
        <v>466</v>
      </c>
      <c r="Q1007" s="2" t="s">
        <v>3122</v>
      </c>
      <c r="R1007" s="2" t="s">
        <v>80</v>
      </c>
      <c r="S1007" s="14">
        <v>43318</v>
      </c>
      <c r="T1007" s="2" t="s">
        <v>6730</v>
      </c>
      <c r="U1007" s="2" t="s">
        <v>495</v>
      </c>
      <c r="V1007" s="2" t="s">
        <v>3123</v>
      </c>
      <c r="W1007" s="2" t="s">
        <v>70</v>
      </c>
      <c r="X1007" s="13">
        <v>430</v>
      </c>
      <c r="Y1007" s="2" t="s">
        <v>71</v>
      </c>
      <c r="Z1007" s="2" t="s">
        <v>72</v>
      </c>
      <c r="AA1007" s="13">
        <v>2000</v>
      </c>
      <c r="AB1007" s="2" t="s">
        <v>73</v>
      </c>
      <c r="AC1007" s="2" t="s">
        <v>6773</v>
      </c>
      <c r="AD1007" s="27">
        <v>43241</v>
      </c>
      <c r="AL1007" s="2" t="s">
        <v>5669</v>
      </c>
    </row>
    <row r="1008" spans="1:38" hidden="1" x14ac:dyDescent="0.2">
      <c r="A1008" s="2" t="s">
        <v>3088</v>
      </c>
      <c r="B1008" s="2" t="s">
        <v>3124</v>
      </c>
      <c r="C1008" s="2" t="s">
        <v>3097</v>
      </c>
      <c r="D1008" s="2" t="s">
        <v>3098</v>
      </c>
      <c r="E1008" s="13">
        <v>5000</v>
      </c>
      <c r="F1008" s="13">
        <v>5000</v>
      </c>
      <c r="G1008" s="14">
        <v>43316</v>
      </c>
      <c r="H1008" s="15">
        <v>0.51550925925926006</v>
      </c>
      <c r="I1008" s="14">
        <v>43317</v>
      </c>
      <c r="J1008" s="15">
        <v>0</v>
      </c>
      <c r="K1008" s="13">
        <v>20</v>
      </c>
      <c r="L1008" s="2" t="s">
        <v>64</v>
      </c>
      <c r="M1008" s="2" t="s">
        <v>3099</v>
      </c>
      <c r="N1008" s="14">
        <v>43360</v>
      </c>
      <c r="O1008" s="14">
        <v>43318</v>
      </c>
      <c r="P1008" s="2" t="s">
        <v>459</v>
      </c>
      <c r="Q1008" s="2" t="s">
        <v>3125</v>
      </c>
      <c r="R1008" s="2" t="s">
        <v>80</v>
      </c>
      <c r="S1008" s="14">
        <v>43322</v>
      </c>
      <c r="T1008" s="2" t="s">
        <v>6731</v>
      </c>
      <c r="U1008" s="2" t="s">
        <v>1324</v>
      </c>
      <c r="V1008" s="2" t="s">
        <v>3100</v>
      </c>
      <c r="W1008" s="2" t="s">
        <v>70</v>
      </c>
      <c r="X1008" s="13">
        <v>430</v>
      </c>
      <c r="Y1008" s="2" t="s">
        <v>71</v>
      </c>
      <c r="Z1008" s="2" t="s">
        <v>72</v>
      </c>
      <c r="AA1008" s="13">
        <v>5000</v>
      </c>
      <c r="AB1008" s="2" t="s">
        <v>73</v>
      </c>
      <c r="AC1008" s="2" t="s">
        <v>6773</v>
      </c>
      <c r="AD1008" s="27">
        <v>43178</v>
      </c>
      <c r="AL1008" s="2" t="s">
        <v>5670</v>
      </c>
    </row>
    <row r="1009" spans="1:38" hidden="1" x14ac:dyDescent="0.2">
      <c r="A1009" s="2" t="s">
        <v>3088</v>
      </c>
      <c r="B1009" s="2" t="s">
        <v>3128</v>
      </c>
      <c r="C1009" s="2" t="s">
        <v>3129</v>
      </c>
      <c r="D1009" s="2" t="s">
        <v>3130</v>
      </c>
      <c r="E1009" s="13">
        <v>5000</v>
      </c>
      <c r="F1009" s="13">
        <v>5000</v>
      </c>
      <c r="G1009" s="14">
        <v>43333</v>
      </c>
      <c r="H1009" s="15">
        <v>0.51550925925926006</v>
      </c>
      <c r="I1009" s="14">
        <v>43334</v>
      </c>
      <c r="J1009" s="15">
        <v>0</v>
      </c>
      <c r="K1009" s="13">
        <v>20</v>
      </c>
      <c r="L1009" s="2" t="s">
        <v>64</v>
      </c>
      <c r="M1009" s="2" t="s">
        <v>3099</v>
      </c>
      <c r="N1009" s="14">
        <v>43340</v>
      </c>
      <c r="O1009" s="14">
        <v>43335</v>
      </c>
      <c r="P1009" s="2" t="s">
        <v>91</v>
      </c>
      <c r="Q1009" s="2" t="s">
        <v>98</v>
      </c>
      <c r="R1009" s="2" t="s">
        <v>131</v>
      </c>
      <c r="S1009" s="14"/>
      <c r="T1009" s="2" t="s">
        <v>6732</v>
      </c>
      <c r="U1009" s="2" t="s">
        <v>1345</v>
      </c>
      <c r="V1009" s="2" t="s">
        <v>3131</v>
      </c>
      <c r="W1009" s="2" t="s">
        <v>70</v>
      </c>
      <c r="X1009" s="13">
        <v>430</v>
      </c>
      <c r="Y1009" s="2" t="s">
        <v>71</v>
      </c>
      <c r="Z1009" s="2" t="s">
        <v>72</v>
      </c>
      <c r="AA1009" s="13">
        <v>5000</v>
      </c>
      <c r="AB1009" s="2" t="s">
        <v>73</v>
      </c>
      <c r="AC1009" s="2" t="s">
        <v>6773</v>
      </c>
      <c r="AD1009" s="27">
        <v>43178</v>
      </c>
      <c r="AL1009" s="2" t="s">
        <v>5671</v>
      </c>
    </row>
    <row r="1010" spans="1:38" hidden="1" x14ac:dyDescent="0.2">
      <c r="A1010" s="2" t="s">
        <v>3088</v>
      </c>
      <c r="B1010" s="2" t="s">
        <v>3132</v>
      </c>
      <c r="C1010" s="2" t="s">
        <v>3120</v>
      </c>
      <c r="D1010" s="2" t="s">
        <v>3121</v>
      </c>
      <c r="E1010" s="16">
        <v>2038.2</v>
      </c>
      <c r="F1010" s="16">
        <v>2038.2</v>
      </c>
      <c r="G1010" s="14">
        <v>43350</v>
      </c>
      <c r="H1010" s="15">
        <v>2.0833333333330002E-2</v>
      </c>
      <c r="I1010" s="14">
        <v>43350</v>
      </c>
      <c r="J1010" s="15">
        <v>0.21833333333332999</v>
      </c>
      <c r="K1010" s="13">
        <v>0</v>
      </c>
      <c r="L1010" s="2" t="s">
        <v>64</v>
      </c>
      <c r="M1010" s="2" t="s">
        <v>4676</v>
      </c>
      <c r="N1010" s="14">
        <v>43353</v>
      </c>
      <c r="O1010" s="14">
        <v>43352</v>
      </c>
      <c r="P1010" s="2" t="s">
        <v>466</v>
      </c>
      <c r="Q1010" s="2" t="s">
        <v>3133</v>
      </c>
      <c r="R1010" s="2" t="s">
        <v>80</v>
      </c>
      <c r="S1010" s="14">
        <v>43353</v>
      </c>
      <c r="U1010" s="2" t="s">
        <v>495</v>
      </c>
      <c r="V1010" s="2" t="s">
        <v>3123</v>
      </c>
      <c r="W1010" s="2" t="s">
        <v>70</v>
      </c>
      <c r="X1010" s="13">
        <v>430</v>
      </c>
      <c r="Y1010" s="2" t="s">
        <v>71</v>
      </c>
      <c r="Z1010" s="2" t="s">
        <v>72</v>
      </c>
      <c r="AA1010" s="13">
        <v>2000</v>
      </c>
      <c r="AB1010" s="2" t="s">
        <v>107</v>
      </c>
      <c r="AC1010" s="2" t="s">
        <v>6773</v>
      </c>
      <c r="AD1010" s="27"/>
      <c r="AL1010" s="2" t="s">
        <v>5672</v>
      </c>
    </row>
    <row r="1011" spans="1:38" hidden="1" x14ac:dyDescent="0.2">
      <c r="A1011" s="2" t="s">
        <v>3134</v>
      </c>
      <c r="B1011" s="2" t="s">
        <v>7075</v>
      </c>
      <c r="C1011" s="2" t="s">
        <v>2252</v>
      </c>
      <c r="D1011" s="2" t="s">
        <v>2253</v>
      </c>
      <c r="E1011" s="13">
        <v>303</v>
      </c>
      <c r="F1011" s="13">
        <v>10303</v>
      </c>
      <c r="G1011" s="14">
        <v>43286</v>
      </c>
      <c r="H1011" s="15">
        <v>0.35416666666667002</v>
      </c>
      <c r="I1011" s="14">
        <v>43287</v>
      </c>
      <c r="J1011" s="15">
        <v>0.34105324074074</v>
      </c>
      <c r="K1011" s="13">
        <v>0</v>
      </c>
      <c r="L1011" s="2" t="s">
        <v>64</v>
      </c>
      <c r="M1011" s="2" t="s">
        <v>7076</v>
      </c>
      <c r="N1011" s="14">
        <v>43284</v>
      </c>
      <c r="O1011" s="14">
        <v>43289</v>
      </c>
      <c r="P1011" s="2" t="s">
        <v>524</v>
      </c>
      <c r="Q1011" s="2" t="s">
        <v>98</v>
      </c>
      <c r="R1011" s="2" t="s">
        <v>131</v>
      </c>
      <c r="S1011" s="14"/>
      <c r="T1011" s="2" t="s">
        <v>7142</v>
      </c>
      <c r="U1011" s="2" t="s">
        <v>1324</v>
      </c>
      <c r="V1011" s="2" t="s">
        <v>2254</v>
      </c>
      <c r="W1011" s="2" t="s">
        <v>70</v>
      </c>
      <c r="X1011" s="13">
        <v>435</v>
      </c>
      <c r="Y1011" s="2" t="s">
        <v>71</v>
      </c>
      <c r="Z1011" s="2" t="s">
        <v>72</v>
      </c>
      <c r="AA1011" s="13">
        <v>0</v>
      </c>
      <c r="AB1011" s="2" t="s">
        <v>107</v>
      </c>
      <c r="AC1011" s="2" t="s">
        <v>6772</v>
      </c>
      <c r="AD1011" s="27">
        <v>43280</v>
      </c>
      <c r="AL1011" s="2" t="s">
        <v>7321</v>
      </c>
    </row>
    <row r="1012" spans="1:38" hidden="1" x14ac:dyDescent="0.2">
      <c r="A1012" s="2" t="s">
        <v>3134</v>
      </c>
      <c r="B1012" s="2" t="s">
        <v>7077</v>
      </c>
      <c r="C1012" s="2" t="s">
        <v>3144</v>
      </c>
      <c r="D1012" s="2" t="s">
        <v>3145</v>
      </c>
      <c r="E1012" s="13">
        <v>76</v>
      </c>
      <c r="F1012" s="13">
        <v>2076</v>
      </c>
      <c r="G1012" s="14">
        <v>43287</v>
      </c>
      <c r="H1012" s="15">
        <v>0.40355324074074</v>
      </c>
      <c r="I1012" s="14">
        <v>43287</v>
      </c>
      <c r="J1012" s="15">
        <v>0.60240740740740994</v>
      </c>
      <c r="K1012" s="13">
        <v>20</v>
      </c>
      <c r="L1012" s="2" t="s">
        <v>64</v>
      </c>
      <c r="M1012" s="2" t="s">
        <v>7078</v>
      </c>
      <c r="N1012" s="14">
        <v>43315</v>
      </c>
      <c r="O1012" s="14">
        <v>43289</v>
      </c>
      <c r="P1012" s="2" t="s">
        <v>2199</v>
      </c>
      <c r="Q1012" s="2" t="s">
        <v>98</v>
      </c>
      <c r="R1012" s="2" t="s">
        <v>131</v>
      </c>
      <c r="S1012" s="14"/>
      <c r="T1012" s="2" t="s">
        <v>7143</v>
      </c>
      <c r="U1012" s="2" t="s">
        <v>2228</v>
      </c>
      <c r="V1012" s="2" t="s">
        <v>81</v>
      </c>
      <c r="W1012" s="2" t="s">
        <v>70</v>
      </c>
      <c r="X1012" s="13">
        <v>435</v>
      </c>
      <c r="Y1012" s="2" t="s">
        <v>71</v>
      </c>
      <c r="Z1012" s="2" t="s">
        <v>72</v>
      </c>
      <c r="AA1012" s="13">
        <v>0</v>
      </c>
      <c r="AB1012" s="2" t="s">
        <v>107</v>
      </c>
      <c r="AC1012" s="2" t="s">
        <v>6773</v>
      </c>
      <c r="AD1012" s="27">
        <v>43181</v>
      </c>
      <c r="AL1012" s="2" t="s">
        <v>7322</v>
      </c>
    </row>
    <row r="1013" spans="1:38" hidden="1" x14ac:dyDescent="0.2">
      <c r="A1013" s="2" t="s">
        <v>3134</v>
      </c>
      <c r="B1013" s="2" t="s">
        <v>7079</v>
      </c>
      <c r="C1013" s="2" t="s">
        <v>7080</v>
      </c>
      <c r="D1013" s="2" t="s">
        <v>7081</v>
      </c>
      <c r="E1013" s="16">
        <v>1037.3</v>
      </c>
      <c r="F1013" s="16">
        <v>1037.3</v>
      </c>
      <c r="G1013" s="14">
        <v>43287</v>
      </c>
      <c r="H1013" s="15">
        <v>0.66490740740740994</v>
      </c>
      <c r="I1013" s="14">
        <v>43287</v>
      </c>
      <c r="J1013" s="15">
        <v>0.76427083333333001</v>
      </c>
      <c r="K1013" s="13">
        <v>0</v>
      </c>
      <c r="L1013" s="2" t="s">
        <v>64</v>
      </c>
      <c r="M1013" s="2" t="s">
        <v>7082</v>
      </c>
      <c r="N1013" s="14">
        <v>43294</v>
      </c>
      <c r="O1013" s="14">
        <v>43294</v>
      </c>
      <c r="P1013" s="2" t="s">
        <v>1573</v>
      </c>
      <c r="Q1013" s="2" t="s">
        <v>7083</v>
      </c>
      <c r="R1013" s="2" t="s">
        <v>80</v>
      </c>
      <c r="S1013" s="14">
        <v>43294</v>
      </c>
      <c r="T1013" s="2" t="s">
        <v>7144</v>
      </c>
      <c r="U1013" s="2" t="s">
        <v>468</v>
      </c>
      <c r="V1013" s="2" t="s">
        <v>7084</v>
      </c>
      <c r="W1013" s="2" t="s">
        <v>70</v>
      </c>
      <c r="X1013" s="13">
        <v>435</v>
      </c>
      <c r="Y1013" s="2" t="s">
        <v>71</v>
      </c>
      <c r="Z1013" s="2" t="s">
        <v>72</v>
      </c>
      <c r="AA1013" s="13">
        <v>1000</v>
      </c>
      <c r="AB1013" s="2" t="s">
        <v>107</v>
      </c>
      <c r="AC1013" s="2" t="s">
        <v>6773</v>
      </c>
      <c r="AD1013" s="27">
        <v>43272</v>
      </c>
      <c r="AL1013" s="2" t="s">
        <v>7323</v>
      </c>
    </row>
    <row r="1014" spans="1:38" hidden="1" x14ac:dyDescent="0.2">
      <c r="A1014" s="2" t="s">
        <v>3134</v>
      </c>
      <c r="B1014" s="2" t="s">
        <v>7085</v>
      </c>
      <c r="C1014" s="2" t="s">
        <v>7086</v>
      </c>
      <c r="D1014" s="2" t="s">
        <v>7087</v>
      </c>
      <c r="E1014" s="13">
        <v>888</v>
      </c>
      <c r="F1014" s="13">
        <v>1038</v>
      </c>
      <c r="G1014" s="14">
        <v>43287</v>
      </c>
      <c r="H1014" s="15">
        <v>0.78510416666667004</v>
      </c>
      <c r="I1014" s="14">
        <v>43287</v>
      </c>
      <c r="J1014" s="15">
        <v>0.88452546296295997</v>
      </c>
      <c r="K1014" s="13">
        <v>0</v>
      </c>
      <c r="L1014" s="2" t="s">
        <v>64</v>
      </c>
      <c r="M1014" s="2" t="s">
        <v>3241</v>
      </c>
      <c r="N1014" s="14">
        <v>43292</v>
      </c>
      <c r="O1014" s="14">
        <v>43294</v>
      </c>
      <c r="P1014" s="2" t="s">
        <v>91</v>
      </c>
      <c r="Q1014" s="2" t="s">
        <v>7088</v>
      </c>
      <c r="R1014" s="2" t="s">
        <v>80</v>
      </c>
      <c r="S1014" s="14">
        <v>43292</v>
      </c>
      <c r="T1014" s="2" t="s">
        <v>7145</v>
      </c>
      <c r="U1014" s="2" t="s">
        <v>7089</v>
      </c>
      <c r="V1014" s="2" t="s">
        <v>7090</v>
      </c>
      <c r="W1014" s="2" t="s">
        <v>70</v>
      </c>
      <c r="X1014" s="13">
        <v>435</v>
      </c>
      <c r="Y1014" s="2" t="s">
        <v>71</v>
      </c>
      <c r="Z1014" s="2" t="s">
        <v>72</v>
      </c>
      <c r="AA1014" s="13">
        <v>850</v>
      </c>
      <c r="AB1014" s="2" t="s">
        <v>107</v>
      </c>
      <c r="AC1014" s="2" t="s">
        <v>6773</v>
      </c>
      <c r="AD1014" s="27">
        <v>43270</v>
      </c>
      <c r="AL1014" s="2" t="s">
        <v>7324</v>
      </c>
    </row>
    <row r="1015" spans="1:38" hidden="1" x14ac:dyDescent="0.2">
      <c r="A1015" s="2" t="s">
        <v>3134</v>
      </c>
      <c r="B1015" s="2" t="s">
        <v>7091</v>
      </c>
      <c r="C1015" s="2" t="s">
        <v>1207</v>
      </c>
      <c r="D1015" s="2" t="s">
        <v>1208</v>
      </c>
      <c r="E1015" s="16">
        <v>2060.8000000000002</v>
      </c>
      <c r="F1015" s="16">
        <v>2060.8000000000002</v>
      </c>
      <c r="G1015" s="14">
        <v>43288</v>
      </c>
      <c r="H1015" s="15">
        <v>2.0833333333330002E-2</v>
      </c>
      <c r="I1015" s="14">
        <v>43288</v>
      </c>
      <c r="J1015" s="15">
        <v>0.21822916666667</v>
      </c>
      <c r="K1015" s="13">
        <v>0</v>
      </c>
      <c r="L1015" s="2" t="s">
        <v>64</v>
      </c>
      <c r="M1015" s="2" t="s">
        <v>3274</v>
      </c>
      <c r="N1015" s="14">
        <v>43318</v>
      </c>
      <c r="O1015" s="14">
        <v>43295</v>
      </c>
      <c r="P1015" s="2" t="s">
        <v>404</v>
      </c>
      <c r="Q1015" s="2" t="s">
        <v>7092</v>
      </c>
      <c r="R1015" s="2" t="s">
        <v>80</v>
      </c>
      <c r="S1015" s="14">
        <v>43299</v>
      </c>
      <c r="T1015" s="2" t="s">
        <v>7146</v>
      </c>
      <c r="U1015" s="2" t="s">
        <v>1209</v>
      </c>
      <c r="V1015" s="2" t="s">
        <v>1210</v>
      </c>
      <c r="W1015" s="2" t="s">
        <v>70</v>
      </c>
      <c r="X1015" s="13">
        <v>435</v>
      </c>
      <c r="Y1015" s="2" t="s">
        <v>71</v>
      </c>
      <c r="Z1015" s="2" t="s">
        <v>72</v>
      </c>
      <c r="AA1015" s="13">
        <v>2000</v>
      </c>
      <c r="AB1015" s="2" t="s">
        <v>107</v>
      </c>
      <c r="AC1015" s="2" t="s">
        <v>6773</v>
      </c>
      <c r="AD1015" s="27">
        <v>43271</v>
      </c>
      <c r="AL1015" s="2" t="s">
        <v>7325</v>
      </c>
    </row>
    <row r="1016" spans="1:38" hidden="1" x14ac:dyDescent="0.2">
      <c r="A1016" s="2" t="s">
        <v>3134</v>
      </c>
      <c r="B1016" s="2" t="s">
        <v>7093</v>
      </c>
      <c r="C1016" s="2" t="s">
        <v>1207</v>
      </c>
      <c r="D1016" s="2" t="s">
        <v>1208</v>
      </c>
      <c r="E1016" s="16">
        <v>2138.08</v>
      </c>
      <c r="F1016" s="16">
        <v>2138.08</v>
      </c>
      <c r="G1016" s="14">
        <v>43288</v>
      </c>
      <c r="H1016" s="15">
        <v>0.23906250000000001</v>
      </c>
      <c r="I1016" s="14">
        <v>43288</v>
      </c>
      <c r="J1016" s="15">
        <v>0.44385416666666999</v>
      </c>
      <c r="K1016" s="13">
        <v>0</v>
      </c>
      <c r="L1016" s="2" t="s">
        <v>64</v>
      </c>
      <c r="M1016" s="2" t="s">
        <v>7094</v>
      </c>
      <c r="N1016" s="14">
        <v>43297</v>
      </c>
      <c r="O1016" s="14">
        <v>43295</v>
      </c>
      <c r="P1016" s="2" t="s">
        <v>404</v>
      </c>
      <c r="Q1016" s="2" t="s">
        <v>7095</v>
      </c>
      <c r="R1016" s="2" t="s">
        <v>80</v>
      </c>
      <c r="S1016" s="14">
        <v>43297</v>
      </c>
      <c r="T1016" s="2" t="s">
        <v>7147</v>
      </c>
      <c r="U1016" s="2" t="s">
        <v>1209</v>
      </c>
      <c r="V1016" s="2" t="s">
        <v>1210</v>
      </c>
      <c r="W1016" s="2" t="s">
        <v>70</v>
      </c>
      <c r="X1016" s="13">
        <v>435</v>
      </c>
      <c r="Y1016" s="2" t="s">
        <v>71</v>
      </c>
      <c r="Z1016" s="2" t="s">
        <v>72</v>
      </c>
      <c r="AA1016" s="13">
        <v>2075</v>
      </c>
      <c r="AB1016" s="2" t="s">
        <v>107</v>
      </c>
      <c r="AC1016" s="2" t="s">
        <v>6773</v>
      </c>
      <c r="AD1016" s="27">
        <v>43241</v>
      </c>
      <c r="AL1016" s="2" t="s">
        <v>7326</v>
      </c>
    </row>
    <row r="1017" spans="1:38" hidden="1" x14ac:dyDescent="0.2">
      <c r="A1017" s="2" t="s">
        <v>3134</v>
      </c>
      <c r="B1017" s="2" t="s">
        <v>7096</v>
      </c>
      <c r="C1017" s="2" t="s">
        <v>7080</v>
      </c>
      <c r="D1017" s="2" t="s">
        <v>7081</v>
      </c>
      <c r="E1017" s="16">
        <v>3034.1030000000001</v>
      </c>
      <c r="F1017" s="16">
        <v>3034.1030000000001</v>
      </c>
      <c r="G1017" s="14">
        <v>43288</v>
      </c>
      <c r="H1017" s="15">
        <v>0.46468749999999998</v>
      </c>
      <c r="I1017" s="14">
        <v>43288</v>
      </c>
      <c r="J1017" s="15">
        <v>0.75531250000000005</v>
      </c>
      <c r="K1017" s="13">
        <v>0</v>
      </c>
      <c r="L1017" s="2" t="s">
        <v>64</v>
      </c>
      <c r="M1017" s="2" t="s">
        <v>7097</v>
      </c>
      <c r="N1017" s="14">
        <v>43297</v>
      </c>
      <c r="O1017" s="14">
        <v>43295</v>
      </c>
      <c r="P1017" s="2" t="s">
        <v>1573</v>
      </c>
      <c r="Q1017" s="2" t="s">
        <v>7098</v>
      </c>
      <c r="R1017" s="2" t="s">
        <v>80</v>
      </c>
      <c r="S1017" s="14">
        <v>43297</v>
      </c>
      <c r="T1017" s="2" t="s">
        <v>7148</v>
      </c>
      <c r="U1017" s="2" t="s">
        <v>468</v>
      </c>
      <c r="V1017" s="2" t="s">
        <v>7084</v>
      </c>
      <c r="W1017" s="2" t="s">
        <v>70</v>
      </c>
      <c r="X1017" s="13">
        <v>435</v>
      </c>
      <c r="Y1017" s="2" t="s">
        <v>71</v>
      </c>
      <c r="Z1017" s="2" t="s">
        <v>72</v>
      </c>
      <c r="AA1017" s="13">
        <v>2925</v>
      </c>
      <c r="AB1017" s="2" t="s">
        <v>107</v>
      </c>
      <c r="AC1017" s="2" t="s">
        <v>6773</v>
      </c>
      <c r="AD1017" s="27">
        <v>43256</v>
      </c>
      <c r="AL1017" s="2" t="s">
        <v>7327</v>
      </c>
    </row>
    <row r="1018" spans="1:38" x14ac:dyDescent="0.2">
      <c r="A1018" s="2" t="s">
        <v>3134</v>
      </c>
      <c r="B1018" s="2" t="s">
        <v>3138</v>
      </c>
      <c r="C1018" s="2" t="s">
        <v>1878</v>
      </c>
      <c r="D1018" s="2" t="s">
        <v>1879</v>
      </c>
      <c r="E1018" s="16">
        <v>2060.8000000000002</v>
      </c>
      <c r="F1018" s="16">
        <v>2060.8000000000002</v>
      </c>
      <c r="G1018" s="14">
        <v>43289</v>
      </c>
      <c r="H1018" s="15">
        <v>4.1666666666670002E-2</v>
      </c>
      <c r="I1018" s="14">
        <v>43289</v>
      </c>
      <c r="J1018" s="15">
        <v>0.23906250000000001</v>
      </c>
      <c r="K1018" s="13">
        <v>0</v>
      </c>
      <c r="L1018" s="2" t="s">
        <v>64</v>
      </c>
      <c r="M1018" s="2" t="s">
        <v>3274</v>
      </c>
      <c r="N1018" s="14">
        <v>43290</v>
      </c>
      <c r="O1018" s="14">
        <v>43291</v>
      </c>
      <c r="P1018" s="2" t="s">
        <v>504</v>
      </c>
      <c r="Q1018" s="2" t="s">
        <v>3140</v>
      </c>
      <c r="R1018" s="2" t="s">
        <v>80</v>
      </c>
      <c r="S1018" s="14">
        <v>43290</v>
      </c>
      <c r="T1018" s="2" t="s">
        <v>6733</v>
      </c>
      <c r="U1018" s="2" t="s">
        <v>1209</v>
      </c>
      <c r="V1018" s="2" t="s">
        <v>1881</v>
      </c>
      <c r="W1018" s="2" t="s">
        <v>70</v>
      </c>
      <c r="X1018" s="13">
        <v>435</v>
      </c>
      <c r="Y1018" s="2" t="s">
        <v>71</v>
      </c>
      <c r="Z1018" s="2" t="s">
        <v>72</v>
      </c>
      <c r="AA1018" s="13">
        <v>2000</v>
      </c>
      <c r="AB1018" s="2" t="s">
        <v>107</v>
      </c>
      <c r="AC1018" s="2" t="s">
        <v>6773</v>
      </c>
      <c r="AD1018" s="27">
        <v>43262</v>
      </c>
      <c r="AL1018" s="2" t="s">
        <v>5673</v>
      </c>
    </row>
    <row r="1019" spans="1:38" x14ac:dyDescent="0.2">
      <c r="A1019" s="2" t="s">
        <v>3134</v>
      </c>
      <c r="B1019" s="2" t="s">
        <v>7099</v>
      </c>
      <c r="C1019" s="2" t="s">
        <v>2682</v>
      </c>
      <c r="D1019" s="2" t="s">
        <v>2683</v>
      </c>
      <c r="E1019" s="16">
        <v>3091.2</v>
      </c>
      <c r="F1019" s="16">
        <v>3091.2</v>
      </c>
      <c r="G1019" s="14">
        <v>43289</v>
      </c>
      <c r="H1019" s="15">
        <v>0.25989583333333</v>
      </c>
      <c r="I1019" s="14">
        <v>43289</v>
      </c>
      <c r="J1019" s="15">
        <v>0.55599537037036995</v>
      </c>
      <c r="K1019" s="13">
        <v>0</v>
      </c>
      <c r="L1019" s="2" t="s">
        <v>64</v>
      </c>
      <c r="M1019" s="2" t="s">
        <v>7100</v>
      </c>
      <c r="N1019" s="14">
        <v>43291</v>
      </c>
      <c r="O1019" s="14">
        <v>43291</v>
      </c>
      <c r="P1019" s="2" t="s">
        <v>504</v>
      </c>
      <c r="Q1019" s="2" t="s">
        <v>3137</v>
      </c>
      <c r="R1019" s="2" t="s">
        <v>80</v>
      </c>
      <c r="S1019" s="14">
        <v>43291</v>
      </c>
      <c r="T1019" s="2" t="s">
        <v>7149</v>
      </c>
      <c r="U1019" s="2" t="s">
        <v>1209</v>
      </c>
      <c r="V1019" s="2" t="s">
        <v>2684</v>
      </c>
      <c r="W1019" s="2" t="s">
        <v>70</v>
      </c>
      <c r="X1019" s="13">
        <v>435</v>
      </c>
      <c r="Y1019" s="2" t="s">
        <v>71</v>
      </c>
      <c r="Z1019" s="2" t="s">
        <v>72</v>
      </c>
      <c r="AA1019" s="13">
        <v>3000</v>
      </c>
      <c r="AB1019" s="2" t="s">
        <v>107</v>
      </c>
      <c r="AC1019" s="2" t="s">
        <v>6773</v>
      </c>
      <c r="AD1019" s="27">
        <v>43223</v>
      </c>
      <c r="AL1019" s="2" t="s">
        <v>7328</v>
      </c>
    </row>
    <row r="1020" spans="1:38" x14ac:dyDescent="0.2">
      <c r="A1020" s="2" t="s">
        <v>3134</v>
      </c>
      <c r="B1020" s="2" t="s">
        <v>7101</v>
      </c>
      <c r="C1020" s="2" t="s">
        <v>3210</v>
      </c>
      <c r="D1020" s="2" t="s">
        <v>3211</v>
      </c>
      <c r="E1020" s="16">
        <v>1030.3</v>
      </c>
      <c r="F1020" s="16">
        <v>1030.3</v>
      </c>
      <c r="G1020" s="14">
        <v>43289</v>
      </c>
      <c r="H1020" s="15">
        <v>0.73753472222222005</v>
      </c>
      <c r="I1020" s="14">
        <v>43289</v>
      </c>
      <c r="J1020" s="15">
        <v>0.83622685185184997</v>
      </c>
      <c r="K1020" s="13">
        <v>0</v>
      </c>
      <c r="L1020" s="2" t="s">
        <v>64</v>
      </c>
      <c r="M1020" s="2" t="s">
        <v>4677</v>
      </c>
      <c r="N1020" s="14">
        <v>43306</v>
      </c>
      <c r="O1020" s="14">
        <v>43291</v>
      </c>
      <c r="P1020" s="2" t="s">
        <v>1419</v>
      </c>
      <c r="Q1020" s="2" t="s">
        <v>3212</v>
      </c>
      <c r="R1020" s="2" t="s">
        <v>80</v>
      </c>
      <c r="S1020" s="14">
        <v>43291</v>
      </c>
      <c r="T1020" s="2" t="s">
        <v>7150</v>
      </c>
      <c r="U1020" s="2" t="s">
        <v>1324</v>
      </c>
      <c r="V1020" s="2" t="s">
        <v>3213</v>
      </c>
      <c r="W1020" s="2" t="s">
        <v>70</v>
      </c>
      <c r="X1020" s="13">
        <v>435</v>
      </c>
      <c r="Y1020" s="2" t="s">
        <v>71</v>
      </c>
      <c r="Z1020" s="2" t="s">
        <v>72</v>
      </c>
      <c r="AA1020" s="13">
        <v>1000</v>
      </c>
      <c r="AB1020" s="2" t="s">
        <v>107</v>
      </c>
      <c r="AC1020" s="2" t="s">
        <v>6773</v>
      </c>
      <c r="AD1020" s="27">
        <v>43264</v>
      </c>
      <c r="AL1020" s="2" t="s">
        <v>7329</v>
      </c>
    </row>
    <row r="1021" spans="1:38" x14ac:dyDescent="0.2">
      <c r="A1021" s="2" t="s">
        <v>3134</v>
      </c>
      <c r="B1021" s="2" t="s">
        <v>3146</v>
      </c>
      <c r="C1021" s="2" t="s">
        <v>2823</v>
      </c>
      <c r="D1021" s="2" t="s">
        <v>2824</v>
      </c>
      <c r="E1021" s="16">
        <v>5139.5</v>
      </c>
      <c r="F1021" s="16">
        <v>5139.5</v>
      </c>
      <c r="G1021" s="14">
        <v>43290</v>
      </c>
      <c r="H1021" s="15">
        <v>2.0833333333330002E-2</v>
      </c>
      <c r="I1021" s="14">
        <v>43290</v>
      </c>
      <c r="J1021" s="15">
        <v>0.51311342592593001</v>
      </c>
      <c r="K1021" s="13">
        <v>20</v>
      </c>
      <c r="L1021" s="2" t="s">
        <v>64</v>
      </c>
      <c r="M1021" s="2" t="s">
        <v>4678</v>
      </c>
      <c r="N1021" s="14">
        <v>43298</v>
      </c>
      <c r="O1021" s="14">
        <v>43292</v>
      </c>
      <c r="P1021" s="2" t="s">
        <v>2825</v>
      </c>
      <c r="Q1021" s="2" t="s">
        <v>3148</v>
      </c>
      <c r="R1021" s="2" t="s">
        <v>80</v>
      </c>
      <c r="S1021" s="14">
        <v>43298</v>
      </c>
      <c r="T1021" s="2" t="s">
        <v>6734</v>
      </c>
      <c r="U1021" s="2" t="s">
        <v>2827</v>
      </c>
      <c r="V1021" s="2" t="s">
        <v>69</v>
      </c>
      <c r="W1021" s="2" t="s">
        <v>70</v>
      </c>
      <c r="X1021" s="13">
        <v>435</v>
      </c>
      <c r="Y1021" s="2" t="s">
        <v>71</v>
      </c>
      <c r="Z1021" s="2" t="s">
        <v>72</v>
      </c>
      <c r="AA1021" s="13">
        <v>5000</v>
      </c>
      <c r="AB1021" s="2" t="s">
        <v>107</v>
      </c>
      <c r="AC1021" s="2" t="s">
        <v>6773</v>
      </c>
      <c r="AD1021" s="27">
        <v>43236</v>
      </c>
      <c r="AL1021" s="2" t="s">
        <v>5674</v>
      </c>
    </row>
    <row r="1022" spans="1:38" x14ac:dyDescent="0.2">
      <c r="A1022" s="2" t="s">
        <v>3134</v>
      </c>
      <c r="B1022" s="2" t="s">
        <v>3223</v>
      </c>
      <c r="C1022" s="2" t="s">
        <v>3224</v>
      </c>
      <c r="D1022" s="2" t="s">
        <v>3225</v>
      </c>
      <c r="E1022" s="13">
        <v>2045</v>
      </c>
      <c r="F1022" s="13">
        <v>2045</v>
      </c>
      <c r="G1022" s="14">
        <v>43290</v>
      </c>
      <c r="H1022" s="15">
        <v>0.83333333333333004</v>
      </c>
      <c r="I1022" s="14">
        <v>43291</v>
      </c>
      <c r="J1022" s="15">
        <v>2.9212962962959999E-2</v>
      </c>
      <c r="K1022" s="13">
        <v>20</v>
      </c>
      <c r="L1022" s="2" t="s">
        <v>64</v>
      </c>
      <c r="M1022" s="2" t="s">
        <v>3226</v>
      </c>
      <c r="N1022" s="14">
        <v>43307</v>
      </c>
      <c r="O1022" s="14">
        <v>43293</v>
      </c>
      <c r="P1022" s="2" t="s">
        <v>2002</v>
      </c>
      <c r="Q1022" s="2" t="s">
        <v>7102</v>
      </c>
      <c r="R1022" s="2" t="s">
        <v>80</v>
      </c>
      <c r="S1022" s="14">
        <v>43307</v>
      </c>
      <c r="T1022" s="2" t="s">
        <v>6737</v>
      </c>
      <c r="U1022" s="2" t="s">
        <v>1345</v>
      </c>
      <c r="V1022" s="2" t="s">
        <v>69</v>
      </c>
      <c r="W1022" s="2" t="s">
        <v>70</v>
      </c>
      <c r="X1022" s="13">
        <v>435</v>
      </c>
      <c r="Y1022" s="2" t="s">
        <v>71</v>
      </c>
      <c r="Z1022" s="2" t="s">
        <v>72</v>
      </c>
      <c r="AA1022" s="13">
        <v>2000</v>
      </c>
      <c r="AB1022" s="2" t="s">
        <v>73</v>
      </c>
      <c r="AC1022" s="2" t="s">
        <v>6773</v>
      </c>
      <c r="AD1022" s="27">
        <v>43275</v>
      </c>
      <c r="AL1022" s="2" t="s">
        <v>5675</v>
      </c>
    </row>
    <row r="1023" spans="1:38" x14ac:dyDescent="0.2">
      <c r="A1023" s="2" t="s">
        <v>3134</v>
      </c>
      <c r="B1023" s="2" t="s">
        <v>4679</v>
      </c>
      <c r="C1023" s="2" t="s">
        <v>4134</v>
      </c>
      <c r="D1023" s="2" t="s">
        <v>4135</v>
      </c>
      <c r="E1023" s="13">
        <v>2050</v>
      </c>
      <c r="F1023" s="13">
        <v>2050</v>
      </c>
      <c r="G1023" s="14">
        <v>43291</v>
      </c>
      <c r="H1023" s="15">
        <v>0.25</v>
      </c>
      <c r="I1023" s="14">
        <v>43291</v>
      </c>
      <c r="J1023" s="15">
        <v>0.44636574074073998</v>
      </c>
      <c r="K1023" s="13">
        <v>0</v>
      </c>
      <c r="L1023" s="2" t="s">
        <v>64</v>
      </c>
      <c r="M1023" s="2" t="s">
        <v>4680</v>
      </c>
      <c r="N1023" s="14">
        <v>43297</v>
      </c>
      <c r="O1023" s="14">
        <v>43293</v>
      </c>
      <c r="P1023" s="2" t="s">
        <v>2825</v>
      </c>
      <c r="Q1023" s="2" t="s">
        <v>7103</v>
      </c>
      <c r="R1023" s="2" t="s">
        <v>80</v>
      </c>
      <c r="S1023" s="14">
        <v>43304</v>
      </c>
      <c r="T1023" s="2" t="s">
        <v>6736</v>
      </c>
      <c r="U1023" s="2" t="s">
        <v>1273</v>
      </c>
      <c r="V1023" s="2" t="s">
        <v>69</v>
      </c>
      <c r="W1023" s="2" t="s">
        <v>70</v>
      </c>
      <c r="X1023" s="13">
        <v>435</v>
      </c>
      <c r="Y1023" s="2" t="s">
        <v>71</v>
      </c>
      <c r="Z1023" s="2" t="s">
        <v>72</v>
      </c>
      <c r="AA1023" s="13">
        <v>2000</v>
      </c>
      <c r="AB1023" s="2" t="s">
        <v>73</v>
      </c>
      <c r="AC1023" s="2" t="s">
        <v>6772</v>
      </c>
      <c r="AD1023" s="27">
        <v>43285</v>
      </c>
      <c r="AL1023" s="2" t="s">
        <v>5676</v>
      </c>
    </row>
    <row r="1024" spans="1:38" x14ac:dyDescent="0.2">
      <c r="A1024" s="2" t="s">
        <v>3134</v>
      </c>
      <c r="B1024" s="2" t="s">
        <v>3171</v>
      </c>
      <c r="C1024" s="2" t="s">
        <v>3172</v>
      </c>
      <c r="D1024" s="2" t="s">
        <v>3173</v>
      </c>
      <c r="E1024" s="16">
        <v>4068.8</v>
      </c>
      <c r="F1024" s="16">
        <v>4068.8</v>
      </c>
      <c r="G1024" s="14">
        <v>43291</v>
      </c>
      <c r="H1024" s="15">
        <v>0.58333333333333004</v>
      </c>
      <c r="I1024" s="14">
        <v>43291</v>
      </c>
      <c r="J1024" s="15">
        <v>0.97306712962963005</v>
      </c>
      <c r="K1024" s="13">
        <v>0</v>
      </c>
      <c r="L1024" s="2" t="s">
        <v>64</v>
      </c>
      <c r="M1024" s="2" t="s">
        <v>7104</v>
      </c>
      <c r="N1024" s="14">
        <v>43293</v>
      </c>
      <c r="O1024" s="14">
        <v>43293</v>
      </c>
      <c r="P1024" s="2" t="s">
        <v>1573</v>
      </c>
      <c r="Q1024" s="2" t="s">
        <v>7105</v>
      </c>
      <c r="R1024" s="2" t="s">
        <v>93</v>
      </c>
      <c r="S1024" s="14">
        <v>43293</v>
      </c>
      <c r="T1024" s="2" t="s">
        <v>6735</v>
      </c>
      <c r="U1024" s="2" t="s">
        <v>3174</v>
      </c>
      <c r="V1024" s="2" t="s">
        <v>1964</v>
      </c>
      <c r="W1024" s="2" t="s">
        <v>70</v>
      </c>
      <c r="X1024" s="13">
        <v>435</v>
      </c>
      <c r="Y1024" s="2" t="s">
        <v>71</v>
      </c>
      <c r="Z1024" s="2" t="s">
        <v>72</v>
      </c>
      <c r="AA1024" s="13">
        <v>4000</v>
      </c>
      <c r="AB1024" s="2" t="s">
        <v>73</v>
      </c>
      <c r="AC1024" s="2" t="s">
        <v>6773</v>
      </c>
      <c r="AD1024" s="27">
        <v>43276</v>
      </c>
      <c r="AL1024" s="2" t="s">
        <v>5677</v>
      </c>
    </row>
    <row r="1025" spans="1:38" x14ac:dyDescent="0.2">
      <c r="A1025" s="2" t="s">
        <v>3134</v>
      </c>
      <c r="B1025" s="2" t="s">
        <v>3162</v>
      </c>
      <c r="C1025" s="2" t="s">
        <v>3163</v>
      </c>
      <c r="D1025" s="2" t="s">
        <v>3164</v>
      </c>
      <c r="E1025" s="13">
        <v>1000</v>
      </c>
      <c r="F1025" s="13">
        <v>1000</v>
      </c>
      <c r="G1025" s="14">
        <v>43292</v>
      </c>
      <c r="H1025" s="15">
        <v>0.125</v>
      </c>
      <c r="I1025" s="14">
        <v>43292</v>
      </c>
      <c r="J1025" s="15">
        <v>0.22078703703704</v>
      </c>
      <c r="K1025" s="13">
        <v>0</v>
      </c>
      <c r="L1025" s="2" t="s">
        <v>64</v>
      </c>
      <c r="M1025" s="2" t="s">
        <v>3135</v>
      </c>
      <c r="N1025" s="14">
        <v>43300</v>
      </c>
      <c r="O1025" s="14">
        <v>43294</v>
      </c>
      <c r="P1025" s="2" t="s">
        <v>91</v>
      </c>
      <c r="Q1025" s="2" t="s">
        <v>3165</v>
      </c>
      <c r="R1025" s="2" t="s">
        <v>80</v>
      </c>
      <c r="S1025" s="14">
        <v>43300</v>
      </c>
      <c r="T1025" s="2" t="s">
        <v>6738</v>
      </c>
      <c r="U1025" s="2" t="s">
        <v>495</v>
      </c>
      <c r="V1025" s="2" t="s">
        <v>3166</v>
      </c>
      <c r="W1025" s="2" t="s">
        <v>70</v>
      </c>
      <c r="X1025" s="13">
        <v>435</v>
      </c>
      <c r="Y1025" s="2" t="s">
        <v>71</v>
      </c>
      <c r="Z1025" s="2" t="s">
        <v>72</v>
      </c>
      <c r="AA1025" s="13">
        <v>1000</v>
      </c>
      <c r="AB1025" s="2" t="s">
        <v>73</v>
      </c>
      <c r="AC1025" s="2" t="s">
        <v>6773</v>
      </c>
      <c r="AD1025" s="27">
        <v>43252</v>
      </c>
      <c r="AL1025" s="2" t="s">
        <v>5678</v>
      </c>
    </row>
    <row r="1026" spans="1:38" x14ac:dyDescent="0.2">
      <c r="A1026" s="2" t="s">
        <v>3134</v>
      </c>
      <c r="B1026" s="2" t="s">
        <v>3155</v>
      </c>
      <c r="C1026" s="2" t="s">
        <v>2937</v>
      </c>
      <c r="D1026" s="2" t="s">
        <v>2938</v>
      </c>
      <c r="E1026" s="13">
        <v>2000</v>
      </c>
      <c r="F1026" s="13">
        <v>2000</v>
      </c>
      <c r="G1026" s="14">
        <v>43292</v>
      </c>
      <c r="H1026" s="15">
        <v>0.33333333333332998</v>
      </c>
      <c r="I1026" s="14">
        <v>43292</v>
      </c>
      <c r="J1026" s="15">
        <v>0.52490740740741004</v>
      </c>
      <c r="K1026" s="13">
        <v>0</v>
      </c>
      <c r="L1026" s="2" t="s">
        <v>64</v>
      </c>
      <c r="M1026" s="2" t="s">
        <v>3139</v>
      </c>
      <c r="N1026" s="14">
        <v>43298</v>
      </c>
      <c r="O1026" s="14">
        <v>43294</v>
      </c>
      <c r="P1026" s="2" t="s">
        <v>2183</v>
      </c>
      <c r="Q1026" s="2" t="s">
        <v>3156</v>
      </c>
      <c r="R1026" s="2" t="s">
        <v>80</v>
      </c>
      <c r="S1026" s="14">
        <v>43298</v>
      </c>
      <c r="T1026" s="2" t="s">
        <v>6740</v>
      </c>
      <c r="U1026" s="2" t="s">
        <v>2940</v>
      </c>
      <c r="V1026" s="2" t="s">
        <v>1240</v>
      </c>
      <c r="W1026" s="2" t="s">
        <v>70</v>
      </c>
      <c r="X1026" s="13">
        <v>435</v>
      </c>
      <c r="Y1026" s="2" t="s">
        <v>71</v>
      </c>
      <c r="Z1026" s="2" t="s">
        <v>72</v>
      </c>
      <c r="AA1026" s="13">
        <v>2000</v>
      </c>
      <c r="AB1026" s="2" t="s">
        <v>73</v>
      </c>
      <c r="AC1026" s="2" t="s">
        <v>6773</v>
      </c>
      <c r="AD1026" s="27">
        <v>43262</v>
      </c>
      <c r="AL1026" s="2" t="s">
        <v>7330</v>
      </c>
    </row>
    <row r="1027" spans="1:38" x14ac:dyDescent="0.2">
      <c r="A1027" s="2" t="s">
        <v>3134</v>
      </c>
      <c r="B1027" s="2" t="s">
        <v>2318</v>
      </c>
      <c r="C1027" s="2" t="s">
        <v>2265</v>
      </c>
      <c r="D1027" s="2" t="s">
        <v>2266</v>
      </c>
      <c r="E1027" s="13">
        <v>10380</v>
      </c>
      <c r="F1027" s="13">
        <v>10380</v>
      </c>
      <c r="G1027" s="14">
        <v>43292</v>
      </c>
      <c r="H1027" s="15">
        <v>0.45833333333332998</v>
      </c>
      <c r="I1027" s="14">
        <v>43293</v>
      </c>
      <c r="J1027" s="15">
        <v>0.45258101851852001</v>
      </c>
      <c r="K1027" s="13">
        <v>20</v>
      </c>
      <c r="L1027" s="2" t="s">
        <v>64</v>
      </c>
      <c r="M1027" s="2" t="s">
        <v>7106</v>
      </c>
      <c r="N1027" s="14">
        <v>43300</v>
      </c>
      <c r="O1027" s="14">
        <v>43295</v>
      </c>
      <c r="P1027" s="2" t="s">
        <v>1239</v>
      </c>
      <c r="Q1027" s="2" t="s">
        <v>2319</v>
      </c>
      <c r="R1027" s="2" t="s">
        <v>80</v>
      </c>
      <c r="S1027" s="14">
        <v>43300</v>
      </c>
      <c r="T1027" s="2" t="s">
        <v>6739</v>
      </c>
      <c r="U1027" s="2" t="s">
        <v>2228</v>
      </c>
      <c r="V1027" s="2" t="s">
        <v>1240</v>
      </c>
      <c r="W1027" s="2" t="s">
        <v>70</v>
      </c>
      <c r="X1027" s="13">
        <v>435</v>
      </c>
      <c r="Y1027" s="2" t="s">
        <v>71</v>
      </c>
      <c r="Z1027" s="2" t="s">
        <v>72</v>
      </c>
      <c r="AA1027" s="13">
        <v>10000</v>
      </c>
      <c r="AB1027" s="2" t="s">
        <v>73</v>
      </c>
      <c r="AC1027" s="2" t="s">
        <v>6773</v>
      </c>
      <c r="AD1027" s="27">
        <v>43272</v>
      </c>
      <c r="AL1027" s="2" t="s">
        <v>5679</v>
      </c>
    </row>
    <row r="1028" spans="1:38" x14ac:dyDescent="0.2">
      <c r="A1028" s="2" t="s">
        <v>3134</v>
      </c>
      <c r="B1028" s="2" t="s">
        <v>3238</v>
      </c>
      <c r="C1028" s="2" t="s">
        <v>3239</v>
      </c>
      <c r="D1028" s="2" t="s">
        <v>3240</v>
      </c>
      <c r="E1028" s="13">
        <v>1038</v>
      </c>
      <c r="F1028" s="13">
        <v>1038</v>
      </c>
      <c r="G1028" s="14">
        <v>43293</v>
      </c>
      <c r="H1028" s="15">
        <v>0.5</v>
      </c>
      <c r="I1028" s="14">
        <v>43293</v>
      </c>
      <c r="J1028" s="15">
        <v>0.59942129629630003</v>
      </c>
      <c r="K1028" s="13">
        <v>20</v>
      </c>
      <c r="L1028" s="2" t="s">
        <v>64</v>
      </c>
      <c r="M1028" s="2" t="s">
        <v>3241</v>
      </c>
      <c r="N1028" s="14">
        <v>43319</v>
      </c>
      <c r="O1028" s="14">
        <v>43295</v>
      </c>
      <c r="P1028" s="2" t="s">
        <v>3242</v>
      </c>
      <c r="Q1028" s="2" t="s">
        <v>3243</v>
      </c>
      <c r="R1028" s="2" t="s">
        <v>80</v>
      </c>
      <c r="S1028" s="14">
        <v>43319</v>
      </c>
      <c r="T1028" s="2" t="s">
        <v>6741</v>
      </c>
      <c r="U1028" s="2" t="s">
        <v>2228</v>
      </c>
      <c r="V1028" s="2" t="s">
        <v>3244</v>
      </c>
      <c r="W1028" s="2" t="s">
        <v>70</v>
      </c>
      <c r="X1028" s="13">
        <v>435</v>
      </c>
      <c r="Y1028" s="2" t="s">
        <v>71</v>
      </c>
      <c r="Z1028" s="2" t="s">
        <v>72</v>
      </c>
      <c r="AA1028" s="13">
        <v>1000</v>
      </c>
      <c r="AB1028" s="2" t="s">
        <v>73</v>
      </c>
      <c r="AC1028" s="2" t="s">
        <v>6773</v>
      </c>
      <c r="AD1028" s="27">
        <v>43279</v>
      </c>
      <c r="AL1028" s="2" t="s">
        <v>5680</v>
      </c>
    </row>
    <row r="1029" spans="1:38" x14ac:dyDescent="0.2">
      <c r="A1029" s="2" t="s">
        <v>3134</v>
      </c>
      <c r="B1029" s="2" t="s">
        <v>4141</v>
      </c>
      <c r="C1029" s="2" t="s">
        <v>4142</v>
      </c>
      <c r="D1029" s="2" t="s">
        <v>4143</v>
      </c>
      <c r="E1029" s="13">
        <v>519</v>
      </c>
      <c r="F1029" s="13">
        <v>519</v>
      </c>
      <c r="G1029" s="14">
        <v>43293</v>
      </c>
      <c r="H1029" s="15">
        <v>0.79166666666666996</v>
      </c>
      <c r="I1029" s="14">
        <v>43293</v>
      </c>
      <c r="J1029" s="15">
        <v>0.84137731481481004</v>
      </c>
      <c r="K1029" s="13">
        <v>0</v>
      </c>
      <c r="L1029" s="2" t="s">
        <v>64</v>
      </c>
      <c r="M1029" s="2" t="s">
        <v>4144</v>
      </c>
      <c r="N1029" s="14">
        <v>43318</v>
      </c>
      <c r="O1029" s="14">
        <v>43295</v>
      </c>
      <c r="P1029" s="2" t="s">
        <v>2199</v>
      </c>
      <c r="Q1029" s="2" t="s">
        <v>4145</v>
      </c>
      <c r="R1029" s="2" t="s">
        <v>80</v>
      </c>
      <c r="S1029" s="14">
        <v>43318</v>
      </c>
      <c r="T1029" s="2" t="s">
        <v>6742</v>
      </c>
      <c r="U1029" s="2" t="s">
        <v>2228</v>
      </c>
      <c r="V1029" s="2" t="s">
        <v>4146</v>
      </c>
      <c r="W1029" s="2" t="s">
        <v>70</v>
      </c>
      <c r="X1029" s="13">
        <v>435</v>
      </c>
      <c r="Y1029" s="2" t="s">
        <v>71</v>
      </c>
      <c r="Z1029" s="2" t="s">
        <v>72</v>
      </c>
      <c r="AA1029" s="13">
        <v>500</v>
      </c>
      <c r="AB1029" s="2" t="s">
        <v>73</v>
      </c>
      <c r="AC1029" s="2" t="s">
        <v>6773</v>
      </c>
      <c r="AD1029" s="27">
        <v>43283</v>
      </c>
      <c r="AL1029" s="2" t="s">
        <v>5681</v>
      </c>
    </row>
    <row r="1030" spans="1:38" hidden="1" x14ac:dyDescent="0.2">
      <c r="A1030" s="2" t="s">
        <v>3134</v>
      </c>
      <c r="B1030" s="2" t="s">
        <v>3157</v>
      </c>
      <c r="C1030" s="2" t="s">
        <v>3158</v>
      </c>
      <c r="D1030" s="2" t="s">
        <v>3159</v>
      </c>
      <c r="E1030" s="13">
        <v>2000</v>
      </c>
      <c r="F1030" s="13">
        <v>2000</v>
      </c>
      <c r="G1030" s="14">
        <v>43296</v>
      </c>
      <c r="H1030" s="15">
        <v>0.69180555555556</v>
      </c>
      <c r="I1030" s="14">
        <v>43296</v>
      </c>
      <c r="J1030" s="15">
        <v>0.88337962962963001</v>
      </c>
      <c r="K1030" s="13">
        <v>0</v>
      </c>
      <c r="L1030" s="2" t="s">
        <v>64</v>
      </c>
      <c r="M1030" s="2" t="s">
        <v>3139</v>
      </c>
      <c r="N1030" s="14">
        <v>43299</v>
      </c>
      <c r="O1030" s="14">
        <v>43298</v>
      </c>
      <c r="P1030" s="2" t="s">
        <v>2759</v>
      </c>
      <c r="Q1030" s="2" t="s">
        <v>3160</v>
      </c>
      <c r="R1030" s="2" t="s">
        <v>80</v>
      </c>
      <c r="S1030" s="14">
        <v>43299</v>
      </c>
      <c r="T1030" s="2" t="s">
        <v>6743</v>
      </c>
      <c r="U1030" s="2" t="s">
        <v>429</v>
      </c>
      <c r="V1030" s="2" t="s">
        <v>3161</v>
      </c>
      <c r="W1030" s="2" t="s">
        <v>70</v>
      </c>
      <c r="X1030" s="13">
        <v>435</v>
      </c>
      <c r="Y1030" s="2" t="s">
        <v>71</v>
      </c>
      <c r="Z1030" s="2" t="s">
        <v>72</v>
      </c>
      <c r="AA1030" s="13">
        <v>2000</v>
      </c>
      <c r="AB1030" s="2" t="s">
        <v>73</v>
      </c>
      <c r="AC1030" s="2" t="s">
        <v>6773</v>
      </c>
      <c r="AD1030" s="27">
        <v>43271</v>
      </c>
      <c r="AL1030" s="2" t="s">
        <v>5682</v>
      </c>
    </row>
    <row r="1031" spans="1:38" hidden="1" x14ac:dyDescent="0.2">
      <c r="A1031" s="2" t="s">
        <v>3134</v>
      </c>
      <c r="B1031" s="2" t="s">
        <v>3167</v>
      </c>
      <c r="C1031" s="2" t="s">
        <v>3168</v>
      </c>
      <c r="D1031" s="2" t="s">
        <v>3169</v>
      </c>
      <c r="E1031" s="13">
        <v>2000</v>
      </c>
      <c r="F1031" s="13">
        <v>2000</v>
      </c>
      <c r="G1031" s="14">
        <v>43297</v>
      </c>
      <c r="H1031" s="15">
        <v>0</v>
      </c>
      <c r="I1031" s="14">
        <v>43297</v>
      </c>
      <c r="J1031" s="15">
        <v>0.19157407407407001</v>
      </c>
      <c r="K1031" s="13">
        <v>0</v>
      </c>
      <c r="L1031" s="2" t="s">
        <v>64</v>
      </c>
      <c r="M1031" s="2" t="s">
        <v>3139</v>
      </c>
      <c r="N1031" s="14">
        <v>43300</v>
      </c>
      <c r="O1031" s="14">
        <v>43299</v>
      </c>
      <c r="P1031" s="2" t="s">
        <v>504</v>
      </c>
      <c r="Q1031" s="2" t="s">
        <v>3170</v>
      </c>
      <c r="R1031" s="2" t="s">
        <v>80</v>
      </c>
      <c r="S1031" s="14">
        <v>43300</v>
      </c>
      <c r="T1031" s="2" t="s">
        <v>6744</v>
      </c>
      <c r="U1031" s="2" t="s">
        <v>442</v>
      </c>
      <c r="V1031" s="2" t="s">
        <v>1790</v>
      </c>
      <c r="W1031" s="2" t="s">
        <v>70</v>
      </c>
      <c r="X1031" s="13">
        <v>435</v>
      </c>
      <c r="Y1031" s="2" t="s">
        <v>71</v>
      </c>
      <c r="Z1031" s="2" t="s">
        <v>72</v>
      </c>
      <c r="AA1031" s="13">
        <v>2000</v>
      </c>
      <c r="AB1031" s="2" t="s">
        <v>73</v>
      </c>
      <c r="AC1031" s="2" t="s">
        <v>6773</v>
      </c>
      <c r="AD1031" s="27">
        <v>43235</v>
      </c>
      <c r="AL1031" s="2" t="s">
        <v>5683</v>
      </c>
    </row>
    <row r="1032" spans="1:38" hidden="1" x14ac:dyDescent="0.2">
      <c r="A1032" s="2" t="s">
        <v>3134</v>
      </c>
      <c r="B1032" s="2" t="s">
        <v>2923</v>
      </c>
      <c r="C1032" s="2" t="s">
        <v>2924</v>
      </c>
      <c r="D1032" s="2" t="s">
        <v>2925</v>
      </c>
      <c r="E1032" s="13">
        <v>10244</v>
      </c>
      <c r="F1032" s="13">
        <v>10244</v>
      </c>
      <c r="G1032" s="14">
        <v>43298</v>
      </c>
      <c r="H1032" s="15">
        <v>0.125</v>
      </c>
      <c r="I1032" s="14">
        <v>43299</v>
      </c>
      <c r="J1032" s="15">
        <v>0.10622685185185</v>
      </c>
      <c r="K1032" s="13">
        <v>20</v>
      </c>
      <c r="L1032" s="2" t="s">
        <v>64</v>
      </c>
      <c r="M1032" s="2" t="s">
        <v>4681</v>
      </c>
      <c r="N1032" s="14">
        <v>43370</v>
      </c>
      <c r="O1032" s="14">
        <v>43301</v>
      </c>
      <c r="P1032" s="2" t="s">
        <v>2002</v>
      </c>
      <c r="Q1032" s="2" t="s">
        <v>2926</v>
      </c>
      <c r="R1032" s="2" t="s">
        <v>80</v>
      </c>
      <c r="S1032" s="14">
        <v>43377</v>
      </c>
      <c r="T1032" s="2" t="s">
        <v>7151</v>
      </c>
      <c r="U1032" s="2" t="s">
        <v>418</v>
      </c>
      <c r="V1032" s="2" t="s">
        <v>69</v>
      </c>
      <c r="W1032" s="2" t="s">
        <v>70</v>
      </c>
      <c r="X1032" s="13">
        <v>435</v>
      </c>
      <c r="Y1032" s="2" t="s">
        <v>71</v>
      </c>
      <c r="Z1032" s="2" t="s">
        <v>72</v>
      </c>
      <c r="AA1032" s="13">
        <v>10000</v>
      </c>
      <c r="AB1032" s="2" t="s">
        <v>73</v>
      </c>
      <c r="AC1032" s="2" t="s">
        <v>6773</v>
      </c>
      <c r="AD1032" s="27">
        <v>43178</v>
      </c>
      <c r="AL1032" s="2" t="s">
        <v>7331</v>
      </c>
    </row>
    <row r="1033" spans="1:38" hidden="1" x14ac:dyDescent="0.2">
      <c r="A1033" s="2" t="s">
        <v>3134</v>
      </c>
      <c r="B1033" s="2" t="s">
        <v>4682</v>
      </c>
      <c r="C1033" s="2" t="s">
        <v>4683</v>
      </c>
      <c r="D1033" s="2" t="s">
        <v>4684</v>
      </c>
      <c r="E1033" s="13">
        <v>7266</v>
      </c>
      <c r="F1033" s="13">
        <v>7266</v>
      </c>
      <c r="G1033" s="14">
        <v>43299</v>
      </c>
      <c r="H1033" s="15">
        <v>0.30402777777778001</v>
      </c>
      <c r="I1033" s="14">
        <v>43300</v>
      </c>
      <c r="J1033" s="15">
        <v>0</v>
      </c>
      <c r="K1033" s="13">
        <v>20</v>
      </c>
      <c r="L1033" s="2" t="s">
        <v>64</v>
      </c>
      <c r="M1033" s="2" t="s">
        <v>4685</v>
      </c>
      <c r="N1033" s="14">
        <v>43307</v>
      </c>
      <c r="O1033" s="14">
        <v>43306</v>
      </c>
      <c r="P1033" s="2" t="s">
        <v>91</v>
      </c>
      <c r="Q1033" s="2" t="s">
        <v>4686</v>
      </c>
      <c r="R1033" s="2" t="s">
        <v>93</v>
      </c>
      <c r="S1033" s="14">
        <v>43307</v>
      </c>
      <c r="T1033" s="2" t="s">
        <v>6747</v>
      </c>
      <c r="U1033" s="2" t="s">
        <v>2228</v>
      </c>
      <c r="V1033" s="2" t="s">
        <v>4687</v>
      </c>
      <c r="W1033" s="2" t="s">
        <v>98</v>
      </c>
      <c r="X1033" s="13">
        <v>435</v>
      </c>
      <c r="Y1033" s="2" t="s">
        <v>71</v>
      </c>
      <c r="Z1033" s="2" t="s">
        <v>72</v>
      </c>
      <c r="AA1033" s="13">
        <v>7000</v>
      </c>
      <c r="AB1033" s="2" t="s">
        <v>73</v>
      </c>
      <c r="AC1033" s="2" t="s">
        <v>6773</v>
      </c>
      <c r="AD1033" s="27">
        <v>43286</v>
      </c>
      <c r="AL1033" s="2" t="s">
        <v>5684</v>
      </c>
    </row>
    <row r="1034" spans="1:38" hidden="1" x14ac:dyDescent="0.2">
      <c r="A1034" s="2" t="s">
        <v>3134</v>
      </c>
      <c r="B1034" s="2" t="s">
        <v>4688</v>
      </c>
      <c r="C1034" s="2" t="s">
        <v>4689</v>
      </c>
      <c r="D1034" s="2" t="s">
        <v>4690</v>
      </c>
      <c r="E1034" s="16">
        <v>2067.1999999999998</v>
      </c>
      <c r="F1034" s="16">
        <v>2067.1999999999998</v>
      </c>
      <c r="G1034" s="14">
        <v>43300</v>
      </c>
      <c r="H1034" s="15">
        <v>0.58958333333333002</v>
      </c>
      <c r="I1034" s="14">
        <v>43300</v>
      </c>
      <c r="J1034" s="15">
        <v>0.78759259259258996</v>
      </c>
      <c r="K1034" s="13">
        <v>20</v>
      </c>
      <c r="L1034" s="2" t="s">
        <v>64</v>
      </c>
      <c r="M1034" s="2" t="s">
        <v>4691</v>
      </c>
      <c r="N1034" s="14">
        <v>43312</v>
      </c>
      <c r="O1034" s="14">
        <v>43302</v>
      </c>
      <c r="P1034" s="2" t="s">
        <v>2239</v>
      </c>
      <c r="Q1034" s="2" t="s">
        <v>4692</v>
      </c>
      <c r="R1034" s="2" t="s">
        <v>80</v>
      </c>
      <c r="S1034" s="14">
        <v>43304</v>
      </c>
      <c r="T1034" s="2" t="s">
        <v>6748</v>
      </c>
      <c r="U1034" s="2" t="s">
        <v>2281</v>
      </c>
      <c r="V1034" s="2" t="s">
        <v>81</v>
      </c>
      <c r="W1034" s="2" t="s">
        <v>70</v>
      </c>
      <c r="X1034" s="13">
        <v>435</v>
      </c>
      <c r="Y1034" s="2" t="s">
        <v>71</v>
      </c>
      <c r="Z1034" s="2" t="s">
        <v>72</v>
      </c>
      <c r="AA1034" s="13">
        <v>2000</v>
      </c>
      <c r="AB1034" s="2" t="s">
        <v>73</v>
      </c>
      <c r="AC1034" s="2" t="s">
        <v>6773</v>
      </c>
      <c r="AD1034" s="27">
        <v>43285</v>
      </c>
      <c r="AL1034" s="2" t="s">
        <v>5685</v>
      </c>
    </row>
    <row r="1035" spans="1:38" hidden="1" x14ac:dyDescent="0.2">
      <c r="A1035" s="2" t="s">
        <v>3134</v>
      </c>
      <c r="B1035" s="2" t="s">
        <v>3175</v>
      </c>
      <c r="C1035" s="2" t="s">
        <v>3176</v>
      </c>
      <c r="D1035" s="2" t="s">
        <v>3177</v>
      </c>
      <c r="E1035" s="16">
        <v>2074.6</v>
      </c>
      <c r="F1035" s="16">
        <v>2074.6</v>
      </c>
      <c r="G1035" s="14">
        <v>43301</v>
      </c>
      <c r="H1035" s="15">
        <v>0.30152777777778</v>
      </c>
      <c r="I1035" s="14">
        <v>43301</v>
      </c>
      <c r="J1035" s="15">
        <v>0.50024305555556003</v>
      </c>
      <c r="K1035" s="13">
        <v>0</v>
      </c>
      <c r="L1035" s="2" t="s">
        <v>64</v>
      </c>
      <c r="M1035" s="2" t="s">
        <v>3178</v>
      </c>
      <c r="N1035" s="14">
        <v>43304</v>
      </c>
      <c r="O1035" s="14">
        <v>43303</v>
      </c>
      <c r="P1035" s="2" t="s">
        <v>1573</v>
      </c>
      <c r="Q1035" s="2" t="s">
        <v>3179</v>
      </c>
      <c r="R1035" s="2" t="s">
        <v>80</v>
      </c>
      <c r="S1035" s="14">
        <v>43304</v>
      </c>
      <c r="T1035" s="2" t="s">
        <v>6745</v>
      </c>
      <c r="U1035" s="2" t="s">
        <v>468</v>
      </c>
      <c r="V1035" s="2" t="s">
        <v>3180</v>
      </c>
      <c r="W1035" s="2" t="s">
        <v>70</v>
      </c>
      <c r="X1035" s="13">
        <v>435</v>
      </c>
      <c r="Y1035" s="2" t="s">
        <v>71</v>
      </c>
      <c r="Z1035" s="2" t="s">
        <v>72</v>
      </c>
      <c r="AA1035" s="13">
        <v>2000</v>
      </c>
      <c r="AB1035" s="2" t="s">
        <v>73</v>
      </c>
      <c r="AC1035" s="2" t="s">
        <v>6773</v>
      </c>
      <c r="AD1035" s="27">
        <v>43276</v>
      </c>
      <c r="AL1035" s="2" t="s">
        <v>5686</v>
      </c>
    </row>
    <row r="1036" spans="1:38" hidden="1" x14ac:dyDescent="0.2">
      <c r="A1036" s="2" t="s">
        <v>3134</v>
      </c>
      <c r="B1036" s="2" t="s">
        <v>3186</v>
      </c>
      <c r="C1036" s="2" t="s">
        <v>3187</v>
      </c>
      <c r="D1036" s="2" t="s">
        <v>3188</v>
      </c>
      <c r="E1036" s="13">
        <v>4000</v>
      </c>
      <c r="F1036" s="13">
        <v>4000</v>
      </c>
      <c r="G1036" s="14">
        <v>43301</v>
      </c>
      <c r="H1036" s="15">
        <v>0.78270833333333001</v>
      </c>
      <c r="I1036" s="14">
        <v>43302</v>
      </c>
      <c r="J1036" s="15">
        <v>0.16584490740741001</v>
      </c>
      <c r="K1036" s="13">
        <v>0</v>
      </c>
      <c r="L1036" s="2" t="s">
        <v>64</v>
      </c>
      <c r="M1036" s="2" t="s">
        <v>3189</v>
      </c>
      <c r="N1036" s="14"/>
      <c r="O1036" s="14">
        <v>43304</v>
      </c>
      <c r="P1036" s="2" t="s">
        <v>91</v>
      </c>
      <c r="Q1036" s="2" t="s">
        <v>3190</v>
      </c>
      <c r="R1036" s="2" t="s">
        <v>80</v>
      </c>
      <c r="S1036" s="14">
        <v>43313</v>
      </c>
      <c r="U1036" s="2" t="s">
        <v>540</v>
      </c>
      <c r="V1036" s="2" t="s">
        <v>3191</v>
      </c>
      <c r="W1036" s="2" t="s">
        <v>70</v>
      </c>
      <c r="X1036" s="13">
        <v>0</v>
      </c>
      <c r="Y1036" s="2" t="s">
        <v>71</v>
      </c>
      <c r="Z1036" s="2" t="s">
        <v>72</v>
      </c>
      <c r="AA1036" s="13">
        <v>4000</v>
      </c>
      <c r="AB1036" s="2" t="s">
        <v>95</v>
      </c>
      <c r="AC1036" s="2" t="s">
        <v>6773</v>
      </c>
      <c r="AD1036" s="27"/>
      <c r="AL1036" s="2" t="s">
        <v>7332</v>
      </c>
    </row>
    <row r="1037" spans="1:38" hidden="1" x14ac:dyDescent="0.2">
      <c r="A1037" s="2" t="s">
        <v>3134</v>
      </c>
      <c r="B1037" s="2" t="s">
        <v>3192</v>
      </c>
      <c r="C1037" s="2" t="s">
        <v>492</v>
      </c>
      <c r="D1037" s="2" t="s">
        <v>493</v>
      </c>
      <c r="E1037" s="13">
        <v>3050</v>
      </c>
      <c r="F1037" s="13">
        <v>3050</v>
      </c>
      <c r="G1037" s="14">
        <v>43302</v>
      </c>
      <c r="H1037" s="15">
        <v>0.43861111111111001</v>
      </c>
      <c r="I1037" s="14">
        <v>43302</v>
      </c>
      <c r="J1037" s="15">
        <v>0.73075231481480996</v>
      </c>
      <c r="K1037" s="13">
        <v>0</v>
      </c>
      <c r="L1037" s="2" t="s">
        <v>64</v>
      </c>
      <c r="M1037" s="2" t="s">
        <v>3193</v>
      </c>
      <c r="N1037" s="14">
        <v>43304</v>
      </c>
      <c r="O1037" s="14">
        <v>43304</v>
      </c>
      <c r="P1037" s="2" t="s">
        <v>91</v>
      </c>
      <c r="Q1037" s="2" t="s">
        <v>3194</v>
      </c>
      <c r="R1037" s="2" t="s">
        <v>80</v>
      </c>
      <c r="S1037" s="14">
        <v>43304</v>
      </c>
      <c r="T1037" s="2" t="s">
        <v>6749</v>
      </c>
      <c r="U1037" s="2" t="s">
        <v>495</v>
      </c>
      <c r="V1037" s="2" t="s">
        <v>496</v>
      </c>
      <c r="W1037" s="2" t="s">
        <v>70</v>
      </c>
      <c r="X1037" s="13">
        <v>435</v>
      </c>
      <c r="Y1037" s="2" t="s">
        <v>71</v>
      </c>
      <c r="Z1037" s="2" t="s">
        <v>72</v>
      </c>
      <c r="AA1037" s="13">
        <v>3050</v>
      </c>
      <c r="AB1037" s="2" t="s">
        <v>73</v>
      </c>
      <c r="AC1037" s="2" t="s">
        <v>6773</v>
      </c>
      <c r="AD1037" s="27">
        <v>43252</v>
      </c>
      <c r="AL1037" s="2" t="s">
        <v>5687</v>
      </c>
    </row>
    <row r="1038" spans="1:38" hidden="1" x14ac:dyDescent="0.2">
      <c r="A1038" s="2" t="s">
        <v>3134</v>
      </c>
      <c r="B1038" s="2" t="s">
        <v>3198</v>
      </c>
      <c r="C1038" s="2" t="s">
        <v>3199</v>
      </c>
      <c r="D1038" s="2" t="s">
        <v>3200</v>
      </c>
      <c r="E1038" s="13">
        <v>2020</v>
      </c>
      <c r="F1038" s="13">
        <v>2020</v>
      </c>
      <c r="G1038" s="14">
        <v>43303</v>
      </c>
      <c r="H1038" s="15">
        <v>0.38952546296295998</v>
      </c>
      <c r="I1038" s="14">
        <v>43303</v>
      </c>
      <c r="J1038" s="15">
        <v>0.58300925925925995</v>
      </c>
      <c r="K1038" s="13">
        <v>0</v>
      </c>
      <c r="L1038" s="2" t="s">
        <v>64</v>
      </c>
      <c r="M1038" s="2" t="s">
        <v>3201</v>
      </c>
      <c r="N1038" s="14">
        <v>43306</v>
      </c>
      <c r="O1038" s="14">
        <v>43305</v>
      </c>
      <c r="P1038" s="2" t="s">
        <v>1573</v>
      </c>
      <c r="Q1038" s="2" t="s">
        <v>3202</v>
      </c>
      <c r="R1038" s="2" t="s">
        <v>80</v>
      </c>
      <c r="S1038" s="14">
        <v>43306</v>
      </c>
      <c r="T1038" s="2" t="s">
        <v>6746</v>
      </c>
      <c r="U1038" s="2" t="s">
        <v>3203</v>
      </c>
      <c r="V1038" s="2" t="s">
        <v>81</v>
      </c>
      <c r="W1038" s="2" t="s">
        <v>70</v>
      </c>
      <c r="X1038" s="13">
        <v>435</v>
      </c>
      <c r="Y1038" s="2" t="s">
        <v>71</v>
      </c>
      <c r="Z1038" s="2" t="s">
        <v>72</v>
      </c>
      <c r="AA1038" s="13">
        <v>2000</v>
      </c>
      <c r="AB1038" s="2" t="s">
        <v>73</v>
      </c>
      <c r="AC1038" s="2" t="s">
        <v>6773</v>
      </c>
      <c r="AD1038" s="27">
        <v>43278</v>
      </c>
      <c r="AL1038" s="2" t="s">
        <v>5688</v>
      </c>
    </row>
    <row r="1039" spans="1:38" hidden="1" x14ac:dyDescent="0.2">
      <c r="A1039" s="2" t="s">
        <v>3134</v>
      </c>
      <c r="B1039" s="2" t="s">
        <v>3204</v>
      </c>
      <c r="C1039" s="2" t="s">
        <v>3205</v>
      </c>
      <c r="D1039" s="2" t="s">
        <v>3206</v>
      </c>
      <c r="E1039" s="16">
        <v>2700.88</v>
      </c>
      <c r="F1039" s="16">
        <v>2700.88</v>
      </c>
      <c r="G1039" s="14">
        <v>43303</v>
      </c>
      <c r="H1039" s="15">
        <v>0.60384259259258999</v>
      </c>
      <c r="I1039" s="14">
        <v>43303</v>
      </c>
      <c r="J1039" s="15">
        <v>0.86254629629629997</v>
      </c>
      <c r="K1039" s="13">
        <v>0</v>
      </c>
      <c r="L1039" s="2" t="s">
        <v>64</v>
      </c>
      <c r="M1039" s="2" t="s">
        <v>3207</v>
      </c>
      <c r="N1039" s="14">
        <v>43306</v>
      </c>
      <c r="O1039" s="14">
        <v>43305</v>
      </c>
      <c r="P1039" s="2" t="s">
        <v>1961</v>
      </c>
      <c r="Q1039" s="2" t="s">
        <v>3208</v>
      </c>
      <c r="R1039" s="2" t="s">
        <v>93</v>
      </c>
      <c r="S1039" s="14">
        <v>43306</v>
      </c>
      <c r="T1039" s="2" t="s">
        <v>6750</v>
      </c>
      <c r="U1039" s="2" t="s">
        <v>1963</v>
      </c>
      <c r="V1039" s="2" t="s">
        <v>3209</v>
      </c>
      <c r="W1039" s="2" t="s">
        <v>70</v>
      </c>
      <c r="X1039" s="13">
        <v>435</v>
      </c>
      <c r="Y1039" s="2" t="s">
        <v>71</v>
      </c>
      <c r="Z1039" s="2" t="s">
        <v>72</v>
      </c>
      <c r="AA1039" s="13">
        <v>2650</v>
      </c>
      <c r="AB1039" s="2" t="s">
        <v>73</v>
      </c>
      <c r="AC1039" s="2" t="s">
        <v>6773</v>
      </c>
      <c r="AD1039" s="27">
        <v>43278</v>
      </c>
      <c r="AL1039" s="2" t="s">
        <v>5689</v>
      </c>
    </row>
    <row r="1040" spans="1:38" hidden="1" x14ac:dyDescent="0.2">
      <c r="A1040" s="2" t="s">
        <v>3134</v>
      </c>
      <c r="B1040" s="2" t="s">
        <v>3214</v>
      </c>
      <c r="C1040" s="2" t="s">
        <v>3195</v>
      </c>
      <c r="D1040" s="2" t="s">
        <v>3196</v>
      </c>
      <c r="E1040" s="13">
        <v>2000</v>
      </c>
      <c r="F1040" s="13">
        <v>2000</v>
      </c>
      <c r="G1040" s="14">
        <v>43304</v>
      </c>
      <c r="H1040" s="15">
        <v>0.37494212962963003</v>
      </c>
      <c r="I1040" s="14">
        <v>43304</v>
      </c>
      <c r="J1040" s="15">
        <v>0.56651620370370004</v>
      </c>
      <c r="K1040" s="13">
        <v>0</v>
      </c>
      <c r="L1040" s="2" t="s">
        <v>64</v>
      </c>
      <c r="M1040" s="2" t="s">
        <v>3139</v>
      </c>
      <c r="N1040" s="14">
        <v>43307</v>
      </c>
      <c r="O1040" s="14">
        <v>43306</v>
      </c>
      <c r="P1040" s="2" t="s">
        <v>91</v>
      </c>
      <c r="Q1040" s="2" t="s">
        <v>3215</v>
      </c>
      <c r="R1040" s="2" t="s">
        <v>80</v>
      </c>
      <c r="S1040" s="14">
        <v>43307</v>
      </c>
      <c r="T1040" s="2" t="s">
        <v>6751</v>
      </c>
      <c r="U1040" s="2" t="s">
        <v>1244</v>
      </c>
      <c r="V1040" s="2" t="s">
        <v>3197</v>
      </c>
      <c r="W1040" s="2" t="s">
        <v>70</v>
      </c>
      <c r="X1040" s="13">
        <v>435</v>
      </c>
      <c r="Y1040" s="2" t="s">
        <v>71</v>
      </c>
      <c r="Z1040" s="2" t="s">
        <v>72</v>
      </c>
      <c r="AA1040" s="13">
        <v>2000</v>
      </c>
      <c r="AB1040" s="2" t="s">
        <v>73</v>
      </c>
      <c r="AC1040" s="2" t="s">
        <v>6773</v>
      </c>
      <c r="AD1040" s="27">
        <v>43280</v>
      </c>
      <c r="AL1040" s="2" t="s">
        <v>5690</v>
      </c>
    </row>
    <row r="1041" spans="1:38" hidden="1" x14ac:dyDescent="0.2">
      <c r="A1041" s="2" t="s">
        <v>3134</v>
      </c>
      <c r="B1041" s="2" t="s">
        <v>3216</v>
      </c>
      <c r="C1041" s="2" t="s">
        <v>3217</v>
      </c>
      <c r="D1041" s="2" t="s">
        <v>3218</v>
      </c>
      <c r="E1041" s="16">
        <v>2045.6</v>
      </c>
      <c r="F1041" s="16">
        <v>2045.6</v>
      </c>
      <c r="G1041" s="14">
        <v>43304</v>
      </c>
      <c r="H1041" s="15">
        <v>0.58734953703703996</v>
      </c>
      <c r="I1041" s="14">
        <v>43304</v>
      </c>
      <c r="J1041" s="15">
        <v>0.78328703703703995</v>
      </c>
      <c r="K1041" s="13">
        <v>0</v>
      </c>
      <c r="L1041" s="2" t="s">
        <v>64</v>
      </c>
      <c r="M1041" s="2" t="s">
        <v>3219</v>
      </c>
      <c r="N1041" s="14">
        <v>43307</v>
      </c>
      <c r="O1041" s="14">
        <v>43306</v>
      </c>
      <c r="P1041" s="2" t="s">
        <v>1573</v>
      </c>
      <c r="Q1041" s="2" t="s">
        <v>3220</v>
      </c>
      <c r="R1041" s="2" t="s">
        <v>80</v>
      </c>
      <c r="S1041" s="14">
        <v>43307</v>
      </c>
      <c r="T1041" s="2" t="s">
        <v>6752</v>
      </c>
      <c r="U1041" s="2" t="s">
        <v>3221</v>
      </c>
      <c r="V1041" s="2" t="s">
        <v>3222</v>
      </c>
      <c r="W1041" s="2" t="s">
        <v>70</v>
      </c>
      <c r="X1041" s="13">
        <v>435</v>
      </c>
      <c r="Y1041" s="2" t="s">
        <v>71</v>
      </c>
      <c r="Z1041" s="2" t="s">
        <v>72</v>
      </c>
      <c r="AA1041" s="13">
        <v>2000</v>
      </c>
      <c r="AB1041" s="2" t="s">
        <v>73</v>
      </c>
      <c r="AC1041" s="2" t="s">
        <v>6773</v>
      </c>
      <c r="AD1041" s="27">
        <v>43279</v>
      </c>
      <c r="AL1041" s="2" t="s">
        <v>5691</v>
      </c>
    </row>
    <row r="1042" spans="1:38" hidden="1" x14ac:dyDescent="0.2">
      <c r="A1042" s="2" t="s">
        <v>3134</v>
      </c>
      <c r="B1042" s="2" t="s">
        <v>4693</v>
      </c>
      <c r="C1042" s="2" t="s">
        <v>4694</v>
      </c>
      <c r="D1042" s="2" t="s">
        <v>4695</v>
      </c>
      <c r="E1042" s="16">
        <v>1468.32</v>
      </c>
      <c r="F1042" s="16">
        <v>1468.32</v>
      </c>
      <c r="G1042" s="14">
        <v>43305</v>
      </c>
      <c r="H1042" s="15">
        <v>0.85935185185185003</v>
      </c>
      <c r="I1042" s="14">
        <v>43306</v>
      </c>
      <c r="J1042" s="15">
        <v>0</v>
      </c>
      <c r="K1042" s="13">
        <v>20</v>
      </c>
      <c r="L1042" s="2" t="s">
        <v>64</v>
      </c>
      <c r="M1042" s="2" t="s">
        <v>4696</v>
      </c>
      <c r="N1042" s="14">
        <v>43313</v>
      </c>
      <c r="O1042" s="14">
        <v>43312</v>
      </c>
      <c r="P1042" s="2" t="s">
        <v>91</v>
      </c>
      <c r="Q1042" s="2" t="s">
        <v>4697</v>
      </c>
      <c r="R1042" s="2" t="s">
        <v>80</v>
      </c>
      <c r="S1042" s="14">
        <v>43313</v>
      </c>
      <c r="T1042" s="2" t="s">
        <v>6753</v>
      </c>
      <c r="U1042" s="2" t="s">
        <v>1209</v>
      </c>
      <c r="V1042" s="2" t="s">
        <v>4698</v>
      </c>
      <c r="W1042" s="2" t="s">
        <v>70</v>
      </c>
      <c r="X1042" s="13">
        <v>435</v>
      </c>
      <c r="Y1042" s="2" t="s">
        <v>71</v>
      </c>
      <c r="Z1042" s="2" t="s">
        <v>72</v>
      </c>
      <c r="AA1042" s="13">
        <v>1425</v>
      </c>
      <c r="AB1042" s="2" t="s">
        <v>73</v>
      </c>
      <c r="AC1042" s="2" t="s">
        <v>6773</v>
      </c>
      <c r="AD1042" s="27">
        <v>43285</v>
      </c>
      <c r="AL1042" s="2" t="s">
        <v>5692</v>
      </c>
    </row>
    <row r="1043" spans="1:38" hidden="1" x14ac:dyDescent="0.2">
      <c r="A1043" s="2" t="s">
        <v>3134</v>
      </c>
      <c r="B1043" s="2" t="s">
        <v>7107</v>
      </c>
      <c r="C1043" s="2" t="s">
        <v>3152</v>
      </c>
      <c r="D1043" s="2" t="s">
        <v>3153</v>
      </c>
      <c r="E1043" s="13">
        <v>2074</v>
      </c>
      <c r="F1043" s="13">
        <v>2074</v>
      </c>
      <c r="G1043" s="14">
        <v>43309</v>
      </c>
      <c r="H1043" s="15">
        <v>0.37009259259258998</v>
      </c>
      <c r="I1043" s="14">
        <v>43309</v>
      </c>
      <c r="J1043" s="15">
        <v>0.56874999999999998</v>
      </c>
      <c r="K1043" s="13">
        <v>20</v>
      </c>
      <c r="L1043" s="2" t="s">
        <v>64</v>
      </c>
      <c r="M1043" s="2" t="s">
        <v>7108</v>
      </c>
      <c r="N1043" s="14">
        <v>43312</v>
      </c>
      <c r="O1043" s="14">
        <v>43311</v>
      </c>
      <c r="P1043" s="2" t="s">
        <v>91</v>
      </c>
      <c r="Q1043" s="2" t="s">
        <v>7109</v>
      </c>
      <c r="R1043" s="2" t="s">
        <v>80</v>
      </c>
      <c r="S1043" s="14">
        <v>43312</v>
      </c>
      <c r="U1043" s="2" t="s">
        <v>3154</v>
      </c>
      <c r="V1043" s="2" t="s">
        <v>554</v>
      </c>
      <c r="W1043" s="2" t="s">
        <v>70</v>
      </c>
      <c r="X1043" s="13">
        <v>435</v>
      </c>
      <c r="Y1043" s="2" t="s">
        <v>71</v>
      </c>
      <c r="Z1043" s="2" t="s">
        <v>72</v>
      </c>
      <c r="AA1043" s="13">
        <v>2000</v>
      </c>
      <c r="AB1043" s="2" t="s">
        <v>73</v>
      </c>
      <c r="AC1043" s="2" t="s">
        <v>6773</v>
      </c>
      <c r="AD1043" s="27"/>
      <c r="AL1043" s="2" t="s">
        <v>7333</v>
      </c>
    </row>
    <row r="1044" spans="1:38" hidden="1" x14ac:dyDescent="0.2">
      <c r="A1044" s="2" t="s">
        <v>3134</v>
      </c>
      <c r="B1044" s="2" t="s">
        <v>3227</v>
      </c>
      <c r="C1044" s="2" t="s">
        <v>3228</v>
      </c>
      <c r="D1044" s="2" t="s">
        <v>3229</v>
      </c>
      <c r="E1044" s="13">
        <v>2000</v>
      </c>
      <c r="F1044" s="13">
        <v>2000</v>
      </c>
      <c r="G1044" s="14">
        <v>43309</v>
      </c>
      <c r="H1044" s="15">
        <v>0.80842592592592999</v>
      </c>
      <c r="I1044" s="14">
        <v>43310</v>
      </c>
      <c r="J1044" s="15">
        <v>0</v>
      </c>
      <c r="K1044" s="13">
        <v>20</v>
      </c>
      <c r="L1044" s="2" t="s">
        <v>64</v>
      </c>
      <c r="M1044" s="2" t="s">
        <v>3139</v>
      </c>
      <c r="N1044" s="14">
        <v>43312</v>
      </c>
      <c r="O1044" s="14">
        <v>43311</v>
      </c>
      <c r="P1044" s="2" t="s">
        <v>2199</v>
      </c>
      <c r="Q1044" s="2" t="s">
        <v>3230</v>
      </c>
      <c r="R1044" s="2" t="s">
        <v>80</v>
      </c>
      <c r="S1044" s="14">
        <v>43312</v>
      </c>
      <c r="T1044" s="2" t="s">
        <v>6754</v>
      </c>
      <c r="U1044" s="2" t="s">
        <v>3154</v>
      </c>
      <c r="V1044" s="2" t="s">
        <v>2236</v>
      </c>
      <c r="W1044" s="2" t="s">
        <v>70</v>
      </c>
      <c r="X1044" s="13">
        <v>435</v>
      </c>
      <c r="Y1044" s="2" t="s">
        <v>71</v>
      </c>
      <c r="Z1044" s="2" t="s">
        <v>72</v>
      </c>
      <c r="AA1044" s="13">
        <v>2000</v>
      </c>
      <c r="AB1044" s="2" t="s">
        <v>73</v>
      </c>
      <c r="AC1044" s="2" t="s">
        <v>6773</v>
      </c>
      <c r="AD1044" s="27">
        <v>43264</v>
      </c>
      <c r="AL1044" s="2" t="s">
        <v>5693</v>
      </c>
    </row>
    <row r="1045" spans="1:38" hidden="1" x14ac:dyDescent="0.2">
      <c r="A1045" s="2" t="s">
        <v>3134</v>
      </c>
      <c r="B1045" s="2" t="s">
        <v>3231</v>
      </c>
      <c r="C1045" s="2" t="s">
        <v>1207</v>
      </c>
      <c r="D1045" s="2" t="s">
        <v>1208</v>
      </c>
      <c r="E1045" s="16">
        <v>2189.6</v>
      </c>
      <c r="F1045" s="16">
        <v>2189.6</v>
      </c>
      <c r="G1045" s="14">
        <v>43309</v>
      </c>
      <c r="H1045" s="15">
        <v>0.90130787037036997</v>
      </c>
      <c r="I1045" s="14">
        <v>43310</v>
      </c>
      <c r="J1045" s="15">
        <v>0.11104166666666999</v>
      </c>
      <c r="K1045" s="13">
        <v>0</v>
      </c>
      <c r="L1045" s="2" t="s">
        <v>64</v>
      </c>
      <c r="M1045" s="2" t="s">
        <v>4140</v>
      </c>
      <c r="N1045" s="14">
        <v>43318</v>
      </c>
      <c r="O1045" s="14">
        <v>43317</v>
      </c>
      <c r="P1045" s="2" t="s">
        <v>404</v>
      </c>
      <c r="Q1045" s="2" t="s">
        <v>3232</v>
      </c>
      <c r="R1045" s="2" t="s">
        <v>80</v>
      </c>
      <c r="S1045" s="14">
        <v>43318</v>
      </c>
      <c r="T1045" s="2" t="s">
        <v>6755</v>
      </c>
      <c r="U1045" s="2" t="s">
        <v>1209</v>
      </c>
      <c r="V1045" s="2" t="s">
        <v>1210</v>
      </c>
      <c r="W1045" s="2" t="s">
        <v>70</v>
      </c>
      <c r="X1045" s="13">
        <v>435</v>
      </c>
      <c r="Y1045" s="2" t="s">
        <v>71</v>
      </c>
      <c r="Z1045" s="2" t="s">
        <v>72</v>
      </c>
      <c r="AA1045" s="13">
        <v>2125</v>
      </c>
      <c r="AB1045" s="2" t="s">
        <v>73</v>
      </c>
      <c r="AC1045" s="2" t="s">
        <v>6773</v>
      </c>
      <c r="AD1045" s="27">
        <v>43277</v>
      </c>
      <c r="AL1045" s="2" t="s">
        <v>5694</v>
      </c>
    </row>
    <row r="1046" spans="1:38" hidden="1" x14ac:dyDescent="0.2">
      <c r="A1046" s="2" t="s">
        <v>3134</v>
      </c>
      <c r="B1046" s="2" t="s">
        <v>3233</v>
      </c>
      <c r="C1046" s="2" t="s">
        <v>3234</v>
      </c>
      <c r="D1046" s="2" t="s">
        <v>3235</v>
      </c>
      <c r="E1046" s="13">
        <v>1000</v>
      </c>
      <c r="F1046" s="13">
        <v>1000</v>
      </c>
      <c r="G1046" s="14">
        <v>43315</v>
      </c>
      <c r="H1046" s="15">
        <v>0.90421296296296005</v>
      </c>
      <c r="I1046" s="14">
        <v>43316</v>
      </c>
      <c r="J1046" s="15">
        <v>0</v>
      </c>
      <c r="K1046" s="13">
        <v>20</v>
      </c>
      <c r="L1046" s="2" t="s">
        <v>64</v>
      </c>
      <c r="M1046" s="2" t="s">
        <v>3135</v>
      </c>
      <c r="N1046" s="14">
        <v>43318</v>
      </c>
      <c r="O1046" s="14">
        <v>43317</v>
      </c>
      <c r="P1046" s="2" t="s">
        <v>2199</v>
      </c>
      <c r="Q1046" s="2" t="s">
        <v>3236</v>
      </c>
      <c r="R1046" s="2" t="s">
        <v>80</v>
      </c>
      <c r="S1046" s="14">
        <v>43318</v>
      </c>
      <c r="T1046" s="2" t="s">
        <v>6756</v>
      </c>
      <c r="U1046" s="2" t="s">
        <v>3237</v>
      </c>
      <c r="V1046" s="2" t="s">
        <v>81</v>
      </c>
      <c r="W1046" s="2" t="s">
        <v>70</v>
      </c>
      <c r="X1046" s="13">
        <v>435</v>
      </c>
      <c r="Y1046" s="2" t="s">
        <v>71</v>
      </c>
      <c r="Z1046" s="2" t="s">
        <v>72</v>
      </c>
      <c r="AA1046" s="13">
        <v>1000</v>
      </c>
      <c r="AB1046" s="2" t="s">
        <v>73</v>
      </c>
      <c r="AC1046" s="2" t="s">
        <v>6773</v>
      </c>
      <c r="AD1046" s="27">
        <v>43270</v>
      </c>
      <c r="AL1046" s="2" t="s">
        <v>5695</v>
      </c>
    </row>
    <row r="1047" spans="1:38" hidden="1" x14ac:dyDescent="0.2">
      <c r="A1047" s="2" t="s">
        <v>3134</v>
      </c>
      <c r="B1047" s="2" t="s">
        <v>3245</v>
      </c>
      <c r="C1047" s="2" t="s">
        <v>3224</v>
      </c>
      <c r="D1047" s="2" t="s">
        <v>3225</v>
      </c>
      <c r="E1047" s="13">
        <v>2045</v>
      </c>
      <c r="F1047" s="13">
        <v>2045</v>
      </c>
      <c r="G1047" s="14">
        <v>43316</v>
      </c>
      <c r="H1047" s="15">
        <v>0.80412037037036999</v>
      </c>
      <c r="I1047" s="14">
        <v>43317</v>
      </c>
      <c r="J1047" s="15">
        <v>0</v>
      </c>
      <c r="K1047" s="13">
        <v>20</v>
      </c>
      <c r="L1047" s="2" t="s">
        <v>64</v>
      </c>
      <c r="M1047" s="2" t="s">
        <v>3226</v>
      </c>
      <c r="N1047" s="14">
        <v>43319</v>
      </c>
      <c r="O1047" s="14">
        <v>43318</v>
      </c>
      <c r="P1047" s="2" t="s">
        <v>2002</v>
      </c>
      <c r="Q1047" s="2" t="s">
        <v>3246</v>
      </c>
      <c r="R1047" s="2" t="s">
        <v>80</v>
      </c>
      <c r="S1047" s="14">
        <v>43319</v>
      </c>
      <c r="T1047" s="2" t="s">
        <v>6757</v>
      </c>
      <c r="U1047" s="2" t="s">
        <v>1345</v>
      </c>
      <c r="V1047" s="2" t="s">
        <v>69</v>
      </c>
      <c r="W1047" s="2" t="s">
        <v>70</v>
      </c>
      <c r="X1047" s="13">
        <v>435</v>
      </c>
      <c r="Y1047" s="2" t="s">
        <v>71</v>
      </c>
      <c r="Z1047" s="2" t="s">
        <v>72</v>
      </c>
      <c r="AA1047" s="13">
        <v>2000</v>
      </c>
      <c r="AB1047" s="2" t="s">
        <v>73</v>
      </c>
      <c r="AC1047" s="2" t="s">
        <v>6773</v>
      </c>
      <c r="AD1047" s="27">
        <v>43275</v>
      </c>
      <c r="AL1047" s="2" t="s">
        <v>5696</v>
      </c>
    </row>
    <row r="1048" spans="1:38" hidden="1" x14ac:dyDescent="0.2">
      <c r="A1048" s="2" t="s">
        <v>3134</v>
      </c>
      <c r="B1048" s="2" t="s">
        <v>3247</v>
      </c>
      <c r="C1048" s="2" t="s">
        <v>3248</v>
      </c>
      <c r="D1048" s="2" t="s">
        <v>3249</v>
      </c>
      <c r="E1048" s="13">
        <v>1058</v>
      </c>
      <c r="F1048" s="13">
        <v>1058</v>
      </c>
      <c r="G1048" s="14">
        <v>43317</v>
      </c>
      <c r="H1048" s="15">
        <v>0.36086805555556001</v>
      </c>
      <c r="I1048" s="14">
        <v>43317</v>
      </c>
      <c r="J1048" s="15">
        <v>0.46221064814814999</v>
      </c>
      <c r="K1048" s="13">
        <v>0</v>
      </c>
      <c r="L1048" s="2" t="s">
        <v>64</v>
      </c>
      <c r="M1048" s="2" t="s">
        <v>3250</v>
      </c>
      <c r="N1048" s="14">
        <v>43320</v>
      </c>
      <c r="O1048" s="14">
        <v>43319</v>
      </c>
      <c r="P1048" s="2" t="s">
        <v>91</v>
      </c>
      <c r="Q1048" s="2" t="s">
        <v>3251</v>
      </c>
      <c r="R1048" s="2" t="s">
        <v>80</v>
      </c>
      <c r="S1048" s="14">
        <v>43320</v>
      </c>
      <c r="T1048" s="2" t="s">
        <v>6758</v>
      </c>
      <c r="U1048" s="2" t="s">
        <v>2201</v>
      </c>
      <c r="V1048" s="2" t="s">
        <v>1240</v>
      </c>
      <c r="W1048" s="2" t="s">
        <v>70</v>
      </c>
      <c r="X1048" s="13">
        <v>435</v>
      </c>
      <c r="Y1048" s="2" t="s">
        <v>71</v>
      </c>
      <c r="Z1048" s="2" t="s">
        <v>72</v>
      </c>
      <c r="AA1048" s="13">
        <v>1000</v>
      </c>
      <c r="AB1048" s="2" t="s">
        <v>73</v>
      </c>
      <c r="AC1048" s="2" t="s">
        <v>6773</v>
      </c>
      <c r="AD1048" s="27">
        <v>43283</v>
      </c>
      <c r="AL1048" s="2" t="s">
        <v>5697</v>
      </c>
    </row>
    <row r="1049" spans="1:38" hidden="1" x14ac:dyDescent="0.2">
      <c r="A1049" s="2" t="s">
        <v>3134</v>
      </c>
      <c r="B1049" s="2" t="s">
        <v>3252</v>
      </c>
      <c r="C1049" s="2" t="s">
        <v>3152</v>
      </c>
      <c r="D1049" s="2" t="s">
        <v>3153</v>
      </c>
      <c r="E1049" s="13">
        <v>10000</v>
      </c>
      <c r="F1049" s="13">
        <v>10000</v>
      </c>
      <c r="G1049" s="14">
        <v>43317</v>
      </c>
      <c r="H1049" s="15">
        <v>0.48304398148147998</v>
      </c>
      <c r="I1049" s="14">
        <v>43318</v>
      </c>
      <c r="J1049" s="15">
        <v>0.44090277777777998</v>
      </c>
      <c r="K1049" s="13">
        <v>0</v>
      </c>
      <c r="L1049" s="2" t="s">
        <v>64</v>
      </c>
      <c r="M1049" s="2" t="s">
        <v>3142</v>
      </c>
      <c r="N1049" s="14">
        <v>43320</v>
      </c>
      <c r="O1049" s="14">
        <v>43320</v>
      </c>
      <c r="P1049" s="2" t="s">
        <v>91</v>
      </c>
      <c r="Q1049" s="2" t="s">
        <v>3253</v>
      </c>
      <c r="R1049" s="2" t="s">
        <v>80</v>
      </c>
      <c r="S1049" s="14">
        <v>43320</v>
      </c>
      <c r="T1049" s="2" t="s">
        <v>6759</v>
      </c>
      <c r="U1049" s="2" t="s">
        <v>3154</v>
      </c>
      <c r="V1049" s="2" t="s">
        <v>554</v>
      </c>
      <c r="W1049" s="2" t="s">
        <v>70</v>
      </c>
      <c r="X1049" s="13">
        <v>435</v>
      </c>
      <c r="Y1049" s="2" t="s">
        <v>71</v>
      </c>
      <c r="Z1049" s="2" t="s">
        <v>72</v>
      </c>
      <c r="AA1049" s="13">
        <v>10000</v>
      </c>
      <c r="AB1049" s="2" t="s">
        <v>73</v>
      </c>
      <c r="AC1049" s="2" t="s">
        <v>6773</v>
      </c>
      <c r="AD1049" s="27">
        <v>43263</v>
      </c>
      <c r="AL1049" s="2" t="s">
        <v>5698</v>
      </c>
    </row>
    <row r="1050" spans="1:38" hidden="1" x14ac:dyDescent="0.2">
      <c r="A1050" s="2" t="s">
        <v>3134</v>
      </c>
      <c r="B1050" s="2" t="s">
        <v>4699</v>
      </c>
      <c r="C1050" s="2" t="s">
        <v>4700</v>
      </c>
      <c r="D1050" s="2" t="s">
        <v>4701</v>
      </c>
      <c r="E1050" s="16">
        <v>1003.7</v>
      </c>
      <c r="F1050" s="16">
        <v>1003.7</v>
      </c>
      <c r="G1050" s="14">
        <v>43318</v>
      </c>
      <c r="H1050" s="15">
        <v>0.57483796296295997</v>
      </c>
      <c r="I1050" s="14">
        <v>43318</v>
      </c>
      <c r="J1050" s="15">
        <v>0.67097222222221997</v>
      </c>
      <c r="K1050" s="13">
        <v>20</v>
      </c>
      <c r="L1050" s="2" t="s">
        <v>64</v>
      </c>
      <c r="M1050" s="2" t="s">
        <v>4702</v>
      </c>
      <c r="N1050" s="14">
        <v>43321</v>
      </c>
      <c r="O1050" s="14">
        <v>43320</v>
      </c>
      <c r="P1050" s="2" t="s">
        <v>91</v>
      </c>
      <c r="Q1050" s="2" t="s">
        <v>4703</v>
      </c>
      <c r="R1050" s="2" t="s">
        <v>80</v>
      </c>
      <c r="S1050" s="14">
        <v>43321</v>
      </c>
      <c r="T1050" s="2" t="s">
        <v>6760</v>
      </c>
      <c r="U1050" s="2" t="s">
        <v>3237</v>
      </c>
      <c r="V1050" s="2" t="s">
        <v>1240</v>
      </c>
      <c r="W1050" s="2" t="s">
        <v>70</v>
      </c>
      <c r="X1050" s="13">
        <v>435</v>
      </c>
      <c r="Y1050" s="2" t="s">
        <v>71</v>
      </c>
      <c r="Z1050" s="2" t="s">
        <v>72</v>
      </c>
      <c r="AA1050" s="13">
        <v>1000</v>
      </c>
      <c r="AB1050" s="2" t="s">
        <v>73</v>
      </c>
      <c r="AC1050" s="2" t="s">
        <v>6773</v>
      </c>
      <c r="AD1050" s="27">
        <v>43285</v>
      </c>
      <c r="AL1050" s="2" t="s">
        <v>5699</v>
      </c>
    </row>
    <row r="1051" spans="1:38" hidden="1" x14ac:dyDescent="0.2">
      <c r="A1051" s="2" t="s">
        <v>3134</v>
      </c>
      <c r="B1051" s="2" t="s">
        <v>4147</v>
      </c>
      <c r="C1051" s="2" t="s">
        <v>3195</v>
      </c>
      <c r="D1051" s="2" t="s">
        <v>3196</v>
      </c>
      <c r="E1051" s="13">
        <v>2000</v>
      </c>
      <c r="F1051" s="13">
        <v>2000</v>
      </c>
      <c r="G1051" s="14">
        <v>43318</v>
      </c>
      <c r="H1051" s="15">
        <v>0.69180555555556</v>
      </c>
      <c r="I1051" s="14">
        <v>43318</v>
      </c>
      <c r="J1051" s="15">
        <v>0.88337962962963001</v>
      </c>
      <c r="K1051" s="13">
        <v>0</v>
      </c>
      <c r="L1051" s="2" t="s">
        <v>64</v>
      </c>
      <c r="M1051" s="2" t="s">
        <v>3139</v>
      </c>
      <c r="N1051" s="14">
        <v>43321</v>
      </c>
      <c r="O1051" s="14">
        <v>43320</v>
      </c>
      <c r="P1051" s="2" t="s">
        <v>91</v>
      </c>
      <c r="Q1051" s="2" t="s">
        <v>4148</v>
      </c>
      <c r="R1051" s="2" t="s">
        <v>80</v>
      </c>
      <c r="S1051" s="14">
        <v>43321</v>
      </c>
      <c r="T1051" s="2" t="s">
        <v>6761</v>
      </c>
      <c r="U1051" s="2" t="s">
        <v>1244</v>
      </c>
      <c r="V1051" s="2" t="s">
        <v>3197</v>
      </c>
      <c r="W1051" s="2" t="s">
        <v>70</v>
      </c>
      <c r="X1051" s="13">
        <v>435</v>
      </c>
      <c r="Y1051" s="2" t="s">
        <v>71</v>
      </c>
      <c r="Z1051" s="2" t="s">
        <v>72</v>
      </c>
      <c r="AA1051" s="13">
        <v>2000</v>
      </c>
      <c r="AB1051" s="2" t="s">
        <v>73</v>
      </c>
      <c r="AC1051" s="2" t="s">
        <v>6773</v>
      </c>
      <c r="AD1051" s="27">
        <v>43283</v>
      </c>
      <c r="AL1051" s="2" t="s">
        <v>5700</v>
      </c>
    </row>
    <row r="1052" spans="1:38" hidden="1" x14ac:dyDescent="0.2">
      <c r="A1052" s="2" t="s">
        <v>3134</v>
      </c>
      <c r="B1052" s="2" t="s">
        <v>3254</v>
      </c>
      <c r="C1052" s="2" t="s">
        <v>2663</v>
      </c>
      <c r="D1052" s="2" t="s">
        <v>2664</v>
      </c>
      <c r="E1052" s="13">
        <v>1000</v>
      </c>
      <c r="F1052" s="13">
        <v>1000</v>
      </c>
      <c r="G1052" s="14">
        <v>43318</v>
      </c>
      <c r="H1052" s="15">
        <v>0.90421296296296005</v>
      </c>
      <c r="I1052" s="14">
        <v>43319</v>
      </c>
      <c r="J1052" s="15">
        <v>0</v>
      </c>
      <c r="K1052" s="13">
        <v>0</v>
      </c>
      <c r="L1052" s="2" t="s">
        <v>64</v>
      </c>
      <c r="M1052" s="2" t="s">
        <v>3135</v>
      </c>
      <c r="N1052" s="14">
        <v>43321</v>
      </c>
      <c r="O1052" s="14">
        <v>43320</v>
      </c>
      <c r="P1052" s="2" t="s">
        <v>404</v>
      </c>
      <c r="Q1052" s="2" t="s">
        <v>3255</v>
      </c>
      <c r="R1052" s="2" t="s">
        <v>80</v>
      </c>
      <c r="S1052" s="14">
        <v>43321</v>
      </c>
      <c r="T1052" s="2" t="s">
        <v>6762</v>
      </c>
      <c r="U1052" s="2" t="s">
        <v>1209</v>
      </c>
      <c r="V1052" s="2" t="s">
        <v>2667</v>
      </c>
      <c r="W1052" s="2" t="s">
        <v>70</v>
      </c>
      <c r="X1052" s="13">
        <v>435</v>
      </c>
      <c r="Y1052" s="2" t="s">
        <v>71</v>
      </c>
      <c r="Z1052" s="2" t="s">
        <v>72</v>
      </c>
      <c r="AA1052" s="13">
        <v>1000</v>
      </c>
      <c r="AB1052" s="2" t="s">
        <v>73</v>
      </c>
      <c r="AC1052" s="2" t="s">
        <v>6773</v>
      </c>
      <c r="AD1052" s="27">
        <v>43272</v>
      </c>
      <c r="AL1052" s="2" t="s">
        <v>5701</v>
      </c>
    </row>
    <row r="1053" spans="1:38" hidden="1" x14ac:dyDescent="0.2">
      <c r="A1053" s="2" t="s">
        <v>3134</v>
      </c>
      <c r="B1053" s="2" t="s">
        <v>3256</v>
      </c>
      <c r="C1053" s="2" t="s">
        <v>3257</v>
      </c>
      <c r="D1053" s="2" t="s">
        <v>3258</v>
      </c>
      <c r="E1053" s="16">
        <v>2055.8000000000002</v>
      </c>
      <c r="F1053" s="16">
        <v>2055.8000000000002</v>
      </c>
      <c r="G1053" s="14">
        <v>43323</v>
      </c>
      <c r="H1053" s="15">
        <v>0.68645833333332995</v>
      </c>
      <c r="I1053" s="14">
        <v>43323</v>
      </c>
      <c r="J1053" s="15">
        <v>0.88337962962963001</v>
      </c>
      <c r="K1053" s="13">
        <v>20</v>
      </c>
      <c r="L1053" s="2" t="s">
        <v>64</v>
      </c>
      <c r="M1053" s="2" t="s">
        <v>3259</v>
      </c>
      <c r="N1053" s="14">
        <v>43326</v>
      </c>
      <c r="O1053" s="14">
        <v>43325</v>
      </c>
      <c r="P1053" s="2" t="s">
        <v>3260</v>
      </c>
      <c r="Q1053" s="2" t="s">
        <v>3261</v>
      </c>
      <c r="R1053" s="2" t="s">
        <v>80</v>
      </c>
      <c r="S1053" s="14">
        <v>43326</v>
      </c>
      <c r="U1053" s="2" t="s">
        <v>2827</v>
      </c>
      <c r="V1053" s="2" t="s">
        <v>3262</v>
      </c>
      <c r="W1053" s="2" t="s">
        <v>70</v>
      </c>
      <c r="X1053" s="13">
        <v>435</v>
      </c>
      <c r="Y1053" s="2" t="s">
        <v>71</v>
      </c>
      <c r="Z1053" s="2" t="s">
        <v>72</v>
      </c>
      <c r="AA1053" s="13">
        <v>2000</v>
      </c>
      <c r="AB1053" s="2" t="s">
        <v>73</v>
      </c>
      <c r="AC1053" s="2" t="s">
        <v>6773</v>
      </c>
      <c r="AD1053" s="27"/>
      <c r="AL1053" s="2" t="s">
        <v>7334</v>
      </c>
    </row>
    <row r="1054" spans="1:38" hidden="1" x14ac:dyDescent="0.2">
      <c r="A1054" s="2" t="s">
        <v>3134</v>
      </c>
      <c r="B1054" s="2" t="s">
        <v>3263</v>
      </c>
      <c r="C1054" s="2" t="s">
        <v>3163</v>
      </c>
      <c r="D1054" s="2" t="s">
        <v>3164</v>
      </c>
      <c r="E1054" s="13">
        <v>1000</v>
      </c>
      <c r="F1054" s="13">
        <v>1000</v>
      </c>
      <c r="G1054" s="14">
        <v>43323</v>
      </c>
      <c r="H1054" s="15">
        <v>0.90421296296296005</v>
      </c>
      <c r="I1054" s="14">
        <v>43324</v>
      </c>
      <c r="J1054" s="15">
        <v>0</v>
      </c>
      <c r="K1054" s="13">
        <v>0</v>
      </c>
      <c r="L1054" s="2" t="s">
        <v>64</v>
      </c>
      <c r="M1054" s="2" t="s">
        <v>3135</v>
      </c>
      <c r="N1054" s="14">
        <v>43326</v>
      </c>
      <c r="O1054" s="14">
        <v>43325</v>
      </c>
      <c r="P1054" s="2" t="s">
        <v>91</v>
      </c>
      <c r="Q1054" s="2" t="s">
        <v>3264</v>
      </c>
      <c r="R1054" s="2" t="s">
        <v>80</v>
      </c>
      <c r="S1054" s="14">
        <v>43326</v>
      </c>
      <c r="U1054" s="2" t="s">
        <v>495</v>
      </c>
      <c r="V1054" s="2" t="s">
        <v>3166</v>
      </c>
      <c r="W1054" s="2" t="s">
        <v>70</v>
      </c>
      <c r="X1054" s="13">
        <v>435</v>
      </c>
      <c r="Y1054" s="2" t="s">
        <v>71</v>
      </c>
      <c r="Z1054" s="2" t="s">
        <v>72</v>
      </c>
      <c r="AA1054" s="13">
        <v>1000</v>
      </c>
      <c r="AB1054" s="2" t="s">
        <v>73</v>
      </c>
      <c r="AC1054" s="2" t="s">
        <v>6773</v>
      </c>
      <c r="AD1054" s="27"/>
      <c r="AL1054" s="2" t="s">
        <v>7335</v>
      </c>
    </row>
    <row r="1055" spans="1:38" hidden="1" x14ac:dyDescent="0.2">
      <c r="A1055" s="2" t="s">
        <v>3134</v>
      </c>
      <c r="B1055" s="2" t="s">
        <v>3181</v>
      </c>
      <c r="C1055" s="2" t="s">
        <v>3182</v>
      </c>
      <c r="D1055" s="2" t="s">
        <v>3183</v>
      </c>
      <c r="E1055" s="13">
        <v>5000</v>
      </c>
      <c r="F1055" s="13">
        <v>5000</v>
      </c>
      <c r="G1055" s="14">
        <v>43324</v>
      </c>
      <c r="H1055" s="15">
        <v>0.69917824074073998</v>
      </c>
      <c r="I1055" s="14">
        <v>43325</v>
      </c>
      <c r="J1055" s="15">
        <v>0.17810185185185001</v>
      </c>
      <c r="K1055" s="13">
        <v>0</v>
      </c>
      <c r="L1055" s="2" t="s">
        <v>64</v>
      </c>
      <c r="M1055" s="2" t="s">
        <v>3147</v>
      </c>
      <c r="N1055" s="14">
        <v>43327</v>
      </c>
      <c r="O1055" s="14">
        <v>43327</v>
      </c>
      <c r="P1055" s="2" t="s">
        <v>1573</v>
      </c>
      <c r="Q1055" s="2" t="s">
        <v>3184</v>
      </c>
      <c r="R1055" s="2" t="s">
        <v>80</v>
      </c>
      <c r="S1055" s="14">
        <v>43327</v>
      </c>
      <c r="U1055" s="2" t="s">
        <v>1812</v>
      </c>
      <c r="V1055" s="2" t="s">
        <v>3185</v>
      </c>
      <c r="W1055" s="2" t="s">
        <v>70</v>
      </c>
      <c r="X1055" s="13">
        <v>435</v>
      </c>
      <c r="Y1055" s="2" t="s">
        <v>71</v>
      </c>
      <c r="Z1055" s="2" t="s">
        <v>72</v>
      </c>
      <c r="AA1055" s="13">
        <v>5000</v>
      </c>
      <c r="AB1055" s="2" t="s">
        <v>73</v>
      </c>
      <c r="AC1055" s="2" t="s">
        <v>6773</v>
      </c>
      <c r="AD1055" s="27"/>
      <c r="AL1055" s="2" t="s">
        <v>7336</v>
      </c>
    </row>
    <row r="1056" spans="1:38" hidden="1" x14ac:dyDescent="0.2">
      <c r="A1056" s="2" t="s">
        <v>3134</v>
      </c>
      <c r="B1056" s="2" t="s">
        <v>3265</v>
      </c>
      <c r="C1056" s="2" t="s">
        <v>3266</v>
      </c>
      <c r="D1056" s="2" t="s">
        <v>3267</v>
      </c>
      <c r="E1056" s="13">
        <v>1000</v>
      </c>
      <c r="F1056" s="13">
        <v>1000</v>
      </c>
      <c r="G1056" s="14">
        <v>43325</v>
      </c>
      <c r="H1056" s="15">
        <v>0.90421296296296005</v>
      </c>
      <c r="I1056" s="14">
        <v>43326</v>
      </c>
      <c r="J1056" s="15">
        <v>0</v>
      </c>
      <c r="K1056" s="13">
        <v>20</v>
      </c>
      <c r="L1056" s="2" t="s">
        <v>64</v>
      </c>
      <c r="M1056" s="2" t="s">
        <v>3135</v>
      </c>
      <c r="N1056" s="14">
        <v>43328</v>
      </c>
      <c r="O1056" s="14">
        <v>43327</v>
      </c>
      <c r="P1056" s="2" t="s">
        <v>3268</v>
      </c>
      <c r="Q1056" s="2" t="s">
        <v>3269</v>
      </c>
      <c r="R1056" s="2" t="s">
        <v>80</v>
      </c>
      <c r="S1056" s="14">
        <v>43328</v>
      </c>
      <c r="U1056" s="2" t="s">
        <v>2228</v>
      </c>
      <c r="V1056" s="2" t="s">
        <v>3270</v>
      </c>
      <c r="W1056" s="2" t="s">
        <v>70</v>
      </c>
      <c r="X1056" s="13">
        <v>435</v>
      </c>
      <c r="Y1056" s="2" t="s">
        <v>71</v>
      </c>
      <c r="Z1056" s="2" t="s">
        <v>72</v>
      </c>
      <c r="AA1056" s="13">
        <v>1000</v>
      </c>
      <c r="AB1056" s="2" t="s">
        <v>73</v>
      </c>
      <c r="AD1056" s="27"/>
      <c r="AL1056" s="2" t="s">
        <v>4875</v>
      </c>
    </row>
    <row r="1057" spans="1:38" hidden="1" x14ac:dyDescent="0.2">
      <c r="A1057" s="2" t="s">
        <v>3134</v>
      </c>
      <c r="B1057" s="2" t="s">
        <v>3271</v>
      </c>
      <c r="C1057" s="2" t="s">
        <v>3272</v>
      </c>
      <c r="D1057" s="2" t="s">
        <v>3273</v>
      </c>
      <c r="E1057" s="16">
        <v>2060.8000000000002</v>
      </c>
      <c r="F1057" s="16">
        <v>2060.8000000000002</v>
      </c>
      <c r="G1057" s="14">
        <v>43331</v>
      </c>
      <c r="H1057" s="15">
        <v>0.30284722222221999</v>
      </c>
      <c r="I1057" s="14">
        <v>43331</v>
      </c>
      <c r="J1057" s="15">
        <v>0.50024305555556003</v>
      </c>
      <c r="K1057" s="13">
        <v>0</v>
      </c>
      <c r="L1057" s="2" t="s">
        <v>64</v>
      </c>
      <c r="M1057" s="2" t="s">
        <v>3274</v>
      </c>
      <c r="N1057" s="14">
        <v>43334</v>
      </c>
      <c r="O1057" s="14">
        <v>43333</v>
      </c>
      <c r="P1057" s="2" t="s">
        <v>440</v>
      </c>
      <c r="Q1057" s="2" t="s">
        <v>3275</v>
      </c>
      <c r="R1057" s="2" t="s">
        <v>80</v>
      </c>
      <c r="S1057" s="14">
        <v>43334</v>
      </c>
      <c r="U1057" s="2" t="s">
        <v>1209</v>
      </c>
      <c r="V1057" s="2" t="s">
        <v>3276</v>
      </c>
      <c r="W1057" s="2" t="s">
        <v>70</v>
      </c>
      <c r="X1057" s="13">
        <v>435</v>
      </c>
      <c r="Y1057" s="2" t="s">
        <v>71</v>
      </c>
      <c r="Z1057" s="2" t="s">
        <v>72</v>
      </c>
      <c r="AA1057" s="13">
        <v>2000</v>
      </c>
      <c r="AB1057" s="2" t="s">
        <v>73</v>
      </c>
      <c r="AC1057" s="2" t="s">
        <v>6773</v>
      </c>
      <c r="AD1057" s="27"/>
      <c r="AL1057" s="2" t="s">
        <v>7337</v>
      </c>
    </row>
    <row r="1058" spans="1:38" hidden="1" x14ac:dyDescent="0.2">
      <c r="A1058" s="2" t="s">
        <v>3134</v>
      </c>
      <c r="B1058" s="2" t="s">
        <v>3277</v>
      </c>
      <c r="C1058" s="2" t="s">
        <v>3152</v>
      </c>
      <c r="D1058" s="2" t="s">
        <v>3153</v>
      </c>
      <c r="E1058" s="13">
        <v>5000</v>
      </c>
      <c r="F1058" s="13">
        <v>5000</v>
      </c>
      <c r="G1058" s="14">
        <v>43331</v>
      </c>
      <c r="H1058" s="15">
        <v>0.52107638888888996</v>
      </c>
      <c r="I1058" s="14">
        <v>43332</v>
      </c>
      <c r="J1058" s="15">
        <v>0</v>
      </c>
      <c r="K1058" s="13">
        <v>20</v>
      </c>
      <c r="L1058" s="2" t="s">
        <v>64</v>
      </c>
      <c r="M1058" s="2" t="s">
        <v>3147</v>
      </c>
      <c r="N1058" s="14">
        <v>43357</v>
      </c>
      <c r="O1058" s="14">
        <v>43333</v>
      </c>
      <c r="P1058" s="2" t="s">
        <v>91</v>
      </c>
      <c r="Q1058" s="2" t="s">
        <v>3278</v>
      </c>
      <c r="R1058" s="2" t="s">
        <v>80</v>
      </c>
      <c r="S1058" s="14">
        <v>43357</v>
      </c>
      <c r="U1058" s="2" t="s">
        <v>3154</v>
      </c>
      <c r="V1058" s="2" t="s">
        <v>554</v>
      </c>
      <c r="W1058" s="2" t="s">
        <v>70</v>
      </c>
      <c r="X1058" s="13">
        <v>435</v>
      </c>
      <c r="Y1058" s="2" t="s">
        <v>71</v>
      </c>
      <c r="Z1058" s="2" t="s">
        <v>72</v>
      </c>
      <c r="AA1058" s="13">
        <v>5000</v>
      </c>
      <c r="AB1058" s="2" t="s">
        <v>73</v>
      </c>
      <c r="AC1058" s="2" t="s">
        <v>6773</v>
      </c>
      <c r="AD1058" s="27"/>
      <c r="AL1058" s="2" t="s">
        <v>5702</v>
      </c>
    </row>
    <row r="1059" spans="1:38" hidden="1" x14ac:dyDescent="0.2">
      <c r="A1059" s="2" t="s">
        <v>3134</v>
      </c>
      <c r="B1059" s="2" t="s">
        <v>3149</v>
      </c>
      <c r="C1059" s="2" t="s">
        <v>2131</v>
      </c>
      <c r="D1059" s="2" t="s">
        <v>2132</v>
      </c>
      <c r="E1059" s="13">
        <v>8000</v>
      </c>
      <c r="F1059" s="13">
        <v>8000</v>
      </c>
      <c r="G1059" s="14">
        <v>43332</v>
      </c>
      <c r="H1059" s="15">
        <v>0.69087962962963001</v>
      </c>
      <c r="I1059" s="14">
        <v>43333</v>
      </c>
      <c r="J1059" s="15">
        <v>0.45716435185185</v>
      </c>
      <c r="K1059" s="13">
        <v>20</v>
      </c>
      <c r="L1059" s="2" t="s">
        <v>64</v>
      </c>
      <c r="M1059" s="2" t="s">
        <v>3150</v>
      </c>
      <c r="N1059" s="14">
        <v>43335</v>
      </c>
      <c r="O1059" s="14">
        <v>43335</v>
      </c>
      <c r="P1059" s="2" t="s">
        <v>2002</v>
      </c>
      <c r="Q1059" s="2" t="s">
        <v>3151</v>
      </c>
      <c r="R1059" s="2" t="s">
        <v>80</v>
      </c>
      <c r="S1059" s="14">
        <v>43335</v>
      </c>
      <c r="U1059" s="2" t="s">
        <v>1355</v>
      </c>
      <c r="V1059" s="2" t="s">
        <v>69</v>
      </c>
      <c r="W1059" s="2" t="s">
        <v>70</v>
      </c>
      <c r="X1059" s="13">
        <v>435</v>
      </c>
      <c r="Y1059" s="2" t="s">
        <v>71</v>
      </c>
      <c r="Z1059" s="2" t="s">
        <v>72</v>
      </c>
      <c r="AA1059" s="13">
        <v>8000</v>
      </c>
      <c r="AB1059" s="2" t="s">
        <v>73</v>
      </c>
      <c r="AC1059" s="2" t="s">
        <v>6773</v>
      </c>
      <c r="AD1059" s="27"/>
      <c r="AL1059" s="2" t="s">
        <v>7338</v>
      </c>
    </row>
    <row r="1060" spans="1:38" hidden="1" x14ac:dyDescent="0.2">
      <c r="A1060" s="2" t="s">
        <v>3134</v>
      </c>
      <c r="B1060" s="2" t="s">
        <v>3279</v>
      </c>
      <c r="C1060" s="2" t="s">
        <v>3187</v>
      </c>
      <c r="D1060" s="2" t="s">
        <v>3188</v>
      </c>
      <c r="E1060" s="13">
        <v>3000</v>
      </c>
      <c r="F1060" s="13">
        <v>3000</v>
      </c>
      <c r="G1060" s="14">
        <v>43332</v>
      </c>
      <c r="H1060" s="15">
        <v>0.83702546296295999</v>
      </c>
      <c r="I1060" s="14">
        <v>43333</v>
      </c>
      <c r="J1060" s="15">
        <v>0.12438657407407</v>
      </c>
      <c r="K1060" s="13">
        <v>0</v>
      </c>
      <c r="L1060" s="2" t="s">
        <v>64</v>
      </c>
      <c r="M1060" s="2" t="s">
        <v>3136</v>
      </c>
      <c r="N1060" s="14"/>
      <c r="O1060" s="14">
        <v>43335</v>
      </c>
      <c r="P1060" s="2" t="s">
        <v>91</v>
      </c>
      <c r="Q1060" s="2" t="s">
        <v>7110</v>
      </c>
      <c r="R1060" s="2" t="s">
        <v>80</v>
      </c>
      <c r="S1060" s="14">
        <v>43341</v>
      </c>
      <c r="U1060" s="2" t="s">
        <v>540</v>
      </c>
      <c r="V1060" s="2" t="s">
        <v>3191</v>
      </c>
      <c r="W1060" s="2" t="s">
        <v>70</v>
      </c>
      <c r="X1060" s="13">
        <v>0</v>
      </c>
      <c r="Y1060" s="2" t="s">
        <v>71</v>
      </c>
      <c r="Z1060" s="2" t="s">
        <v>72</v>
      </c>
      <c r="AA1060" s="13">
        <v>3000</v>
      </c>
      <c r="AB1060" s="2" t="s">
        <v>95</v>
      </c>
      <c r="AC1060" s="2" t="s">
        <v>6773</v>
      </c>
      <c r="AD1060" s="27"/>
      <c r="AL1060" s="2" t="s">
        <v>7339</v>
      </c>
    </row>
    <row r="1061" spans="1:38" hidden="1" x14ac:dyDescent="0.2">
      <c r="A1061" s="2" t="s">
        <v>3134</v>
      </c>
      <c r="B1061" s="2" t="s">
        <v>3280</v>
      </c>
      <c r="C1061" s="2" t="s">
        <v>3281</v>
      </c>
      <c r="D1061" s="2" t="s">
        <v>3282</v>
      </c>
      <c r="E1061" s="13">
        <v>2000</v>
      </c>
      <c r="F1061" s="13">
        <v>2000</v>
      </c>
      <c r="G1061" s="14">
        <v>43339</v>
      </c>
      <c r="H1061" s="15">
        <v>0.80842592592592999</v>
      </c>
      <c r="I1061" s="14">
        <v>43340</v>
      </c>
      <c r="J1061" s="15">
        <v>0</v>
      </c>
      <c r="K1061" s="13">
        <v>20</v>
      </c>
      <c r="L1061" s="2" t="s">
        <v>64</v>
      </c>
      <c r="M1061" s="2" t="s">
        <v>3139</v>
      </c>
      <c r="N1061" s="14">
        <v>43342</v>
      </c>
      <c r="O1061" s="14">
        <v>43341</v>
      </c>
      <c r="P1061" s="2" t="s">
        <v>2239</v>
      </c>
      <c r="Q1061" s="2" t="s">
        <v>3283</v>
      </c>
      <c r="R1061" s="2" t="s">
        <v>80</v>
      </c>
      <c r="S1061" s="14">
        <v>43342</v>
      </c>
      <c r="U1061" s="2" t="s">
        <v>2281</v>
      </c>
      <c r="V1061" s="2" t="s">
        <v>554</v>
      </c>
      <c r="W1061" s="2" t="s">
        <v>70</v>
      </c>
      <c r="X1061" s="13">
        <v>435</v>
      </c>
      <c r="Y1061" s="2" t="s">
        <v>71</v>
      </c>
      <c r="Z1061" s="2" t="s">
        <v>72</v>
      </c>
      <c r="AA1061" s="13">
        <v>2000</v>
      </c>
      <c r="AB1061" s="2" t="s">
        <v>73</v>
      </c>
      <c r="AC1061" s="2" t="s">
        <v>6773</v>
      </c>
      <c r="AD1061" s="27"/>
      <c r="AL1061" s="2" t="s">
        <v>7340</v>
      </c>
    </row>
    <row r="1062" spans="1:38" hidden="1" x14ac:dyDescent="0.2">
      <c r="A1062" s="2" t="s">
        <v>3134</v>
      </c>
      <c r="B1062" s="2" t="s">
        <v>2370</v>
      </c>
      <c r="C1062" s="2" t="s">
        <v>2371</v>
      </c>
      <c r="D1062" s="2" t="s">
        <v>2372</v>
      </c>
      <c r="E1062" s="13">
        <v>10250</v>
      </c>
      <c r="F1062" s="13">
        <v>10250</v>
      </c>
      <c r="G1062" s="14">
        <v>43344</v>
      </c>
      <c r="H1062" s="15">
        <v>0.61178240740740997</v>
      </c>
      <c r="I1062" s="14">
        <v>43345</v>
      </c>
      <c r="J1062" s="15">
        <v>0.59358796296296001</v>
      </c>
      <c r="K1062" s="13">
        <v>20</v>
      </c>
      <c r="L1062" s="2" t="s">
        <v>64</v>
      </c>
      <c r="M1062" s="2" t="s">
        <v>4704</v>
      </c>
      <c r="N1062" s="14">
        <v>43350</v>
      </c>
      <c r="O1062" s="14">
        <v>43347</v>
      </c>
      <c r="P1062" s="2" t="s">
        <v>91</v>
      </c>
      <c r="Q1062" s="2" t="s">
        <v>2373</v>
      </c>
      <c r="R1062" s="2" t="s">
        <v>80</v>
      </c>
      <c r="S1062" s="14">
        <v>43360</v>
      </c>
      <c r="U1062" s="2" t="s">
        <v>1273</v>
      </c>
      <c r="V1062" s="2" t="s">
        <v>2374</v>
      </c>
      <c r="W1062" s="2" t="s">
        <v>70</v>
      </c>
      <c r="X1062" s="13">
        <v>435</v>
      </c>
      <c r="Y1062" s="2" t="s">
        <v>71</v>
      </c>
      <c r="Z1062" s="2" t="s">
        <v>72</v>
      </c>
      <c r="AA1062" s="13">
        <v>10000</v>
      </c>
      <c r="AB1062" s="2" t="s">
        <v>107</v>
      </c>
      <c r="AC1062" s="2" t="s">
        <v>6773</v>
      </c>
      <c r="AD1062" s="27"/>
      <c r="AL1062" s="2" t="s">
        <v>7341</v>
      </c>
    </row>
    <row r="1063" spans="1:38" hidden="1" x14ac:dyDescent="0.2">
      <c r="A1063" s="2" t="s">
        <v>3134</v>
      </c>
      <c r="B1063" s="2" t="s">
        <v>3284</v>
      </c>
      <c r="C1063" s="2" t="s">
        <v>3285</v>
      </c>
      <c r="D1063" s="2" t="s">
        <v>3286</v>
      </c>
      <c r="E1063" s="13">
        <v>1000</v>
      </c>
      <c r="F1063" s="13">
        <v>1000</v>
      </c>
      <c r="G1063" s="14">
        <v>43365</v>
      </c>
      <c r="H1063" s="15">
        <v>0.90421296296296005</v>
      </c>
      <c r="I1063" s="14">
        <v>43366</v>
      </c>
      <c r="J1063" s="15">
        <v>0</v>
      </c>
      <c r="K1063" s="13">
        <v>0</v>
      </c>
      <c r="L1063" s="2" t="s">
        <v>64</v>
      </c>
      <c r="M1063" s="2" t="s">
        <v>3135</v>
      </c>
      <c r="N1063" s="14">
        <v>43368</v>
      </c>
      <c r="O1063" s="14">
        <v>43367</v>
      </c>
      <c r="P1063" s="2" t="s">
        <v>3287</v>
      </c>
      <c r="Q1063" s="2" t="s">
        <v>3288</v>
      </c>
      <c r="R1063" s="2" t="s">
        <v>80</v>
      </c>
      <c r="S1063" s="14">
        <v>43368</v>
      </c>
      <c r="U1063" s="2" t="s">
        <v>3289</v>
      </c>
      <c r="V1063" s="2" t="s">
        <v>3290</v>
      </c>
      <c r="W1063" s="2" t="s">
        <v>70</v>
      </c>
      <c r="X1063" s="13">
        <v>435</v>
      </c>
      <c r="Y1063" s="2" t="s">
        <v>71</v>
      </c>
      <c r="Z1063" s="2" t="s">
        <v>72</v>
      </c>
      <c r="AA1063" s="13">
        <v>1000</v>
      </c>
      <c r="AB1063" s="2" t="s">
        <v>73</v>
      </c>
      <c r="AC1063" s="2" t="s">
        <v>6773</v>
      </c>
      <c r="AD1063" s="27"/>
      <c r="AL1063" s="2" t="s">
        <v>5703</v>
      </c>
    </row>
    <row r="1064" spans="1:38" hidden="1" x14ac:dyDescent="0.2">
      <c r="A1064" s="2" t="s">
        <v>3291</v>
      </c>
      <c r="B1064" s="2" t="s">
        <v>3317</v>
      </c>
      <c r="C1064" s="2" t="s">
        <v>3318</v>
      </c>
      <c r="D1064" s="2" t="s">
        <v>3319</v>
      </c>
      <c r="E1064" s="13">
        <v>38570</v>
      </c>
      <c r="F1064" s="13">
        <v>38570</v>
      </c>
      <c r="G1064" s="14">
        <v>43288</v>
      </c>
      <c r="H1064" s="15">
        <v>0</v>
      </c>
      <c r="I1064" s="14">
        <v>43288</v>
      </c>
      <c r="J1064" s="15">
        <v>0.13775462962963</v>
      </c>
      <c r="K1064" s="13">
        <v>0</v>
      </c>
      <c r="L1064" s="2" t="s">
        <v>64</v>
      </c>
      <c r="M1064" s="2" t="s">
        <v>3320</v>
      </c>
      <c r="N1064" s="14">
        <v>43307</v>
      </c>
      <c r="O1064" s="14">
        <v>43290</v>
      </c>
      <c r="P1064" s="2" t="s">
        <v>98</v>
      </c>
      <c r="Q1064" s="2" t="s">
        <v>98</v>
      </c>
      <c r="R1064" s="2" t="s">
        <v>131</v>
      </c>
      <c r="S1064" s="14"/>
      <c r="T1064" s="2" t="s">
        <v>6763</v>
      </c>
      <c r="U1064" s="2" t="s">
        <v>3321</v>
      </c>
      <c r="V1064" s="2" t="s">
        <v>1933</v>
      </c>
      <c r="W1064" s="2" t="s">
        <v>2799</v>
      </c>
      <c r="X1064" s="13">
        <v>3500</v>
      </c>
      <c r="Y1064" s="2" t="s">
        <v>71</v>
      </c>
      <c r="Z1064" s="2" t="s">
        <v>72</v>
      </c>
      <c r="AA1064" s="16">
        <v>38000.006000000001</v>
      </c>
      <c r="AB1064" s="2" t="s">
        <v>107</v>
      </c>
      <c r="AC1064" s="2" t="s">
        <v>6773</v>
      </c>
      <c r="AD1064" s="27">
        <v>43270</v>
      </c>
      <c r="AL1064" s="2" t="s">
        <v>5704</v>
      </c>
    </row>
    <row r="1065" spans="1:38" x14ac:dyDescent="0.2">
      <c r="A1065" s="2" t="s">
        <v>3291</v>
      </c>
      <c r="B1065" s="2" t="s">
        <v>3322</v>
      </c>
      <c r="C1065" s="2" t="s">
        <v>3318</v>
      </c>
      <c r="D1065" s="2" t="s">
        <v>3319</v>
      </c>
      <c r="E1065" s="13">
        <v>38570</v>
      </c>
      <c r="F1065" s="13">
        <v>38570</v>
      </c>
      <c r="G1065" s="14">
        <v>43289</v>
      </c>
      <c r="H1065" s="15">
        <v>0</v>
      </c>
      <c r="I1065" s="14">
        <v>43289</v>
      </c>
      <c r="J1065" s="15">
        <v>0.13775462962963</v>
      </c>
      <c r="K1065" s="13">
        <v>0</v>
      </c>
      <c r="L1065" s="2" t="s">
        <v>64</v>
      </c>
      <c r="M1065" s="2" t="s">
        <v>3320</v>
      </c>
      <c r="N1065" s="14">
        <v>43307</v>
      </c>
      <c r="O1065" s="14">
        <v>43291</v>
      </c>
      <c r="P1065" s="2" t="s">
        <v>98</v>
      </c>
      <c r="Q1065" s="2" t="s">
        <v>7111</v>
      </c>
      <c r="R1065" s="2" t="s">
        <v>80</v>
      </c>
      <c r="S1065" s="14">
        <v>43307</v>
      </c>
      <c r="T1065" s="2" t="s">
        <v>6764</v>
      </c>
      <c r="U1065" s="2" t="s">
        <v>3321</v>
      </c>
      <c r="V1065" s="2" t="s">
        <v>1933</v>
      </c>
      <c r="W1065" s="2" t="s">
        <v>2799</v>
      </c>
      <c r="X1065" s="13">
        <v>3500</v>
      </c>
      <c r="Y1065" s="2" t="s">
        <v>71</v>
      </c>
      <c r="Z1065" s="2" t="s">
        <v>72</v>
      </c>
      <c r="AA1065" s="16">
        <v>38000.006000000001</v>
      </c>
      <c r="AB1065" s="2" t="s">
        <v>107</v>
      </c>
      <c r="AC1065" s="2" t="s">
        <v>6773</v>
      </c>
      <c r="AD1065" s="27">
        <v>43270</v>
      </c>
      <c r="AL1065" s="2" t="s">
        <v>5705</v>
      </c>
    </row>
    <row r="1066" spans="1:38" x14ac:dyDescent="0.2">
      <c r="A1066" s="2" t="s">
        <v>3291</v>
      </c>
      <c r="B1066" s="2" t="s">
        <v>4705</v>
      </c>
      <c r="C1066" s="2" t="s">
        <v>3318</v>
      </c>
      <c r="D1066" s="2" t="s">
        <v>3319</v>
      </c>
      <c r="E1066" s="16">
        <v>19163.2</v>
      </c>
      <c r="F1066" s="16">
        <v>19163.2</v>
      </c>
      <c r="G1066" s="14">
        <v>43290</v>
      </c>
      <c r="H1066" s="15">
        <v>0.125</v>
      </c>
      <c r="I1066" s="14">
        <v>43290</v>
      </c>
      <c r="J1066" s="15">
        <v>0.19343750000000001</v>
      </c>
      <c r="K1066" s="13">
        <v>0</v>
      </c>
      <c r="L1066" s="2" t="s">
        <v>64</v>
      </c>
      <c r="M1066" s="2" t="s">
        <v>4706</v>
      </c>
      <c r="N1066" s="14">
        <v>43292</v>
      </c>
      <c r="O1066" s="14">
        <v>43292</v>
      </c>
      <c r="P1066" s="2" t="s">
        <v>98</v>
      </c>
      <c r="Q1066" s="2" t="s">
        <v>4707</v>
      </c>
      <c r="R1066" s="2" t="s">
        <v>80</v>
      </c>
      <c r="S1066" s="14">
        <v>43329</v>
      </c>
      <c r="T1066" s="2" t="s">
        <v>6771</v>
      </c>
      <c r="U1066" s="2" t="s">
        <v>3321</v>
      </c>
      <c r="V1066" s="2" t="s">
        <v>1933</v>
      </c>
      <c r="W1066" s="2" t="s">
        <v>2799</v>
      </c>
      <c r="X1066" s="13">
        <v>3500</v>
      </c>
      <c r="Y1066" s="2" t="s">
        <v>71</v>
      </c>
      <c r="Z1066" s="2" t="s">
        <v>72</v>
      </c>
      <c r="AA1066" s="13">
        <v>18880</v>
      </c>
      <c r="AB1066" s="2" t="s">
        <v>73</v>
      </c>
      <c r="AC1066" s="2" t="s">
        <v>6773</v>
      </c>
      <c r="AD1066" s="27">
        <v>43285</v>
      </c>
      <c r="AL1066" s="2" t="s">
        <v>5706</v>
      </c>
    </row>
    <row r="1067" spans="1:38" x14ac:dyDescent="0.2">
      <c r="A1067" s="2" t="s">
        <v>3291</v>
      </c>
      <c r="B1067" s="2" t="s">
        <v>4708</v>
      </c>
      <c r="C1067" s="2" t="s">
        <v>3303</v>
      </c>
      <c r="D1067" s="2" t="s">
        <v>3304</v>
      </c>
      <c r="E1067" s="13">
        <v>40600</v>
      </c>
      <c r="F1067" s="13">
        <v>40600</v>
      </c>
      <c r="G1067" s="14">
        <v>43291</v>
      </c>
      <c r="H1067" s="15">
        <v>0</v>
      </c>
      <c r="I1067" s="14">
        <v>43291</v>
      </c>
      <c r="J1067" s="15">
        <v>0.14499999999999999</v>
      </c>
      <c r="K1067" s="13">
        <v>0</v>
      </c>
      <c r="L1067" s="2" t="s">
        <v>64</v>
      </c>
      <c r="M1067" s="2" t="s">
        <v>3305</v>
      </c>
      <c r="N1067" s="14">
        <v>43311</v>
      </c>
      <c r="O1067" s="14">
        <v>43311</v>
      </c>
      <c r="P1067" s="2" t="s">
        <v>98</v>
      </c>
      <c r="Q1067" s="2" t="s">
        <v>3308</v>
      </c>
      <c r="R1067" s="2" t="s">
        <v>80</v>
      </c>
      <c r="S1067" s="14">
        <v>43320</v>
      </c>
      <c r="T1067" s="2" t="s">
        <v>6765</v>
      </c>
      <c r="U1067" s="2" t="s">
        <v>3306</v>
      </c>
      <c r="V1067" s="2" t="s">
        <v>1933</v>
      </c>
      <c r="W1067" s="2" t="s">
        <v>2799</v>
      </c>
      <c r="X1067" s="13">
        <v>3500</v>
      </c>
      <c r="Y1067" s="2" t="s">
        <v>71</v>
      </c>
      <c r="Z1067" s="2" t="s">
        <v>72</v>
      </c>
      <c r="AA1067" s="16">
        <v>40000.006000000001</v>
      </c>
      <c r="AB1067" s="2" t="s">
        <v>107</v>
      </c>
      <c r="AC1067" s="2" t="s">
        <v>6772</v>
      </c>
      <c r="AD1067" s="27">
        <v>43285</v>
      </c>
      <c r="AL1067" s="2" t="s">
        <v>5707</v>
      </c>
    </row>
    <row r="1068" spans="1:38" x14ac:dyDescent="0.2">
      <c r="A1068" s="2" t="s">
        <v>3291</v>
      </c>
      <c r="B1068" s="2" t="s">
        <v>4709</v>
      </c>
      <c r="C1068" s="2" t="s">
        <v>3303</v>
      </c>
      <c r="D1068" s="2" t="s">
        <v>3304</v>
      </c>
      <c r="E1068" s="16">
        <v>45674.999000000003</v>
      </c>
      <c r="F1068" s="16">
        <v>45674.999000000003</v>
      </c>
      <c r="G1068" s="14">
        <v>43292</v>
      </c>
      <c r="H1068" s="15">
        <v>0.75</v>
      </c>
      <c r="I1068" s="14">
        <v>43292</v>
      </c>
      <c r="J1068" s="15">
        <v>0.91312499999999996</v>
      </c>
      <c r="K1068" s="13">
        <v>0</v>
      </c>
      <c r="L1068" s="2" t="s">
        <v>64</v>
      </c>
      <c r="M1068" s="2" t="s">
        <v>3307</v>
      </c>
      <c r="N1068" s="14">
        <v>43312</v>
      </c>
      <c r="O1068" s="14">
        <v>43312</v>
      </c>
      <c r="P1068" s="2" t="s">
        <v>98</v>
      </c>
      <c r="Q1068" s="2" t="s">
        <v>3308</v>
      </c>
      <c r="R1068" s="2" t="s">
        <v>80</v>
      </c>
      <c r="S1068" s="14">
        <v>43320</v>
      </c>
      <c r="T1068" s="2" t="s">
        <v>6766</v>
      </c>
      <c r="U1068" s="2" t="s">
        <v>3306</v>
      </c>
      <c r="V1068" s="2" t="s">
        <v>1933</v>
      </c>
      <c r="W1068" s="2" t="s">
        <v>2799</v>
      </c>
      <c r="X1068" s="13">
        <v>3500</v>
      </c>
      <c r="Y1068" s="2" t="s">
        <v>71</v>
      </c>
      <c r="Z1068" s="2" t="s">
        <v>72</v>
      </c>
      <c r="AA1068" s="13">
        <v>45000</v>
      </c>
      <c r="AB1068" s="2" t="s">
        <v>73</v>
      </c>
      <c r="AC1068" s="2" t="s">
        <v>6772</v>
      </c>
      <c r="AD1068" s="27">
        <v>43287</v>
      </c>
      <c r="AL1068" s="2" t="s">
        <v>5708</v>
      </c>
    </row>
    <row r="1069" spans="1:38" x14ac:dyDescent="0.2">
      <c r="A1069" s="2" t="s">
        <v>3291</v>
      </c>
      <c r="B1069" s="2" t="s">
        <v>4710</v>
      </c>
      <c r="C1069" s="2" t="s">
        <v>3309</v>
      </c>
      <c r="D1069" s="2" t="s">
        <v>3310</v>
      </c>
      <c r="E1069" s="16">
        <v>44659.999000000003</v>
      </c>
      <c r="F1069" s="16">
        <v>44659.999000000003</v>
      </c>
      <c r="G1069" s="14">
        <v>43294</v>
      </c>
      <c r="H1069" s="15">
        <v>4.1666666666670002E-2</v>
      </c>
      <c r="I1069" s="14">
        <v>43294</v>
      </c>
      <c r="J1069" s="15">
        <v>0.20116898148147999</v>
      </c>
      <c r="K1069" s="13">
        <v>0</v>
      </c>
      <c r="L1069" s="2" t="s">
        <v>64</v>
      </c>
      <c r="M1069" s="2" t="s">
        <v>3311</v>
      </c>
      <c r="N1069" s="14">
        <v>43284</v>
      </c>
      <c r="O1069" s="14">
        <v>43296</v>
      </c>
      <c r="P1069" s="2" t="s">
        <v>98</v>
      </c>
      <c r="Q1069" s="2" t="s">
        <v>4711</v>
      </c>
      <c r="R1069" s="2" t="s">
        <v>93</v>
      </c>
      <c r="S1069" s="14">
        <v>43298</v>
      </c>
      <c r="T1069" s="2" t="s">
        <v>6767</v>
      </c>
      <c r="U1069" s="2" t="s">
        <v>3312</v>
      </c>
      <c r="V1069" s="2" t="s">
        <v>1933</v>
      </c>
      <c r="W1069" s="2" t="s">
        <v>2799</v>
      </c>
      <c r="X1069" s="13">
        <v>3500</v>
      </c>
      <c r="Y1069" s="2" t="s">
        <v>71</v>
      </c>
      <c r="Z1069" s="2" t="s">
        <v>72</v>
      </c>
      <c r="AA1069" s="13">
        <v>44000</v>
      </c>
      <c r="AB1069" s="2" t="s">
        <v>73</v>
      </c>
      <c r="AC1069" s="2" t="s">
        <v>6772</v>
      </c>
      <c r="AD1069" s="27">
        <v>43287</v>
      </c>
      <c r="AL1069" s="2" t="s">
        <v>5709</v>
      </c>
    </row>
    <row r="1070" spans="1:38" hidden="1" x14ac:dyDescent="0.2">
      <c r="A1070" s="2" t="s">
        <v>3291</v>
      </c>
      <c r="B1070" s="2" t="s">
        <v>3313</v>
      </c>
      <c r="C1070" s="2" t="s">
        <v>3309</v>
      </c>
      <c r="D1070" s="2" t="s">
        <v>3310</v>
      </c>
      <c r="E1070" s="16">
        <v>44659.999000000003</v>
      </c>
      <c r="F1070" s="16">
        <v>44659.999000000003</v>
      </c>
      <c r="G1070" s="14">
        <v>43297</v>
      </c>
      <c r="H1070" s="15">
        <v>0.20833333333333001</v>
      </c>
      <c r="I1070" s="14">
        <v>43297</v>
      </c>
      <c r="J1070" s="15">
        <v>0.36783564814815001</v>
      </c>
      <c r="K1070" s="13">
        <v>0</v>
      </c>
      <c r="L1070" s="2" t="s">
        <v>64</v>
      </c>
      <c r="M1070" s="2" t="s">
        <v>3311</v>
      </c>
      <c r="N1070" s="14">
        <v>43290</v>
      </c>
      <c r="O1070" s="14">
        <v>43299</v>
      </c>
      <c r="P1070" s="2" t="s">
        <v>98</v>
      </c>
      <c r="Q1070" s="2" t="s">
        <v>98</v>
      </c>
      <c r="R1070" s="2" t="s">
        <v>131</v>
      </c>
      <c r="S1070" s="14"/>
      <c r="U1070" s="2" t="s">
        <v>3312</v>
      </c>
      <c r="V1070" s="2" t="s">
        <v>1933</v>
      </c>
      <c r="W1070" s="2" t="s">
        <v>2799</v>
      </c>
      <c r="X1070" s="13">
        <v>0</v>
      </c>
      <c r="Y1070" s="2" t="s">
        <v>71</v>
      </c>
      <c r="Z1070" s="2" t="s">
        <v>72</v>
      </c>
      <c r="AA1070" s="13">
        <v>44000</v>
      </c>
      <c r="AB1070" s="2" t="s">
        <v>95</v>
      </c>
      <c r="AC1070" s="2" t="s">
        <v>6772</v>
      </c>
      <c r="AD1070" s="27"/>
      <c r="AL1070" s="2" t="s">
        <v>5710</v>
      </c>
    </row>
    <row r="1071" spans="1:38" hidden="1" x14ac:dyDescent="0.2">
      <c r="A1071" s="2" t="s">
        <v>3291</v>
      </c>
      <c r="B1071" s="2" t="s">
        <v>3314</v>
      </c>
      <c r="C1071" s="2" t="s">
        <v>3309</v>
      </c>
      <c r="D1071" s="2" t="s">
        <v>3310</v>
      </c>
      <c r="E1071" s="16">
        <v>44659.999000000003</v>
      </c>
      <c r="F1071" s="16">
        <v>44659.999000000003</v>
      </c>
      <c r="G1071" s="14">
        <v>43298</v>
      </c>
      <c r="H1071" s="15">
        <v>4.1666666666670002E-2</v>
      </c>
      <c r="I1071" s="14">
        <v>43298</v>
      </c>
      <c r="J1071" s="15">
        <v>0.20116898148147999</v>
      </c>
      <c r="K1071" s="13">
        <v>0</v>
      </c>
      <c r="L1071" s="2" t="s">
        <v>64</v>
      </c>
      <c r="M1071" s="2" t="s">
        <v>3311</v>
      </c>
      <c r="N1071" s="14">
        <v>43291</v>
      </c>
      <c r="O1071" s="14">
        <v>43300</v>
      </c>
      <c r="P1071" s="2" t="s">
        <v>98</v>
      </c>
      <c r="Q1071" s="2" t="s">
        <v>4711</v>
      </c>
      <c r="R1071" s="2" t="s">
        <v>67</v>
      </c>
      <c r="S1071" s="14">
        <v>43305</v>
      </c>
      <c r="U1071" s="2" t="s">
        <v>3312</v>
      </c>
      <c r="V1071" s="2" t="s">
        <v>1933</v>
      </c>
      <c r="W1071" s="2" t="s">
        <v>2799</v>
      </c>
      <c r="X1071" s="13">
        <v>0</v>
      </c>
      <c r="Y1071" s="2" t="s">
        <v>71</v>
      </c>
      <c r="Z1071" s="2" t="s">
        <v>72</v>
      </c>
      <c r="AA1071" s="13">
        <v>44000</v>
      </c>
      <c r="AB1071" s="2" t="s">
        <v>95</v>
      </c>
      <c r="AC1071" s="2" t="s">
        <v>6772</v>
      </c>
      <c r="AD1071" s="27"/>
      <c r="AL1071" s="2" t="s">
        <v>5711</v>
      </c>
    </row>
    <row r="1072" spans="1:38" hidden="1" x14ac:dyDescent="0.2">
      <c r="A1072" s="2" t="s">
        <v>3291</v>
      </c>
      <c r="B1072" s="2" t="s">
        <v>3315</v>
      </c>
      <c r="C1072" s="2" t="s">
        <v>3309</v>
      </c>
      <c r="D1072" s="2" t="s">
        <v>3310</v>
      </c>
      <c r="E1072" s="16">
        <v>44659.999000000003</v>
      </c>
      <c r="F1072" s="16">
        <v>44659.999000000003</v>
      </c>
      <c r="G1072" s="14">
        <v>43298</v>
      </c>
      <c r="H1072" s="15">
        <v>0.625</v>
      </c>
      <c r="I1072" s="14">
        <v>43298</v>
      </c>
      <c r="J1072" s="15">
        <v>0.78450231481481003</v>
      </c>
      <c r="K1072" s="13">
        <v>0</v>
      </c>
      <c r="L1072" s="2" t="s">
        <v>64</v>
      </c>
      <c r="M1072" s="2" t="s">
        <v>3311</v>
      </c>
      <c r="N1072" s="14">
        <v>43292</v>
      </c>
      <c r="O1072" s="14">
        <v>43300</v>
      </c>
      <c r="P1072" s="2" t="s">
        <v>98</v>
      </c>
      <c r="Q1072" s="2" t="s">
        <v>7112</v>
      </c>
      <c r="R1072" s="2" t="s">
        <v>80</v>
      </c>
      <c r="S1072" s="14">
        <v>43306</v>
      </c>
      <c r="U1072" s="2" t="s">
        <v>3312</v>
      </c>
      <c r="V1072" s="2" t="s">
        <v>1933</v>
      </c>
      <c r="W1072" s="2" t="s">
        <v>2799</v>
      </c>
      <c r="X1072" s="13">
        <v>0</v>
      </c>
      <c r="Y1072" s="2" t="s">
        <v>71</v>
      </c>
      <c r="Z1072" s="2" t="s">
        <v>72</v>
      </c>
      <c r="AA1072" s="13">
        <v>44000</v>
      </c>
      <c r="AB1072" s="2" t="s">
        <v>95</v>
      </c>
      <c r="AC1072" s="2" t="s">
        <v>6772</v>
      </c>
      <c r="AD1072" s="27"/>
      <c r="AL1072" s="2" t="s">
        <v>5712</v>
      </c>
    </row>
    <row r="1073" spans="1:38" hidden="1" x14ac:dyDescent="0.2">
      <c r="A1073" s="2" t="s">
        <v>3291</v>
      </c>
      <c r="B1073" s="2" t="s">
        <v>3316</v>
      </c>
      <c r="C1073" s="2" t="s">
        <v>3309</v>
      </c>
      <c r="D1073" s="2" t="s">
        <v>3310</v>
      </c>
      <c r="E1073" s="16">
        <v>44659.999000000003</v>
      </c>
      <c r="F1073" s="16">
        <v>44659.999000000003</v>
      </c>
      <c r="G1073" s="14">
        <v>43299</v>
      </c>
      <c r="H1073" s="15">
        <v>0.375</v>
      </c>
      <c r="I1073" s="14">
        <v>43299</v>
      </c>
      <c r="J1073" s="15">
        <v>0.53450231481481003</v>
      </c>
      <c r="K1073" s="13">
        <v>0</v>
      </c>
      <c r="L1073" s="2" t="s">
        <v>64</v>
      </c>
      <c r="M1073" s="2" t="s">
        <v>3311</v>
      </c>
      <c r="N1073" s="14">
        <v>43293</v>
      </c>
      <c r="O1073" s="14">
        <v>43301</v>
      </c>
      <c r="P1073" s="2" t="s">
        <v>98</v>
      </c>
      <c r="Q1073" s="2" t="s">
        <v>7113</v>
      </c>
      <c r="R1073" s="2" t="s">
        <v>80</v>
      </c>
      <c r="S1073" s="14">
        <v>43321</v>
      </c>
      <c r="U1073" s="2" t="s">
        <v>3312</v>
      </c>
      <c r="V1073" s="2" t="s">
        <v>1933</v>
      </c>
      <c r="W1073" s="2" t="s">
        <v>2799</v>
      </c>
      <c r="X1073" s="13">
        <v>0</v>
      </c>
      <c r="Y1073" s="2" t="s">
        <v>71</v>
      </c>
      <c r="Z1073" s="2" t="s">
        <v>72</v>
      </c>
      <c r="AA1073" s="13">
        <v>44000</v>
      </c>
      <c r="AB1073" s="2" t="s">
        <v>95</v>
      </c>
      <c r="AC1073" s="2" t="s">
        <v>6772</v>
      </c>
      <c r="AD1073" s="27"/>
      <c r="AL1073" s="2" t="s">
        <v>5713</v>
      </c>
    </row>
    <row r="1074" spans="1:38" hidden="1" x14ac:dyDescent="0.2">
      <c r="A1074" s="2" t="s">
        <v>3291</v>
      </c>
      <c r="B1074" s="2" t="s">
        <v>3292</v>
      </c>
      <c r="C1074" s="2" t="s">
        <v>3293</v>
      </c>
      <c r="D1074" s="2" t="s">
        <v>3294</v>
      </c>
      <c r="E1074" s="16">
        <v>30449.999</v>
      </c>
      <c r="F1074" s="16">
        <v>30449.999</v>
      </c>
      <c r="G1074" s="14">
        <v>43300</v>
      </c>
      <c r="H1074" s="15">
        <v>0.125</v>
      </c>
      <c r="I1074" s="14">
        <v>43300</v>
      </c>
      <c r="J1074" s="15">
        <v>0.23375000000000001</v>
      </c>
      <c r="K1074" s="13">
        <v>0</v>
      </c>
      <c r="L1074" s="2" t="s">
        <v>64</v>
      </c>
      <c r="M1074" s="2" t="s">
        <v>3295</v>
      </c>
      <c r="N1074" s="14">
        <v>43320</v>
      </c>
      <c r="O1074" s="14">
        <v>43320</v>
      </c>
      <c r="P1074" s="2" t="s">
        <v>98</v>
      </c>
      <c r="Q1074" s="2" t="s">
        <v>98</v>
      </c>
      <c r="R1074" s="2" t="s">
        <v>131</v>
      </c>
      <c r="S1074" s="14"/>
      <c r="T1074" s="2" t="s">
        <v>6768</v>
      </c>
      <c r="U1074" s="2" t="s">
        <v>3296</v>
      </c>
      <c r="V1074" s="2" t="s">
        <v>1933</v>
      </c>
      <c r="W1074" s="2" t="s">
        <v>2799</v>
      </c>
      <c r="X1074" s="13">
        <v>3500</v>
      </c>
      <c r="Y1074" s="2" t="s">
        <v>71</v>
      </c>
      <c r="Z1074" s="2" t="s">
        <v>72</v>
      </c>
      <c r="AA1074" s="13">
        <v>30000</v>
      </c>
      <c r="AB1074" s="2" t="s">
        <v>73</v>
      </c>
      <c r="AC1074" s="2" t="s">
        <v>6772</v>
      </c>
      <c r="AD1074" s="27">
        <v>43283</v>
      </c>
      <c r="AL1074" s="2" t="s">
        <v>5714</v>
      </c>
    </row>
    <row r="1075" spans="1:38" hidden="1" x14ac:dyDescent="0.2">
      <c r="A1075" s="2" t="s">
        <v>3291</v>
      </c>
      <c r="B1075" s="2" t="s">
        <v>3297</v>
      </c>
      <c r="C1075" s="2" t="s">
        <v>3293</v>
      </c>
      <c r="D1075" s="2" t="s">
        <v>3294</v>
      </c>
      <c r="E1075" s="16">
        <v>60899.998</v>
      </c>
      <c r="F1075" s="16">
        <v>60899.998</v>
      </c>
      <c r="G1075" s="14">
        <v>43300</v>
      </c>
      <c r="H1075" s="15">
        <v>0.875</v>
      </c>
      <c r="I1075" s="14">
        <v>43301</v>
      </c>
      <c r="J1075" s="15">
        <v>9.2499999999999999E-2</v>
      </c>
      <c r="K1075" s="13">
        <v>0</v>
      </c>
      <c r="L1075" s="2" t="s">
        <v>64</v>
      </c>
      <c r="M1075" s="2" t="s">
        <v>3298</v>
      </c>
      <c r="N1075" s="14">
        <v>43321</v>
      </c>
      <c r="O1075" s="14">
        <v>43321</v>
      </c>
      <c r="P1075" s="2" t="s">
        <v>98</v>
      </c>
      <c r="Q1075" s="2" t="s">
        <v>98</v>
      </c>
      <c r="R1075" s="2" t="s">
        <v>131</v>
      </c>
      <c r="S1075" s="14"/>
      <c r="T1075" s="2" t="s">
        <v>6769</v>
      </c>
      <c r="U1075" s="2" t="s">
        <v>3296</v>
      </c>
      <c r="V1075" s="2" t="s">
        <v>1933</v>
      </c>
      <c r="W1075" s="2" t="s">
        <v>2799</v>
      </c>
      <c r="X1075" s="13">
        <v>3500</v>
      </c>
      <c r="Y1075" s="2" t="s">
        <v>71</v>
      </c>
      <c r="Z1075" s="2" t="s">
        <v>72</v>
      </c>
      <c r="AA1075" s="13">
        <v>60000</v>
      </c>
      <c r="AB1075" s="2" t="s">
        <v>73</v>
      </c>
      <c r="AC1075" s="2" t="s">
        <v>6772</v>
      </c>
      <c r="AD1075" s="27">
        <v>43283</v>
      </c>
      <c r="AL1075" s="2" t="s">
        <v>5715</v>
      </c>
    </row>
    <row r="1076" spans="1:38" hidden="1" x14ac:dyDescent="0.2">
      <c r="A1076" s="2" t="s">
        <v>3291</v>
      </c>
      <c r="B1076" s="2" t="s">
        <v>3299</v>
      </c>
      <c r="C1076" s="2" t="s">
        <v>3300</v>
      </c>
      <c r="D1076" s="2" t="s">
        <v>3301</v>
      </c>
      <c r="E1076" s="16">
        <v>30449.999</v>
      </c>
      <c r="F1076" s="16">
        <v>30449.999</v>
      </c>
      <c r="G1076" s="14">
        <v>43301</v>
      </c>
      <c r="H1076" s="15">
        <v>0.54166666666666996</v>
      </c>
      <c r="I1076" s="14">
        <v>43301</v>
      </c>
      <c r="J1076" s="15">
        <v>0.65041666666666997</v>
      </c>
      <c r="K1076" s="13">
        <v>0</v>
      </c>
      <c r="L1076" s="2" t="s">
        <v>64</v>
      </c>
      <c r="M1076" s="2" t="s">
        <v>3295</v>
      </c>
      <c r="N1076" s="14">
        <v>43321</v>
      </c>
      <c r="O1076" s="14">
        <v>43321</v>
      </c>
      <c r="P1076" s="2" t="s">
        <v>98</v>
      </c>
      <c r="Q1076" s="2" t="s">
        <v>98</v>
      </c>
      <c r="R1076" s="2" t="s">
        <v>131</v>
      </c>
      <c r="S1076" s="14"/>
      <c r="T1076" s="2" t="s">
        <v>6770</v>
      </c>
      <c r="U1076" s="2" t="s">
        <v>3302</v>
      </c>
      <c r="V1076" s="2" t="s">
        <v>1933</v>
      </c>
      <c r="W1076" s="2" t="s">
        <v>2799</v>
      </c>
      <c r="X1076" s="13">
        <v>3500</v>
      </c>
      <c r="Y1076" s="2" t="s">
        <v>71</v>
      </c>
      <c r="Z1076" s="2" t="s">
        <v>72</v>
      </c>
      <c r="AA1076" s="13">
        <v>30000</v>
      </c>
      <c r="AB1076" s="2" t="s">
        <v>73</v>
      </c>
      <c r="AC1076" s="2" t="s">
        <v>6772</v>
      </c>
      <c r="AD1076" s="27">
        <v>43283</v>
      </c>
      <c r="AL1076" s="2" t="s">
        <v>5716</v>
      </c>
    </row>
  </sheetData>
  <autoFilter ref="A1:AL1076" xr:uid="{7F061ADC-D68B-44EF-84BE-2CF8B02A746E}">
    <filterColumn colId="6">
      <customFilters and="1">
        <customFilter operator="greaterThanOrEqual" val="43289"/>
        <customFilter operator="lessThanOrEqual" val="43295"/>
      </customFilters>
    </filterColumn>
  </autoFilter>
  <sortState ref="A2:AD1076">
    <sortCondition ref="A2:A1076"/>
    <sortCondition ref="G2:G1076"/>
    <sortCondition ref="H2:H1076"/>
  </sortState>
  <phoneticPr fontId="6" type="noConversion"/>
  <pageMargins left="0.7" right="0.7" top="0.75" bottom="0.75" header="0.3" footer="0.3"/>
  <pageSetup paperSize="9" orientation="portrait" r:id="rId1"/>
  <headerFooter>
    <oddHeader>&amp;L&amp;"SABIC Typeface Headline Light"&amp;10 Classification: Internal Use&amp;1#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PB1106"/>
  <sheetViews>
    <sheetView showGridLines="0" workbookViewId="0">
      <pane xSplit="4" ySplit="2" topLeftCell="E24" activePane="bottomRight" state="frozenSplit"/>
      <selection pane="topRight" activeCell="E1" sqref="E1"/>
      <selection pane="bottomLeft" activeCell="A3" sqref="A3"/>
      <selection pane="bottomRight" activeCell="BA2" sqref="BA2:CV2"/>
    </sheetView>
  </sheetViews>
  <sheetFormatPr defaultRowHeight="12.75" customHeight="1" x14ac:dyDescent="0.2"/>
  <cols>
    <col min="1" max="1" width="6.625" customWidth="1"/>
    <col min="2" max="2" width="1.625" hidden="1" customWidth="1"/>
    <col min="3" max="3" width="9" hidden="1" customWidth="1"/>
    <col min="4" max="4" width="0.875" style="23" customWidth="1"/>
    <col min="5" max="19" width="0.875" customWidth="1"/>
    <col min="20" max="20" width="0.875" style="18" customWidth="1"/>
    <col min="21" max="35" width="0.875" customWidth="1"/>
    <col min="36" max="36" width="0.875" style="18" customWidth="1"/>
    <col min="37" max="51" width="0.875" customWidth="1"/>
    <col min="52" max="52" width="0.875" style="19" customWidth="1"/>
    <col min="53" max="67" width="0.875" customWidth="1"/>
    <col min="68" max="68" width="0.875" style="18" customWidth="1"/>
    <col min="69" max="83" width="0.875" customWidth="1"/>
    <col min="84" max="84" width="0.875" style="18" customWidth="1"/>
    <col min="85" max="99" width="0.875" customWidth="1"/>
    <col min="100" max="100" width="0.875" style="19" customWidth="1"/>
    <col min="101" max="115" width="0.875" customWidth="1"/>
    <col min="116" max="116" width="0.875" style="18" customWidth="1"/>
    <col min="117" max="131" width="0.875" customWidth="1"/>
    <col min="132" max="132" width="0.875" style="18" customWidth="1"/>
    <col min="133" max="147" width="0.875" customWidth="1"/>
    <col min="148" max="148" width="0.875" style="19" customWidth="1"/>
    <col min="149" max="163" width="0.875" customWidth="1"/>
    <col min="164" max="164" width="0.875" style="18" customWidth="1"/>
    <col min="165" max="179" width="0.875" customWidth="1"/>
    <col min="180" max="180" width="0.875" style="18" customWidth="1"/>
    <col min="181" max="195" width="0.875" customWidth="1"/>
    <col min="196" max="196" width="0.875" style="19" customWidth="1"/>
    <col min="197" max="211" width="0.875" customWidth="1"/>
    <col min="212" max="212" width="0.875" style="18" customWidth="1"/>
    <col min="213" max="227" width="0.875" customWidth="1"/>
    <col min="228" max="228" width="0.875" style="18" customWidth="1"/>
    <col min="229" max="243" width="0.875" customWidth="1"/>
    <col min="244" max="244" width="0.875" style="19" customWidth="1"/>
    <col min="245" max="259" width="0.875" customWidth="1"/>
    <col min="260" max="260" width="0.875" style="18" customWidth="1"/>
    <col min="261" max="275" width="0.875" customWidth="1"/>
    <col min="276" max="276" width="0.875" style="18" customWidth="1"/>
    <col min="277" max="291" width="0.875" customWidth="1"/>
    <col min="292" max="292" width="0.875" style="19" customWidth="1"/>
    <col min="293" max="307" width="0.875" customWidth="1"/>
    <col min="308" max="308" width="0.875" style="18" customWidth="1"/>
    <col min="309" max="323" width="0.875" customWidth="1"/>
    <col min="324" max="324" width="0.875" style="18" customWidth="1"/>
    <col min="325" max="339" width="0.875" customWidth="1"/>
    <col min="340" max="340" width="0.875" style="19" customWidth="1"/>
    <col min="341" max="355" width="0.875" customWidth="1"/>
    <col min="356" max="356" width="0.875" style="18" customWidth="1"/>
    <col min="357" max="371" width="0.875" customWidth="1"/>
    <col min="372" max="372" width="0.875" style="18" customWidth="1"/>
    <col min="373" max="387" width="0.875" customWidth="1"/>
    <col min="388" max="388" width="0.875" style="19" customWidth="1"/>
    <col min="389" max="403" width="0.875" customWidth="1"/>
    <col min="404" max="404" width="0.875" style="18" customWidth="1"/>
    <col min="405" max="419" width="0.875" customWidth="1"/>
    <col min="420" max="420" width="0.875" style="18" customWidth="1"/>
    <col min="421" max="435" width="0.875" customWidth="1"/>
    <col min="436" max="436" width="0.875" style="19" customWidth="1"/>
    <col min="437" max="451" width="0.875" customWidth="1"/>
    <col min="452" max="452" width="0.875" style="18" customWidth="1"/>
    <col min="453" max="467" width="0.875" customWidth="1"/>
    <col min="468" max="468" width="0.875" style="18" customWidth="1"/>
    <col min="469" max="483" width="0.875" customWidth="1"/>
    <col min="484" max="484" width="0.875" style="19" customWidth="1"/>
    <col min="485" max="499" width="0.875" customWidth="1"/>
    <col min="500" max="500" width="0.875" style="18" customWidth="1"/>
    <col min="501" max="515" width="0.875" customWidth="1"/>
    <col min="516" max="516" width="0.875" style="18" customWidth="1"/>
    <col min="517" max="531" width="0.875" customWidth="1"/>
    <col min="532" max="532" width="0.875" style="19" customWidth="1"/>
    <col min="533" max="547" width="0.875" customWidth="1"/>
    <col min="548" max="548" width="0.875" style="18" customWidth="1"/>
    <col min="549" max="563" width="0.875" customWidth="1"/>
    <col min="564" max="564" width="0.875" style="18" customWidth="1"/>
    <col min="565" max="579" width="0.875" customWidth="1"/>
    <col min="580" max="580" width="0.875" style="19" customWidth="1"/>
    <col min="581" max="595" width="0.875" customWidth="1"/>
    <col min="596" max="596" width="0.875" style="18" customWidth="1"/>
    <col min="597" max="611" width="0.875" customWidth="1"/>
    <col min="612" max="612" width="0.875" style="18" customWidth="1"/>
    <col min="613" max="627" width="0.875" customWidth="1"/>
    <col min="628" max="628" width="0.875" style="19" customWidth="1"/>
    <col min="629" max="643" width="0.875" customWidth="1"/>
    <col min="644" max="644" width="0.875" style="18" customWidth="1"/>
    <col min="645" max="659" width="0.875" customWidth="1"/>
    <col min="660" max="660" width="0.875" style="18" customWidth="1"/>
    <col min="661" max="675" width="0.875" customWidth="1"/>
    <col min="676" max="676" width="0.875" style="19" customWidth="1"/>
    <col min="677" max="691" width="0.875" customWidth="1"/>
    <col min="692" max="692" width="0.875" style="18" customWidth="1"/>
    <col min="693" max="707" width="0.875" customWidth="1"/>
    <col min="708" max="708" width="0.875" style="18" customWidth="1"/>
    <col min="709" max="723" width="0.875" customWidth="1"/>
    <col min="724" max="724" width="0.875" style="19" customWidth="1"/>
    <col min="725" max="739" width="0.875" customWidth="1"/>
    <col min="740" max="740" width="0.875" style="18" customWidth="1"/>
    <col min="741" max="755" width="0.875" customWidth="1"/>
    <col min="756" max="756" width="0.875" style="18" customWidth="1"/>
    <col min="757" max="771" width="0.875" customWidth="1"/>
    <col min="772" max="772" width="0.875" style="19" customWidth="1"/>
    <col min="773" max="787" width="0.875" customWidth="1"/>
    <col min="788" max="788" width="0.875" style="18" customWidth="1"/>
    <col min="789" max="803" width="0.875" customWidth="1"/>
    <col min="804" max="804" width="0.875" style="18" customWidth="1"/>
    <col min="805" max="819" width="0.875" customWidth="1"/>
    <col min="820" max="820" width="0.875" style="19" customWidth="1"/>
    <col min="821" max="835" width="0.875" customWidth="1"/>
    <col min="836" max="836" width="0.875" style="18" customWidth="1"/>
    <col min="837" max="851" width="0.875" customWidth="1"/>
    <col min="852" max="852" width="0.875" style="18" customWidth="1"/>
    <col min="853" max="867" width="0.875" customWidth="1"/>
    <col min="868" max="868" width="0.875" style="19" customWidth="1"/>
    <col min="869" max="883" width="0.875" customWidth="1"/>
    <col min="884" max="884" width="0.875" style="18" customWidth="1"/>
    <col min="885" max="899" width="0.875" customWidth="1"/>
    <col min="900" max="900" width="0.875" style="18" customWidth="1"/>
    <col min="901" max="915" width="0.875" customWidth="1"/>
    <col min="916" max="916" width="0.875" style="19" customWidth="1"/>
    <col min="917" max="931" width="0.875" customWidth="1"/>
    <col min="932" max="932" width="0.875" style="18" customWidth="1"/>
    <col min="933" max="947" width="0.875" customWidth="1"/>
    <col min="948" max="948" width="0.875" style="18" customWidth="1"/>
    <col min="949" max="963" width="0.875" customWidth="1"/>
    <col min="964" max="964" width="0.875" style="19" customWidth="1"/>
    <col min="965" max="979" width="0.875" customWidth="1"/>
    <col min="980" max="980" width="0.875" style="18" customWidth="1"/>
    <col min="981" max="995" width="0.875" customWidth="1"/>
    <col min="996" max="996" width="0.875" style="18" customWidth="1"/>
    <col min="997" max="1011" width="0.875" customWidth="1"/>
    <col min="1012" max="1012" width="0.875" style="19" customWidth="1"/>
    <col min="1013" max="1027" width="0.875" customWidth="1"/>
    <col min="1028" max="1028" width="0.875" style="18" customWidth="1"/>
    <col min="1029" max="1043" width="0.875" customWidth="1"/>
    <col min="1044" max="1044" width="0.875" style="18" customWidth="1"/>
    <col min="1045" max="1059" width="0.875" customWidth="1"/>
    <col min="1060" max="1060" width="0.875" style="19" customWidth="1"/>
    <col min="1061" max="1075" width="0.875" customWidth="1"/>
    <col min="1076" max="1076" width="0.875" style="18" customWidth="1"/>
    <col min="1077" max="1091" width="0.875" customWidth="1"/>
    <col min="1092" max="1092" width="0.875" style="18" customWidth="1"/>
    <col min="1093" max="1107" width="0.875" customWidth="1"/>
    <col min="1108" max="1108" width="0.875" style="19" customWidth="1"/>
    <col min="1109" max="1123" width="0.875" customWidth="1"/>
    <col min="1124" max="1124" width="0.875" style="18" customWidth="1"/>
    <col min="1125" max="1139" width="0.875" customWidth="1"/>
    <col min="1140" max="1140" width="0.875" style="18" customWidth="1"/>
    <col min="1141" max="1155" width="0.875" customWidth="1"/>
    <col min="1156" max="1156" width="0.875" style="19" customWidth="1"/>
    <col min="1157" max="1171" width="0.875" customWidth="1"/>
    <col min="1172" max="1172" width="0.875" style="18" customWidth="1"/>
    <col min="1173" max="1187" width="0.875" customWidth="1"/>
    <col min="1188" max="1188" width="0.875" style="18" customWidth="1"/>
    <col min="1189" max="1203" width="0.875" customWidth="1"/>
    <col min="1204" max="1204" width="0.875" style="19" customWidth="1"/>
    <col min="1205" max="1219" width="0.875" customWidth="1"/>
    <col min="1220" max="1220" width="0.875" style="18" customWidth="1"/>
    <col min="1221" max="1235" width="0.875" customWidth="1"/>
    <col min="1236" max="1236" width="0.875" style="18" customWidth="1"/>
    <col min="1237" max="1251" width="0.875" customWidth="1"/>
    <col min="1252" max="1252" width="0.875" style="19" customWidth="1"/>
    <col min="1253" max="1267" width="0.875" customWidth="1"/>
    <col min="1268" max="1268" width="0.875" style="18" customWidth="1"/>
    <col min="1269" max="1283" width="0.875" customWidth="1"/>
    <col min="1284" max="1284" width="0.875" style="18" customWidth="1"/>
    <col min="1285" max="1299" width="0.875" customWidth="1"/>
    <col min="1300" max="1300" width="0.875" style="19" customWidth="1"/>
    <col min="1301" max="1315" width="0.875" customWidth="1"/>
    <col min="1316" max="1316" width="0.875" style="18" customWidth="1"/>
    <col min="1317" max="1331" width="0.875" customWidth="1"/>
    <col min="1332" max="1332" width="0.875" style="18" customWidth="1"/>
    <col min="1333" max="1347" width="0.875" customWidth="1"/>
    <col min="1348" max="1348" width="0.875" style="19" customWidth="1"/>
    <col min="1349" max="1363" width="0.875" customWidth="1"/>
    <col min="1364" max="1364" width="0.875" style="18" customWidth="1"/>
    <col min="1365" max="1379" width="0.875" customWidth="1"/>
    <col min="1380" max="1380" width="0.875" style="18" customWidth="1"/>
    <col min="1381" max="1395" width="0.875" customWidth="1"/>
    <col min="1396" max="1396" width="0.875" style="19" customWidth="1"/>
  </cols>
  <sheetData>
    <row r="1" spans="1:1429" s="20" customFormat="1" ht="23.1" customHeight="1" x14ac:dyDescent="0.25">
      <c r="A1" s="28" t="s">
        <v>6874</v>
      </c>
      <c r="B1" s="24">
        <v>43289</v>
      </c>
      <c r="D1" s="21" t="s">
        <v>7343</v>
      </c>
      <c r="E1" s="20">
        <v>1</v>
      </c>
      <c r="F1" s="20">
        <v>2</v>
      </c>
      <c r="G1" s="20">
        <v>3</v>
      </c>
      <c r="H1" s="20">
        <v>4</v>
      </c>
      <c r="I1" s="20">
        <v>5</v>
      </c>
      <c r="J1" s="20">
        <v>6</v>
      </c>
      <c r="K1" s="20">
        <v>7</v>
      </c>
      <c r="L1" s="20">
        <v>8</v>
      </c>
      <c r="M1" s="20">
        <v>9</v>
      </c>
      <c r="N1" s="20">
        <v>10</v>
      </c>
      <c r="O1" s="20">
        <v>11</v>
      </c>
      <c r="P1" s="20">
        <v>12</v>
      </c>
      <c r="Q1" s="20">
        <v>13</v>
      </c>
      <c r="R1" s="20">
        <v>14</v>
      </c>
      <c r="S1" s="20">
        <v>15</v>
      </c>
      <c r="T1" s="20">
        <v>16</v>
      </c>
      <c r="U1" s="20">
        <v>17</v>
      </c>
      <c r="V1" s="20">
        <v>18</v>
      </c>
      <c r="W1" s="20">
        <v>19</v>
      </c>
      <c r="X1" s="20">
        <v>20</v>
      </c>
      <c r="Y1" s="20">
        <v>21</v>
      </c>
      <c r="Z1" s="20">
        <v>22</v>
      </c>
      <c r="AA1" s="20">
        <v>23</v>
      </c>
      <c r="AB1" s="20">
        <v>24</v>
      </c>
      <c r="AC1" s="20">
        <v>25</v>
      </c>
      <c r="AD1" s="20">
        <v>26</v>
      </c>
      <c r="AE1" s="20">
        <v>27</v>
      </c>
      <c r="AF1" s="20">
        <v>28</v>
      </c>
      <c r="AG1" s="20">
        <v>29</v>
      </c>
      <c r="AH1" s="20">
        <v>30</v>
      </c>
      <c r="AI1" s="20">
        <v>31</v>
      </c>
      <c r="AJ1" s="20">
        <v>32</v>
      </c>
      <c r="AK1" s="20">
        <v>33</v>
      </c>
      <c r="AL1" s="20">
        <v>34</v>
      </c>
      <c r="AM1" s="20">
        <v>35</v>
      </c>
      <c r="AN1" s="20">
        <v>36</v>
      </c>
      <c r="AO1" s="20">
        <v>37</v>
      </c>
      <c r="AP1" s="20">
        <v>38</v>
      </c>
      <c r="AQ1" s="20">
        <v>39</v>
      </c>
      <c r="AR1" s="20">
        <v>40</v>
      </c>
      <c r="AS1" s="20">
        <v>41</v>
      </c>
      <c r="AT1" s="20">
        <v>42</v>
      </c>
      <c r="AU1" s="20">
        <v>43</v>
      </c>
      <c r="AV1" s="20">
        <v>44</v>
      </c>
      <c r="AW1" s="20">
        <v>45</v>
      </c>
      <c r="AX1" s="20">
        <v>46</v>
      </c>
      <c r="AY1" s="20">
        <v>47</v>
      </c>
      <c r="AZ1" s="20">
        <v>48</v>
      </c>
      <c r="BA1" s="20">
        <v>49</v>
      </c>
      <c r="BB1" s="20">
        <v>50</v>
      </c>
      <c r="BC1" s="20">
        <v>51</v>
      </c>
      <c r="BD1" s="20">
        <v>52</v>
      </c>
      <c r="BE1" s="20">
        <v>53</v>
      </c>
      <c r="BF1" s="20">
        <v>54</v>
      </c>
      <c r="BG1" s="20">
        <v>55</v>
      </c>
      <c r="BH1" s="20">
        <v>56</v>
      </c>
      <c r="BI1" s="20">
        <v>57</v>
      </c>
      <c r="BJ1" s="20">
        <v>58</v>
      </c>
      <c r="BK1" s="20">
        <v>59</v>
      </c>
      <c r="BL1" s="20">
        <v>60</v>
      </c>
      <c r="BM1" s="20">
        <v>61</v>
      </c>
      <c r="BN1" s="20">
        <v>62</v>
      </c>
      <c r="BO1" s="20">
        <v>63</v>
      </c>
      <c r="BP1" s="20">
        <v>64</v>
      </c>
      <c r="BQ1" s="20">
        <v>65</v>
      </c>
      <c r="BR1" s="20">
        <v>66</v>
      </c>
      <c r="BS1" s="20">
        <v>67</v>
      </c>
      <c r="BT1" s="20">
        <v>68</v>
      </c>
      <c r="BU1" s="20">
        <v>69</v>
      </c>
      <c r="BV1" s="20">
        <v>70</v>
      </c>
      <c r="BW1" s="20">
        <v>71</v>
      </c>
      <c r="BX1" s="20">
        <v>72</v>
      </c>
      <c r="BY1" s="20">
        <v>73</v>
      </c>
      <c r="BZ1" s="20">
        <v>74</v>
      </c>
      <c r="CA1" s="20">
        <v>75</v>
      </c>
      <c r="CB1" s="20">
        <v>76</v>
      </c>
      <c r="CC1" s="20">
        <v>77</v>
      </c>
      <c r="CD1" s="20">
        <v>78</v>
      </c>
      <c r="CE1" s="20">
        <v>79</v>
      </c>
      <c r="CF1" s="20">
        <v>80</v>
      </c>
      <c r="CG1" s="20">
        <v>81</v>
      </c>
      <c r="CH1" s="20">
        <v>82</v>
      </c>
      <c r="CI1" s="20">
        <v>83</v>
      </c>
      <c r="CJ1" s="20">
        <v>84</v>
      </c>
      <c r="CK1" s="20">
        <v>85</v>
      </c>
      <c r="CL1" s="20">
        <v>86</v>
      </c>
      <c r="CM1" s="20">
        <v>87</v>
      </c>
      <c r="CN1" s="20">
        <v>88</v>
      </c>
      <c r="CO1" s="20">
        <v>89</v>
      </c>
      <c r="CP1" s="20">
        <v>90</v>
      </c>
      <c r="CQ1" s="20">
        <v>91</v>
      </c>
      <c r="CR1" s="20">
        <v>92</v>
      </c>
      <c r="CS1" s="20">
        <v>93</v>
      </c>
      <c r="CT1" s="20">
        <v>94</v>
      </c>
      <c r="CU1" s="20">
        <v>95</v>
      </c>
      <c r="CV1" s="20">
        <v>96</v>
      </c>
      <c r="CW1" s="20">
        <v>97</v>
      </c>
      <c r="CX1" s="20">
        <v>98</v>
      </c>
      <c r="CY1" s="20">
        <v>99</v>
      </c>
      <c r="CZ1" s="20">
        <v>100</v>
      </c>
      <c r="DA1" s="20">
        <v>101</v>
      </c>
      <c r="DB1" s="20">
        <v>102</v>
      </c>
      <c r="DC1" s="20">
        <v>103</v>
      </c>
      <c r="DD1" s="20">
        <v>104</v>
      </c>
      <c r="DE1" s="20">
        <v>105</v>
      </c>
      <c r="DF1" s="20">
        <v>106</v>
      </c>
      <c r="DG1" s="20">
        <v>107</v>
      </c>
      <c r="DH1" s="20">
        <v>108</v>
      </c>
      <c r="DI1" s="20">
        <v>109</v>
      </c>
      <c r="DJ1" s="20">
        <v>110</v>
      </c>
      <c r="DK1" s="20">
        <v>111</v>
      </c>
      <c r="DL1" s="20">
        <v>112</v>
      </c>
      <c r="DM1" s="20">
        <v>113</v>
      </c>
      <c r="DN1" s="20">
        <v>114</v>
      </c>
      <c r="DO1" s="20">
        <v>115</v>
      </c>
      <c r="DP1" s="20">
        <v>116</v>
      </c>
      <c r="DQ1" s="20">
        <v>117</v>
      </c>
      <c r="DR1" s="20">
        <v>118</v>
      </c>
      <c r="DS1" s="20">
        <v>119</v>
      </c>
      <c r="DT1" s="20">
        <v>120</v>
      </c>
      <c r="DU1" s="20">
        <v>121</v>
      </c>
      <c r="DV1" s="20">
        <v>122</v>
      </c>
      <c r="DW1" s="20">
        <v>123</v>
      </c>
      <c r="DX1" s="20">
        <v>124</v>
      </c>
      <c r="DY1" s="20">
        <v>125</v>
      </c>
      <c r="DZ1" s="20">
        <v>126</v>
      </c>
      <c r="EA1" s="20">
        <v>127</v>
      </c>
      <c r="EB1" s="20">
        <v>128</v>
      </c>
      <c r="EC1" s="20">
        <v>129</v>
      </c>
      <c r="ED1" s="20">
        <v>130</v>
      </c>
      <c r="EE1" s="20">
        <v>131</v>
      </c>
      <c r="EF1" s="20">
        <v>132</v>
      </c>
      <c r="EG1" s="20">
        <v>133</v>
      </c>
      <c r="EH1" s="20">
        <v>134</v>
      </c>
      <c r="EI1" s="20">
        <v>135</v>
      </c>
      <c r="EJ1" s="20">
        <v>136</v>
      </c>
      <c r="EK1" s="20">
        <v>137</v>
      </c>
      <c r="EL1" s="20">
        <v>138</v>
      </c>
      <c r="EM1" s="20">
        <v>139</v>
      </c>
      <c r="EN1" s="20">
        <v>140</v>
      </c>
      <c r="EO1" s="20">
        <v>141</v>
      </c>
      <c r="EP1" s="20">
        <v>142</v>
      </c>
      <c r="EQ1" s="20">
        <v>143</v>
      </c>
      <c r="ER1" s="20">
        <v>144</v>
      </c>
      <c r="ES1" s="20">
        <v>145</v>
      </c>
      <c r="ET1" s="20">
        <v>146</v>
      </c>
      <c r="EU1" s="20">
        <v>147</v>
      </c>
      <c r="EV1" s="20">
        <v>148</v>
      </c>
      <c r="EW1" s="20">
        <v>149</v>
      </c>
      <c r="EX1" s="20">
        <v>150</v>
      </c>
      <c r="EY1" s="20">
        <v>151</v>
      </c>
      <c r="EZ1" s="20">
        <v>152</v>
      </c>
      <c r="FA1" s="20">
        <v>153</v>
      </c>
      <c r="FB1" s="20">
        <v>154</v>
      </c>
      <c r="FC1" s="20">
        <v>155</v>
      </c>
      <c r="FD1" s="20">
        <v>156</v>
      </c>
      <c r="FE1" s="20">
        <v>157</v>
      </c>
      <c r="FF1" s="20">
        <v>158</v>
      </c>
      <c r="FG1" s="20">
        <v>159</v>
      </c>
      <c r="FH1" s="20">
        <v>160</v>
      </c>
      <c r="FI1" s="20">
        <v>161</v>
      </c>
      <c r="FJ1" s="20">
        <v>162</v>
      </c>
      <c r="FK1" s="20">
        <v>163</v>
      </c>
      <c r="FL1" s="20">
        <v>164</v>
      </c>
      <c r="FM1" s="20">
        <v>165</v>
      </c>
      <c r="FN1" s="20">
        <v>166</v>
      </c>
      <c r="FO1" s="20">
        <v>167</v>
      </c>
      <c r="FP1" s="20">
        <v>168</v>
      </c>
      <c r="FQ1" s="20">
        <v>169</v>
      </c>
      <c r="FR1" s="20">
        <v>170</v>
      </c>
      <c r="FS1" s="20">
        <v>171</v>
      </c>
      <c r="FT1" s="20">
        <v>172</v>
      </c>
      <c r="FU1" s="20">
        <v>173</v>
      </c>
      <c r="FV1" s="20">
        <v>174</v>
      </c>
      <c r="FW1" s="20">
        <v>175</v>
      </c>
      <c r="FX1" s="20">
        <v>176</v>
      </c>
      <c r="FY1" s="20">
        <v>177</v>
      </c>
      <c r="FZ1" s="20">
        <v>178</v>
      </c>
      <c r="GA1" s="20">
        <v>179</v>
      </c>
      <c r="GB1" s="20">
        <v>180</v>
      </c>
      <c r="GC1" s="20">
        <v>181</v>
      </c>
      <c r="GD1" s="20">
        <v>182</v>
      </c>
      <c r="GE1" s="20">
        <v>183</v>
      </c>
      <c r="GF1" s="20">
        <v>184</v>
      </c>
      <c r="GG1" s="20">
        <v>185</v>
      </c>
      <c r="GH1" s="20">
        <v>186</v>
      </c>
      <c r="GI1" s="20">
        <v>187</v>
      </c>
      <c r="GJ1" s="20">
        <v>188</v>
      </c>
      <c r="GK1" s="20">
        <v>189</v>
      </c>
      <c r="GL1" s="20">
        <v>190</v>
      </c>
      <c r="GM1" s="20">
        <v>191</v>
      </c>
      <c r="GN1" s="20">
        <v>192</v>
      </c>
      <c r="GO1" s="20">
        <v>193</v>
      </c>
      <c r="GP1" s="20">
        <v>194</v>
      </c>
      <c r="GQ1" s="20">
        <v>195</v>
      </c>
      <c r="GR1" s="20">
        <v>196</v>
      </c>
      <c r="GS1" s="20">
        <v>197</v>
      </c>
      <c r="GT1" s="20">
        <v>198</v>
      </c>
      <c r="GU1" s="20">
        <v>199</v>
      </c>
      <c r="GV1" s="20">
        <v>200</v>
      </c>
      <c r="GW1" s="20">
        <v>201</v>
      </c>
      <c r="GX1" s="20">
        <v>202</v>
      </c>
      <c r="GY1" s="20">
        <v>203</v>
      </c>
      <c r="GZ1" s="20">
        <v>204</v>
      </c>
      <c r="HA1" s="20">
        <v>205</v>
      </c>
      <c r="HB1" s="20">
        <v>206</v>
      </c>
      <c r="HC1" s="20">
        <v>207</v>
      </c>
      <c r="HD1" s="20">
        <v>208</v>
      </c>
      <c r="HE1" s="20">
        <v>209</v>
      </c>
      <c r="HF1" s="20">
        <v>210</v>
      </c>
      <c r="HG1" s="20">
        <v>211</v>
      </c>
      <c r="HH1" s="20">
        <v>212</v>
      </c>
      <c r="HI1" s="20">
        <v>213</v>
      </c>
      <c r="HJ1" s="20">
        <v>214</v>
      </c>
      <c r="HK1" s="20">
        <v>215</v>
      </c>
      <c r="HL1" s="20">
        <v>216</v>
      </c>
      <c r="HM1" s="20">
        <v>217</v>
      </c>
      <c r="HN1" s="20">
        <v>218</v>
      </c>
      <c r="HO1" s="20">
        <v>219</v>
      </c>
      <c r="HP1" s="20">
        <v>220</v>
      </c>
      <c r="HQ1" s="20">
        <v>221</v>
      </c>
      <c r="HR1" s="20">
        <v>222</v>
      </c>
      <c r="HS1" s="20">
        <v>223</v>
      </c>
      <c r="HT1" s="20">
        <v>224</v>
      </c>
      <c r="HU1" s="20">
        <v>225</v>
      </c>
      <c r="HV1" s="20">
        <v>226</v>
      </c>
      <c r="HW1" s="20">
        <v>227</v>
      </c>
      <c r="HX1" s="20">
        <v>228</v>
      </c>
      <c r="HY1" s="20">
        <v>229</v>
      </c>
      <c r="HZ1" s="20">
        <v>230</v>
      </c>
      <c r="IA1" s="20">
        <v>231</v>
      </c>
      <c r="IB1" s="20">
        <v>232</v>
      </c>
      <c r="IC1" s="20">
        <v>233</v>
      </c>
      <c r="ID1" s="20">
        <v>234</v>
      </c>
      <c r="IE1" s="20">
        <v>235</v>
      </c>
      <c r="IF1" s="20">
        <v>236</v>
      </c>
      <c r="IG1" s="20">
        <v>237</v>
      </c>
      <c r="IH1" s="20">
        <v>238</v>
      </c>
      <c r="II1" s="20">
        <v>239</v>
      </c>
      <c r="IJ1" s="20">
        <v>240</v>
      </c>
      <c r="IK1" s="20">
        <v>241</v>
      </c>
      <c r="IL1" s="20">
        <v>242</v>
      </c>
      <c r="IM1" s="20">
        <v>243</v>
      </c>
      <c r="IN1" s="20">
        <v>244</v>
      </c>
      <c r="IO1" s="20">
        <v>245</v>
      </c>
      <c r="IP1" s="20">
        <v>246</v>
      </c>
      <c r="IQ1" s="20">
        <v>247</v>
      </c>
      <c r="IR1" s="20">
        <v>248</v>
      </c>
      <c r="IS1" s="20">
        <v>249</v>
      </c>
      <c r="IT1" s="20">
        <v>250</v>
      </c>
      <c r="IU1" s="20">
        <v>251</v>
      </c>
      <c r="IV1" s="20">
        <v>252</v>
      </c>
      <c r="IW1" s="20">
        <v>253</v>
      </c>
      <c r="IX1" s="20">
        <v>254</v>
      </c>
      <c r="IY1" s="20">
        <v>255</v>
      </c>
      <c r="IZ1" s="20">
        <v>256</v>
      </c>
      <c r="JA1" s="20">
        <v>257</v>
      </c>
      <c r="JB1" s="20">
        <v>258</v>
      </c>
      <c r="JC1" s="20">
        <v>259</v>
      </c>
      <c r="JD1" s="20">
        <v>260</v>
      </c>
      <c r="JE1" s="20">
        <v>261</v>
      </c>
      <c r="JF1" s="20">
        <v>262</v>
      </c>
      <c r="JG1" s="20">
        <v>263</v>
      </c>
      <c r="JH1" s="20">
        <v>264</v>
      </c>
      <c r="JI1" s="20">
        <v>265</v>
      </c>
      <c r="JJ1" s="20">
        <v>266</v>
      </c>
      <c r="JK1" s="20">
        <v>267</v>
      </c>
      <c r="JL1" s="20">
        <v>268</v>
      </c>
      <c r="JM1" s="20">
        <v>269</v>
      </c>
      <c r="JN1" s="20">
        <v>270</v>
      </c>
      <c r="JO1" s="20">
        <v>271</v>
      </c>
      <c r="JP1" s="20">
        <v>272</v>
      </c>
      <c r="JQ1" s="20">
        <v>273</v>
      </c>
      <c r="JR1" s="20">
        <v>274</v>
      </c>
      <c r="JS1" s="20">
        <v>275</v>
      </c>
      <c r="JT1" s="20">
        <v>276</v>
      </c>
      <c r="JU1" s="20">
        <v>277</v>
      </c>
      <c r="JV1" s="20">
        <v>278</v>
      </c>
      <c r="JW1" s="20">
        <v>279</v>
      </c>
      <c r="JX1" s="20">
        <v>280</v>
      </c>
      <c r="JY1" s="20">
        <v>281</v>
      </c>
      <c r="JZ1" s="20">
        <v>282</v>
      </c>
      <c r="KA1" s="20">
        <v>283</v>
      </c>
      <c r="KB1" s="20">
        <v>284</v>
      </c>
      <c r="KC1" s="20">
        <v>285</v>
      </c>
      <c r="KD1" s="20">
        <v>286</v>
      </c>
      <c r="KE1" s="20">
        <v>287</v>
      </c>
      <c r="KF1" s="20">
        <v>288</v>
      </c>
      <c r="KG1" s="20">
        <v>289</v>
      </c>
      <c r="KH1" s="20">
        <v>290</v>
      </c>
      <c r="KI1" s="20">
        <v>291</v>
      </c>
      <c r="KJ1" s="20">
        <v>292</v>
      </c>
      <c r="KK1" s="20">
        <v>293</v>
      </c>
      <c r="KL1" s="20">
        <v>294</v>
      </c>
      <c r="KM1" s="20">
        <v>295</v>
      </c>
      <c r="KN1" s="20">
        <v>296</v>
      </c>
      <c r="KO1" s="20">
        <v>297</v>
      </c>
      <c r="KP1" s="20">
        <v>298</v>
      </c>
      <c r="KQ1" s="20">
        <v>299</v>
      </c>
      <c r="KR1" s="20">
        <v>300</v>
      </c>
      <c r="KS1" s="20">
        <v>301</v>
      </c>
      <c r="KT1" s="20">
        <v>302</v>
      </c>
      <c r="KU1" s="20">
        <v>303</v>
      </c>
      <c r="KV1" s="20">
        <v>304</v>
      </c>
      <c r="KW1" s="20">
        <v>305</v>
      </c>
      <c r="KX1" s="20">
        <v>306</v>
      </c>
      <c r="KY1" s="20">
        <v>307</v>
      </c>
      <c r="KZ1" s="20">
        <v>308</v>
      </c>
      <c r="LA1" s="20">
        <v>309</v>
      </c>
      <c r="LB1" s="20">
        <v>310</v>
      </c>
      <c r="LC1" s="20">
        <v>311</v>
      </c>
      <c r="LD1" s="20">
        <v>312</v>
      </c>
      <c r="LE1" s="20">
        <v>313</v>
      </c>
      <c r="LF1" s="20">
        <v>314</v>
      </c>
      <c r="LG1" s="20">
        <v>315</v>
      </c>
      <c r="LH1" s="20">
        <v>316</v>
      </c>
      <c r="LI1" s="20">
        <v>317</v>
      </c>
      <c r="LJ1" s="20">
        <v>318</v>
      </c>
      <c r="LK1" s="20">
        <v>319</v>
      </c>
      <c r="LL1" s="20">
        <v>320</v>
      </c>
      <c r="LM1" s="20">
        <v>321</v>
      </c>
      <c r="LN1" s="20">
        <v>322</v>
      </c>
      <c r="LO1" s="20">
        <v>323</v>
      </c>
      <c r="LP1" s="20">
        <v>324</v>
      </c>
      <c r="LQ1" s="20">
        <v>325</v>
      </c>
      <c r="LR1" s="20">
        <v>326</v>
      </c>
      <c r="LS1" s="20">
        <v>327</v>
      </c>
      <c r="LT1" s="20">
        <v>328</v>
      </c>
      <c r="LU1" s="20">
        <v>329</v>
      </c>
      <c r="LV1" s="20">
        <v>330</v>
      </c>
      <c r="LW1" s="20">
        <v>331</v>
      </c>
      <c r="LX1" s="20">
        <v>332</v>
      </c>
      <c r="LY1" s="20">
        <v>333</v>
      </c>
      <c r="LZ1" s="20">
        <v>334</v>
      </c>
      <c r="MA1" s="20">
        <v>335</v>
      </c>
      <c r="MB1" s="20">
        <v>336</v>
      </c>
      <c r="MC1" s="20">
        <v>337</v>
      </c>
      <c r="MD1" s="20">
        <v>338</v>
      </c>
      <c r="ME1" s="20">
        <v>339</v>
      </c>
      <c r="MF1" s="20">
        <v>340</v>
      </c>
      <c r="MG1" s="20">
        <v>341</v>
      </c>
      <c r="MH1" s="20">
        <v>342</v>
      </c>
      <c r="MI1" s="20">
        <v>343</v>
      </c>
      <c r="MJ1" s="20">
        <v>344</v>
      </c>
      <c r="MK1" s="20">
        <v>345</v>
      </c>
      <c r="ML1" s="20">
        <v>346</v>
      </c>
      <c r="MM1" s="20">
        <v>347</v>
      </c>
      <c r="MN1" s="20">
        <v>348</v>
      </c>
      <c r="MO1" s="20">
        <v>349</v>
      </c>
      <c r="MP1" s="20">
        <v>350</v>
      </c>
      <c r="MQ1" s="20">
        <v>351</v>
      </c>
      <c r="MR1" s="20">
        <v>352</v>
      </c>
      <c r="MS1" s="20">
        <v>353</v>
      </c>
      <c r="MT1" s="20">
        <v>354</v>
      </c>
      <c r="MU1" s="20">
        <v>355</v>
      </c>
      <c r="MV1" s="20">
        <v>356</v>
      </c>
      <c r="MW1" s="20">
        <v>357</v>
      </c>
      <c r="MX1" s="20">
        <v>358</v>
      </c>
      <c r="MY1" s="20">
        <v>359</v>
      </c>
      <c r="MZ1" s="20">
        <v>360</v>
      </c>
      <c r="NA1" s="20">
        <v>361</v>
      </c>
      <c r="NB1" s="20">
        <v>362</v>
      </c>
      <c r="NC1" s="20">
        <v>363</v>
      </c>
      <c r="ND1" s="20">
        <v>364</v>
      </c>
      <c r="NE1" s="20">
        <v>365</v>
      </c>
      <c r="NF1" s="20">
        <v>366</v>
      </c>
      <c r="NG1" s="20">
        <v>367</v>
      </c>
      <c r="NH1" s="20">
        <v>368</v>
      </c>
      <c r="NI1" s="20">
        <v>369</v>
      </c>
      <c r="NJ1" s="20">
        <v>370</v>
      </c>
      <c r="NK1" s="20">
        <v>371</v>
      </c>
      <c r="NL1" s="20">
        <v>372</v>
      </c>
      <c r="NM1" s="20">
        <v>373</v>
      </c>
      <c r="NN1" s="20">
        <v>374</v>
      </c>
      <c r="NO1" s="20">
        <v>375</v>
      </c>
      <c r="NP1" s="20">
        <v>376</v>
      </c>
      <c r="NQ1" s="20">
        <v>377</v>
      </c>
      <c r="NR1" s="20">
        <v>378</v>
      </c>
      <c r="NS1" s="20">
        <v>379</v>
      </c>
      <c r="NT1" s="20">
        <v>380</v>
      </c>
      <c r="NU1" s="20">
        <v>381</v>
      </c>
      <c r="NV1" s="20">
        <v>382</v>
      </c>
      <c r="NW1" s="20">
        <v>383</v>
      </c>
      <c r="NX1" s="20">
        <v>384</v>
      </c>
      <c r="NY1" s="20">
        <v>385</v>
      </c>
      <c r="NZ1" s="20">
        <v>386</v>
      </c>
      <c r="OA1" s="20">
        <v>387</v>
      </c>
      <c r="OB1" s="20">
        <v>388</v>
      </c>
      <c r="OC1" s="20">
        <v>389</v>
      </c>
      <c r="OD1" s="20">
        <v>390</v>
      </c>
      <c r="OE1" s="20">
        <v>391</v>
      </c>
      <c r="OF1" s="20">
        <v>392</v>
      </c>
      <c r="OG1" s="20">
        <v>393</v>
      </c>
      <c r="OH1" s="20">
        <v>394</v>
      </c>
      <c r="OI1" s="20">
        <v>395</v>
      </c>
      <c r="OJ1" s="20">
        <v>396</v>
      </c>
      <c r="OK1" s="20">
        <v>397</v>
      </c>
      <c r="OL1" s="20">
        <v>398</v>
      </c>
      <c r="OM1" s="20">
        <v>399</v>
      </c>
      <c r="ON1" s="20">
        <v>400</v>
      </c>
      <c r="OO1" s="20">
        <v>401</v>
      </c>
      <c r="OP1" s="20">
        <v>402</v>
      </c>
      <c r="OQ1" s="20">
        <v>403</v>
      </c>
      <c r="OR1" s="20">
        <v>404</v>
      </c>
      <c r="OS1" s="20">
        <v>405</v>
      </c>
      <c r="OT1" s="20">
        <v>406</v>
      </c>
      <c r="OU1" s="20">
        <v>407</v>
      </c>
      <c r="OV1" s="20">
        <v>408</v>
      </c>
      <c r="OW1" s="20">
        <v>409</v>
      </c>
      <c r="OX1" s="20">
        <v>410</v>
      </c>
      <c r="OY1" s="20">
        <v>411</v>
      </c>
      <c r="OZ1" s="20">
        <v>412</v>
      </c>
      <c r="PA1" s="20">
        <v>413</v>
      </c>
      <c r="PB1" s="20">
        <v>414</v>
      </c>
      <c r="PC1" s="20">
        <v>415</v>
      </c>
      <c r="PD1" s="20">
        <v>416</v>
      </c>
      <c r="PE1" s="20">
        <v>417</v>
      </c>
      <c r="PF1" s="20">
        <v>418</v>
      </c>
      <c r="PG1" s="20">
        <v>419</v>
      </c>
      <c r="PH1" s="20">
        <v>420</v>
      </c>
      <c r="PI1" s="20">
        <v>421</v>
      </c>
      <c r="PJ1" s="20">
        <v>422</v>
      </c>
      <c r="PK1" s="20">
        <v>423</v>
      </c>
      <c r="PL1" s="20">
        <v>424</v>
      </c>
      <c r="PM1" s="20">
        <v>425</v>
      </c>
      <c r="PN1" s="20">
        <v>426</v>
      </c>
      <c r="PO1" s="20">
        <v>427</v>
      </c>
      <c r="PP1" s="20">
        <v>428</v>
      </c>
      <c r="PQ1" s="20">
        <v>429</v>
      </c>
      <c r="PR1" s="20">
        <v>430</v>
      </c>
      <c r="PS1" s="20">
        <v>431</v>
      </c>
      <c r="PT1" s="20">
        <v>432</v>
      </c>
      <c r="PU1" s="20">
        <v>433</v>
      </c>
      <c r="PV1" s="20">
        <v>434</v>
      </c>
      <c r="PW1" s="20">
        <v>435</v>
      </c>
      <c r="PX1" s="20">
        <v>436</v>
      </c>
      <c r="PY1" s="20">
        <v>437</v>
      </c>
      <c r="PZ1" s="20">
        <v>438</v>
      </c>
      <c r="QA1" s="20">
        <v>439</v>
      </c>
      <c r="QB1" s="20">
        <v>440</v>
      </c>
      <c r="QC1" s="20">
        <v>441</v>
      </c>
      <c r="QD1" s="20">
        <v>442</v>
      </c>
      <c r="QE1" s="20">
        <v>443</v>
      </c>
      <c r="QF1" s="20">
        <v>444</v>
      </c>
      <c r="QG1" s="20">
        <v>445</v>
      </c>
      <c r="QH1" s="20">
        <v>446</v>
      </c>
      <c r="QI1" s="20">
        <v>447</v>
      </c>
      <c r="QJ1" s="20">
        <v>448</v>
      </c>
      <c r="QK1" s="20">
        <v>449</v>
      </c>
      <c r="QL1" s="20">
        <v>450</v>
      </c>
      <c r="QM1" s="20">
        <v>451</v>
      </c>
      <c r="QN1" s="20">
        <v>452</v>
      </c>
      <c r="QO1" s="20">
        <v>453</v>
      </c>
      <c r="QP1" s="20">
        <v>454</v>
      </c>
      <c r="QQ1" s="20">
        <v>455</v>
      </c>
      <c r="QR1" s="20">
        <v>456</v>
      </c>
      <c r="QS1" s="20">
        <v>457</v>
      </c>
      <c r="QT1" s="20">
        <v>458</v>
      </c>
      <c r="QU1" s="20">
        <v>459</v>
      </c>
      <c r="QV1" s="20">
        <v>460</v>
      </c>
      <c r="QW1" s="20">
        <v>461</v>
      </c>
      <c r="QX1" s="20">
        <v>462</v>
      </c>
      <c r="QY1" s="20">
        <v>463</v>
      </c>
      <c r="QZ1" s="20">
        <v>464</v>
      </c>
      <c r="RA1" s="20">
        <v>465</v>
      </c>
      <c r="RB1" s="20">
        <v>466</v>
      </c>
      <c r="RC1" s="20">
        <v>467</v>
      </c>
      <c r="RD1" s="20">
        <v>468</v>
      </c>
      <c r="RE1" s="20">
        <v>469</v>
      </c>
      <c r="RF1" s="20">
        <v>470</v>
      </c>
      <c r="RG1" s="20">
        <v>471</v>
      </c>
      <c r="RH1" s="20">
        <v>472</v>
      </c>
      <c r="RI1" s="20">
        <v>473</v>
      </c>
      <c r="RJ1" s="20">
        <v>474</v>
      </c>
      <c r="RK1" s="20">
        <v>475</v>
      </c>
      <c r="RL1" s="20">
        <v>476</v>
      </c>
      <c r="RM1" s="20">
        <v>477</v>
      </c>
      <c r="RN1" s="20">
        <v>478</v>
      </c>
      <c r="RO1" s="20">
        <v>479</v>
      </c>
      <c r="RP1" s="20">
        <v>480</v>
      </c>
      <c r="RQ1" s="20">
        <v>481</v>
      </c>
      <c r="RR1" s="20">
        <v>482</v>
      </c>
      <c r="RS1" s="20">
        <v>483</v>
      </c>
      <c r="RT1" s="20">
        <v>484</v>
      </c>
      <c r="RU1" s="20">
        <v>485</v>
      </c>
      <c r="RV1" s="20">
        <v>486</v>
      </c>
      <c r="RW1" s="20">
        <v>487</v>
      </c>
      <c r="RX1" s="20">
        <v>488</v>
      </c>
      <c r="RY1" s="20">
        <v>489</v>
      </c>
      <c r="RZ1" s="20">
        <v>490</v>
      </c>
      <c r="SA1" s="20">
        <v>491</v>
      </c>
      <c r="SB1" s="20">
        <v>492</v>
      </c>
      <c r="SC1" s="20">
        <v>493</v>
      </c>
      <c r="SD1" s="20">
        <v>494</v>
      </c>
      <c r="SE1" s="20">
        <v>495</v>
      </c>
      <c r="SF1" s="20">
        <v>496</v>
      </c>
      <c r="SG1" s="20">
        <v>497</v>
      </c>
      <c r="SH1" s="20">
        <v>498</v>
      </c>
      <c r="SI1" s="20">
        <v>499</v>
      </c>
      <c r="SJ1" s="20">
        <v>500</v>
      </c>
      <c r="SK1" s="20">
        <v>501</v>
      </c>
      <c r="SL1" s="20">
        <v>502</v>
      </c>
      <c r="SM1" s="20">
        <v>503</v>
      </c>
      <c r="SN1" s="20">
        <v>504</v>
      </c>
      <c r="SO1" s="20">
        <v>505</v>
      </c>
      <c r="SP1" s="20">
        <v>506</v>
      </c>
      <c r="SQ1" s="20">
        <v>507</v>
      </c>
      <c r="SR1" s="20">
        <v>508</v>
      </c>
      <c r="SS1" s="20">
        <v>509</v>
      </c>
      <c r="ST1" s="20">
        <v>510</v>
      </c>
      <c r="SU1" s="20">
        <v>511</v>
      </c>
      <c r="SV1" s="20">
        <v>512</v>
      </c>
      <c r="SW1" s="20">
        <v>513</v>
      </c>
      <c r="SX1" s="20">
        <v>514</v>
      </c>
      <c r="SY1" s="20">
        <v>515</v>
      </c>
      <c r="SZ1" s="20">
        <v>516</v>
      </c>
      <c r="TA1" s="20">
        <v>517</v>
      </c>
      <c r="TB1" s="20">
        <v>518</v>
      </c>
      <c r="TC1" s="20">
        <v>519</v>
      </c>
      <c r="TD1" s="20">
        <v>520</v>
      </c>
      <c r="TE1" s="20">
        <v>521</v>
      </c>
      <c r="TF1" s="20">
        <v>522</v>
      </c>
      <c r="TG1" s="20">
        <v>523</v>
      </c>
      <c r="TH1" s="20">
        <v>524</v>
      </c>
      <c r="TI1" s="20">
        <v>525</v>
      </c>
      <c r="TJ1" s="20">
        <v>526</v>
      </c>
      <c r="TK1" s="20">
        <v>527</v>
      </c>
      <c r="TL1" s="20">
        <v>528</v>
      </c>
      <c r="TM1" s="20">
        <v>529</v>
      </c>
      <c r="TN1" s="20">
        <v>530</v>
      </c>
      <c r="TO1" s="20">
        <v>531</v>
      </c>
      <c r="TP1" s="20">
        <v>532</v>
      </c>
      <c r="TQ1" s="20">
        <v>533</v>
      </c>
      <c r="TR1" s="20">
        <v>534</v>
      </c>
      <c r="TS1" s="20">
        <v>535</v>
      </c>
      <c r="TT1" s="20">
        <v>536</v>
      </c>
      <c r="TU1" s="20">
        <v>537</v>
      </c>
      <c r="TV1" s="20">
        <v>538</v>
      </c>
      <c r="TW1" s="20">
        <v>539</v>
      </c>
      <c r="TX1" s="20">
        <v>540</v>
      </c>
      <c r="TY1" s="20">
        <v>541</v>
      </c>
      <c r="TZ1" s="20">
        <v>542</v>
      </c>
      <c r="UA1" s="20">
        <v>543</v>
      </c>
      <c r="UB1" s="20">
        <v>544</v>
      </c>
      <c r="UC1" s="20">
        <v>545</v>
      </c>
      <c r="UD1" s="20">
        <v>546</v>
      </c>
      <c r="UE1" s="20">
        <v>547</v>
      </c>
      <c r="UF1" s="20">
        <v>548</v>
      </c>
      <c r="UG1" s="20">
        <v>549</v>
      </c>
      <c r="UH1" s="20">
        <v>550</v>
      </c>
      <c r="UI1" s="20">
        <v>551</v>
      </c>
      <c r="UJ1" s="20">
        <v>552</v>
      </c>
      <c r="UK1" s="20">
        <v>553</v>
      </c>
      <c r="UL1" s="20">
        <v>554</v>
      </c>
      <c r="UM1" s="20">
        <v>555</v>
      </c>
      <c r="UN1" s="20">
        <v>556</v>
      </c>
      <c r="UO1" s="20">
        <v>557</v>
      </c>
      <c r="UP1" s="20">
        <v>558</v>
      </c>
      <c r="UQ1" s="20">
        <v>559</v>
      </c>
      <c r="UR1" s="20">
        <v>560</v>
      </c>
      <c r="US1" s="20">
        <v>561</v>
      </c>
      <c r="UT1" s="20">
        <v>562</v>
      </c>
      <c r="UU1" s="20">
        <v>563</v>
      </c>
      <c r="UV1" s="20">
        <v>564</v>
      </c>
      <c r="UW1" s="20">
        <v>565</v>
      </c>
      <c r="UX1" s="20">
        <v>566</v>
      </c>
      <c r="UY1" s="20">
        <v>567</v>
      </c>
      <c r="UZ1" s="20">
        <v>568</v>
      </c>
      <c r="VA1" s="20">
        <v>569</v>
      </c>
      <c r="VB1" s="20">
        <v>570</v>
      </c>
      <c r="VC1" s="20">
        <v>571</v>
      </c>
      <c r="VD1" s="20">
        <v>572</v>
      </c>
      <c r="VE1" s="20">
        <v>573</v>
      </c>
      <c r="VF1" s="20">
        <v>574</v>
      </c>
      <c r="VG1" s="20">
        <v>575</v>
      </c>
      <c r="VH1" s="20">
        <v>576</v>
      </c>
      <c r="VI1" s="20">
        <v>577</v>
      </c>
      <c r="VJ1" s="20">
        <v>578</v>
      </c>
      <c r="VK1" s="20">
        <v>579</v>
      </c>
      <c r="VL1" s="20">
        <v>580</v>
      </c>
      <c r="VM1" s="20">
        <v>581</v>
      </c>
      <c r="VN1" s="20">
        <v>582</v>
      </c>
      <c r="VO1" s="20">
        <v>583</v>
      </c>
      <c r="VP1" s="20">
        <v>584</v>
      </c>
      <c r="VQ1" s="20">
        <v>585</v>
      </c>
      <c r="VR1" s="20">
        <v>586</v>
      </c>
      <c r="VS1" s="20">
        <v>587</v>
      </c>
      <c r="VT1" s="20">
        <v>588</v>
      </c>
      <c r="VU1" s="20">
        <v>589</v>
      </c>
      <c r="VV1" s="20">
        <v>590</v>
      </c>
      <c r="VW1" s="20">
        <v>591</v>
      </c>
      <c r="VX1" s="20">
        <v>592</v>
      </c>
      <c r="VY1" s="20">
        <v>593</v>
      </c>
      <c r="VZ1" s="20">
        <v>594</v>
      </c>
      <c r="WA1" s="20">
        <v>595</v>
      </c>
      <c r="WB1" s="20">
        <v>596</v>
      </c>
      <c r="WC1" s="20">
        <v>597</v>
      </c>
      <c r="WD1" s="20">
        <v>598</v>
      </c>
      <c r="WE1" s="20">
        <v>599</v>
      </c>
      <c r="WF1" s="20">
        <v>600</v>
      </c>
      <c r="WG1" s="20">
        <v>601</v>
      </c>
      <c r="WH1" s="20">
        <v>602</v>
      </c>
      <c r="WI1" s="20">
        <v>603</v>
      </c>
      <c r="WJ1" s="20">
        <v>604</v>
      </c>
      <c r="WK1" s="20">
        <v>605</v>
      </c>
      <c r="WL1" s="20">
        <v>606</v>
      </c>
      <c r="WM1" s="20">
        <v>607</v>
      </c>
      <c r="WN1" s="20">
        <v>608</v>
      </c>
      <c r="WO1" s="20">
        <v>609</v>
      </c>
      <c r="WP1" s="20">
        <v>610</v>
      </c>
      <c r="WQ1" s="20">
        <v>611</v>
      </c>
      <c r="WR1" s="20">
        <v>612</v>
      </c>
      <c r="WS1" s="20">
        <v>613</v>
      </c>
      <c r="WT1" s="20">
        <v>614</v>
      </c>
      <c r="WU1" s="20">
        <v>615</v>
      </c>
      <c r="WV1" s="20">
        <v>616</v>
      </c>
      <c r="WW1" s="20">
        <v>617</v>
      </c>
      <c r="WX1" s="20">
        <v>618</v>
      </c>
      <c r="WY1" s="20">
        <v>619</v>
      </c>
      <c r="WZ1" s="20">
        <v>620</v>
      </c>
      <c r="XA1" s="20">
        <v>621</v>
      </c>
      <c r="XB1" s="20">
        <v>622</v>
      </c>
      <c r="XC1" s="20">
        <v>623</v>
      </c>
      <c r="XD1" s="20">
        <v>624</v>
      </c>
      <c r="XE1" s="20">
        <v>625</v>
      </c>
      <c r="XF1" s="20">
        <v>626</v>
      </c>
      <c r="XG1" s="20">
        <v>627</v>
      </c>
      <c r="XH1" s="20">
        <v>628</v>
      </c>
      <c r="XI1" s="20">
        <v>629</v>
      </c>
      <c r="XJ1" s="20">
        <v>630</v>
      </c>
      <c r="XK1" s="20">
        <v>631</v>
      </c>
      <c r="XL1" s="20">
        <v>632</v>
      </c>
      <c r="XM1" s="20">
        <v>633</v>
      </c>
      <c r="XN1" s="20">
        <v>634</v>
      </c>
      <c r="XO1" s="20">
        <v>635</v>
      </c>
      <c r="XP1" s="20">
        <v>636</v>
      </c>
      <c r="XQ1" s="20">
        <v>637</v>
      </c>
      <c r="XR1" s="20">
        <v>638</v>
      </c>
      <c r="XS1" s="20">
        <v>639</v>
      </c>
      <c r="XT1" s="20">
        <v>640</v>
      </c>
      <c r="XU1" s="20">
        <v>641</v>
      </c>
      <c r="XV1" s="20">
        <v>642</v>
      </c>
      <c r="XW1" s="20">
        <v>643</v>
      </c>
      <c r="XX1" s="20">
        <v>644</v>
      </c>
      <c r="XY1" s="20">
        <v>645</v>
      </c>
      <c r="XZ1" s="20">
        <v>646</v>
      </c>
      <c r="YA1" s="20">
        <v>647</v>
      </c>
      <c r="YB1" s="20">
        <v>648</v>
      </c>
      <c r="YC1" s="20">
        <v>649</v>
      </c>
      <c r="YD1" s="20">
        <v>650</v>
      </c>
      <c r="YE1" s="20">
        <v>651</v>
      </c>
      <c r="YF1" s="20">
        <v>652</v>
      </c>
      <c r="YG1" s="20">
        <v>653</v>
      </c>
      <c r="YH1" s="20">
        <v>654</v>
      </c>
      <c r="YI1" s="20">
        <v>655</v>
      </c>
      <c r="YJ1" s="20">
        <v>656</v>
      </c>
      <c r="YK1" s="20">
        <v>657</v>
      </c>
      <c r="YL1" s="20">
        <v>658</v>
      </c>
      <c r="YM1" s="20">
        <v>659</v>
      </c>
      <c r="YN1" s="20">
        <v>660</v>
      </c>
      <c r="YO1" s="20">
        <v>661</v>
      </c>
      <c r="YP1" s="20">
        <v>662</v>
      </c>
      <c r="YQ1" s="20">
        <v>663</v>
      </c>
      <c r="YR1" s="20">
        <v>664</v>
      </c>
      <c r="YS1" s="20">
        <v>665</v>
      </c>
      <c r="YT1" s="20">
        <v>666</v>
      </c>
      <c r="YU1" s="20">
        <v>667</v>
      </c>
      <c r="YV1" s="20">
        <v>668</v>
      </c>
      <c r="YW1" s="20">
        <v>669</v>
      </c>
      <c r="YX1" s="20">
        <v>670</v>
      </c>
      <c r="YY1" s="20">
        <v>671</v>
      </c>
      <c r="YZ1" s="20">
        <v>672</v>
      </c>
      <c r="ZA1" s="20">
        <v>673</v>
      </c>
      <c r="ZB1" s="20">
        <v>674</v>
      </c>
      <c r="ZC1" s="20">
        <v>675</v>
      </c>
      <c r="ZD1" s="20">
        <v>676</v>
      </c>
      <c r="ZE1" s="20">
        <v>677</v>
      </c>
      <c r="ZF1" s="20">
        <v>678</v>
      </c>
      <c r="ZG1" s="20">
        <v>679</v>
      </c>
      <c r="ZH1" s="20">
        <v>680</v>
      </c>
      <c r="ZI1" s="20">
        <v>681</v>
      </c>
      <c r="ZJ1" s="20">
        <v>682</v>
      </c>
      <c r="ZK1" s="20">
        <v>683</v>
      </c>
      <c r="ZL1" s="20">
        <v>684</v>
      </c>
      <c r="ZM1" s="20">
        <v>685</v>
      </c>
      <c r="ZN1" s="20">
        <v>686</v>
      </c>
      <c r="ZO1" s="20">
        <v>687</v>
      </c>
      <c r="ZP1" s="20">
        <v>688</v>
      </c>
      <c r="ZQ1" s="20">
        <v>689</v>
      </c>
      <c r="ZR1" s="20">
        <v>690</v>
      </c>
      <c r="ZS1" s="20">
        <v>691</v>
      </c>
      <c r="ZT1" s="20">
        <v>692</v>
      </c>
      <c r="ZU1" s="20">
        <v>693</v>
      </c>
      <c r="ZV1" s="20">
        <v>694</v>
      </c>
      <c r="ZW1" s="20">
        <v>695</v>
      </c>
      <c r="ZX1" s="20">
        <v>696</v>
      </c>
      <c r="ZY1" s="20">
        <v>697</v>
      </c>
      <c r="ZZ1" s="20">
        <v>698</v>
      </c>
      <c r="AAA1" s="20">
        <v>699</v>
      </c>
      <c r="AAB1" s="20">
        <v>700</v>
      </c>
      <c r="AAC1" s="20">
        <v>701</v>
      </c>
      <c r="AAD1" s="20">
        <v>702</v>
      </c>
      <c r="AAE1" s="20">
        <v>703</v>
      </c>
      <c r="AAF1" s="20">
        <v>704</v>
      </c>
      <c r="AAG1" s="20">
        <v>705</v>
      </c>
      <c r="AAH1" s="20">
        <v>706</v>
      </c>
      <c r="AAI1" s="20">
        <v>707</v>
      </c>
      <c r="AAJ1" s="20">
        <v>708</v>
      </c>
      <c r="AAK1" s="20">
        <v>709</v>
      </c>
      <c r="AAL1" s="20">
        <v>710</v>
      </c>
      <c r="AAM1" s="20">
        <v>711</v>
      </c>
      <c r="AAN1" s="20">
        <v>712</v>
      </c>
      <c r="AAO1" s="20">
        <v>713</v>
      </c>
      <c r="AAP1" s="20">
        <v>714</v>
      </c>
      <c r="AAQ1" s="20">
        <v>715</v>
      </c>
      <c r="AAR1" s="20">
        <v>716</v>
      </c>
      <c r="AAS1" s="20">
        <v>717</v>
      </c>
      <c r="AAT1" s="20">
        <v>718</v>
      </c>
      <c r="AAU1" s="20">
        <v>719</v>
      </c>
      <c r="AAV1" s="20">
        <v>720</v>
      </c>
      <c r="AAW1" s="20">
        <v>721</v>
      </c>
      <c r="AAX1" s="20">
        <v>722</v>
      </c>
      <c r="AAY1" s="20">
        <v>723</v>
      </c>
      <c r="AAZ1" s="20">
        <v>724</v>
      </c>
      <c r="ABA1" s="20">
        <v>725</v>
      </c>
      <c r="ABB1" s="20">
        <v>726</v>
      </c>
      <c r="ABC1" s="20">
        <v>727</v>
      </c>
      <c r="ABD1" s="20">
        <v>728</v>
      </c>
      <c r="ABE1" s="20">
        <v>729</v>
      </c>
      <c r="ABF1" s="20">
        <v>730</v>
      </c>
      <c r="ABG1" s="20">
        <v>731</v>
      </c>
      <c r="ABH1" s="20">
        <v>732</v>
      </c>
      <c r="ABI1" s="20">
        <v>733</v>
      </c>
      <c r="ABJ1" s="20">
        <v>734</v>
      </c>
      <c r="ABK1" s="20">
        <v>735</v>
      </c>
      <c r="ABL1" s="20">
        <v>736</v>
      </c>
      <c r="ABM1" s="20">
        <v>737</v>
      </c>
      <c r="ABN1" s="20">
        <v>738</v>
      </c>
      <c r="ABO1" s="20">
        <v>739</v>
      </c>
      <c r="ABP1" s="20">
        <v>740</v>
      </c>
      <c r="ABQ1" s="20">
        <v>741</v>
      </c>
      <c r="ABR1" s="20">
        <v>742</v>
      </c>
      <c r="ABS1" s="20">
        <v>743</v>
      </c>
      <c r="ABT1" s="20">
        <v>744</v>
      </c>
      <c r="ABU1" s="20">
        <v>745</v>
      </c>
      <c r="ABV1" s="20">
        <v>746</v>
      </c>
      <c r="ABW1" s="20">
        <v>747</v>
      </c>
      <c r="ABX1" s="20">
        <v>748</v>
      </c>
      <c r="ABY1" s="20">
        <v>749</v>
      </c>
      <c r="ABZ1" s="20">
        <v>750</v>
      </c>
      <c r="ACA1" s="20">
        <v>751</v>
      </c>
      <c r="ACB1" s="20">
        <v>752</v>
      </c>
      <c r="ACC1" s="20">
        <v>753</v>
      </c>
      <c r="ACD1" s="20">
        <v>754</v>
      </c>
      <c r="ACE1" s="20">
        <v>755</v>
      </c>
      <c r="ACF1" s="20">
        <v>756</v>
      </c>
      <c r="ACG1" s="20">
        <v>757</v>
      </c>
      <c r="ACH1" s="20">
        <v>758</v>
      </c>
      <c r="ACI1" s="20">
        <v>759</v>
      </c>
      <c r="ACJ1" s="20">
        <v>760</v>
      </c>
      <c r="ACK1" s="20">
        <v>761</v>
      </c>
      <c r="ACL1" s="20">
        <v>762</v>
      </c>
      <c r="ACM1" s="20">
        <v>763</v>
      </c>
      <c r="ACN1" s="20">
        <v>764</v>
      </c>
      <c r="ACO1" s="20">
        <v>765</v>
      </c>
      <c r="ACP1" s="20">
        <v>766</v>
      </c>
      <c r="ACQ1" s="20">
        <v>767</v>
      </c>
      <c r="ACR1" s="20">
        <v>768</v>
      </c>
      <c r="ACS1" s="20">
        <v>769</v>
      </c>
      <c r="ACT1" s="20">
        <v>770</v>
      </c>
      <c r="ACU1" s="20">
        <v>771</v>
      </c>
      <c r="ACV1" s="20">
        <v>772</v>
      </c>
      <c r="ACW1" s="20">
        <v>773</v>
      </c>
      <c r="ACX1" s="20">
        <v>774</v>
      </c>
      <c r="ACY1" s="20">
        <v>775</v>
      </c>
      <c r="ACZ1" s="20">
        <v>776</v>
      </c>
      <c r="ADA1" s="20">
        <v>777</v>
      </c>
      <c r="ADB1" s="20">
        <v>778</v>
      </c>
      <c r="ADC1" s="20">
        <v>779</v>
      </c>
      <c r="ADD1" s="20">
        <v>780</v>
      </c>
      <c r="ADE1" s="20">
        <v>781</v>
      </c>
      <c r="ADF1" s="20">
        <v>782</v>
      </c>
      <c r="ADG1" s="20">
        <v>783</v>
      </c>
      <c r="ADH1" s="20">
        <v>784</v>
      </c>
      <c r="ADI1" s="20">
        <v>785</v>
      </c>
      <c r="ADJ1" s="20">
        <v>786</v>
      </c>
      <c r="ADK1" s="20">
        <v>787</v>
      </c>
      <c r="ADL1" s="20">
        <v>788</v>
      </c>
      <c r="ADM1" s="20">
        <v>789</v>
      </c>
      <c r="ADN1" s="20">
        <v>790</v>
      </c>
      <c r="ADO1" s="20">
        <v>791</v>
      </c>
      <c r="ADP1" s="20">
        <v>792</v>
      </c>
      <c r="ADQ1" s="20">
        <v>793</v>
      </c>
      <c r="ADR1" s="20">
        <v>794</v>
      </c>
      <c r="ADS1" s="20">
        <v>795</v>
      </c>
      <c r="ADT1" s="20">
        <v>796</v>
      </c>
      <c r="ADU1" s="20">
        <v>797</v>
      </c>
      <c r="ADV1" s="20">
        <v>798</v>
      </c>
      <c r="ADW1" s="20">
        <v>799</v>
      </c>
      <c r="ADX1" s="20">
        <v>800</v>
      </c>
      <c r="ADY1" s="20">
        <v>801</v>
      </c>
      <c r="ADZ1" s="20">
        <v>802</v>
      </c>
      <c r="AEA1" s="20">
        <v>803</v>
      </c>
      <c r="AEB1" s="20">
        <v>804</v>
      </c>
      <c r="AEC1" s="20">
        <v>805</v>
      </c>
      <c r="AED1" s="20">
        <v>806</v>
      </c>
      <c r="AEE1" s="20">
        <v>807</v>
      </c>
      <c r="AEF1" s="20">
        <v>808</v>
      </c>
      <c r="AEG1" s="20">
        <v>809</v>
      </c>
      <c r="AEH1" s="20">
        <v>810</v>
      </c>
      <c r="AEI1" s="20">
        <v>811</v>
      </c>
      <c r="AEJ1" s="20">
        <v>812</v>
      </c>
      <c r="AEK1" s="20">
        <v>813</v>
      </c>
      <c r="AEL1" s="20">
        <v>814</v>
      </c>
      <c r="AEM1" s="20">
        <v>815</v>
      </c>
      <c r="AEN1" s="20">
        <v>816</v>
      </c>
      <c r="AEO1" s="20">
        <v>817</v>
      </c>
      <c r="AEP1" s="20">
        <v>818</v>
      </c>
      <c r="AEQ1" s="20">
        <v>819</v>
      </c>
      <c r="AER1" s="20">
        <v>820</v>
      </c>
      <c r="AES1" s="20">
        <v>821</v>
      </c>
      <c r="AET1" s="20">
        <v>822</v>
      </c>
      <c r="AEU1" s="20">
        <v>823</v>
      </c>
      <c r="AEV1" s="20">
        <v>824</v>
      </c>
      <c r="AEW1" s="20">
        <v>825</v>
      </c>
      <c r="AEX1" s="20">
        <v>826</v>
      </c>
      <c r="AEY1" s="20">
        <v>827</v>
      </c>
      <c r="AEZ1" s="20">
        <v>828</v>
      </c>
      <c r="AFA1" s="20">
        <v>829</v>
      </c>
      <c r="AFB1" s="20">
        <v>830</v>
      </c>
      <c r="AFC1" s="20">
        <v>831</v>
      </c>
      <c r="AFD1" s="20">
        <v>832</v>
      </c>
      <c r="AFE1" s="20">
        <v>833</v>
      </c>
      <c r="AFF1" s="20">
        <v>834</v>
      </c>
      <c r="AFG1" s="20">
        <v>835</v>
      </c>
      <c r="AFH1" s="20">
        <v>836</v>
      </c>
      <c r="AFI1" s="20">
        <v>837</v>
      </c>
      <c r="AFJ1" s="20">
        <v>838</v>
      </c>
      <c r="AFK1" s="20">
        <v>839</v>
      </c>
      <c r="AFL1" s="20">
        <v>840</v>
      </c>
      <c r="AFM1" s="20">
        <v>841</v>
      </c>
      <c r="AFN1" s="20">
        <v>842</v>
      </c>
      <c r="AFO1" s="20">
        <v>843</v>
      </c>
      <c r="AFP1" s="20">
        <v>844</v>
      </c>
      <c r="AFQ1" s="20">
        <v>845</v>
      </c>
      <c r="AFR1" s="20">
        <v>846</v>
      </c>
      <c r="AFS1" s="20">
        <v>847</v>
      </c>
      <c r="AFT1" s="20">
        <v>848</v>
      </c>
      <c r="AFU1" s="20">
        <v>849</v>
      </c>
      <c r="AFV1" s="20">
        <v>850</v>
      </c>
      <c r="AFW1" s="20">
        <v>851</v>
      </c>
      <c r="AFX1" s="20">
        <v>852</v>
      </c>
      <c r="AFY1" s="20">
        <v>853</v>
      </c>
      <c r="AFZ1" s="20">
        <v>854</v>
      </c>
      <c r="AGA1" s="20">
        <v>855</v>
      </c>
      <c r="AGB1" s="20">
        <v>856</v>
      </c>
      <c r="AGC1" s="20">
        <v>857</v>
      </c>
      <c r="AGD1" s="20">
        <v>858</v>
      </c>
      <c r="AGE1" s="20">
        <v>859</v>
      </c>
      <c r="AGF1" s="20">
        <v>860</v>
      </c>
      <c r="AGG1" s="20">
        <v>861</v>
      </c>
      <c r="AGH1" s="20">
        <v>862</v>
      </c>
      <c r="AGI1" s="20">
        <v>863</v>
      </c>
      <c r="AGJ1" s="20">
        <v>864</v>
      </c>
      <c r="AGK1" s="20">
        <v>865</v>
      </c>
      <c r="AGL1" s="20">
        <v>866</v>
      </c>
      <c r="AGM1" s="20">
        <v>867</v>
      </c>
      <c r="AGN1" s="20">
        <v>868</v>
      </c>
      <c r="AGO1" s="20">
        <v>869</v>
      </c>
      <c r="AGP1" s="20">
        <v>870</v>
      </c>
      <c r="AGQ1" s="20">
        <v>871</v>
      </c>
      <c r="AGR1" s="20">
        <v>872</v>
      </c>
      <c r="AGS1" s="20">
        <v>873</v>
      </c>
      <c r="AGT1" s="20">
        <v>874</v>
      </c>
      <c r="AGU1" s="20">
        <v>875</v>
      </c>
      <c r="AGV1" s="20">
        <v>876</v>
      </c>
      <c r="AGW1" s="20">
        <v>877</v>
      </c>
      <c r="AGX1" s="20">
        <v>878</v>
      </c>
      <c r="AGY1" s="20">
        <v>879</v>
      </c>
      <c r="AGZ1" s="20">
        <v>880</v>
      </c>
      <c r="AHA1" s="20">
        <v>881</v>
      </c>
      <c r="AHB1" s="20">
        <v>882</v>
      </c>
      <c r="AHC1" s="20">
        <v>883</v>
      </c>
      <c r="AHD1" s="20">
        <v>884</v>
      </c>
      <c r="AHE1" s="20">
        <v>885</v>
      </c>
      <c r="AHF1" s="20">
        <v>886</v>
      </c>
      <c r="AHG1" s="20">
        <v>887</v>
      </c>
      <c r="AHH1" s="20">
        <v>888</v>
      </c>
      <c r="AHI1" s="20">
        <v>889</v>
      </c>
      <c r="AHJ1" s="20">
        <v>890</v>
      </c>
      <c r="AHK1" s="20">
        <v>891</v>
      </c>
      <c r="AHL1" s="20">
        <v>892</v>
      </c>
      <c r="AHM1" s="20">
        <v>893</v>
      </c>
      <c r="AHN1" s="20">
        <v>894</v>
      </c>
      <c r="AHO1" s="20">
        <v>895</v>
      </c>
      <c r="AHP1" s="20">
        <v>896</v>
      </c>
      <c r="AHQ1" s="20">
        <v>897</v>
      </c>
      <c r="AHR1" s="20">
        <v>898</v>
      </c>
      <c r="AHS1" s="20">
        <v>899</v>
      </c>
      <c r="AHT1" s="20">
        <v>900</v>
      </c>
      <c r="AHU1" s="20">
        <v>901</v>
      </c>
      <c r="AHV1" s="20">
        <v>902</v>
      </c>
      <c r="AHW1" s="20">
        <v>903</v>
      </c>
      <c r="AHX1" s="20">
        <v>904</v>
      </c>
      <c r="AHY1" s="20">
        <v>905</v>
      </c>
      <c r="AHZ1" s="20">
        <v>906</v>
      </c>
      <c r="AIA1" s="20">
        <v>907</v>
      </c>
      <c r="AIB1" s="20">
        <v>908</v>
      </c>
      <c r="AIC1" s="20">
        <v>909</v>
      </c>
      <c r="AID1" s="20">
        <v>910</v>
      </c>
      <c r="AIE1" s="20">
        <v>911</v>
      </c>
      <c r="AIF1" s="20">
        <v>912</v>
      </c>
      <c r="AIG1" s="20">
        <v>913</v>
      </c>
      <c r="AIH1" s="20">
        <v>914</v>
      </c>
      <c r="AII1" s="20">
        <v>915</v>
      </c>
      <c r="AIJ1" s="20">
        <v>916</v>
      </c>
      <c r="AIK1" s="20">
        <v>917</v>
      </c>
      <c r="AIL1" s="20">
        <v>918</v>
      </c>
      <c r="AIM1" s="20">
        <v>919</v>
      </c>
      <c r="AIN1" s="20">
        <v>920</v>
      </c>
      <c r="AIO1" s="20">
        <v>921</v>
      </c>
      <c r="AIP1" s="20">
        <v>922</v>
      </c>
      <c r="AIQ1" s="20">
        <v>923</v>
      </c>
      <c r="AIR1" s="20">
        <v>924</v>
      </c>
      <c r="AIS1" s="20">
        <v>925</v>
      </c>
      <c r="AIT1" s="20">
        <v>926</v>
      </c>
      <c r="AIU1" s="20">
        <v>927</v>
      </c>
      <c r="AIV1" s="20">
        <v>928</v>
      </c>
      <c r="AIW1" s="20">
        <v>929</v>
      </c>
      <c r="AIX1" s="20">
        <v>930</v>
      </c>
      <c r="AIY1" s="20">
        <v>931</v>
      </c>
      <c r="AIZ1" s="20">
        <v>932</v>
      </c>
      <c r="AJA1" s="20">
        <v>933</v>
      </c>
      <c r="AJB1" s="20">
        <v>934</v>
      </c>
      <c r="AJC1" s="20">
        <v>935</v>
      </c>
      <c r="AJD1" s="20">
        <v>936</v>
      </c>
      <c r="AJE1" s="20">
        <v>937</v>
      </c>
      <c r="AJF1" s="20">
        <v>938</v>
      </c>
      <c r="AJG1" s="20">
        <v>939</v>
      </c>
      <c r="AJH1" s="20">
        <v>940</v>
      </c>
      <c r="AJI1" s="20">
        <v>941</v>
      </c>
      <c r="AJJ1" s="20">
        <v>942</v>
      </c>
      <c r="AJK1" s="20">
        <v>943</v>
      </c>
      <c r="AJL1" s="20">
        <v>944</v>
      </c>
      <c r="AJM1" s="20">
        <v>945</v>
      </c>
      <c r="AJN1" s="20">
        <v>946</v>
      </c>
      <c r="AJO1" s="20">
        <v>947</v>
      </c>
      <c r="AJP1" s="20">
        <v>948</v>
      </c>
      <c r="AJQ1" s="20">
        <v>949</v>
      </c>
      <c r="AJR1" s="20">
        <v>950</v>
      </c>
      <c r="AJS1" s="20">
        <v>951</v>
      </c>
      <c r="AJT1" s="20">
        <v>952</v>
      </c>
      <c r="AJU1" s="20">
        <v>953</v>
      </c>
      <c r="AJV1" s="20">
        <v>954</v>
      </c>
      <c r="AJW1" s="20">
        <v>955</v>
      </c>
      <c r="AJX1" s="20">
        <v>956</v>
      </c>
      <c r="AJY1" s="20">
        <v>957</v>
      </c>
      <c r="AJZ1" s="20">
        <v>958</v>
      </c>
      <c r="AKA1" s="20">
        <v>959</v>
      </c>
      <c r="AKB1" s="20">
        <v>960</v>
      </c>
      <c r="AKC1" s="20">
        <v>961</v>
      </c>
      <c r="AKD1" s="20">
        <v>962</v>
      </c>
      <c r="AKE1" s="20">
        <v>963</v>
      </c>
      <c r="AKF1" s="20">
        <v>964</v>
      </c>
      <c r="AKG1" s="20">
        <v>965</v>
      </c>
      <c r="AKH1" s="20">
        <v>966</v>
      </c>
      <c r="AKI1" s="20">
        <v>967</v>
      </c>
      <c r="AKJ1" s="20">
        <v>968</v>
      </c>
      <c r="AKK1" s="20">
        <v>969</v>
      </c>
      <c r="AKL1" s="20">
        <v>970</v>
      </c>
      <c r="AKM1" s="20">
        <v>971</v>
      </c>
      <c r="AKN1" s="20">
        <v>972</v>
      </c>
      <c r="AKO1" s="20">
        <v>973</v>
      </c>
      <c r="AKP1" s="20">
        <v>974</v>
      </c>
      <c r="AKQ1" s="20">
        <v>975</v>
      </c>
      <c r="AKR1" s="20">
        <v>976</v>
      </c>
      <c r="AKS1" s="20">
        <v>977</v>
      </c>
      <c r="AKT1" s="20">
        <v>978</v>
      </c>
      <c r="AKU1" s="20">
        <v>979</v>
      </c>
      <c r="AKV1" s="20">
        <v>980</v>
      </c>
      <c r="AKW1" s="20">
        <v>981</v>
      </c>
      <c r="AKX1" s="20">
        <v>982</v>
      </c>
      <c r="AKY1" s="20">
        <v>983</v>
      </c>
      <c r="AKZ1" s="20">
        <v>984</v>
      </c>
      <c r="ALA1" s="20">
        <v>985</v>
      </c>
      <c r="ALB1" s="20">
        <v>986</v>
      </c>
      <c r="ALC1" s="20">
        <v>987</v>
      </c>
      <c r="ALD1" s="20">
        <v>988</v>
      </c>
      <c r="ALE1" s="20">
        <v>989</v>
      </c>
      <c r="ALF1" s="20">
        <v>990</v>
      </c>
      <c r="ALG1" s="20">
        <v>991</v>
      </c>
      <c r="ALH1" s="20">
        <v>992</v>
      </c>
      <c r="ALI1" s="20">
        <v>993</v>
      </c>
      <c r="ALJ1" s="20">
        <v>994</v>
      </c>
      <c r="ALK1" s="20">
        <v>995</v>
      </c>
      <c r="ALL1" s="20">
        <v>996</v>
      </c>
      <c r="ALM1" s="20">
        <v>997</v>
      </c>
      <c r="ALN1" s="20">
        <v>998</v>
      </c>
      <c r="ALO1" s="20">
        <v>999</v>
      </c>
      <c r="ALP1" s="20">
        <v>1000</v>
      </c>
      <c r="ALQ1" s="20">
        <v>1001</v>
      </c>
      <c r="ALR1" s="20">
        <v>1002</v>
      </c>
      <c r="ALS1" s="20">
        <v>1003</v>
      </c>
      <c r="ALT1" s="20">
        <v>1004</v>
      </c>
      <c r="ALU1" s="20">
        <v>1005</v>
      </c>
      <c r="ALV1" s="20">
        <v>1006</v>
      </c>
      <c r="ALW1" s="20">
        <v>1007</v>
      </c>
      <c r="ALX1" s="20">
        <v>1008</v>
      </c>
      <c r="ALY1" s="20">
        <v>1009</v>
      </c>
      <c r="ALZ1" s="20">
        <v>1010</v>
      </c>
      <c r="AMA1" s="20">
        <v>1011</v>
      </c>
      <c r="AMB1" s="20">
        <v>1012</v>
      </c>
      <c r="AMC1" s="20">
        <v>1013</v>
      </c>
      <c r="AMD1" s="20">
        <v>1014</v>
      </c>
      <c r="AME1" s="20">
        <v>1015</v>
      </c>
      <c r="AMF1" s="20">
        <v>1016</v>
      </c>
      <c r="AMG1" s="20">
        <v>1017</v>
      </c>
      <c r="AMH1" s="20">
        <v>1018</v>
      </c>
      <c r="AMI1" s="20">
        <v>1019</v>
      </c>
      <c r="AMJ1" s="20">
        <v>1020</v>
      </c>
      <c r="AMK1" s="20">
        <v>1021</v>
      </c>
      <c r="AML1" s="20">
        <v>1022</v>
      </c>
      <c r="AMM1" s="20">
        <v>1023</v>
      </c>
      <c r="AMN1" s="20">
        <v>1024</v>
      </c>
      <c r="AMO1" s="20">
        <v>1025</v>
      </c>
      <c r="AMP1" s="20">
        <v>1026</v>
      </c>
      <c r="AMQ1" s="20">
        <v>1027</v>
      </c>
      <c r="AMR1" s="20">
        <v>1028</v>
      </c>
      <c r="AMS1" s="20">
        <v>1029</v>
      </c>
      <c r="AMT1" s="20">
        <v>1030</v>
      </c>
      <c r="AMU1" s="20">
        <v>1031</v>
      </c>
      <c r="AMV1" s="20">
        <v>1032</v>
      </c>
      <c r="AMW1" s="20">
        <v>1033</v>
      </c>
      <c r="AMX1" s="20">
        <v>1034</v>
      </c>
      <c r="AMY1" s="20">
        <v>1035</v>
      </c>
      <c r="AMZ1" s="20">
        <v>1036</v>
      </c>
      <c r="ANA1" s="20">
        <v>1037</v>
      </c>
      <c r="ANB1" s="20">
        <v>1038</v>
      </c>
      <c r="ANC1" s="20">
        <v>1039</v>
      </c>
      <c r="AND1" s="20">
        <v>1040</v>
      </c>
      <c r="ANE1" s="20">
        <v>1041</v>
      </c>
      <c r="ANF1" s="20">
        <v>1042</v>
      </c>
      <c r="ANG1" s="20">
        <v>1043</v>
      </c>
      <c r="ANH1" s="20">
        <v>1044</v>
      </c>
      <c r="ANI1" s="20">
        <v>1045</v>
      </c>
      <c r="ANJ1" s="20">
        <v>1046</v>
      </c>
      <c r="ANK1" s="20">
        <v>1047</v>
      </c>
      <c r="ANL1" s="20">
        <v>1048</v>
      </c>
      <c r="ANM1" s="20">
        <v>1049</v>
      </c>
      <c r="ANN1" s="20">
        <v>1050</v>
      </c>
      <c r="ANO1" s="20">
        <v>1051</v>
      </c>
      <c r="ANP1" s="20">
        <v>1052</v>
      </c>
      <c r="ANQ1" s="20">
        <v>1053</v>
      </c>
      <c r="ANR1" s="20">
        <v>1054</v>
      </c>
      <c r="ANS1" s="20">
        <v>1055</v>
      </c>
      <c r="ANT1" s="20">
        <v>1056</v>
      </c>
      <c r="ANU1" s="20">
        <v>1057</v>
      </c>
      <c r="ANV1" s="20">
        <v>1058</v>
      </c>
      <c r="ANW1" s="20">
        <v>1059</v>
      </c>
      <c r="ANX1" s="20">
        <v>1060</v>
      </c>
      <c r="ANY1" s="20">
        <v>1061</v>
      </c>
      <c r="ANZ1" s="20">
        <v>1062</v>
      </c>
      <c r="AOA1" s="20">
        <v>1063</v>
      </c>
      <c r="AOB1" s="20">
        <v>1064</v>
      </c>
      <c r="AOC1" s="20">
        <v>1065</v>
      </c>
      <c r="AOD1" s="20">
        <v>1066</v>
      </c>
      <c r="AOE1" s="20">
        <v>1067</v>
      </c>
      <c r="AOF1" s="20">
        <v>1068</v>
      </c>
      <c r="AOG1" s="20">
        <v>1069</v>
      </c>
      <c r="AOH1" s="20">
        <v>1070</v>
      </c>
      <c r="AOI1" s="20">
        <v>1071</v>
      </c>
      <c r="AOJ1" s="20">
        <v>1072</v>
      </c>
      <c r="AOK1" s="20">
        <v>1073</v>
      </c>
      <c r="AOL1" s="20">
        <v>1074</v>
      </c>
      <c r="AOM1" s="20">
        <v>1075</v>
      </c>
      <c r="AON1" s="20">
        <v>1076</v>
      </c>
      <c r="AOO1" s="20">
        <v>1077</v>
      </c>
      <c r="AOP1" s="20">
        <v>1078</v>
      </c>
      <c r="AOQ1" s="20">
        <v>1079</v>
      </c>
      <c r="AOR1" s="20">
        <v>1080</v>
      </c>
      <c r="AOS1" s="20">
        <v>1081</v>
      </c>
      <c r="AOT1" s="20">
        <v>1082</v>
      </c>
      <c r="AOU1" s="20">
        <v>1083</v>
      </c>
      <c r="AOV1" s="20">
        <v>1084</v>
      </c>
      <c r="AOW1" s="20">
        <v>1085</v>
      </c>
      <c r="AOX1" s="20">
        <v>1086</v>
      </c>
      <c r="AOY1" s="20">
        <v>1087</v>
      </c>
      <c r="AOZ1" s="20">
        <v>1088</v>
      </c>
      <c r="APA1" s="20">
        <v>1089</v>
      </c>
      <c r="APB1" s="20">
        <v>1090</v>
      </c>
      <c r="APC1" s="20">
        <v>1091</v>
      </c>
      <c r="APD1" s="20">
        <v>1092</v>
      </c>
      <c r="APE1" s="20">
        <v>1093</v>
      </c>
      <c r="APF1" s="20">
        <v>1094</v>
      </c>
      <c r="APG1" s="20">
        <v>1095</v>
      </c>
      <c r="APH1" s="20">
        <v>1096</v>
      </c>
      <c r="API1" s="20">
        <v>1097</v>
      </c>
      <c r="APJ1" s="20">
        <v>1098</v>
      </c>
      <c r="APK1" s="20">
        <v>1099</v>
      </c>
      <c r="APL1" s="20">
        <v>1100</v>
      </c>
      <c r="APM1" s="20">
        <v>1101</v>
      </c>
      <c r="APN1" s="20">
        <v>1102</v>
      </c>
      <c r="APO1" s="20">
        <v>1103</v>
      </c>
      <c r="APP1" s="20">
        <v>1104</v>
      </c>
      <c r="APQ1" s="20">
        <v>1105</v>
      </c>
      <c r="APR1" s="20">
        <v>1106</v>
      </c>
      <c r="APS1" s="20">
        <v>1107</v>
      </c>
      <c r="APT1" s="20">
        <v>1108</v>
      </c>
      <c r="APU1" s="20">
        <v>1109</v>
      </c>
      <c r="APV1" s="20">
        <v>1110</v>
      </c>
      <c r="APW1" s="20">
        <v>1111</v>
      </c>
      <c r="APX1" s="20">
        <v>1112</v>
      </c>
      <c r="APY1" s="20">
        <v>1113</v>
      </c>
      <c r="APZ1" s="20">
        <v>1114</v>
      </c>
      <c r="AQA1" s="20">
        <v>1115</v>
      </c>
      <c r="AQB1" s="20">
        <v>1116</v>
      </c>
      <c r="AQC1" s="20">
        <v>1117</v>
      </c>
      <c r="AQD1" s="20">
        <v>1118</v>
      </c>
      <c r="AQE1" s="20">
        <v>1119</v>
      </c>
      <c r="AQF1" s="20">
        <v>1120</v>
      </c>
      <c r="AQG1" s="20">
        <v>1121</v>
      </c>
      <c r="AQH1" s="20">
        <v>1122</v>
      </c>
      <c r="AQI1" s="20">
        <v>1123</v>
      </c>
      <c r="AQJ1" s="20">
        <v>1124</v>
      </c>
      <c r="AQK1" s="20">
        <v>1125</v>
      </c>
      <c r="AQL1" s="20">
        <v>1126</v>
      </c>
      <c r="AQM1" s="20">
        <v>1127</v>
      </c>
      <c r="AQN1" s="20">
        <v>1128</v>
      </c>
      <c r="AQO1" s="20">
        <v>1129</v>
      </c>
      <c r="AQP1" s="20">
        <v>1130</v>
      </c>
      <c r="AQQ1" s="20">
        <v>1131</v>
      </c>
      <c r="AQR1" s="20">
        <v>1132</v>
      </c>
      <c r="AQS1" s="20">
        <v>1133</v>
      </c>
      <c r="AQT1" s="20">
        <v>1134</v>
      </c>
      <c r="AQU1" s="20">
        <v>1135</v>
      </c>
      <c r="AQV1" s="20">
        <v>1136</v>
      </c>
      <c r="AQW1" s="20">
        <v>1137</v>
      </c>
      <c r="AQX1" s="20">
        <v>1138</v>
      </c>
      <c r="AQY1" s="20">
        <v>1139</v>
      </c>
      <c r="AQZ1" s="20">
        <v>1140</v>
      </c>
      <c r="ARA1" s="20">
        <v>1141</v>
      </c>
      <c r="ARB1" s="20">
        <v>1142</v>
      </c>
      <c r="ARC1" s="20">
        <v>1143</v>
      </c>
      <c r="ARD1" s="20">
        <v>1144</v>
      </c>
      <c r="ARE1" s="20">
        <v>1145</v>
      </c>
      <c r="ARF1" s="20">
        <v>1146</v>
      </c>
      <c r="ARG1" s="20">
        <v>1147</v>
      </c>
      <c r="ARH1" s="20">
        <v>1148</v>
      </c>
      <c r="ARI1" s="20">
        <v>1149</v>
      </c>
      <c r="ARJ1" s="20">
        <v>1150</v>
      </c>
      <c r="ARK1" s="20">
        <v>1151</v>
      </c>
      <c r="ARL1" s="20">
        <v>1152</v>
      </c>
      <c r="ARM1" s="20">
        <v>1153</v>
      </c>
      <c r="ARN1" s="20">
        <v>1154</v>
      </c>
      <c r="ARO1" s="20">
        <v>1155</v>
      </c>
      <c r="ARP1" s="20">
        <v>1156</v>
      </c>
      <c r="ARQ1" s="20">
        <v>1157</v>
      </c>
      <c r="ARR1" s="20">
        <v>1158</v>
      </c>
      <c r="ARS1" s="20">
        <v>1159</v>
      </c>
      <c r="ART1" s="20">
        <v>1160</v>
      </c>
      <c r="ARU1" s="20">
        <v>1161</v>
      </c>
      <c r="ARV1" s="20">
        <v>1162</v>
      </c>
      <c r="ARW1" s="20">
        <v>1163</v>
      </c>
      <c r="ARX1" s="20">
        <v>1164</v>
      </c>
      <c r="ARY1" s="20">
        <v>1165</v>
      </c>
      <c r="ARZ1" s="20">
        <v>1166</v>
      </c>
      <c r="ASA1" s="20">
        <v>1167</v>
      </c>
      <c r="ASB1" s="20">
        <v>1168</v>
      </c>
      <c r="ASC1" s="20">
        <v>1169</v>
      </c>
      <c r="ASD1" s="20">
        <v>1170</v>
      </c>
      <c r="ASE1" s="20">
        <v>1171</v>
      </c>
      <c r="ASF1" s="20">
        <v>1172</v>
      </c>
      <c r="ASG1" s="20">
        <v>1173</v>
      </c>
      <c r="ASH1" s="20">
        <v>1174</v>
      </c>
      <c r="ASI1" s="20">
        <v>1175</v>
      </c>
      <c r="ASJ1" s="20">
        <v>1176</v>
      </c>
      <c r="ASK1" s="20">
        <v>1177</v>
      </c>
      <c r="ASL1" s="20">
        <v>1178</v>
      </c>
      <c r="ASM1" s="20">
        <v>1179</v>
      </c>
      <c r="ASN1" s="20">
        <v>1180</v>
      </c>
      <c r="ASO1" s="20">
        <v>1181</v>
      </c>
      <c r="ASP1" s="20">
        <v>1182</v>
      </c>
      <c r="ASQ1" s="20">
        <v>1183</v>
      </c>
      <c r="ASR1" s="20">
        <v>1184</v>
      </c>
      <c r="ASS1" s="20">
        <v>1185</v>
      </c>
      <c r="AST1" s="20">
        <v>1186</v>
      </c>
      <c r="ASU1" s="20">
        <v>1187</v>
      </c>
      <c r="ASV1" s="20">
        <v>1188</v>
      </c>
      <c r="ASW1" s="20">
        <v>1189</v>
      </c>
      <c r="ASX1" s="20">
        <v>1190</v>
      </c>
      <c r="ASY1" s="20">
        <v>1191</v>
      </c>
      <c r="ASZ1" s="20">
        <v>1192</v>
      </c>
      <c r="ATA1" s="20">
        <v>1193</v>
      </c>
      <c r="ATB1" s="20">
        <v>1194</v>
      </c>
      <c r="ATC1" s="20">
        <v>1195</v>
      </c>
      <c r="ATD1" s="20">
        <v>1196</v>
      </c>
      <c r="ATE1" s="20">
        <v>1197</v>
      </c>
      <c r="ATF1" s="20">
        <v>1198</v>
      </c>
      <c r="ATG1" s="20">
        <v>1199</v>
      </c>
      <c r="ATH1" s="20">
        <v>1200</v>
      </c>
      <c r="ATI1" s="20">
        <v>1201</v>
      </c>
      <c r="ATJ1" s="20">
        <v>1202</v>
      </c>
      <c r="ATK1" s="20">
        <v>1203</v>
      </c>
      <c r="ATL1" s="20">
        <v>1204</v>
      </c>
      <c r="ATM1" s="20">
        <v>1205</v>
      </c>
      <c r="ATN1" s="20">
        <v>1206</v>
      </c>
      <c r="ATO1" s="20">
        <v>1207</v>
      </c>
      <c r="ATP1" s="20">
        <v>1208</v>
      </c>
      <c r="ATQ1" s="20">
        <v>1209</v>
      </c>
      <c r="ATR1" s="20">
        <v>1210</v>
      </c>
      <c r="ATS1" s="20">
        <v>1211</v>
      </c>
      <c r="ATT1" s="20">
        <v>1212</v>
      </c>
      <c r="ATU1" s="20">
        <v>1213</v>
      </c>
      <c r="ATV1" s="20">
        <v>1214</v>
      </c>
      <c r="ATW1" s="20">
        <v>1215</v>
      </c>
      <c r="ATX1" s="20">
        <v>1216</v>
      </c>
      <c r="ATY1" s="20">
        <v>1217</v>
      </c>
      <c r="ATZ1" s="20">
        <v>1218</v>
      </c>
      <c r="AUA1" s="20">
        <v>1219</v>
      </c>
      <c r="AUB1" s="20">
        <v>1220</v>
      </c>
      <c r="AUC1" s="20">
        <v>1221</v>
      </c>
      <c r="AUD1" s="20">
        <v>1222</v>
      </c>
      <c r="AUE1" s="20">
        <v>1223</v>
      </c>
      <c r="AUF1" s="20">
        <v>1224</v>
      </c>
      <c r="AUG1" s="20">
        <v>1225</v>
      </c>
      <c r="AUH1" s="20">
        <v>1226</v>
      </c>
      <c r="AUI1" s="20">
        <v>1227</v>
      </c>
      <c r="AUJ1" s="20">
        <v>1228</v>
      </c>
      <c r="AUK1" s="20">
        <v>1229</v>
      </c>
      <c r="AUL1" s="20">
        <v>1230</v>
      </c>
      <c r="AUM1" s="20">
        <v>1231</v>
      </c>
      <c r="AUN1" s="20">
        <v>1232</v>
      </c>
      <c r="AUO1" s="20">
        <v>1233</v>
      </c>
      <c r="AUP1" s="20">
        <v>1234</v>
      </c>
      <c r="AUQ1" s="20">
        <v>1235</v>
      </c>
      <c r="AUR1" s="20">
        <v>1236</v>
      </c>
      <c r="AUS1" s="20">
        <v>1237</v>
      </c>
      <c r="AUT1" s="20">
        <v>1238</v>
      </c>
      <c r="AUU1" s="20">
        <v>1239</v>
      </c>
      <c r="AUV1" s="20">
        <v>1240</v>
      </c>
      <c r="AUW1" s="20">
        <v>1241</v>
      </c>
      <c r="AUX1" s="20">
        <v>1242</v>
      </c>
      <c r="AUY1" s="20">
        <v>1243</v>
      </c>
      <c r="AUZ1" s="20">
        <v>1244</v>
      </c>
      <c r="AVA1" s="20">
        <v>1245</v>
      </c>
      <c r="AVB1" s="20">
        <v>1246</v>
      </c>
      <c r="AVC1" s="20">
        <v>1247</v>
      </c>
      <c r="AVD1" s="20">
        <v>1248</v>
      </c>
      <c r="AVE1" s="20">
        <v>1249</v>
      </c>
      <c r="AVF1" s="20">
        <v>1250</v>
      </c>
      <c r="AVG1" s="20">
        <v>1251</v>
      </c>
      <c r="AVH1" s="20">
        <v>1252</v>
      </c>
      <c r="AVI1" s="20">
        <v>1253</v>
      </c>
      <c r="AVJ1" s="20">
        <v>1254</v>
      </c>
      <c r="AVK1" s="20">
        <v>1255</v>
      </c>
      <c r="AVL1" s="20">
        <v>1256</v>
      </c>
      <c r="AVM1" s="20">
        <v>1257</v>
      </c>
      <c r="AVN1" s="20">
        <v>1258</v>
      </c>
      <c r="AVO1" s="20">
        <v>1259</v>
      </c>
      <c r="AVP1" s="20">
        <v>1260</v>
      </c>
      <c r="AVQ1" s="20">
        <v>1261</v>
      </c>
      <c r="AVR1" s="20">
        <v>1262</v>
      </c>
      <c r="AVS1" s="20">
        <v>1263</v>
      </c>
      <c r="AVT1" s="20">
        <v>1264</v>
      </c>
      <c r="AVU1" s="20">
        <v>1265</v>
      </c>
      <c r="AVV1" s="20">
        <v>1266</v>
      </c>
      <c r="AVW1" s="20">
        <v>1267</v>
      </c>
      <c r="AVX1" s="20">
        <v>1268</v>
      </c>
      <c r="AVY1" s="20">
        <v>1269</v>
      </c>
      <c r="AVZ1" s="20">
        <v>1270</v>
      </c>
      <c r="AWA1" s="20">
        <v>1271</v>
      </c>
      <c r="AWB1" s="20">
        <v>1272</v>
      </c>
      <c r="AWC1" s="20">
        <v>1273</v>
      </c>
      <c r="AWD1" s="20">
        <v>1274</v>
      </c>
      <c r="AWE1" s="20">
        <v>1275</v>
      </c>
      <c r="AWF1" s="20">
        <v>1276</v>
      </c>
      <c r="AWG1" s="20">
        <v>1277</v>
      </c>
      <c r="AWH1" s="20">
        <v>1278</v>
      </c>
      <c r="AWI1" s="20">
        <v>1279</v>
      </c>
      <c r="AWJ1" s="20">
        <v>1280</v>
      </c>
      <c r="AWK1" s="20">
        <v>1281</v>
      </c>
      <c r="AWL1" s="20">
        <v>1282</v>
      </c>
      <c r="AWM1" s="20">
        <v>1283</v>
      </c>
      <c r="AWN1" s="20">
        <v>1284</v>
      </c>
      <c r="AWO1" s="20">
        <v>1285</v>
      </c>
      <c r="AWP1" s="20">
        <v>1286</v>
      </c>
      <c r="AWQ1" s="20">
        <v>1287</v>
      </c>
      <c r="AWR1" s="20">
        <v>1288</v>
      </c>
      <c r="AWS1" s="20">
        <v>1289</v>
      </c>
      <c r="AWT1" s="20">
        <v>1290</v>
      </c>
      <c r="AWU1" s="20">
        <v>1291</v>
      </c>
      <c r="AWV1" s="20">
        <v>1292</v>
      </c>
      <c r="AWW1" s="20">
        <v>1293</v>
      </c>
      <c r="AWX1" s="20">
        <v>1294</v>
      </c>
      <c r="AWY1" s="20">
        <v>1295</v>
      </c>
      <c r="AWZ1" s="20">
        <v>1296</v>
      </c>
      <c r="AXA1" s="20">
        <v>1297</v>
      </c>
      <c r="AXB1" s="20">
        <v>1298</v>
      </c>
      <c r="AXC1" s="20">
        <v>1299</v>
      </c>
      <c r="AXD1" s="20">
        <v>1300</v>
      </c>
      <c r="AXE1" s="20">
        <v>1301</v>
      </c>
      <c r="AXF1" s="20">
        <v>1302</v>
      </c>
      <c r="AXG1" s="20">
        <v>1303</v>
      </c>
      <c r="AXH1" s="20">
        <v>1304</v>
      </c>
      <c r="AXI1" s="20">
        <v>1305</v>
      </c>
      <c r="AXJ1" s="20">
        <v>1306</v>
      </c>
      <c r="AXK1" s="20">
        <v>1307</v>
      </c>
      <c r="AXL1" s="20">
        <v>1308</v>
      </c>
      <c r="AXM1" s="20">
        <v>1309</v>
      </c>
      <c r="AXN1" s="20">
        <v>1310</v>
      </c>
      <c r="AXO1" s="20">
        <v>1311</v>
      </c>
      <c r="AXP1" s="20">
        <v>1312</v>
      </c>
      <c r="AXQ1" s="20">
        <v>1313</v>
      </c>
      <c r="AXR1" s="20">
        <v>1314</v>
      </c>
      <c r="AXS1" s="20">
        <v>1315</v>
      </c>
      <c r="AXT1" s="20">
        <v>1316</v>
      </c>
      <c r="AXU1" s="20">
        <v>1317</v>
      </c>
      <c r="AXV1" s="20">
        <v>1318</v>
      </c>
      <c r="AXW1" s="20">
        <v>1319</v>
      </c>
      <c r="AXX1" s="20">
        <v>1320</v>
      </c>
      <c r="AXY1" s="20">
        <v>1321</v>
      </c>
      <c r="AXZ1" s="20">
        <v>1322</v>
      </c>
      <c r="AYA1" s="20">
        <v>1323</v>
      </c>
      <c r="AYB1" s="20">
        <v>1324</v>
      </c>
      <c r="AYC1" s="20">
        <v>1325</v>
      </c>
      <c r="AYD1" s="20">
        <v>1326</v>
      </c>
      <c r="AYE1" s="20">
        <v>1327</v>
      </c>
      <c r="AYF1" s="20">
        <v>1328</v>
      </c>
      <c r="AYG1" s="20">
        <v>1329</v>
      </c>
      <c r="AYH1" s="20">
        <v>1330</v>
      </c>
      <c r="AYI1" s="20">
        <v>1331</v>
      </c>
      <c r="AYJ1" s="20">
        <v>1332</v>
      </c>
      <c r="AYK1" s="20">
        <v>1333</v>
      </c>
      <c r="AYL1" s="20">
        <v>1334</v>
      </c>
      <c r="AYM1" s="20">
        <v>1335</v>
      </c>
      <c r="AYN1" s="20">
        <v>1336</v>
      </c>
      <c r="AYO1" s="20">
        <v>1337</v>
      </c>
      <c r="AYP1" s="20">
        <v>1338</v>
      </c>
      <c r="AYQ1" s="20">
        <v>1339</v>
      </c>
      <c r="AYR1" s="20">
        <v>1340</v>
      </c>
      <c r="AYS1" s="20">
        <v>1341</v>
      </c>
      <c r="AYT1" s="20">
        <v>1342</v>
      </c>
      <c r="AYU1" s="20">
        <v>1343</v>
      </c>
      <c r="AYV1" s="20">
        <v>1344</v>
      </c>
    </row>
    <row r="2" spans="1:1429" s="17" customFormat="1" ht="18" customHeight="1" x14ac:dyDescent="0.25">
      <c r="A2" s="29" t="s">
        <v>6875</v>
      </c>
      <c r="C2" s="17" t="s">
        <v>7342</v>
      </c>
      <c r="D2" s="22" t="s">
        <v>7343</v>
      </c>
      <c r="E2" s="33">
        <v>43289</v>
      </c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  <c r="AW2" s="34"/>
      <c r="AX2" s="34"/>
      <c r="AY2" s="34"/>
      <c r="AZ2" s="35"/>
      <c r="BA2" s="30">
        <v>43290</v>
      </c>
      <c r="BB2" s="31"/>
      <c r="BC2" s="31"/>
      <c r="BD2" s="31"/>
      <c r="BE2" s="31"/>
      <c r="BF2" s="31"/>
      <c r="BG2" s="31"/>
      <c r="BH2" s="31"/>
      <c r="BI2" s="31"/>
      <c r="BJ2" s="31"/>
      <c r="BK2" s="31"/>
      <c r="BL2" s="31"/>
      <c r="BM2" s="31"/>
      <c r="BN2" s="31"/>
      <c r="BO2" s="31"/>
      <c r="BP2" s="31"/>
      <c r="BQ2" s="31"/>
      <c r="BR2" s="31"/>
      <c r="BS2" s="31"/>
      <c r="BT2" s="31"/>
      <c r="BU2" s="31"/>
      <c r="BV2" s="31"/>
      <c r="BW2" s="31"/>
      <c r="BX2" s="31"/>
      <c r="BY2" s="31"/>
      <c r="BZ2" s="31"/>
      <c r="CA2" s="31"/>
      <c r="CB2" s="31"/>
      <c r="CC2" s="31"/>
      <c r="CD2" s="31"/>
      <c r="CE2" s="31"/>
      <c r="CF2" s="31"/>
      <c r="CG2" s="31"/>
      <c r="CH2" s="31"/>
      <c r="CI2" s="31"/>
      <c r="CJ2" s="31"/>
      <c r="CK2" s="31"/>
      <c r="CL2" s="31"/>
      <c r="CM2" s="31"/>
      <c r="CN2" s="31"/>
      <c r="CO2" s="31"/>
      <c r="CP2" s="31"/>
      <c r="CQ2" s="31"/>
      <c r="CR2" s="31"/>
      <c r="CS2" s="31"/>
      <c r="CT2" s="31"/>
      <c r="CU2" s="31"/>
      <c r="CV2" s="32"/>
      <c r="CW2" s="36">
        <v>43291</v>
      </c>
      <c r="CX2" s="34"/>
      <c r="CY2" s="34"/>
      <c r="CZ2" s="34"/>
      <c r="DA2" s="34"/>
      <c r="DB2" s="34"/>
      <c r="DC2" s="34"/>
      <c r="DD2" s="34"/>
      <c r="DE2" s="34"/>
      <c r="DF2" s="34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34"/>
      <c r="DX2" s="34"/>
      <c r="DY2" s="34"/>
      <c r="DZ2" s="34"/>
      <c r="EA2" s="34"/>
      <c r="EB2" s="34"/>
      <c r="EC2" s="34"/>
      <c r="ED2" s="34"/>
      <c r="EE2" s="34"/>
      <c r="EF2" s="34"/>
      <c r="EG2" s="34"/>
      <c r="EH2" s="34"/>
      <c r="EI2" s="34"/>
      <c r="EJ2" s="34"/>
      <c r="EK2" s="34"/>
      <c r="EL2" s="34"/>
      <c r="EM2" s="34"/>
      <c r="EN2" s="34"/>
      <c r="EO2" s="34"/>
      <c r="EP2" s="34"/>
      <c r="EQ2" s="34"/>
      <c r="ER2" s="35"/>
      <c r="ES2" s="30">
        <v>43292</v>
      </c>
      <c r="ET2" s="31"/>
      <c r="EU2" s="31"/>
      <c r="EV2" s="31"/>
      <c r="EW2" s="31"/>
      <c r="EX2" s="31"/>
      <c r="EY2" s="31"/>
      <c r="EZ2" s="31"/>
      <c r="FA2" s="31"/>
      <c r="FB2" s="31"/>
      <c r="FC2" s="31"/>
      <c r="FD2" s="31"/>
      <c r="FE2" s="31"/>
      <c r="FF2" s="31"/>
      <c r="FG2" s="31"/>
      <c r="FH2" s="31"/>
      <c r="FI2" s="31"/>
      <c r="FJ2" s="31"/>
      <c r="FK2" s="31"/>
      <c r="FL2" s="31"/>
      <c r="FM2" s="31"/>
      <c r="FN2" s="31"/>
      <c r="FO2" s="31"/>
      <c r="FP2" s="31"/>
      <c r="FQ2" s="31"/>
      <c r="FR2" s="31"/>
      <c r="FS2" s="31"/>
      <c r="FT2" s="31"/>
      <c r="FU2" s="31"/>
      <c r="FV2" s="31"/>
      <c r="FW2" s="31"/>
      <c r="FX2" s="31"/>
      <c r="FY2" s="31"/>
      <c r="FZ2" s="31"/>
      <c r="GA2" s="31"/>
      <c r="GB2" s="31"/>
      <c r="GC2" s="31"/>
      <c r="GD2" s="31"/>
      <c r="GE2" s="31"/>
      <c r="GF2" s="31"/>
      <c r="GG2" s="31"/>
      <c r="GH2" s="31"/>
      <c r="GI2" s="31"/>
      <c r="GJ2" s="31"/>
      <c r="GK2" s="31"/>
      <c r="GL2" s="31"/>
      <c r="GM2" s="31"/>
      <c r="GN2" s="32"/>
      <c r="GO2" s="36">
        <v>43293</v>
      </c>
      <c r="GP2" s="34"/>
      <c r="GQ2" s="34"/>
      <c r="GR2" s="34"/>
      <c r="GS2" s="34"/>
      <c r="GT2" s="34"/>
      <c r="GU2" s="34"/>
      <c r="GV2" s="34"/>
      <c r="GW2" s="34"/>
      <c r="GX2" s="34"/>
      <c r="GY2" s="34"/>
      <c r="GZ2" s="34"/>
      <c r="HA2" s="34"/>
      <c r="HB2" s="34"/>
      <c r="HC2" s="34"/>
      <c r="HD2" s="34"/>
      <c r="HE2" s="34"/>
      <c r="HF2" s="34"/>
      <c r="HG2" s="34"/>
      <c r="HH2" s="34"/>
      <c r="HI2" s="34"/>
      <c r="HJ2" s="34"/>
      <c r="HK2" s="34"/>
      <c r="HL2" s="34"/>
      <c r="HM2" s="34"/>
      <c r="HN2" s="34"/>
      <c r="HO2" s="34"/>
      <c r="HP2" s="34"/>
      <c r="HQ2" s="34"/>
      <c r="HR2" s="34"/>
      <c r="HS2" s="34"/>
      <c r="HT2" s="34"/>
      <c r="HU2" s="34"/>
      <c r="HV2" s="34"/>
      <c r="HW2" s="34"/>
      <c r="HX2" s="34"/>
      <c r="HY2" s="34"/>
      <c r="HZ2" s="34"/>
      <c r="IA2" s="34"/>
      <c r="IB2" s="34"/>
      <c r="IC2" s="34"/>
      <c r="ID2" s="34"/>
      <c r="IE2" s="34"/>
      <c r="IF2" s="34"/>
      <c r="IG2" s="34"/>
      <c r="IH2" s="34"/>
      <c r="II2" s="34"/>
      <c r="IJ2" s="35"/>
      <c r="IK2" s="30">
        <v>43294</v>
      </c>
      <c r="IL2" s="31"/>
      <c r="IM2" s="31"/>
      <c r="IN2" s="31"/>
      <c r="IO2" s="31"/>
      <c r="IP2" s="31"/>
      <c r="IQ2" s="31"/>
      <c r="IR2" s="31"/>
      <c r="IS2" s="31"/>
      <c r="IT2" s="31"/>
      <c r="IU2" s="31"/>
      <c r="IV2" s="31"/>
      <c r="IW2" s="31"/>
      <c r="IX2" s="31"/>
      <c r="IY2" s="31"/>
      <c r="IZ2" s="31"/>
      <c r="JA2" s="31"/>
      <c r="JB2" s="31"/>
      <c r="JC2" s="31"/>
      <c r="JD2" s="31"/>
      <c r="JE2" s="31"/>
      <c r="JF2" s="31"/>
      <c r="JG2" s="31"/>
      <c r="JH2" s="31"/>
      <c r="JI2" s="31"/>
      <c r="JJ2" s="31"/>
      <c r="JK2" s="31"/>
      <c r="JL2" s="31"/>
      <c r="JM2" s="31"/>
      <c r="JN2" s="31"/>
      <c r="JO2" s="31"/>
      <c r="JP2" s="31"/>
      <c r="JQ2" s="31"/>
      <c r="JR2" s="31"/>
      <c r="JS2" s="31"/>
      <c r="JT2" s="31"/>
      <c r="JU2" s="31"/>
      <c r="JV2" s="31"/>
      <c r="JW2" s="31"/>
      <c r="JX2" s="31"/>
      <c r="JY2" s="31"/>
      <c r="JZ2" s="31"/>
      <c r="KA2" s="31"/>
      <c r="KB2" s="31"/>
      <c r="KC2" s="31"/>
      <c r="KD2" s="31"/>
      <c r="KE2" s="31"/>
      <c r="KF2" s="32"/>
      <c r="KG2" s="36">
        <v>43295</v>
      </c>
      <c r="KH2" s="34"/>
      <c r="KI2" s="34"/>
      <c r="KJ2" s="34"/>
      <c r="KK2" s="34"/>
      <c r="KL2" s="34"/>
      <c r="KM2" s="34"/>
      <c r="KN2" s="34"/>
      <c r="KO2" s="34"/>
      <c r="KP2" s="34"/>
      <c r="KQ2" s="34"/>
      <c r="KR2" s="34"/>
      <c r="KS2" s="34"/>
      <c r="KT2" s="34"/>
      <c r="KU2" s="34"/>
      <c r="KV2" s="34"/>
      <c r="KW2" s="34"/>
      <c r="KX2" s="34"/>
      <c r="KY2" s="34"/>
      <c r="KZ2" s="34"/>
      <c r="LA2" s="34"/>
      <c r="LB2" s="34"/>
      <c r="LC2" s="34"/>
      <c r="LD2" s="34"/>
      <c r="LE2" s="34"/>
      <c r="LF2" s="34"/>
      <c r="LG2" s="34"/>
      <c r="LH2" s="34"/>
      <c r="LI2" s="34"/>
      <c r="LJ2" s="34"/>
      <c r="LK2" s="34"/>
      <c r="LL2" s="34"/>
      <c r="LM2" s="34"/>
      <c r="LN2" s="34"/>
      <c r="LO2" s="34"/>
      <c r="LP2" s="34"/>
      <c r="LQ2" s="34"/>
      <c r="LR2" s="34"/>
      <c r="LS2" s="34"/>
      <c r="LT2" s="34"/>
      <c r="LU2" s="34"/>
      <c r="LV2" s="34"/>
      <c r="LW2" s="34"/>
      <c r="LX2" s="34"/>
      <c r="LY2" s="34"/>
      <c r="LZ2" s="34"/>
      <c r="MA2" s="34"/>
      <c r="MB2" s="35"/>
      <c r="MC2" s="30">
        <v>43296</v>
      </c>
      <c r="MD2" s="31"/>
      <c r="ME2" s="31"/>
      <c r="MF2" s="31"/>
      <c r="MG2" s="31"/>
      <c r="MH2" s="31"/>
      <c r="MI2" s="31"/>
      <c r="MJ2" s="31"/>
      <c r="MK2" s="31"/>
      <c r="ML2" s="31"/>
      <c r="MM2" s="31"/>
      <c r="MN2" s="31"/>
      <c r="MO2" s="31"/>
      <c r="MP2" s="31"/>
      <c r="MQ2" s="31"/>
      <c r="MR2" s="31"/>
      <c r="MS2" s="31"/>
      <c r="MT2" s="31"/>
      <c r="MU2" s="31"/>
      <c r="MV2" s="31"/>
      <c r="MW2" s="31"/>
      <c r="MX2" s="31"/>
      <c r="MY2" s="31"/>
      <c r="MZ2" s="31"/>
      <c r="NA2" s="31"/>
      <c r="NB2" s="31"/>
      <c r="NC2" s="31"/>
      <c r="ND2" s="31"/>
      <c r="NE2" s="31"/>
      <c r="NF2" s="31"/>
      <c r="NG2" s="31"/>
      <c r="NH2" s="31"/>
      <c r="NI2" s="31"/>
      <c r="NJ2" s="31"/>
      <c r="NK2" s="31"/>
      <c r="NL2" s="31"/>
      <c r="NM2" s="31"/>
      <c r="NN2" s="31"/>
      <c r="NO2" s="31"/>
      <c r="NP2" s="31"/>
      <c r="NQ2" s="31"/>
      <c r="NR2" s="31"/>
      <c r="NS2" s="31"/>
      <c r="NT2" s="31"/>
      <c r="NU2" s="31"/>
      <c r="NV2" s="31"/>
      <c r="NW2" s="31"/>
      <c r="NX2" s="32"/>
      <c r="NY2" s="36">
        <v>43297</v>
      </c>
      <c r="NZ2" s="34"/>
      <c r="OA2" s="34"/>
      <c r="OB2" s="34"/>
      <c r="OC2" s="34"/>
      <c r="OD2" s="34"/>
      <c r="OE2" s="34"/>
      <c r="OF2" s="34"/>
      <c r="OG2" s="34"/>
      <c r="OH2" s="34"/>
      <c r="OI2" s="34"/>
      <c r="OJ2" s="34"/>
      <c r="OK2" s="34"/>
      <c r="OL2" s="34"/>
      <c r="OM2" s="34"/>
      <c r="ON2" s="34"/>
      <c r="OO2" s="34"/>
      <c r="OP2" s="34"/>
      <c r="OQ2" s="34"/>
      <c r="OR2" s="34"/>
      <c r="OS2" s="34"/>
      <c r="OT2" s="34"/>
      <c r="OU2" s="34"/>
      <c r="OV2" s="34"/>
      <c r="OW2" s="34"/>
      <c r="OX2" s="34"/>
      <c r="OY2" s="34"/>
      <c r="OZ2" s="34"/>
      <c r="PA2" s="34"/>
      <c r="PB2" s="34"/>
      <c r="PC2" s="34"/>
      <c r="PD2" s="34"/>
      <c r="PE2" s="34"/>
      <c r="PF2" s="34"/>
      <c r="PG2" s="34"/>
      <c r="PH2" s="34"/>
      <c r="PI2" s="34"/>
      <c r="PJ2" s="34"/>
      <c r="PK2" s="34"/>
      <c r="PL2" s="34"/>
      <c r="PM2" s="34"/>
      <c r="PN2" s="34"/>
      <c r="PO2" s="34"/>
      <c r="PP2" s="34"/>
      <c r="PQ2" s="34"/>
      <c r="PR2" s="34"/>
      <c r="PS2" s="34"/>
      <c r="PT2" s="35"/>
      <c r="PU2" s="30">
        <v>43298</v>
      </c>
      <c r="PV2" s="31"/>
      <c r="PW2" s="31"/>
      <c r="PX2" s="31"/>
      <c r="PY2" s="31"/>
      <c r="PZ2" s="31"/>
      <c r="QA2" s="31"/>
      <c r="QB2" s="31"/>
      <c r="QC2" s="31"/>
      <c r="QD2" s="31"/>
      <c r="QE2" s="31"/>
      <c r="QF2" s="31"/>
      <c r="QG2" s="31"/>
      <c r="QH2" s="31"/>
      <c r="QI2" s="31"/>
      <c r="QJ2" s="31"/>
      <c r="QK2" s="31"/>
      <c r="QL2" s="31"/>
      <c r="QM2" s="31"/>
      <c r="QN2" s="31"/>
      <c r="QO2" s="31"/>
      <c r="QP2" s="31"/>
      <c r="QQ2" s="31"/>
      <c r="QR2" s="31"/>
      <c r="QS2" s="31"/>
      <c r="QT2" s="31"/>
      <c r="QU2" s="31"/>
      <c r="QV2" s="31"/>
      <c r="QW2" s="31"/>
      <c r="QX2" s="31"/>
      <c r="QY2" s="31"/>
      <c r="QZ2" s="31"/>
      <c r="RA2" s="31"/>
      <c r="RB2" s="31"/>
      <c r="RC2" s="31"/>
      <c r="RD2" s="31"/>
      <c r="RE2" s="31"/>
      <c r="RF2" s="31"/>
      <c r="RG2" s="31"/>
      <c r="RH2" s="31"/>
      <c r="RI2" s="31"/>
      <c r="RJ2" s="31"/>
      <c r="RK2" s="31"/>
      <c r="RL2" s="31"/>
      <c r="RM2" s="31"/>
      <c r="RN2" s="31"/>
      <c r="RO2" s="31"/>
      <c r="RP2" s="32"/>
      <c r="RQ2" s="36">
        <v>43299</v>
      </c>
      <c r="RR2" s="34"/>
      <c r="RS2" s="34"/>
      <c r="RT2" s="34"/>
      <c r="RU2" s="34"/>
      <c r="RV2" s="34"/>
      <c r="RW2" s="34"/>
      <c r="RX2" s="34"/>
      <c r="RY2" s="34"/>
      <c r="RZ2" s="34"/>
      <c r="SA2" s="34"/>
      <c r="SB2" s="34"/>
      <c r="SC2" s="34"/>
      <c r="SD2" s="34"/>
      <c r="SE2" s="34"/>
      <c r="SF2" s="34"/>
      <c r="SG2" s="34"/>
      <c r="SH2" s="34"/>
      <c r="SI2" s="34"/>
      <c r="SJ2" s="34"/>
      <c r="SK2" s="34"/>
      <c r="SL2" s="34"/>
      <c r="SM2" s="34"/>
      <c r="SN2" s="34"/>
      <c r="SO2" s="34"/>
      <c r="SP2" s="34"/>
      <c r="SQ2" s="34"/>
      <c r="SR2" s="34"/>
      <c r="SS2" s="34"/>
      <c r="ST2" s="34"/>
      <c r="SU2" s="34"/>
      <c r="SV2" s="34"/>
      <c r="SW2" s="34"/>
      <c r="SX2" s="34"/>
      <c r="SY2" s="34"/>
      <c r="SZ2" s="34"/>
      <c r="TA2" s="34"/>
      <c r="TB2" s="34"/>
      <c r="TC2" s="34"/>
      <c r="TD2" s="34"/>
      <c r="TE2" s="34"/>
      <c r="TF2" s="34"/>
      <c r="TG2" s="34"/>
      <c r="TH2" s="34"/>
      <c r="TI2" s="34"/>
      <c r="TJ2" s="34"/>
      <c r="TK2" s="34"/>
      <c r="TL2" s="35"/>
      <c r="TM2" s="30">
        <v>43300</v>
      </c>
      <c r="TN2" s="31"/>
      <c r="TO2" s="31"/>
      <c r="TP2" s="31"/>
      <c r="TQ2" s="31"/>
      <c r="TR2" s="31"/>
      <c r="TS2" s="31"/>
      <c r="TT2" s="31"/>
      <c r="TU2" s="31"/>
      <c r="TV2" s="31"/>
      <c r="TW2" s="31"/>
      <c r="TX2" s="31"/>
      <c r="TY2" s="31"/>
      <c r="TZ2" s="31"/>
      <c r="UA2" s="31"/>
      <c r="UB2" s="31"/>
      <c r="UC2" s="31"/>
      <c r="UD2" s="31"/>
      <c r="UE2" s="31"/>
      <c r="UF2" s="31"/>
      <c r="UG2" s="31"/>
      <c r="UH2" s="31"/>
      <c r="UI2" s="31"/>
      <c r="UJ2" s="31"/>
      <c r="UK2" s="31"/>
      <c r="UL2" s="31"/>
      <c r="UM2" s="31"/>
      <c r="UN2" s="31"/>
      <c r="UO2" s="31"/>
      <c r="UP2" s="31"/>
      <c r="UQ2" s="31"/>
      <c r="UR2" s="31"/>
      <c r="US2" s="31"/>
      <c r="UT2" s="31"/>
      <c r="UU2" s="31"/>
      <c r="UV2" s="31"/>
      <c r="UW2" s="31"/>
      <c r="UX2" s="31"/>
      <c r="UY2" s="31"/>
      <c r="UZ2" s="31"/>
      <c r="VA2" s="31"/>
      <c r="VB2" s="31"/>
      <c r="VC2" s="31"/>
      <c r="VD2" s="31"/>
      <c r="VE2" s="31"/>
      <c r="VF2" s="31"/>
      <c r="VG2" s="31"/>
      <c r="VH2" s="32"/>
      <c r="VI2" s="36">
        <v>43301</v>
      </c>
      <c r="VJ2" s="34"/>
      <c r="VK2" s="34"/>
      <c r="VL2" s="34"/>
      <c r="VM2" s="34"/>
      <c r="VN2" s="34"/>
      <c r="VO2" s="34"/>
      <c r="VP2" s="34"/>
      <c r="VQ2" s="34"/>
      <c r="VR2" s="34"/>
      <c r="VS2" s="34"/>
      <c r="VT2" s="34"/>
      <c r="VU2" s="34"/>
      <c r="VV2" s="34"/>
      <c r="VW2" s="34"/>
      <c r="VX2" s="34"/>
      <c r="VY2" s="34"/>
      <c r="VZ2" s="34"/>
      <c r="WA2" s="34"/>
      <c r="WB2" s="34"/>
      <c r="WC2" s="34"/>
      <c r="WD2" s="34"/>
      <c r="WE2" s="34"/>
      <c r="WF2" s="34"/>
      <c r="WG2" s="34"/>
      <c r="WH2" s="34"/>
      <c r="WI2" s="34"/>
      <c r="WJ2" s="34"/>
      <c r="WK2" s="34"/>
      <c r="WL2" s="34"/>
      <c r="WM2" s="34"/>
      <c r="WN2" s="34"/>
      <c r="WO2" s="34"/>
      <c r="WP2" s="34"/>
      <c r="WQ2" s="34"/>
      <c r="WR2" s="34"/>
      <c r="WS2" s="34"/>
      <c r="WT2" s="34"/>
      <c r="WU2" s="34"/>
      <c r="WV2" s="34"/>
      <c r="WW2" s="34"/>
      <c r="WX2" s="34"/>
      <c r="WY2" s="34"/>
      <c r="WZ2" s="34"/>
      <c r="XA2" s="34"/>
      <c r="XB2" s="34"/>
      <c r="XC2" s="34"/>
      <c r="XD2" s="35"/>
      <c r="XE2" s="30">
        <v>43302</v>
      </c>
      <c r="XF2" s="31"/>
      <c r="XG2" s="31"/>
      <c r="XH2" s="31"/>
      <c r="XI2" s="31"/>
      <c r="XJ2" s="31"/>
      <c r="XK2" s="31"/>
      <c r="XL2" s="31"/>
      <c r="XM2" s="31"/>
      <c r="XN2" s="31"/>
      <c r="XO2" s="31"/>
      <c r="XP2" s="31"/>
      <c r="XQ2" s="31"/>
      <c r="XR2" s="31"/>
      <c r="XS2" s="31"/>
      <c r="XT2" s="31"/>
      <c r="XU2" s="31"/>
      <c r="XV2" s="31"/>
      <c r="XW2" s="31"/>
      <c r="XX2" s="31"/>
      <c r="XY2" s="31"/>
      <c r="XZ2" s="31"/>
      <c r="YA2" s="31"/>
      <c r="YB2" s="31"/>
      <c r="YC2" s="31"/>
      <c r="YD2" s="31"/>
      <c r="YE2" s="31"/>
      <c r="YF2" s="31"/>
      <c r="YG2" s="31"/>
      <c r="YH2" s="31"/>
      <c r="YI2" s="31"/>
      <c r="YJ2" s="31"/>
      <c r="YK2" s="31"/>
      <c r="YL2" s="31"/>
      <c r="YM2" s="31"/>
      <c r="YN2" s="31"/>
      <c r="YO2" s="31"/>
      <c r="YP2" s="31"/>
      <c r="YQ2" s="31"/>
      <c r="YR2" s="31"/>
      <c r="YS2" s="31"/>
      <c r="YT2" s="31"/>
      <c r="YU2" s="31"/>
      <c r="YV2" s="31"/>
      <c r="YW2" s="31"/>
      <c r="YX2" s="31"/>
      <c r="YY2" s="31"/>
      <c r="YZ2" s="32"/>
      <c r="ZA2" s="36">
        <v>43303</v>
      </c>
      <c r="ZB2" s="34"/>
      <c r="ZC2" s="34"/>
      <c r="ZD2" s="34"/>
      <c r="ZE2" s="34"/>
      <c r="ZF2" s="34"/>
      <c r="ZG2" s="34"/>
      <c r="ZH2" s="34"/>
      <c r="ZI2" s="34"/>
      <c r="ZJ2" s="34"/>
      <c r="ZK2" s="34"/>
      <c r="ZL2" s="34"/>
      <c r="ZM2" s="34"/>
      <c r="ZN2" s="34"/>
      <c r="ZO2" s="34"/>
      <c r="ZP2" s="34"/>
      <c r="ZQ2" s="34"/>
      <c r="ZR2" s="34"/>
      <c r="ZS2" s="34"/>
      <c r="ZT2" s="34"/>
      <c r="ZU2" s="34"/>
      <c r="ZV2" s="34"/>
      <c r="ZW2" s="34"/>
      <c r="ZX2" s="34"/>
      <c r="ZY2" s="34"/>
      <c r="ZZ2" s="34"/>
      <c r="AAA2" s="34"/>
      <c r="AAB2" s="34"/>
      <c r="AAC2" s="34"/>
      <c r="AAD2" s="34"/>
      <c r="AAE2" s="34"/>
      <c r="AAF2" s="34"/>
      <c r="AAG2" s="34"/>
      <c r="AAH2" s="34"/>
      <c r="AAI2" s="34"/>
      <c r="AAJ2" s="34"/>
      <c r="AAK2" s="34"/>
      <c r="AAL2" s="34"/>
      <c r="AAM2" s="34"/>
      <c r="AAN2" s="34"/>
      <c r="AAO2" s="34"/>
      <c r="AAP2" s="34"/>
      <c r="AAQ2" s="34"/>
      <c r="AAR2" s="34"/>
      <c r="AAS2" s="34"/>
      <c r="AAT2" s="34"/>
      <c r="AAU2" s="34"/>
      <c r="AAV2" s="35"/>
      <c r="AAW2" s="30">
        <v>43304</v>
      </c>
      <c r="AAX2" s="31"/>
      <c r="AAY2" s="31"/>
      <c r="AAZ2" s="31"/>
      <c r="ABA2" s="31"/>
      <c r="ABB2" s="31"/>
      <c r="ABC2" s="31"/>
      <c r="ABD2" s="31"/>
      <c r="ABE2" s="31"/>
      <c r="ABF2" s="31"/>
      <c r="ABG2" s="31"/>
      <c r="ABH2" s="31"/>
      <c r="ABI2" s="31"/>
      <c r="ABJ2" s="31"/>
      <c r="ABK2" s="31"/>
      <c r="ABL2" s="31"/>
      <c r="ABM2" s="31"/>
      <c r="ABN2" s="31"/>
      <c r="ABO2" s="31"/>
      <c r="ABP2" s="31"/>
      <c r="ABQ2" s="31"/>
      <c r="ABR2" s="31"/>
      <c r="ABS2" s="31"/>
      <c r="ABT2" s="31"/>
      <c r="ABU2" s="31"/>
      <c r="ABV2" s="31"/>
      <c r="ABW2" s="31"/>
      <c r="ABX2" s="31"/>
      <c r="ABY2" s="31"/>
      <c r="ABZ2" s="31"/>
      <c r="ACA2" s="31"/>
      <c r="ACB2" s="31"/>
      <c r="ACC2" s="31"/>
      <c r="ACD2" s="31"/>
      <c r="ACE2" s="31"/>
      <c r="ACF2" s="31"/>
      <c r="ACG2" s="31"/>
      <c r="ACH2" s="31"/>
      <c r="ACI2" s="31"/>
      <c r="ACJ2" s="31"/>
      <c r="ACK2" s="31"/>
      <c r="ACL2" s="31"/>
      <c r="ACM2" s="31"/>
      <c r="ACN2" s="31"/>
      <c r="ACO2" s="31"/>
      <c r="ACP2" s="31"/>
      <c r="ACQ2" s="31"/>
      <c r="ACR2" s="32"/>
      <c r="ACS2" s="36">
        <v>43305</v>
      </c>
      <c r="ACT2" s="34"/>
      <c r="ACU2" s="34"/>
      <c r="ACV2" s="34"/>
      <c r="ACW2" s="34"/>
      <c r="ACX2" s="34"/>
      <c r="ACY2" s="34"/>
      <c r="ACZ2" s="34"/>
      <c r="ADA2" s="34"/>
      <c r="ADB2" s="34"/>
      <c r="ADC2" s="34"/>
      <c r="ADD2" s="34"/>
      <c r="ADE2" s="34"/>
      <c r="ADF2" s="34"/>
      <c r="ADG2" s="34"/>
      <c r="ADH2" s="34"/>
      <c r="ADI2" s="34"/>
      <c r="ADJ2" s="34"/>
      <c r="ADK2" s="34"/>
      <c r="ADL2" s="34"/>
      <c r="ADM2" s="34"/>
      <c r="ADN2" s="34"/>
      <c r="ADO2" s="34"/>
      <c r="ADP2" s="34"/>
      <c r="ADQ2" s="34"/>
      <c r="ADR2" s="34"/>
      <c r="ADS2" s="34"/>
      <c r="ADT2" s="34"/>
      <c r="ADU2" s="34"/>
      <c r="ADV2" s="34"/>
      <c r="ADW2" s="34"/>
      <c r="ADX2" s="34"/>
      <c r="ADY2" s="34"/>
      <c r="ADZ2" s="34"/>
      <c r="AEA2" s="34"/>
      <c r="AEB2" s="34"/>
      <c r="AEC2" s="34"/>
      <c r="AED2" s="34"/>
      <c r="AEE2" s="34"/>
      <c r="AEF2" s="34"/>
      <c r="AEG2" s="34"/>
      <c r="AEH2" s="34"/>
      <c r="AEI2" s="34"/>
      <c r="AEJ2" s="34"/>
      <c r="AEK2" s="34"/>
      <c r="AEL2" s="34"/>
      <c r="AEM2" s="34"/>
      <c r="AEN2" s="35"/>
      <c r="AEO2" s="30">
        <v>43306</v>
      </c>
      <c r="AEP2" s="31"/>
      <c r="AEQ2" s="31"/>
      <c r="AER2" s="31"/>
      <c r="AES2" s="31"/>
      <c r="AET2" s="31"/>
      <c r="AEU2" s="31"/>
      <c r="AEV2" s="31"/>
      <c r="AEW2" s="31"/>
      <c r="AEX2" s="31"/>
      <c r="AEY2" s="31"/>
      <c r="AEZ2" s="31"/>
      <c r="AFA2" s="31"/>
      <c r="AFB2" s="31"/>
      <c r="AFC2" s="31"/>
      <c r="AFD2" s="31"/>
      <c r="AFE2" s="31"/>
      <c r="AFF2" s="31"/>
      <c r="AFG2" s="31"/>
      <c r="AFH2" s="31"/>
      <c r="AFI2" s="31"/>
      <c r="AFJ2" s="31"/>
      <c r="AFK2" s="31"/>
      <c r="AFL2" s="31"/>
      <c r="AFM2" s="31"/>
      <c r="AFN2" s="31"/>
      <c r="AFO2" s="31"/>
      <c r="AFP2" s="31"/>
      <c r="AFQ2" s="31"/>
      <c r="AFR2" s="31"/>
      <c r="AFS2" s="31"/>
      <c r="AFT2" s="31"/>
      <c r="AFU2" s="31"/>
      <c r="AFV2" s="31"/>
      <c r="AFW2" s="31"/>
      <c r="AFX2" s="31"/>
      <c r="AFY2" s="31"/>
      <c r="AFZ2" s="31"/>
      <c r="AGA2" s="31"/>
      <c r="AGB2" s="31"/>
      <c r="AGC2" s="31"/>
      <c r="AGD2" s="31"/>
      <c r="AGE2" s="31"/>
      <c r="AGF2" s="31"/>
      <c r="AGG2" s="31"/>
      <c r="AGH2" s="31"/>
      <c r="AGI2" s="31"/>
      <c r="AGJ2" s="32"/>
      <c r="AGK2" s="36">
        <v>43307</v>
      </c>
      <c r="AGL2" s="34"/>
      <c r="AGM2" s="34"/>
      <c r="AGN2" s="34"/>
      <c r="AGO2" s="34"/>
      <c r="AGP2" s="34"/>
      <c r="AGQ2" s="34"/>
      <c r="AGR2" s="34"/>
      <c r="AGS2" s="34"/>
      <c r="AGT2" s="34"/>
      <c r="AGU2" s="34"/>
      <c r="AGV2" s="34"/>
      <c r="AGW2" s="34"/>
      <c r="AGX2" s="34"/>
      <c r="AGY2" s="34"/>
      <c r="AGZ2" s="34"/>
      <c r="AHA2" s="34"/>
      <c r="AHB2" s="34"/>
      <c r="AHC2" s="34"/>
      <c r="AHD2" s="34"/>
      <c r="AHE2" s="34"/>
      <c r="AHF2" s="34"/>
      <c r="AHG2" s="34"/>
      <c r="AHH2" s="34"/>
      <c r="AHI2" s="34"/>
      <c r="AHJ2" s="34"/>
      <c r="AHK2" s="34"/>
      <c r="AHL2" s="34"/>
      <c r="AHM2" s="34"/>
      <c r="AHN2" s="34"/>
      <c r="AHO2" s="34"/>
      <c r="AHP2" s="34"/>
      <c r="AHQ2" s="34"/>
      <c r="AHR2" s="34"/>
      <c r="AHS2" s="34"/>
      <c r="AHT2" s="34"/>
      <c r="AHU2" s="34"/>
      <c r="AHV2" s="34"/>
      <c r="AHW2" s="34"/>
      <c r="AHX2" s="34"/>
      <c r="AHY2" s="34"/>
      <c r="AHZ2" s="34"/>
      <c r="AIA2" s="34"/>
      <c r="AIB2" s="34"/>
      <c r="AIC2" s="34"/>
      <c r="AID2" s="34"/>
      <c r="AIE2" s="34"/>
      <c r="AIF2" s="35"/>
      <c r="AIG2" s="30">
        <v>43308</v>
      </c>
      <c r="AIH2" s="31"/>
      <c r="AII2" s="31"/>
      <c r="AIJ2" s="31"/>
      <c r="AIK2" s="31"/>
      <c r="AIL2" s="31"/>
      <c r="AIM2" s="31"/>
      <c r="AIN2" s="31"/>
      <c r="AIO2" s="31"/>
      <c r="AIP2" s="31"/>
      <c r="AIQ2" s="31"/>
      <c r="AIR2" s="31"/>
      <c r="AIS2" s="31"/>
      <c r="AIT2" s="31"/>
      <c r="AIU2" s="31"/>
      <c r="AIV2" s="31"/>
      <c r="AIW2" s="31"/>
      <c r="AIX2" s="31"/>
      <c r="AIY2" s="31"/>
      <c r="AIZ2" s="31"/>
      <c r="AJA2" s="31"/>
      <c r="AJB2" s="31"/>
      <c r="AJC2" s="31"/>
      <c r="AJD2" s="31"/>
      <c r="AJE2" s="31"/>
      <c r="AJF2" s="31"/>
      <c r="AJG2" s="31"/>
      <c r="AJH2" s="31"/>
      <c r="AJI2" s="31"/>
      <c r="AJJ2" s="31"/>
      <c r="AJK2" s="31"/>
      <c r="AJL2" s="31"/>
      <c r="AJM2" s="31"/>
      <c r="AJN2" s="31"/>
      <c r="AJO2" s="31"/>
      <c r="AJP2" s="31"/>
      <c r="AJQ2" s="31"/>
      <c r="AJR2" s="31"/>
      <c r="AJS2" s="31"/>
      <c r="AJT2" s="31"/>
      <c r="AJU2" s="31"/>
      <c r="AJV2" s="31"/>
      <c r="AJW2" s="31"/>
      <c r="AJX2" s="31"/>
      <c r="AJY2" s="31"/>
      <c r="AJZ2" s="31"/>
      <c r="AKA2" s="31"/>
      <c r="AKB2" s="32"/>
      <c r="AKC2" s="36">
        <v>43309</v>
      </c>
      <c r="AKD2" s="34"/>
      <c r="AKE2" s="34"/>
      <c r="AKF2" s="34"/>
      <c r="AKG2" s="34"/>
      <c r="AKH2" s="34"/>
      <c r="AKI2" s="34"/>
      <c r="AKJ2" s="34"/>
      <c r="AKK2" s="34"/>
      <c r="AKL2" s="34"/>
      <c r="AKM2" s="34"/>
      <c r="AKN2" s="34"/>
      <c r="AKO2" s="34"/>
      <c r="AKP2" s="34"/>
      <c r="AKQ2" s="34"/>
      <c r="AKR2" s="34"/>
      <c r="AKS2" s="34"/>
      <c r="AKT2" s="34"/>
      <c r="AKU2" s="34"/>
      <c r="AKV2" s="34"/>
      <c r="AKW2" s="34"/>
      <c r="AKX2" s="34"/>
      <c r="AKY2" s="34"/>
      <c r="AKZ2" s="34"/>
      <c r="ALA2" s="34"/>
      <c r="ALB2" s="34"/>
      <c r="ALC2" s="34"/>
      <c r="ALD2" s="34"/>
      <c r="ALE2" s="34"/>
      <c r="ALF2" s="34"/>
      <c r="ALG2" s="34"/>
      <c r="ALH2" s="34"/>
      <c r="ALI2" s="34"/>
      <c r="ALJ2" s="34"/>
      <c r="ALK2" s="34"/>
      <c r="ALL2" s="34"/>
      <c r="ALM2" s="34"/>
      <c r="ALN2" s="34"/>
      <c r="ALO2" s="34"/>
      <c r="ALP2" s="34"/>
      <c r="ALQ2" s="34"/>
      <c r="ALR2" s="34"/>
      <c r="ALS2" s="34"/>
      <c r="ALT2" s="34"/>
      <c r="ALU2" s="34"/>
      <c r="ALV2" s="34"/>
      <c r="ALW2" s="34"/>
      <c r="ALX2" s="35"/>
      <c r="ALY2" s="30">
        <v>43310</v>
      </c>
      <c r="ALZ2" s="31"/>
      <c r="AMA2" s="31"/>
      <c r="AMB2" s="31"/>
      <c r="AMC2" s="31"/>
      <c r="AMD2" s="31"/>
      <c r="AME2" s="31"/>
      <c r="AMF2" s="31"/>
      <c r="AMG2" s="31"/>
      <c r="AMH2" s="31"/>
      <c r="AMI2" s="31"/>
      <c r="AMJ2" s="31"/>
      <c r="AMK2" s="31"/>
      <c r="AML2" s="31"/>
      <c r="AMM2" s="31"/>
      <c r="AMN2" s="31"/>
      <c r="AMO2" s="31"/>
      <c r="AMP2" s="31"/>
      <c r="AMQ2" s="31"/>
      <c r="AMR2" s="31"/>
      <c r="AMS2" s="31"/>
      <c r="AMT2" s="31"/>
      <c r="AMU2" s="31"/>
      <c r="AMV2" s="31"/>
      <c r="AMW2" s="31"/>
      <c r="AMX2" s="31"/>
      <c r="AMY2" s="31"/>
      <c r="AMZ2" s="31"/>
      <c r="ANA2" s="31"/>
      <c r="ANB2" s="31"/>
      <c r="ANC2" s="31"/>
      <c r="AND2" s="31"/>
      <c r="ANE2" s="31"/>
      <c r="ANF2" s="31"/>
      <c r="ANG2" s="31"/>
      <c r="ANH2" s="31"/>
      <c r="ANI2" s="31"/>
      <c r="ANJ2" s="31"/>
      <c r="ANK2" s="31"/>
      <c r="ANL2" s="31"/>
      <c r="ANM2" s="31"/>
      <c r="ANN2" s="31"/>
      <c r="ANO2" s="31"/>
      <c r="ANP2" s="31"/>
      <c r="ANQ2" s="31"/>
      <c r="ANR2" s="31"/>
      <c r="ANS2" s="31"/>
      <c r="ANT2" s="32"/>
      <c r="ANU2" s="36">
        <v>43311</v>
      </c>
      <c r="ANV2" s="34"/>
      <c r="ANW2" s="34"/>
      <c r="ANX2" s="34"/>
      <c r="ANY2" s="34"/>
      <c r="ANZ2" s="34"/>
      <c r="AOA2" s="34"/>
      <c r="AOB2" s="34"/>
      <c r="AOC2" s="34"/>
      <c r="AOD2" s="34"/>
      <c r="AOE2" s="34"/>
      <c r="AOF2" s="34"/>
      <c r="AOG2" s="34"/>
      <c r="AOH2" s="34"/>
      <c r="AOI2" s="34"/>
      <c r="AOJ2" s="34"/>
      <c r="AOK2" s="34"/>
      <c r="AOL2" s="34"/>
      <c r="AOM2" s="34"/>
      <c r="AON2" s="34"/>
      <c r="AOO2" s="34"/>
      <c r="AOP2" s="34"/>
      <c r="AOQ2" s="34"/>
      <c r="AOR2" s="34"/>
      <c r="AOS2" s="34"/>
      <c r="AOT2" s="34"/>
      <c r="AOU2" s="34"/>
      <c r="AOV2" s="34"/>
      <c r="AOW2" s="34"/>
      <c r="AOX2" s="34"/>
      <c r="AOY2" s="34"/>
      <c r="AOZ2" s="34"/>
      <c r="APA2" s="34"/>
      <c r="APB2" s="34"/>
      <c r="APC2" s="34"/>
      <c r="APD2" s="34"/>
      <c r="APE2" s="34"/>
      <c r="APF2" s="34"/>
      <c r="APG2" s="34"/>
      <c r="APH2" s="34"/>
      <c r="API2" s="34"/>
      <c r="APJ2" s="34"/>
      <c r="APK2" s="34"/>
      <c r="APL2" s="34"/>
      <c r="APM2" s="34"/>
      <c r="APN2" s="34"/>
      <c r="APO2" s="34"/>
      <c r="APP2" s="35"/>
      <c r="APQ2" s="30">
        <v>43312</v>
      </c>
      <c r="APR2" s="31"/>
      <c r="APS2" s="31"/>
      <c r="APT2" s="31"/>
      <c r="APU2" s="31"/>
      <c r="APV2" s="31"/>
      <c r="APW2" s="31"/>
      <c r="APX2" s="31"/>
      <c r="APY2" s="31"/>
      <c r="APZ2" s="31"/>
      <c r="AQA2" s="31"/>
      <c r="AQB2" s="31"/>
      <c r="AQC2" s="31"/>
      <c r="AQD2" s="31"/>
      <c r="AQE2" s="31"/>
      <c r="AQF2" s="31"/>
      <c r="AQG2" s="31"/>
      <c r="AQH2" s="31"/>
      <c r="AQI2" s="31"/>
      <c r="AQJ2" s="31"/>
      <c r="AQK2" s="31"/>
      <c r="AQL2" s="31"/>
      <c r="AQM2" s="31"/>
      <c r="AQN2" s="31"/>
      <c r="AQO2" s="31"/>
      <c r="AQP2" s="31"/>
      <c r="AQQ2" s="31"/>
      <c r="AQR2" s="31"/>
      <c r="AQS2" s="31"/>
      <c r="AQT2" s="31"/>
      <c r="AQU2" s="31"/>
      <c r="AQV2" s="31"/>
      <c r="AQW2" s="31"/>
      <c r="AQX2" s="31"/>
      <c r="AQY2" s="31"/>
      <c r="AQZ2" s="31"/>
      <c r="ARA2" s="31"/>
      <c r="ARB2" s="31"/>
      <c r="ARC2" s="31"/>
      <c r="ARD2" s="31"/>
      <c r="ARE2" s="31"/>
      <c r="ARF2" s="31"/>
      <c r="ARG2" s="31"/>
      <c r="ARH2" s="31"/>
      <c r="ARI2" s="31"/>
      <c r="ARJ2" s="31"/>
      <c r="ARK2" s="31"/>
      <c r="ARL2" s="32"/>
      <c r="ARM2" s="36">
        <v>43313</v>
      </c>
      <c r="ARN2" s="34"/>
      <c r="ARO2" s="34"/>
      <c r="ARP2" s="34"/>
      <c r="ARQ2" s="34"/>
      <c r="ARR2" s="34"/>
      <c r="ARS2" s="34"/>
      <c r="ART2" s="34"/>
      <c r="ARU2" s="34"/>
      <c r="ARV2" s="34"/>
      <c r="ARW2" s="34"/>
      <c r="ARX2" s="34"/>
      <c r="ARY2" s="34"/>
      <c r="ARZ2" s="34"/>
      <c r="ASA2" s="34"/>
      <c r="ASB2" s="34"/>
      <c r="ASC2" s="34"/>
      <c r="ASD2" s="34"/>
      <c r="ASE2" s="34"/>
      <c r="ASF2" s="34"/>
      <c r="ASG2" s="34"/>
      <c r="ASH2" s="34"/>
      <c r="ASI2" s="34"/>
      <c r="ASJ2" s="34"/>
      <c r="ASK2" s="34"/>
      <c r="ASL2" s="34"/>
      <c r="ASM2" s="34"/>
      <c r="ASN2" s="34"/>
      <c r="ASO2" s="34"/>
      <c r="ASP2" s="34"/>
      <c r="ASQ2" s="34"/>
      <c r="ASR2" s="34"/>
      <c r="ASS2" s="34"/>
      <c r="AST2" s="34"/>
      <c r="ASU2" s="34"/>
      <c r="ASV2" s="34"/>
      <c r="ASW2" s="34"/>
      <c r="ASX2" s="34"/>
      <c r="ASY2" s="34"/>
      <c r="ASZ2" s="34"/>
      <c r="ATA2" s="34"/>
      <c r="ATB2" s="34"/>
      <c r="ATC2" s="34"/>
      <c r="ATD2" s="34"/>
      <c r="ATE2" s="34"/>
      <c r="ATF2" s="34"/>
      <c r="ATG2" s="34"/>
      <c r="ATH2" s="35"/>
      <c r="ATI2" s="30">
        <v>43314</v>
      </c>
      <c r="ATJ2" s="31"/>
      <c r="ATK2" s="31"/>
      <c r="ATL2" s="31"/>
      <c r="ATM2" s="31"/>
      <c r="ATN2" s="31"/>
      <c r="ATO2" s="31"/>
      <c r="ATP2" s="31"/>
      <c r="ATQ2" s="31"/>
      <c r="ATR2" s="31"/>
      <c r="ATS2" s="31"/>
      <c r="ATT2" s="31"/>
      <c r="ATU2" s="31"/>
      <c r="ATV2" s="31"/>
      <c r="ATW2" s="31"/>
      <c r="ATX2" s="31"/>
      <c r="ATY2" s="31"/>
      <c r="ATZ2" s="31"/>
      <c r="AUA2" s="31"/>
      <c r="AUB2" s="31"/>
      <c r="AUC2" s="31"/>
      <c r="AUD2" s="31"/>
      <c r="AUE2" s="31"/>
      <c r="AUF2" s="31"/>
      <c r="AUG2" s="31"/>
      <c r="AUH2" s="31"/>
      <c r="AUI2" s="31"/>
      <c r="AUJ2" s="31"/>
      <c r="AUK2" s="31"/>
      <c r="AUL2" s="31"/>
      <c r="AUM2" s="31"/>
      <c r="AUN2" s="31"/>
      <c r="AUO2" s="31"/>
      <c r="AUP2" s="31"/>
      <c r="AUQ2" s="31"/>
      <c r="AUR2" s="31"/>
      <c r="AUS2" s="31"/>
      <c r="AUT2" s="31"/>
      <c r="AUU2" s="31"/>
      <c r="AUV2" s="31"/>
      <c r="AUW2" s="31"/>
      <c r="AUX2" s="31"/>
      <c r="AUY2" s="31"/>
      <c r="AUZ2" s="31"/>
      <c r="AVA2" s="31"/>
      <c r="AVB2" s="31"/>
      <c r="AVC2" s="31"/>
      <c r="AVD2" s="32"/>
      <c r="AVE2" s="36">
        <v>43315</v>
      </c>
      <c r="AVF2" s="34"/>
      <c r="AVG2" s="34"/>
      <c r="AVH2" s="34"/>
      <c r="AVI2" s="34"/>
      <c r="AVJ2" s="34"/>
      <c r="AVK2" s="34"/>
      <c r="AVL2" s="34"/>
      <c r="AVM2" s="34"/>
      <c r="AVN2" s="34"/>
      <c r="AVO2" s="34"/>
      <c r="AVP2" s="34"/>
      <c r="AVQ2" s="34"/>
      <c r="AVR2" s="34"/>
      <c r="AVS2" s="34"/>
      <c r="AVT2" s="34"/>
      <c r="AVU2" s="34"/>
      <c r="AVV2" s="34"/>
      <c r="AVW2" s="34"/>
      <c r="AVX2" s="34"/>
      <c r="AVY2" s="34"/>
      <c r="AVZ2" s="34"/>
      <c r="AWA2" s="34"/>
      <c r="AWB2" s="34"/>
      <c r="AWC2" s="34"/>
      <c r="AWD2" s="34"/>
      <c r="AWE2" s="34"/>
      <c r="AWF2" s="34"/>
      <c r="AWG2" s="34"/>
      <c r="AWH2" s="34"/>
      <c r="AWI2" s="34"/>
      <c r="AWJ2" s="34"/>
      <c r="AWK2" s="34"/>
      <c r="AWL2" s="34"/>
      <c r="AWM2" s="34"/>
      <c r="AWN2" s="34"/>
      <c r="AWO2" s="34"/>
      <c r="AWP2" s="34"/>
      <c r="AWQ2" s="34"/>
      <c r="AWR2" s="34"/>
      <c r="AWS2" s="34"/>
      <c r="AWT2" s="34"/>
      <c r="AWU2" s="34"/>
      <c r="AWV2" s="34"/>
      <c r="AWW2" s="34"/>
      <c r="AWX2" s="34"/>
      <c r="AWY2" s="34"/>
      <c r="AWZ2" s="35"/>
      <c r="AXA2" s="30">
        <v>43316</v>
      </c>
      <c r="AXB2" s="31"/>
      <c r="AXC2" s="31"/>
      <c r="AXD2" s="31"/>
      <c r="AXE2" s="31"/>
      <c r="AXF2" s="31"/>
      <c r="AXG2" s="31"/>
      <c r="AXH2" s="31"/>
      <c r="AXI2" s="31"/>
      <c r="AXJ2" s="31"/>
      <c r="AXK2" s="31"/>
      <c r="AXL2" s="31"/>
      <c r="AXM2" s="31"/>
      <c r="AXN2" s="31"/>
      <c r="AXO2" s="31"/>
      <c r="AXP2" s="31"/>
      <c r="AXQ2" s="31"/>
      <c r="AXR2" s="31"/>
      <c r="AXS2" s="31"/>
      <c r="AXT2" s="31"/>
      <c r="AXU2" s="31"/>
      <c r="AXV2" s="31"/>
      <c r="AXW2" s="31"/>
      <c r="AXX2" s="31"/>
      <c r="AXY2" s="31"/>
      <c r="AXZ2" s="31"/>
      <c r="AYA2" s="31"/>
      <c r="AYB2" s="31"/>
      <c r="AYC2" s="31"/>
      <c r="AYD2" s="31"/>
      <c r="AYE2" s="31"/>
      <c r="AYF2" s="31"/>
      <c r="AYG2" s="31"/>
      <c r="AYH2" s="31"/>
      <c r="AYI2" s="31"/>
      <c r="AYJ2" s="31"/>
      <c r="AYK2" s="31"/>
      <c r="AYL2" s="31"/>
      <c r="AYM2" s="31"/>
      <c r="AYN2" s="31"/>
      <c r="AYO2" s="31"/>
      <c r="AYP2" s="31"/>
      <c r="AYQ2" s="31"/>
      <c r="AYR2" s="31"/>
      <c r="AYS2" s="31"/>
      <c r="AYT2" s="31"/>
      <c r="AYU2" s="31"/>
      <c r="AYV2" s="32"/>
      <c r="AYW2" s="36">
        <v>43317</v>
      </c>
      <c r="AYX2" s="34"/>
      <c r="AYY2" s="34"/>
      <c r="AYZ2" s="34"/>
      <c r="AZA2" s="34"/>
      <c r="AZB2" s="34"/>
      <c r="AZC2" s="34"/>
      <c r="AZD2" s="34"/>
      <c r="AZE2" s="34"/>
      <c r="AZF2" s="34"/>
      <c r="AZG2" s="34"/>
      <c r="AZH2" s="34"/>
      <c r="AZI2" s="34"/>
      <c r="AZJ2" s="34"/>
      <c r="AZK2" s="34"/>
      <c r="AZL2" s="34"/>
      <c r="AZM2" s="34"/>
      <c r="AZN2" s="34"/>
      <c r="AZO2" s="34"/>
      <c r="AZP2" s="34"/>
      <c r="AZQ2" s="34"/>
      <c r="AZR2" s="34"/>
      <c r="AZS2" s="34"/>
      <c r="AZT2" s="34"/>
      <c r="AZU2" s="34"/>
      <c r="AZV2" s="34"/>
      <c r="AZW2" s="34"/>
      <c r="AZX2" s="34"/>
      <c r="AZY2" s="34"/>
      <c r="AZZ2" s="34"/>
      <c r="BAA2" s="34"/>
      <c r="BAB2" s="34"/>
      <c r="BAC2" s="34"/>
      <c r="BAD2" s="34"/>
      <c r="BAE2" s="34"/>
      <c r="BAF2" s="34"/>
      <c r="BAG2" s="34"/>
      <c r="BAH2" s="34"/>
      <c r="BAI2" s="34"/>
      <c r="BAJ2" s="34"/>
      <c r="BAK2" s="34"/>
      <c r="BAL2" s="34"/>
      <c r="BAM2" s="34"/>
      <c r="BAN2" s="34"/>
      <c r="BAO2" s="34"/>
      <c r="BAP2" s="34"/>
      <c r="BAQ2" s="34"/>
      <c r="BAR2" s="35"/>
    </row>
    <row r="3" spans="1:1429" ht="12.75" customHeight="1" x14ac:dyDescent="0.2">
      <c r="A3" t="s">
        <v>3597</v>
      </c>
      <c r="B3" t="s">
        <v>4882</v>
      </c>
      <c r="C3">
        <v>356</v>
      </c>
      <c r="D3" s="23">
        <v>8.18</v>
      </c>
      <c r="NJ3" t="s">
        <v>4882</v>
      </c>
    </row>
    <row r="4" spans="1:1429" ht="12.75" customHeight="1" x14ac:dyDescent="0.2">
      <c r="A4" t="s">
        <v>3597</v>
      </c>
      <c r="B4" t="s">
        <v>4883</v>
      </c>
      <c r="C4">
        <v>375.82</v>
      </c>
      <c r="D4" s="23">
        <v>8.18</v>
      </c>
      <c r="OD4" t="s">
        <v>4883</v>
      </c>
    </row>
    <row r="5" spans="1:1429" ht="12.75" customHeight="1" x14ac:dyDescent="0.2">
      <c r="A5" t="s">
        <v>3597</v>
      </c>
      <c r="B5" t="s">
        <v>4884</v>
      </c>
      <c r="C5">
        <v>463.65</v>
      </c>
      <c r="D5" s="23">
        <v>8.2899999999999991</v>
      </c>
      <c r="RN5" t="s">
        <v>4884</v>
      </c>
    </row>
    <row r="6" spans="1:1429" ht="12.75" customHeight="1" x14ac:dyDescent="0.2">
      <c r="A6" t="s">
        <v>3597</v>
      </c>
      <c r="B6" t="s">
        <v>4885</v>
      </c>
      <c r="C6">
        <v>655.42</v>
      </c>
      <c r="D6" s="23">
        <v>8.2899999999999991</v>
      </c>
      <c r="YX6" t="s">
        <v>4885</v>
      </c>
    </row>
    <row r="7" spans="1:1429" ht="12.75" customHeight="1" x14ac:dyDescent="0.2">
      <c r="A7" t="s">
        <v>3597</v>
      </c>
      <c r="B7" t="s">
        <v>4886</v>
      </c>
      <c r="C7">
        <v>673</v>
      </c>
      <c r="D7" s="23">
        <v>8.2899999999999991</v>
      </c>
      <c r="ZO7" t="s">
        <v>4886</v>
      </c>
    </row>
    <row r="8" spans="1:1429" ht="12.75" customHeight="1" x14ac:dyDescent="0.2">
      <c r="A8" t="s">
        <v>3597</v>
      </c>
      <c r="B8" t="s">
        <v>4887</v>
      </c>
      <c r="C8">
        <v>705.9</v>
      </c>
      <c r="D8" s="23">
        <v>14.09</v>
      </c>
      <c r="ABB8" t="s">
        <v>4887</v>
      </c>
    </row>
    <row r="9" spans="1:1429" ht="12.75" customHeight="1" x14ac:dyDescent="0.2">
      <c r="A9" t="s">
        <v>3597</v>
      </c>
      <c r="B9" t="s">
        <v>7152</v>
      </c>
      <c r="C9">
        <v>741.6</v>
      </c>
      <c r="D9" s="23">
        <v>19.399999999999999</v>
      </c>
      <c r="ACQ9" t="s">
        <v>7152</v>
      </c>
    </row>
    <row r="10" spans="1:1429" ht="12.75" customHeight="1" x14ac:dyDescent="0.2">
      <c r="A10" t="s">
        <v>3597</v>
      </c>
      <c r="B10" t="s">
        <v>4888</v>
      </c>
      <c r="C10">
        <v>762</v>
      </c>
      <c r="D10" s="23">
        <v>8.2899999999999991</v>
      </c>
      <c r="ACZ10" t="s">
        <v>4888</v>
      </c>
    </row>
    <row r="11" spans="1:1429" ht="12.75" customHeight="1" x14ac:dyDescent="0.2">
      <c r="A11" t="s">
        <v>3597</v>
      </c>
      <c r="B11" t="s">
        <v>4889</v>
      </c>
      <c r="C11">
        <v>930.84</v>
      </c>
      <c r="D11" s="23">
        <v>8.2899999999999991</v>
      </c>
      <c r="AJM11" t="s">
        <v>4889</v>
      </c>
    </row>
    <row r="12" spans="1:1429" ht="12.75" customHeight="1" x14ac:dyDescent="0.2">
      <c r="A12" t="s">
        <v>3597</v>
      </c>
      <c r="B12" t="s">
        <v>7153</v>
      </c>
      <c r="C12">
        <v>940.13</v>
      </c>
      <c r="D12" s="23">
        <v>33.159999999999997</v>
      </c>
      <c r="AKU12" t="s">
        <v>7153</v>
      </c>
    </row>
    <row r="13" spans="1:1429" ht="12.75" customHeight="1" x14ac:dyDescent="0.2">
      <c r="A13" t="s">
        <v>3597</v>
      </c>
      <c r="B13" t="s">
        <v>4890</v>
      </c>
      <c r="C13">
        <v>991.42</v>
      </c>
      <c r="D13" s="23">
        <v>16.579999999999998</v>
      </c>
      <c r="AMD13" t="s">
        <v>4890</v>
      </c>
      <c r="AYZ13" t="s">
        <v>3689</v>
      </c>
    </row>
    <row r="14" spans="1:1429" ht="12.75" customHeight="1" x14ac:dyDescent="0.2">
      <c r="A14" t="s">
        <v>3597</v>
      </c>
      <c r="B14" t="s">
        <v>4891</v>
      </c>
      <c r="C14">
        <v>1009</v>
      </c>
      <c r="D14" s="23">
        <v>16.579999999999998</v>
      </c>
      <c r="AMV14" t="s">
        <v>4891</v>
      </c>
      <c r="AYZ14" t="s">
        <v>3690</v>
      </c>
    </row>
    <row r="15" spans="1:1429" ht="12.75" customHeight="1" x14ac:dyDescent="0.2">
      <c r="A15" t="s">
        <v>3597</v>
      </c>
      <c r="B15" t="s">
        <v>4892</v>
      </c>
      <c r="C15">
        <v>1047.71</v>
      </c>
      <c r="D15" s="23">
        <v>8.2899999999999991</v>
      </c>
      <c r="ANZ15" t="s">
        <v>4892</v>
      </c>
      <c r="AYZ15" t="s">
        <v>3323</v>
      </c>
      <c r="AZR15" t="s">
        <v>3691</v>
      </c>
    </row>
    <row r="16" spans="1:1429" ht="12.75" customHeight="1" x14ac:dyDescent="0.2">
      <c r="A16" t="s">
        <v>3597</v>
      </c>
      <c r="B16" t="s">
        <v>4893</v>
      </c>
      <c r="C16">
        <v>1082.42</v>
      </c>
      <c r="D16" s="23">
        <v>16.579999999999998</v>
      </c>
      <c r="APQ16" t="s">
        <v>4893</v>
      </c>
      <c r="BAV16" t="s">
        <v>3692</v>
      </c>
      <c r="BBY16" t="s">
        <v>3324</v>
      </c>
    </row>
    <row r="17" spans="1:10 1143:1944 2052:3034 3082:3800" ht="12.75" customHeight="1" x14ac:dyDescent="0.2">
      <c r="A17" t="s">
        <v>3597</v>
      </c>
      <c r="B17" t="s">
        <v>4894</v>
      </c>
      <c r="C17">
        <v>1100</v>
      </c>
      <c r="D17" s="23">
        <v>32.71</v>
      </c>
      <c r="AQY17" t="s">
        <v>4894</v>
      </c>
      <c r="BCQ17" t="s">
        <v>3325</v>
      </c>
      <c r="BDU17" t="s">
        <v>3693</v>
      </c>
    </row>
    <row r="18" spans="1:10 1143:1944 2052:3034 3082:3800" ht="12.75" customHeight="1" x14ac:dyDescent="0.2">
      <c r="A18" t="s">
        <v>3597</v>
      </c>
      <c r="B18" t="s">
        <v>4895</v>
      </c>
      <c r="C18">
        <v>1134.71</v>
      </c>
      <c r="D18" s="23">
        <v>16.579999999999998</v>
      </c>
      <c r="ARQ18" t="s">
        <v>4895</v>
      </c>
      <c r="BEM18" t="s">
        <v>3694</v>
      </c>
      <c r="BKB18" t="s">
        <v>3326</v>
      </c>
    </row>
    <row r="19" spans="1:10 1143:1944 2052:3034 3082:3800" ht="12.75" customHeight="1" x14ac:dyDescent="0.2">
      <c r="A19" t="s">
        <v>3597</v>
      </c>
      <c r="B19" t="s">
        <v>4896</v>
      </c>
      <c r="C19">
        <v>1327.42</v>
      </c>
      <c r="D19" s="23">
        <v>16.579999999999998</v>
      </c>
      <c r="AZB19" t="s">
        <v>5717</v>
      </c>
      <c r="BAX19" t="s">
        <v>5717</v>
      </c>
      <c r="BCT19" t="s">
        <v>5717</v>
      </c>
      <c r="BEP19" t="s">
        <v>3326</v>
      </c>
      <c r="BLX19" t="s">
        <v>3327</v>
      </c>
    </row>
    <row r="20" spans="1:10 1143:1944 2052:3034 3082:3800" ht="12.75" customHeight="1" x14ac:dyDescent="0.2">
      <c r="A20" t="s">
        <v>3597</v>
      </c>
      <c r="B20" t="s">
        <v>7154</v>
      </c>
      <c r="C20">
        <v>1359.29</v>
      </c>
      <c r="D20" s="23">
        <v>32.71</v>
      </c>
      <c r="BAX20" t="s">
        <v>5718</v>
      </c>
      <c r="BCT20" t="s">
        <v>5718</v>
      </c>
      <c r="BEP20" t="s">
        <v>5718</v>
      </c>
      <c r="BGL20" t="s">
        <v>4712</v>
      </c>
      <c r="BNT20" t="s">
        <v>3695</v>
      </c>
      <c r="BZX20" t="s">
        <v>3328</v>
      </c>
    </row>
    <row r="21" spans="1:10 1143:1944 2052:3034 3082:3800" ht="12.75" customHeight="1" x14ac:dyDescent="0.2">
      <c r="A21" t="s">
        <v>3597</v>
      </c>
      <c r="B21" t="s">
        <v>4897</v>
      </c>
      <c r="C21">
        <v>1739.55</v>
      </c>
      <c r="D21" s="23">
        <v>16.579999999999998</v>
      </c>
      <c r="BGL21" t="s">
        <v>6775</v>
      </c>
      <c r="BOX21" t="s">
        <v>5719</v>
      </c>
      <c r="BQT21" t="s">
        <v>5719</v>
      </c>
      <c r="BSP21" t="s">
        <v>5719</v>
      </c>
      <c r="BUL21" t="s">
        <v>3328</v>
      </c>
      <c r="CBF21" t="s">
        <v>3329</v>
      </c>
      <c r="CBT21" t="s">
        <v>3696</v>
      </c>
    </row>
    <row r="22" spans="1:10 1143:1944 2052:3034 3082:3800" ht="12.75" customHeight="1" x14ac:dyDescent="0.2">
      <c r="A22" t="s">
        <v>3597</v>
      </c>
      <c r="B22" t="s">
        <v>7155</v>
      </c>
      <c r="C22">
        <v>1757.13</v>
      </c>
      <c r="D22" s="23">
        <v>33.159999999999997</v>
      </c>
      <c r="BOX22" t="s">
        <v>4897</v>
      </c>
      <c r="BQF22" t="s">
        <v>5720</v>
      </c>
      <c r="BSB22" t="s">
        <v>5720</v>
      </c>
      <c r="BTX22" t="s">
        <v>5720</v>
      </c>
      <c r="BVT22" t="s">
        <v>4713</v>
      </c>
      <c r="CDB22" t="s">
        <v>3697</v>
      </c>
      <c r="CLT22" t="s">
        <v>3330</v>
      </c>
    </row>
    <row r="23" spans="1:10 1143:1944 2052:3034 3082:3800" ht="12.75" customHeight="1" x14ac:dyDescent="0.2">
      <c r="A23" t="s">
        <v>3597</v>
      </c>
      <c r="B23" t="s">
        <v>7156</v>
      </c>
      <c r="C23">
        <v>2031.29</v>
      </c>
      <c r="D23" s="23">
        <v>32.71</v>
      </c>
      <c r="BQF23" t="s">
        <v>3329</v>
      </c>
      <c r="CAT23" t="s">
        <v>5721</v>
      </c>
      <c r="CCP23" t="s">
        <v>5721</v>
      </c>
      <c r="CEL23" t="s">
        <v>5721</v>
      </c>
      <c r="CGH23" t="s">
        <v>3330</v>
      </c>
      <c r="CNP23" t="s">
        <v>3698</v>
      </c>
      <c r="CRH23" t="s">
        <v>3331</v>
      </c>
    </row>
    <row r="24" spans="1:10 1143:1944 2052:3034 3082:3800" ht="12.75" customHeight="1" x14ac:dyDescent="0.2">
      <c r="A24" t="s">
        <v>3597</v>
      </c>
      <c r="B24" t="s">
        <v>7157</v>
      </c>
      <c r="C24">
        <v>2174.83</v>
      </c>
      <c r="D24" s="23">
        <v>33.159999999999997</v>
      </c>
      <c r="CAT24" t="s">
        <v>6776</v>
      </c>
      <c r="CGH24" t="s">
        <v>5722</v>
      </c>
      <c r="CID24" t="s">
        <v>5722</v>
      </c>
      <c r="CJZ24" t="s">
        <v>5722</v>
      </c>
      <c r="CLV24" t="s">
        <v>4714</v>
      </c>
      <c r="CTD24" t="s">
        <v>3699</v>
      </c>
      <c r="CXR24" t="s">
        <v>3332</v>
      </c>
    </row>
    <row r="25" spans="1:10 1143:1944 2052:3034 3082:3800" ht="12.75" customHeight="1" x14ac:dyDescent="0.2">
      <c r="A25" t="s">
        <v>3597</v>
      </c>
      <c r="B25" t="s">
        <v>3332</v>
      </c>
      <c r="C25">
        <v>2357.89</v>
      </c>
      <c r="D25" s="23">
        <v>16.579999999999998</v>
      </c>
      <c r="CGH25" t="s">
        <v>3331</v>
      </c>
      <c r="CMR25" t="s">
        <v>3700</v>
      </c>
      <c r="CON25" t="s">
        <v>3700</v>
      </c>
      <c r="CQJ25" t="s">
        <v>5723</v>
      </c>
      <c r="CSF25" t="s">
        <v>3332</v>
      </c>
      <c r="CYR25" t="s">
        <v>3333</v>
      </c>
      <c r="CZN25" t="s">
        <v>3700</v>
      </c>
    </row>
    <row r="26" spans="1:10 1143:1944 2052:3034 3082:3800" ht="12.75" customHeight="1" x14ac:dyDescent="0.2">
      <c r="A26" t="s">
        <v>3597</v>
      </c>
      <c r="B26" t="s">
        <v>7158</v>
      </c>
      <c r="C26">
        <v>2375.4699999999998</v>
      </c>
      <c r="D26" s="23">
        <v>24.53</v>
      </c>
      <c r="CMR26" t="s">
        <v>3332</v>
      </c>
      <c r="CNR26" t="s">
        <v>5724</v>
      </c>
      <c r="CPN26" t="s">
        <v>5724</v>
      </c>
      <c r="CRJ26" t="s">
        <v>5724</v>
      </c>
      <c r="CTF26" t="s">
        <v>4715</v>
      </c>
      <c r="DAN26" t="s">
        <v>3334</v>
      </c>
    </row>
    <row r="27" spans="1:10 1143:1944 2052:3034 3082:3800" ht="12.75" customHeight="1" x14ac:dyDescent="0.2">
      <c r="A27" t="s">
        <v>3597</v>
      </c>
      <c r="B27" t="s">
        <v>7159</v>
      </c>
      <c r="C27">
        <v>2558.83</v>
      </c>
      <c r="D27" s="23">
        <v>33.159999999999997</v>
      </c>
      <c r="CNR27" t="s">
        <v>3333</v>
      </c>
      <c r="CVB27" t="s">
        <v>5725</v>
      </c>
      <c r="CWX27" t="s">
        <v>5725</v>
      </c>
      <c r="CYT27" t="s">
        <v>5725</v>
      </c>
      <c r="DAP27" t="s">
        <v>4716</v>
      </c>
      <c r="DCJ27" t="s">
        <v>3701</v>
      </c>
      <c r="EJP27" t="s">
        <v>3335</v>
      </c>
    </row>
    <row r="28" spans="1:10 1143:1944 2052:3034 3082:3800" ht="12.75" customHeight="1" x14ac:dyDescent="0.2">
      <c r="A28" t="s">
        <v>3597</v>
      </c>
      <c r="B28" t="s">
        <v>7160</v>
      </c>
      <c r="C28">
        <v>2654.83</v>
      </c>
      <c r="D28" s="23">
        <v>16.579999999999998</v>
      </c>
      <c r="CVB28" t="s">
        <v>6777</v>
      </c>
      <c r="CYC28" t="s">
        <v>5726</v>
      </c>
      <c r="CZY28" t="s">
        <v>5726</v>
      </c>
      <c r="DBU28" t="s">
        <v>5726</v>
      </c>
      <c r="DDQ28" t="s">
        <v>4717</v>
      </c>
      <c r="ELL28" t="s">
        <v>3702</v>
      </c>
      <c r="ENH28" t="s">
        <v>3336</v>
      </c>
    </row>
    <row r="29" spans="1:10 1143:1944 2052:3034 3082:3800" ht="12.75" customHeight="1" x14ac:dyDescent="0.2">
      <c r="A29" t="s">
        <v>3597</v>
      </c>
      <c r="B29" t="s">
        <v>7161</v>
      </c>
      <c r="C29">
        <v>2990.83</v>
      </c>
      <c r="D29" s="23">
        <v>33.159999999999997</v>
      </c>
      <c r="CYC29" t="s">
        <v>6778</v>
      </c>
      <c r="DLR29" t="s">
        <v>5727</v>
      </c>
      <c r="DNN29" t="s">
        <v>5727</v>
      </c>
      <c r="DPJ29" t="s">
        <v>5727</v>
      </c>
      <c r="DRF29" t="s">
        <v>4718</v>
      </c>
      <c r="EPD29" t="s">
        <v>3703</v>
      </c>
    </row>
    <row r="30" spans="1:10 1143:1944 2052:3034 3082:3800" ht="12.75" customHeight="1" x14ac:dyDescent="0.2">
      <c r="A30" t="s">
        <v>3597</v>
      </c>
      <c r="B30" t="s">
        <v>4898</v>
      </c>
      <c r="C30">
        <v>3439.65</v>
      </c>
      <c r="D30" s="23">
        <v>16.350000000000001</v>
      </c>
      <c r="DLR30" t="s">
        <v>6779</v>
      </c>
      <c r="ECH30" t="s">
        <v>5728</v>
      </c>
      <c r="EED30" t="s">
        <v>5728</v>
      </c>
      <c r="EFZ30" t="s">
        <v>5728</v>
      </c>
      <c r="EHV30" t="s">
        <v>3336</v>
      </c>
    </row>
    <row r="31" spans="1:10 1143:1944 2052:3034 3082:3800" ht="12.75" customHeight="1" x14ac:dyDescent="0.2">
      <c r="A31" t="s">
        <v>6085</v>
      </c>
      <c r="B31" t="s">
        <v>4899</v>
      </c>
      <c r="C31">
        <v>-96</v>
      </c>
      <c r="D31" s="23">
        <v>8.61</v>
      </c>
      <c r="J31" t="s">
        <v>4899</v>
      </c>
      <c r="ECH31" t="s">
        <v>4898</v>
      </c>
    </row>
    <row r="32" spans="1:10 1143:1944 2052:3034 3082:3800" ht="12.75" customHeight="1" x14ac:dyDescent="0.2">
      <c r="A32" t="s">
        <v>6085</v>
      </c>
      <c r="B32" t="s">
        <v>4900</v>
      </c>
      <c r="C32">
        <v>-75.239999999999995</v>
      </c>
      <c r="D32" s="23">
        <v>34.42</v>
      </c>
      <c r="J32" t="s">
        <v>4900</v>
      </c>
    </row>
    <row r="33" spans="1:1012 1028:1396" ht="12.75" customHeight="1" x14ac:dyDescent="0.2">
      <c r="A33" t="s">
        <v>6085</v>
      </c>
      <c r="B33" t="s">
        <v>4901</v>
      </c>
      <c r="C33">
        <v>-36.82</v>
      </c>
      <c r="D33" s="23">
        <v>34.42</v>
      </c>
      <c r="J33" t="s">
        <v>4901</v>
      </c>
    </row>
    <row r="34" spans="1:1012 1028:1396" ht="12.75" customHeight="1" x14ac:dyDescent="0.2">
      <c r="A34" t="s">
        <v>6085</v>
      </c>
      <c r="B34" t="s">
        <v>4902</v>
      </c>
      <c r="C34">
        <v>1.61</v>
      </c>
      <c r="D34" s="23">
        <v>17.21</v>
      </c>
      <c r="AC34" t="s">
        <v>4902</v>
      </c>
    </row>
    <row r="35" spans="1:1012 1028:1396" ht="12.75" customHeight="1" x14ac:dyDescent="0.2">
      <c r="A35" t="s">
        <v>6085</v>
      </c>
      <c r="B35" t="s">
        <v>4903</v>
      </c>
      <c r="C35">
        <v>22.82</v>
      </c>
      <c r="D35" s="23">
        <v>17.21</v>
      </c>
      <c r="AX35" t="s">
        <v>4903</v>
      </c>
    </row>
    <row r="36" spans="1:1012 1028:1396" ht="12.75" customHeight="1" x14ac:dyDescent="0.2">
      <c r="A36" t="s">
        <v>6085</v>
      </c>
      <c r="B36" t="s">
        <v>4904</v>
      </c>
      <c r="C36">
        <v>41.03</v>
      </c>
      <c r="D36" s="23">
        <v>17.21</v>
      </c>
      <c r="BP36" s="18" t="s">
        <v>4904</v>
      </c>
    </row>
    <row r="37" spans="1:1012 1028:1396" ht="12.75" customHeight="1" x14ac:dyDescent="0.2">
      <c r="A37" t="s">
        <v>6085</v>
      </c>
      <c r="B37" t="s">
        <v>4905</v>
      </c>
      <c r="C37">
        <v>62.24</v>
      </c>
      <c r="D37" s="23">
        <v>8.61</v>
      </c>
      <c r="CC37" t="s">
        <v>4905</v>
      </c>
    </row>
    <row r="38" spans="1:1012 1028:1396" ht="12.75" customHeight="1" x14ac:dyDescent="0.2">
      <c r="A38" t="s">
        <v>6085</v>
      </c>
      <c r="B38" t="s">
        <v>4906</v>
      </c>
      <c r="C38">
        <v>74.849999999999994</v>
      </c>
      <c r="D38" s="23">
        <v>19.399999999999999</v>
      </c>
      <c r="CZ38" t="s">
        <v>4906</v>
      </c>
    </row>
    <row r="39" spans="1:1012 1028:1396" s="8" customFormat="1" ht="12.75" customHeight="1" x14ac:dyDescent="0.2">
      <c r="A39" s="8" t="s">
        <v>6085</v>
      </c>
      <c r="B39" s="8" t="s">
        <v>7162</v>
      </c>
      <c r="C39" s="8">
        <v>95.25</v>
      </c>
      <c r="D39" s="23">
        <v>21.16</v>
      </c>
      <c r="T39" s="25"/>
      <c r="AJ39" s="25"/>
      <c r="AZ39" s="26"/>
      <c r="BP39" s="25"/>
      <c r="CF39" s="25"/>
      <c r="CV39" s="26"/>
      <c r="DL39" s="25"/>
      <c r="DV39" s="8" t="s">
        <v>7162</v>
      </c>
      <c r="EB39" s="25"/>
      <c r="ER39" s="26"/>
      <c r="FH39" s="25"/>
      <c r="FX39" s="25"/>
      <c r="GN39" s="26"/>
      <c r="HD39" s="25"/>
      <c r="HT39" s="25"/>
      <c r="IJ39" s="26"/>
      <c r="IZ39" s="25"/>
      <c r="JP39" s="25"/>
      <c r="KF39" s="26"/>
      <c r="KV39" s="25"/>
      <c r="LL39" s="25"/>
      <c r="MB39" s="26"/>
      <c r="MR39" s="25"/>
      <c r="NH39" s="25"/>
      <c r="NX39" s="26"/>
      <c r="ON39" s="25"/>
      <c r="PD39" s="25"/>
      <c r="PT39" s="26"/>
      <c r="QJ39" s="25"/>
      <c r="QZ39" s="25"/>
      <c r="RP39" s="26"/>
      <c r="SF39" s="25"/>
      <c r="SV39" s="25"/>
      <c r="TL39" s="26"/>
      <c r="UB39" s="25"/>
      <c r="UR39" s="25"/>
      <c r="VH39" s="26"/>
      <c r="VX39" s="25"/>
      <c r="WN39" s="25"/>
      <c r="XD39" s="26"/>
      <c r="XT39" s="25"/>
      <c r="YJ39" s="25"/>
      <c r="YZ39" s="26"/>
      <c r="ZP39" s="25"/>
      <c r="AAF39" s="25"/>
      <c r="AAV39" s="26"/>
      <c r="ABL39" s="25"/>
      <c r="ACB39" s="25"/>
      <c r="ACR39" s="26"/>
      <c r="ADH39" s="25"/>
      <c r="ADX39" s="25"/>
      <c r="AEN39" s="26"/>
      <c r="AFD39" s="25"/>
      <c r="AFT39" s="25"/>
      <c r="AGJ39" s="26"/>
      <c r="AGZ39" s="25"/>
      <c r="AHP39" s="25"/>
      <c r="AIF39" s="26"/>
      <c r="AIV39" s="25"/>
      <c r="AJL39" s="25"/>
      <c r="AKB39" s="26"/>
      <c r="AKR39" s="25"/>
      <c r="ALH39" s="25"/>
      <c r="ALX39" s="26"/>
      <c r="AMN39" s="25"/>
      <c r="AND39" s="25"/>
      <c r="ANT39" s="26"/>
      <c r="AOJ39" s="25"/>
      <c r="AOZ39" s="25"/>
      <c r="APP39" s="26"/>
      <c r="AQF39" s="25"/>
      <c r="AQV39" s="25"/>
      <c r="ARL39" s="26"/>
      <c r="ASB39" s="25"/>
      <c r="ASR39" s="25"/>
      <c r="ATH39" s="26"/>
      <c r="ATX39" s="25"/>
      <c r="AUN39" s="25"/>
      <c r="AVD39" s="26"/>
      <c r="AVT39" s="25"/>
      <c r="AWJ39" s="25"/>
      <c r="AWZ39" s="26"/>
      <c r="AXP39" s="25"/>
      <c r="AYF39" s="25"/>
      <c r="AYV39" s="26"/>
      <c r="AZL39" s="25"/>
      <c r="BAB39" s="25"/>
      <c r="BAR39" s="26"/>
    </row>
    <row r="40" spans="1:1012 1028:1396" ht="12.75" customHeight="1" x14ac:dyDescent="0.2">
      <c r="A40" t="s">
        <v>6085</v>
      </c>
      <c r="B40" t="s">
        <v>7163</v>
      </c>
      <c r="C40">
        <v>117.41</v>
      </c>
      <c r="D40" s="23">
        <v>17.21</v>
      </c>
      <c r="EO40" t="s">
        <v>7163</v>
      </c>
    </row>
    <row r="41" spans="1:1012 1028:1396" ht="12.75" customHeight="1" x14ac:dyDescent="0.2">
      <c r="A41" t="s">
        <v>6085</v>
      </c>
      <c r="B41" t="s">
        <v>7164</v>
      </c>
      <c r="C41">
        <v>135.63</v>
      </c>
      <c r="D41" s="23">
        <v>17.21</v>
      </c>
      <c r="FG41" t="s">
        <v>7164</v>
      </c>
    </row>
    <row r="42" spans="1:1012 1028:1396" ht="12.75" customHeight="1" x14ac:dyDescent="0.2">
      <c r="A42" t="s">
        <v>6085</v>
      </c>
      <c r="B42" t="s">
        <v>4907</v>
      </c>
      <c r="C42">
        <v>156.84</v>
      </c>
      <c r="D42" s="23">
        <v>10.94</v>
      </c>
      <c r="FV42" t="s">
        <v>4907</v>
      </c>
    </row>
    <row r="43" spans="1:1012 1028:1396" ht="12.75" customHeight="1" x14ac:dyDescent="0.2">
      <c r="A43" t="s">
        <v>6085</v>
      </c>
      <c r="B43" t="s">
        <v>4908</v>
      </c>
      <c r="C43">
        <v>171.77</v>
      </c>
      <c r="D43" s="23">
        <v>17.64</v>
      </c>
      <c r="GQ43" t="s">
        <v>4908</v>
      </c>
    </row>
    <row r="44" spans="1:1012 1028:1396" ht="12.75" customHeight="1" x14ac:dyDescent="0.2">
      <c r="A44" t="s">
        <v>6085</v>
      </c>
      <c r="B44" t="s">
        <v>4909</v>
      </c>
      <c r="C44">
        <v>246.65</v>
      </c>
      <c r="D44" s="23">
        <v>34.42</v>
      </c>
      <c r="KE44" t="s">
        <v>4909</v>
      </c>
    </row>
    <row r="45" spans="1:1012 1028:1396" ht="12.75" customHeight="1" x14ac:dyDescent="0.2">
      <c r="A45" t="s">
        <v>6085</v>
      </c>
      <c r="B45" t="s">
        <v>4910</v>
      </c>
      <c r="C45">
        <v>306.95</v>
      </c>
      <c r="D45" s="23">
        <v>8.82</v>
      </c>
      <c r="LN45" t="s">
        <v>4910</v>
      </c>
    </row>
    <row r="46" spans="1:1012 1028:1396" ht="12.75" customHeight="1" x14ac:dyDescent="0.2">
      <c r="A46" t="s">
        <v>6085</v>
      </c>
      <c r="B46" t="s">
        <v>4911</v>
      </c>
      <c r="C46">
        <v>324</v>
      </c>
      <c r="D46" s="23">
        <v>17.21</v>
      </c>
      <c r="MM46" t="s">
        <v>4911</v>
      </c>
    </row>
    <row r="47" spans="1:1012 1028:1396" ht="12.75" customHeight="1" x14ac:dyDescent="0.2">
      <c r="A47" t="s">
        <v>6085</v>
      </c>
      <c r="B47" t="s">
        <v>4912</v>
      </c>
      <c r="C47">
        <v>390</v>
      </c>
      <c r="D47" s="23">
        <v>17.21</v>
      </c>
      <c r="PA47" t="s">
        <v>4912</v>
      </c>
    </row>
    <row r="48" spans="1:1012 1028:1396" ht="12.75" customHeight="1" x14ac:dyDescent="0.2">
      <c r="A48" t="s">
        <v>6085</v>
      </c>
      <c r="B48" t="s">
        <v>4913</v>
      </c>
      <c r="C48">
        <v>488.36</v>
      </c>
      <c r="D48" s="23">
        <v>8.82</v>
      </c>
      <c r="SM48" t="s">
        <v>4913</v>
      </c>
    </row>
    <row r="49" spans="1:989 1352:1352" ht="12.75" customHeight="1" x14ac:dyDescent="0.2">
      <c r="A49" t="s">
        <v>6085</v>
      </c>
      <c r="B49" t="s">
        <v>4914</v>
      </c>
      <c r="C49">
        <v>498.18</v>
      </c>
      <c r="D49" s="23">
        <v>8.61</v>
      </c>
      <c r="SW49" t="s">
        <v>4914</v>
      </c>
    </row>
    <row r="50" spans="1:989 1352:1352" ht="12.75" customHeight="1" x14ac:dyDescent="0.2">
      <c r="A50" t="s">
        <v>6085</v>
      </c>
      <c r="B50" t="s">
        <v>4915</v>
      </c>
      <c r="C50">
        <v>511.82</v>
      </c>
      <c r="D50" s="23">
        <v>8.83</v>
      </c>
      <c r="TK50" t="s">
        <v>4915</v>
      </c>
    </row>
    <row r="51" spans="1:989 1352:1352" ht="12.75" customHeight="1" x14ac:dyDescent="0.2">
      <c r="A51" t="s">
        <v>6085</v>
      </c>
      <c r="B51" t="s">
        <v>4916</v>
      </c>
      <c r="C51">
        <v>537.58000000000004</v>
      </c>
      <c r="D51" s="23">
        <v>17.21</v>
      </c>
      <c r="US51" t="s">
        <v>4916</v>
      </c>
    </row>
    <row r="52" spans="1:989 1352:1352" ht="12.75" customHeight="1" x14ac:dyDescent="0.2">
      <c r="A52" t="s">
        <v>6085</v>
      </c>
      <c r="B52" t="s">
        <v>4917</v>
      </c>
      <c r="C52">
        <v>558.79</v>
      </c>
      <c r="D52" s="23">
        <v>17.21</v>
      </c>
      <c r="VN52" t="s">
        <v>4917</v>
      </c>
    </row>
    <row r="53" spans="1:989 1352:1352" ht="12.75" customHeight="1" x14ac:dyDescent="0.2">
      <c r="A53" t="s">
        <v>6085</v>
      </c>
      <c r="B53" t="s">
        <v>4918</v>
      </c>
      <c r="C53">
        <v>577</v>
      </c>
      <c r="D53" s="23">
        <v>8.61</v>
      </c>
      <c r="VX53" s="18" t="s">
        <v>4918</v>
      </c>
    </row>
    <row r="54" spans="1:989 1352:1352" ht="12.75" customHeight="1" x14ac:dyDescent="0.2">
      <c r="A54" t="s">
        <v>6085</v>
      </c>
      <c r="B54" t="s">
        <v>4919</v>
      </c>
      <c r="C54">
        <v>596.76</v>
      </c>
      <c r="D54" s="23">
        <v>17.64</v>
      </c>
      <c r="WZ54" t="s">
        <v>4919</v>
      </c>
    </row>
    <row r="55" spans="1:989 1352:1352" ht="12.75" customHeight="1" x14ac:dyDescent="0.2">
      <c r="A55" t="s">
        <v>6085</v>
      </c>
      <c r="B55" t="s">
        <v>4920</v>
      </c>
      <c r="C55">
        <v>615.39</v>
      </c>
      <c r="D55" s="23">
        <v>8.61</v>
      </c>
      <c r="XJ55" t="s">
        <v>4920</v>
      </c>
    </row>
    <row r="56" spans="1:989 1352:1352" ht="12.75" customHeight="1" x14ac:dyDescent="0.2">
      <c r="A56" t="s">
        <v>6085</v>
      </c>
      <c r="B56" t="s">
        <v>4921</v>
      </c>
      <c r="C56">
        <v>636.58000000000004</v>
      </c>
      <c r="D56" s="23">
        <v>17.21</v>
      </c>
      <c r="YN56" t="s">
        <v>4921</v>
      </c>
    </row>
    <row r="57" spans="1:989 1352:1352" ht="12.75" customHeight="1" x14ac:dyDescent="0.2">
      <c r="A57" t="s">
        <v>6085</v>
      </c>
      <c r="B57" t="s">
        <v>4922</v>
      </c>
      <c r="C57">
        <v>688.97</v>
      </c>
      <c r="D57" s="23">
        <v>8.82</v>
      </c>
      <c r="AAF57" s="18" t="s">
        <v>4922</v>
      </c>
    </row>
    <row r="58" spans="1:989 1352:1352" ht="12.75" customHeight="1" x14ac:dyDescent="0.2">
      <c r="A58" t="s">
        <v>6085</v>
      </c>
      <c r="B58" t="s">
        <v>4923</v>
      </c>
      <c r="C58">
        <v>701.71</v>
      </c>
      <c r="D58" s="23">
        <v>26.45</v>
      </c>
      <c r="ABJ58" t="s">
        <v>4923</v>
      </c>
    </row>
    <row r="59" spans="1:989 1352:1352" ht="12.75" customHeight="1" x14ac:dyDescent="0.2">
      <c r="A59" t="s">
        <v>6085</v>
      </c>
      <c r="B59" t="s">
        <v>4924</v>
      </c>
      <c r="C59">
        <v>701.79</v>
      </c>
      <c r="D59" s="23">
        <v>35.299999999999997</v>
      </c>
      <c r="ABS59" t="s">
        <v>4924</v>
      </c>
    </row>
    <row r="60" spans="1:989 1352:1352" ht="12.75" customHeight="1" x14ac:dyDescent="0.2">
      <c r="A60" t="s">
        <v>6085</v>
      </c>
      <c r="B60" t="s">
        <v>4925</v>
      </c>
      <c r="C60">
        <v>750.36</v>
      </c>
      <c r="D60" s="23">
        <v>17.64</v>
      </c>
      <c r="ACX60" t="s">
        <v>4925</v>
      </c>
    </row>
    <row r="61" spans="1:989 1352:1352" ht="12.75" customHeight="1" x14ac:dyDescent="0.2">
      <c r="A61" t="s">
        <v>6085</v>
      </c>
      <c r="B61" t="s">
        <v>7165</v>
      </c>
      <c r="C61">
        <v>798.79</v>
      </c>
      <c r="D61" s="23">
        <v>17.21</v>
      </c>
      <c r="AET61" t="s">
        <v>7165</v>
      </c>
      <c r="AYZ61" t="s">
        <v>3704</v>
      </c>
    </row>
    <row r="62" spans="1:989 1352:1352" ht="12.75" customHeight="1" x14ac:dyDescent="0.2">
      <c r="A62" t="s">
        <v>6085</v>
      </c>
      <c r="B62" t="s">
        <v>4926</v>
      </c>
      <c r="C62">
        <v>915.97</v>
      </c>
      <c r="D62" s="23">
        <v>8.61</v>
      </c>
      <c r="AIY62" t="s">
        <v>4926</v>
      </c>
      <c r="AYZ62" t="s">
        <v>3705</v>
      </c>
    </row>
    <row r="63" spans="1:989 1352:1352" ht="12.75" customHeight="1" x14ac:dyDescent="0.2">
      <c r="A63" t="s">
        <v>6085</v>
      </c>
      <c r="B63" t="s">
        <v>6099</v>
      </c>
      <c r="C63">
        <v>925.58</v>
      </c>
      <c r="D63" s="23">
        <v>17.649999999999999</v>
      </c>
      <c r="AJQ63" t="s">
        <v>6099</v>
      </c>
      <c r="AYZ63" t="s">
        <v>3706</v>
      </c>
    </row>
    <row r="64" spans="1:989 1352:1352" ht="12.75" customHeight="1" x14ac:dyDescent="0.2">
      <c r="A64" t="s">
        <v>6085</v>
      </c>
      <c r="B64" t="s">
        <v>6100</v>
      </c>
      <c r="C64">
        <v>955.61</v>
      </c>
      <c r="D64" s="23">
        <v>22.93</v>
      </c>
      <c r="ALA64" t="s">
        <v>6100</v>
      </c>
      <c r="AYZ64" t="s">
        <v>4149</v>
      </c>
    </row>
    <row r="65" spans="1:1018 1048:2011" ht="12.75" customHeight="1" x14ac:dyDescent="0.2">
      <c r="A65" t="s">
        <v>6085</v>
      </c>
      <c r="B65" t="s">
        <v>6101</v>
      </c>
      <c r="C65">
        <v>990.36</v>
      </c>
      <c r="D65" s="23">
        <v>17.64</v>
      </c>
      <c r="AMD65" t="s">
        <v>6101</v>
      </c>
      <c r="BAV65" t="s">
        <v>4150</v>
      </c>
    </row>
    <row r="66" spans="1:1018 1048:2011" ht="12.75" customHeight="1" x14ac:dyDescent="0.2">
      <c r="A66" t="s">
        <v>6085</v>
      </c>
      <c r="B66" t="s">
        <v>6102</v>
      </c>
      <c r="C66">
        <v>999.39</v>
      </c>
      <c r="D66" s="23">
        <v>8.61</v>
      </c>
      <c r="AMD66" t="s">
        <v>6102</v>
      </c>
      <c r="BBP66" t="s">
        <v>3337</v>
      </c>
      <c r="BCR66" t="s">
        <v>3707</v>
      </c>
    </row>
    <row r="67" spans="1:1018 1048:2011" ht="12.75" customHeight="1" x14ac:dyDescent="0.2">
      <c r="A67" t="s">
        <v>6085</v>
      </c>
      <c r="B67" t="s">
        <v>6103</v>
      </c>
      <c r="C67">
        <v>1020.15</v>
      </c>
      <c r="D67" s="23">
        <v>17.64</v>
      </c>
      <c r="ANH67" t="s">
        <v>6103</v>
      </c>
      <c r="BCH67" t="s">
        <v>3338</v>
      </c>
      <c r="BDL67" t="s">
        <v>3708</v>
      </c>
    </row>
    <row r="68" spans="1:1018 1048:2011" ht="12.75" customHeight="1" x14ac:dyDescent="0.2">
      <c r="A68" t="s">
        <v>6085</v>
      </c>
      <c r="B68" t="s">
        <v>6104</v>
      </c>
      <c r="C68">
        <v>1038.79</v>
      </c>
      <c r="D68" s="23">
        <v>8.83</v>
      </c>
      <c r="ANR68" t="s">
        <v>6104</v>
      </c>
      <c r="BCR68" t="s">
        <v>3339</v>
      </c>
      <c r="BED68" t="s">
        <v>3709</v>
      </c>
    </row>
    <row r="69" spans="1:1018 1048:2011" ht="12.75" customHeight="1" x14ac:dyDescent="0.2">
      <c r="A69" t="s">
        <v>6085</v>
      </c>
      <c r="B69" t="s">
        <v>6105</v>
      </c>
      <c r="C69">
        <v>1086.79</v>
      </c>
      <c r="D69" s="23">
        <v>17.21</v>
      </c>
      <c r="APV69" t="s">
        <v>6105</v>
      </c>
      <c r="BDW69" t="s">
        <v>3340</v>
      </c>
      <c r="BEN69" t="s">
        <v>3710</v>
      </c>
    </row>
    <row r="70" spans="1:1018 1048:2011" ht="12.75" customHeight="1" x14ac:dyDescent="0.2">
      <c r="A70" t="s">
        <v>6085</v>
      </c>
      <c r="B70" t="s">
        <v>6106</v>
      </c>
      <c r="C70">
        <v>1106.55</v>
      </c>
      <c r="D70" s="23">
        <v>17.64</v>
      </c>
      <c r="AQP70" t="s">
        <v>6106</v>
      </c>
      <c r="BFS70" t="s">
        <v>3341</v>
      </c>
    </row>
    <row r="71" spans="1:1018 1048:2011" ht="12.75" customHeight="1" x14ac:dyDescent="0.2">
      <c r="A71" t="s">
        <v>6085</v>
      </c>
      <c r="B71" t="s">
        <v>6107</v>
      </c>
      <c r="C71">
        <v>1125.18</v>
      </c>
      <c r="D71" s="23">
        <v>17.21</v>
      </c>
      <c r="ARH71" t="s">
        <v>6107</v>
      </c>
      <c r="BHO71" t="s">
        <v>3711</v>
      </c>
      <c r="BIF71" t="s">
        <v>3342</v>
      </c>
    </row>
    <row r="72" spans="1:1018 1048:2011" ht="12.75" customHeight="1" x14ac:dyDescent="0.2">
      <c r="A72" t="s">
        <v>6085</v>
      </c>
      <c r="B72" t="s">
        <v>6108</v>
      </c>
      <c r="C72">
        <v>1143.3900000000001</v>
      </c>
      <c r="D72" s="23">
        <v>8.61</v>
      </c>
      <c r="ARR72" t="s">
        <v>6108</v>
      </c>
      <c r="BIF72" t="s">
        <v>3343</v>
      </c>
      <c r="BKB72" t="s">
        <v>3712</v>
      </c>
    </row>
    <row r="73" spans="1:1018 1048:2011" ht="12.75" customHeight="1" x14ac:dyDescent="0.2">
      <c r="A73" t="s">
        <v>6085</v>
      </c>
      <c r="B73" t="s">
        <v>6109</v>
      </c>
      <c r="C73">
        <v>1213.58</v>
      </c>
      <c r="D73" s="23">
        <v>17.649999999999999</v>
      </c>
      <c r="AUS73" t="s">
        <v>6109</v>
      </c>
      <c r="BAG73" t="s">
        <v>3341</v>
      </c>
      <c r="BKB73" t="s">
        <v>4151</v>
      </c>
    </row>
    <row r="74" spans="1:1018 1048:2011" ht="12.75" customHeight="1" x14ac:dyDescent="0.2">
      <c r="A74" t="s">
        <v>6085</v>
      </c>
      <c r="B74" t="s">
        <v>7166</v>
      </c>
      <c r="C74">
        <v>1261.58</v>
      </c>
      <c r="D74" s="23">
        <v>34.42</v>
      </c>
      <c r="AXF74" t="s">
        <v>7166</v>
      </c>
      <c r="AZB74" t="s">
        <v>5729</v>
      </c>
      <c r="BAX74" t="s">
        <v>5729</v>
      </c>
      <c r="BCT74" t="s">
        <v>4719</v>
      </c>
      <c r="BKP74" t="s">
        <v>4152</v>
      </c>
      <c r="BLX74" t="s">
        <v>3713</v>
      </c>
    </row>
    <row r="75" spans="1:1018 1048:2011" ht="12.75" customHeight="1" x14ac:dyDescent="0.2">
      <c r="A75" t="s">
        <v>6085</v>
      </c>
      <c r="B75" t="s">
        <v>6110</v>
      </c>
      <c r="C75">
        <v>1278.79</v>
      </c>
      <c r="D75" s="23">
        <v>17.21</v>
      </c>
      <c r="AXF75" t="s">
        <v>6110</v>
      </c>
      <c r="AZB75" t="s">
        <v>5730</v>
      </c>
      <c r="BAX75" t="s">
        <v>5730</v>
      </c>
      <c r="BCT75" t="s">
        <v>3343</v>
      </c>
      <c r="BMA75" t="s">
        <v>3344</v>
      </c>
      <c r="BML75" t="s">
        <v>3714</v>
      </c>
    </row>
    <row r="76" spans="1:1018 1048:2011" ht="12.75" customHeight="1" x14ac:dyDescent="0.2">
      <c r="A76" t="s">
        <v>6085</v>
      </c>
      <c r="B76" t="s">
        <v>6111</v>
      </c>
      <c r="C76">
        <v>1308.7</v>
      </c>
      <c r="D76" s="23">
        <v>35.299999999999997</v>
      </c>
      <c r="AZB76" t="s">
        <v>5731</v>
      </c>
      <c r="BAX76" t="s">
        <v>5731</v>
      </c>
      <c r="BCT76" t="s">
        <v>5731</v>
      </c>
      <c r="BEP76" t="s">
        <v>4151</v>
      </c>
      <c r="BNW76" t="s">
        <v>3715</v>
      </c>
      <c r="BSK76" t="s">
        <v>4153</v>
      </c>
    </row>
    <row r="77" spans="1:1018 1048:2011" ht="12.75" customHeight="1" x14ac:dyDescent="0.2">
      <c r="A77" t="s">
        <v>6085</v>
      </c>
      <c r="B77" t="s">
        <v>6112</v>
      </c>
      <c r="C77">
        <v>1323.07</v>
      </c>
      <c r="D77" s="23">
        <v>35.270000000000003</v>
      </c>
      <c r="AZP77" t="s">
        <v>5732</v>
      </c>
      <c r="BBL77" t="s">
        <v>5732</v>
      </c>
      <c r="BDH77" t="s">
        <v>5732</v>
      </c>
      <c r="BFD77" t="s">
        <v>4152</v>
      </c>
      <c r="BTT77" t="s">
        <v>3345</v>
      </c>
      <c r="BUG77" t="s">
        <v>3716</v>
      </c>
    </row>
    <row r="78" spans="1:1018 1048:2011" ht="12.75" customHeight="1" x14ac:dyDescent="0.2">
      <c r="A78" t="s">
        <v>6085</v>
      </c>
      <c r="B78" t="s">
        <v>7167</v>
      </c>
      <c r="C78">
        <v>1359.35</v>
      </c>
      <c r="D78" s="23">
        <v>35.270000000000003</v>
      </c>
      <c r="BBA78" t="s">
        <v>5733</v>
      </c>
      <c r="BCW78" t="s">
        <v>5733</v>
      </c>
      <c r="BES78" t="s">
        <v>5733</v>
      </c>
      <c r="BGO78" t="s">
        <v>4720</v>
      </c>
      <c r="BVD78" t="s">
        <v>3346</v>
      </c>
      <c r="BVP78" t="s">
        <v>3717</v>
      </c>
    </row>
    <row r="79" spans="1:1018 1048:2011" ht="12.75" customHeight="1" x14ac:dyDescent="0.2">
      <c r="A79" t="s">
        <v>6085</v>
      </c>
      <c r="B79" t="s">
        <v>6113</v>
      </c>
      <c r="C79">
        <v>1544</v>
      </c>
      <c r="D79" s="23">
        <v>17.21</v>
      </c>
      <c r="AZB79" t="s">
        <v>6111</v>
      </c>
      <c r="BHK79" t="s">
        <v>5734</v>
      </c>
      <c r="BJG79" t="s">
        <v>5734</v>
      </c>
      <c r="BLC79" t="s">
        <v>5734</v>
      </c>
      <c r="BMY79" t="s">
        <v>4153</v>
      </c>
      <c r="BWM79" t="s">
        <v>4154</v>
      </c>
      <c r="BWZ79" t="s">
        <v>3718</v>
      </c>
    </row>
    <row r="80" spans="1:1018 1048:2011" ht="12.75" customHeight="1" x14ac:dyDescent="0.2">
      <c r="A80" t="s">
        <v>6085</v>
      </c>
      <c r="B80" t="s">
        <v>6114</v>
      </c>
      <c r="C80">
        <v>1568.27</v>
      </c>
      <c r="D80" s="23">
        <v>17.64</v>
      </c>
      <c r="BBA80" t="s">
        <v>6780</v>
      </c>
      <c r="BIJ80" t="s">
        <v>5735</v>
      </c>
      <c r="BKF80" t="s">
        <v>5735</v>
      </c>
      <c r="BMB80" t="s">
        <v>5735</v>
      </c>
      <c r="BNX80" t="s">
        <v>4721</v>
      </c>
      <c r="BWZ80" t="s">
        <v>4155</v>
      </c>
      <c r="BYI80" t="s">
        <v>3719</v>
      </c>
    </row>
    <row r="81" spans="1:4 1550:2035 2072:2888" ht="12.75" customHeight="1" x14ac:dyDescent="0.2">
      <c r="A81" t="s">
        <v>6085</v>
      </c>
      <c r="B81" t="s">
        <v>7168</v>
      </c>
      <c r="C81">
        <v>1596.73</v>
      </c>
      <c r="D81" s="23">
        <v>35.270000000000003</v>
      </c>
      <c r="BGP81" t="s">
        <v>6781</v>
      </c>
      <c r="BKD81" t="s">
        <v>5736</v>
      </c>
      <c r="BLZ81" t="s">
        <v>5736</v>
      </c>
      <c r="BNV81" t="s">
        <v>5736</v>
      </c>
      <c r="BPR81" t="s">
        <v>4722</v>
      </c>
      <c r="BWZ81" t="s">
        <v>3347</v>
      </c>
      <c r="BYV81" t="s">
        <v>3720</v>
      </c>
    </row>
    <row r="82" spans="1:4 1550:2035 2072:2888" ht="12.75" customHeight="1" x14ac:dyDescent="0.2">
      <c r="A82" t="s">
        <v>6085</v>
      </c>
      <c r="B82" t="s">
        <v>6115</v>
      </c>
      <c r="C82">
        <v>1649.76</v>
      </c>
      <c r="D82" s="23">
        <v>17.64</v>
      </c>
      <c r="BHK82" t="s">
        <v>6113</v>
      </c>
      <c r="BLM82" t="s">
        <v>5737</v>
      </c>
      <c r="BNI82" t="s">
        <v>5737</v>
      </c>
      <c r="BPE82" t="s">
        <v>5737</v>
      </c>
      <c r="BRA82" t="s">
        <v>4154</v>
      </c>
      <c r="BYV82" t="s">
        <v>3721</v>
      </c>
      <c r="CAR82" t="s">
        <v>3348</v>
      </c>
    </row>
    <row r="83" spans="1:4 1550:2035 2072:2888" ht="12.75" customHeight="1" x14ac:dyDescent="0.2">
      <c r="A83" t="s">
        <v>6085</v>
      </c>
      <c r="B83" t="s">
        <v>6116</v>
      </c>
      <c r="C83">
        <v>1662.36</v>
      </c>
      <c r="D83" s="23">
        <v>17.64</v>
      </c>
      <c r="BIJ83" t="s">
        <v>6114</v>
      </c>
      <c r="BLZ83" t="s">
        <v>5738</v>
      </c>
      <c r="BNV83" t="s">
        <v>5738</v>
      </c>
      <c r="BPR83" t="s">
        <v>5738</v>
      </c>
      <c r="BRN83" t="s">
        <v>4155</v>
      </c>
      <c r="CCN83" t="s">
        <v>3722</v>
      </c>
      <c r="CIK83" t="s">
        <v>3349</v>
      </c>
    </row>
    <row r="84" spans="1:4 1550:2035 2072:2888" ht="12.75" customHeight="1" x14ac:dyDescent="0.2">
      <c r="A84" t="s">
        <v>6085</v>
      </c>
      <c r="B84" t="s">
        <v>7169</v>
      </c>
      <c r="C84">
        <v>1671.39</v>
      </c>
      <c r="D84" s="23">
        <v>8.61</v>
      </c>
      <c r="BKD84" t="s">
        <v>6782</v>
      </c>
      <c r="BLZ84" t="s">
        <v>5739</v>
      </c>
      <c r="BNV84" t="s">
        <v>5739</v>
      </c>
      <c r="BPR84" t="s">
        <v>5739</v>
      </c>
      <c r="BRN84" t="s">
        <v>4723</v>
      </c>
      <c r="CJX84" t="s">
        <v>4156</v>
      </c>
      <c r="CKG84" t="s">
        <v>3723</v>
      </c>
    </row>
    <row r="85" spans="1:4 1550:2035 2072:2888" ht="12.75" customHeight="1" x14ac:dyDescent="0.2">
      <c r="A85" t="s">
        <v>6085</v>
      </c>
      <c r="B85" t="s">
        <v>6117</v>
      </c>
      <c r="C85">
        <v>1684</v>
      </c>
      <c r="D85" s="23">
        <v>35.299999999999997</v>
      </c>
      <c r="BLM85" t="s">
        <v>6115</v>
      </c>
      <c r="BNM85" t="s">
        <v>5740</v>
      </c>
      <c r="BPI85" t="s">
        <v>5740</v>
      </c>
      <c r="BRE85" t="s">
        <v>5740</v>
      </c>
      <c r="BTA85" t="s">
        <v>4724</v>
      </c>
      <c r="CJX85" t="s">
        <v>4157</v>
      </c>
      <c r="CLT85" t="s">
        <v>3724</v>
      </c>
    </row>
    <row r="86" spans="1:4 1550:2035 2072:2888" ht="12.75" customHeight="1" x14ac:dyDescent="0.2">
      <c r="A86" t="s">
        <v>6085</v>
      </c>
      <c r="B86" t="s">
        <v>7170</v>
      </c>
      <c r="C86">
        <v>1740.73</v>
      </c>
      <c r="D86" s="23">
        <v>35.270000000000003</v>
      </c>
      <c r="BLZ86" t="s">
        <v>6116</v>
      </c>
      <c r="BPR86" t="s">
        <v>5741</v>
      </c>
      <c r="BRN86" t="s">
        <v>5741</v>
      </c>
      <c r="BTJ86" t="s">
        <v>5741</v>
      </c>
      <c r="BVF86" t="s">
        <v>4725</v>
      </c>
      <c r="CKC86" t="s">
        <v>4158</v>
      </c>
      <c r="CLT86" t="s">
        <v>3725</v>
      </c>
    </row>
    <row r="87" spans="1:4 1550:2035 2072:2888" ht="12.75" customHeight="1" x14ac:dyDescent="0.2">
      <c r="A87" t="s">
        <v>6085</v>
      </c>
      <c r="B87" t="s">
        <v>6118</v>
      </c>
      <c r="C87">
        <v>1911.17</v>
      </c>
      <c r="D87" s="23">
        <v>8.83</v>
      </c>
      <c r="BLZ87" t="s">
        <v>6783</v>
      </c>
      <c r="BVF87" t="s">
        <v>5742</v>
      </c>
      <c r="BXB87" t="s">
        <v>5742</v>
      </c>
      <c r="BYX87" t="s">
        <v>5742</v>
      </c>
      <c r="CAT87" t="s">
        <v>4726</v>
      </c>
      <c r="CLY87" t="s">
        <v>3726</v>
      </c>
      <c r="CPV87" t="s">
        <v>3350</v>
      </c>
    </row>
    <row r="88" spans="1:4 1550:2035 2072:2888" ht="12.75" customHeight="1" x14ac:dyDescent="0.2">
      <c r="A88" t="s">
        <v>6085</v>
      </c>
      <c r="B88" t="s">
        <v>7171</v>
      </c>
      <c r="C88">
        <v>1959.06</v>
      </c>
      <c r="D88" s="23">
        <v>17.64</v>
      </c>
      <c r="BNM88" t="s">
        <v>6117</v>
      </c>
      <c r="BXK88" t="s">
        <v>5743</v>
      </c>
      <c r="BZG88" t="s">
        <v>5743</v>
      </c>
      <c r="CBC88" t="s">
        <v>5743</v>
      </c>
      <c r="CCY88" t="s">
        <v>4727</v>
      </c>
      <c r="CRH88" t="s">
        <v>4159</v>
      </c>
      <c r="CRR88" t="s">
        <v>3727</v>
      </c>
    </row>
    <row r="89" spans="1:4 1550:2035 2072:2888" ht="12.75" customHeight="1" x14ac:dyDescent="0.2">
      <c r="A89" t="s">
        <v>6085</v>
      </c>
      <c r="B89" t="s">
        <v>6119</v>
      </c>
      <c r="C89">
        <v>1980.7</v>
      </c>
      <c r="D89" s="23">
        <v>35.299999999999997</v>
      </c>
      <c r="BNP89" t="s">
        <v>4913</v>
      </c>
      <c r="BYX89" t="s">
        <v>5744</v>
      </c>
      <c r="CAT89" t="s">
        <v>5744</v>
      </c>
      <c r="CCP89" t="s">
        <v>5744</v>
      </c>
      <c r="CEL89" t="s">
        <v>4156</v>
      </c>
      <c r="CTD89" t="s">
        <v>4160</v>
      </c>
    </row>
    <row r="90" spans="1:4 1550:2035 2072:2888" ht="12.75" customHeight="1" x14ac:dyDescent="0.2">
      <c r="A90" t="s">
        <v>6085</v>
      </c>
      <c r="B90" t="s">
        <v>6120</v>
      </c>
      <c r="C90">
        <v>1998.36</v>
      </c>
      <c r="D90" s="23">
        <v>17.64</v>
      </c>
      <c r="BPR90" t="s">
        <v>6784</v>
      </c>
      <c r="BYX90" t="s">
        <v>5745</v>
      </c>
      <c r="CAT90" t="s">
        <v>5745</v>
      </c>
      <c r="CCP90" t="s">
        <v>5745</v>
      </c>
      <c r="CEL90" t="s">
        <v>4157</v>
      </c>
      <c r="CUZ90" t="s">
        <v>3351</v>
      </c>
    </row>
    <row r="91" spans="1:4 1550:2035 2072:2888" ht="12.75" customHeight="1" x14ac:dyDescent="0.2">
      <c r="A91" t="s">
        <v>6085</v>
      </c>
      <c r="B91" t="s">
        <v>7172</v>
      </c>
      <c r="C91">
        <v>1998.36</v>
      </c>
      <c r="D91" s="23">
        <v>17.64</v>
      </c>
      <c r="BVF91" t="s">
        <v>6118</v>
      </c>
      <c r="BYX91" t="s">
        <v>5746</v>
      </c>
      <c r="CAT91" t="s">
        <v>5746</v>
      </c>
      <c r="CCP91" t="s">
        <v>5746</v>
      </c>
      <c r="CEL91" t="s">
        <v>4728</v>
      </c>
      <c r="CWV91" t="s">
        <v>3352</v>
      </c>
    </row>
    <row r="92" spans="1:4 1550:2035 2072:2888" ht="12.75" customHeight="1" x14ac:dyDescent="0.2">
      <c r="A92" t="s">
        <v>6085</v>
      </c>
      <c r="B92" t="s">
        <v>6121</v>
      </c>
      <c r="C92">
        <v>2003.65</v>
      </c>
      <c r="D92" s="23">
        <v>17.64</v>
      </c>
      <c r="BXK92" t="s">
        <v>6785</v>
      </c>
      <c r="BZC92" t="s">
        <v>5747</v>
      </c>
      <c r="CAY92" t="s">
        <v>5747</v>
      </c>
      <c r="CCU92" t="s">
        <v>5747</v>
      </c>
      <c r="CEQ92" t="s">
        <v>4158</v>
      </c>
      <c r="CWV92" t="s">
        <v>4161</v>
      </c>
      <c r="CYR92" t="s">
        <v>3728</v>
      </c>
    </row>
    <row r="93" spans="1:4 1550:2035 2072:2888" ht="12.75" customHeight="1" x14ac:dyDescent="0.2">
      <c r="A93" t="s">
        <v>6085</v>
      </c>
      <c r="B93" t="s">
        <v>6122</v>
      </c>
      <c r="C93">
        <v>2151.92</v>
      </c>
      <c r="D93" s="23">
        <v>17.649999999999999</v>
      </c>
      <c r="BYX93" t="s">
        <v>6119</v>
      </c>
      <c r="CEV93" t="s">
        <v>5748</v>
      </c>
      <c r="CGR93" t="s">
        <v>5748</v>
      </c>
      <c r="CIN93" t="s">
        <v>5748</v>
      </c>
      <c r="CKJ93" t="s">
        <v>3350</v>
      </c>
      <c r="CYR93" t="s">
        <v>3353</v>
      </c>
    </row>
    <row r="94" spans="1:4 1550:2035 2072:2888" ht="12.75" customHeight="1" x14ac:dyDescent="0.2">
      <c r="A94" t="s">
        <v>6085</v>
      </c>
      <c r="B94" t="s">
        <v>6123</v>
      </c>
      <c r="C94">
        <v>2173.58</v>
      </c>
      <c r="D94" s="23">
        <v>34.42</v>
      </c>
      <c r="BYX94" t="s">
        <v>6120</v>
      </c>
      <c r="CGH94" t="s">
        <v>5749</v>
      </c>
      <c r="CID94" t="s">
        <v>5749</v>
      </c>
      <c r="CJZ94" t="s">
        <v>5749</v>
      </c>
      <c r="CLV94" t="s">
        <v>4159</v>
      </c>
      <c r="DAN94" t="s">
        <v>3729</v>
      </c>
      <c r="DCJ94" t="s">
        <v>3354</v>
      </c>
    </row>
    <row r="95" spans="1:4 1550:2035 2072:2888" ht="12.75" customHeight="1" x14ac:dyDescent="0.2">
      <c r="A95" t="s">
        <v>6085</v>
      </c>
      <c r="B95" t="s">
        <v>6124</v>
      </c>
      <c r="C95">
        <v>2221.58</v>
      </c>
      <c r="D95" s="23">
        <v>34.42</v>
      </c>
      <c r="BYX95" t="s">
        <v>6786</v>
      </c>
      <c r="CID95" t="s">
        <v>5750</v>
      </c>
      <c r="CJZ95" t="s">
        <v>5750</v>
      </c>
      <c r="CLV95" t="s">
        <v>5750</v>
      </c>
      <c r="CNR95" t="s">
        <v>4160</v>
      </c>
      <c r="DEF95" t="s">
        <v>4162</v>
      </c>
    </row>
    <row r="96" spans="1:4 1550:2035 2072:2888" ht="12.75" customHeight="1" x14ac:dyDescent="0.2">
      <c r="A96" t="s">
        <v>6085</v>
      </c>
      <c r="B96" t="s">
        <v>6125</v>
      </c>
      <c r="C96">
        <v>2295.39</v>
      </c>
      <c r="D96" s="23">
        <v>8.61</v>
      </c>
      <c r="BZC96" t="s">
        <v>6121</v>
      </c>
      <c r="CJZ96" t="s">
        <v>5751</v>
      </c>
      <c r="CLV96" t="s">
        <v>5751</v>
      </c>
      <c r="CNR96" t="s">
        <v>5751</v>
      </c>
      <c r="CPN96" t="s">
        <v>4729</v>
      </c>
      <c r="DGB96" t="s">
        <v>3355</v>
      </c>
    </row>
    <row r="97" spans="1:4 2180:3032 3178:4040 4280:4424" ht="12.75" customHeight="1" x14ac:dyDescent="0.2">
      <c r="A97" t="s">
        <v>6085</v>
      </c>
      <c r="B97" t="s">
        <v>7173</v>
      </c>
      <c r="C97">
        <v>2334.36</v>
      </c>
      <c r="D97" s="23">
        <v>17.64</v>
      </c>
      <c r="CEV97" t="s">
        <v>6122</v>
      </c>
      <c r="CLV97" t="s">
        <v>5752</v>
      </c>
      <c r="CNR97" t="s">
        <v>5752</v>
      </c>
      <c r="CPN97" t="s">
        <v>5752</v>
      </c>
      <c r="CRJ97" t="s">
        <v>4730</v>
      </c>
      <c r="DHX97" t="s">
        <v>3730</v>
      </c>
      <c r="DIH97" t="s">
        <v>3356</v>
      </c>
    </row>
    <row r="98" spans="1:4 2180:3032 3178:4040 4280:4424" ht="12.75" customHeight="1" x14ac:dyDescent="0.2">
      <c r="A98" t="s">
        <v>6085</v>
      </c>
      <c r="B98" t="s">
        <v>6126</v>
      </c>
      <c r="C98">
        <v>2334.79</v>
      </c>
      <c r="D98" s="23">
        <v>17.21</v>
      </c>
      <c r="CGH98" t="s">
        <v>6123</v>
      </c>
      <c r="CLV98" t="s">
        <v>5753</v>
      </c>
      <c r="CNR98" t="s">
        <v>5753</v>
      </c>
      <c r="CPN98" t="s">
        <v>5753</v>
      </c>
      <c r="CRJ98" t="s">
        <v>4161</v>
      </c>
      <c r="DJT98" t="s">
        <v>3357</v>
      </c>
      <c r="DKD98" t="s">
        <v>3731</v>
      </c>
    </row>
    <row r="99" spans="1:4 2180:3032 3178:4040 4280:4424" ht="12.75" customHeight="1" x14ac:dyDescent="0.2">
      <c r="A99" t="s">
        <v>6085</v>
      </c>
      <c r="B99" t="s">
        <v>7174</v>
      </c>
      <c r="C99">
        <v>2391.1799999999998</v>
      </c>
      <c r="D99" s="23">
        <v>8.82</v>
      </c>
      <c r="CID99" t="s">
        <v>6124</v>
      </c>
      <c r="CNR99" t="s">
        <v>5754</v>
      </c>
      <c r="CPN99" t="s">
        <v>5754</v>
      </c>
      <c r="CRJ99" t="s">
        <v>5754</v>
      </c>
      <c r="CTF99" t="s">
        <v>4731</v>
      </c>
      <c r="DJT99" t="s">
        <v>3358</v>
      </c>
      <c r="DLP99" t="s">
        <v>3732</v>
      </c>
    </row>
    <row r="100" spans="1:4 2180:3032 3178:4040 4280:4424" ht="12.75" customHeight="1" x14ac:dyDescent="0.2">
      <c r="A100" t="s">
        <v>6085</v>
      </c>
      <c r="B100" t="s">
        <v>6127</v>
      </c>
      <c r="C100">
        <v>2478.35</v>
      </c>
      <c r="D100" s="23">
        <v>17.649999999999999</v>
      </c>
      <c r="CJZ100" t="s">
        <v>6125</v>
      </c>
      <c r="CRJ100" t="s">
        <v>5755</v>
      </c>
      <c r="CTF100" t="s">
        <v>5755</v>
      </c>
      <c r="CVB100" t="s">
        <v>5755</v>
      </c>
      <c r="CWX100" t="s">
        <v>3354</v>
      </c>
      <c r="DLP100" t="s">
        <v>3733</v>
      </c>
      <c r="ECF100" t="s">
        <v>3359</v>
      </c>
    </row>
    <row r="101" spans="1:4 2180:3032 3178:4040 4280:4424" ht="12.75" customHeight="1" x14ac:dyDescent="0.2">
      <c r="A101" t="s">
        <v>6085</v>
      </c>
      <c r="B101" t="s">
        <v>6128</v>
      </c>
      <c r="C101">
        <v>2502</v>
      </c>
      <c r="D101" s="23">
        <v>8.82</v>
      </c>
      <c r="CLV101" t="s">
        <v>6787</v>
      </c>
      <c r="CRY101" t="s">
        <v>5756</v>
      </c>
      <c r="CTU101" t="s">
        <v>5756</v>
      </c>
      <c r="CVQ101" t="s">
        <v>5756</v>
      </c>
      <c r="CXM101" t="s">
        <v>4732</v>
      </c>
      <c r="EEB101" t="s">
        <v>3734</v>
      </c>
      <c r="EJP101" t="s">
        <v>4163</v>
      </c>
    </row>
    <row r="102" spans="1:4 2180:3032 3178:4040 4280:4424" ht="12.75" customHeight="1" x14ac:dyDescent="0.2">
      <c r="A102" t="s">
        <v>6085</v>
      </c>
      <c r="B102" t="s">
        <v>6129</v>
      </c>
      <c r="C102">
        <v>2526.79</v>
      </c>
      <c r="D102" s="23">
        <v>17.21</v>
      </c>
      <c r="CLV102" t="s">
        <v>6126</v>
      </c>
      <c r="CTF102" t="s">
        <v>5757</v>
      </c>
      <c r="CVB102" t="s">
        <v>5757</v>
      </c>
      <c r="CWX102" t="s">
        <v>5757</v>
      </c>
      <c r="CYT102" t="s">
        <v>4162</v>
      </c>
      <c r="EPD102" t="s">
        <v>3360</v>
      </c>
      <c r="EQZ102" t="s">
        <v>3735</v>
      </c>
    </row>
    <row r="103" spans="1:4 2180:3032 3178:4040 4280:4424" ht="12.75" customHeight="1" x14ac:dyDescent="0.2">
      <c r="A103" t="s">
        <v>6085</v>
      </c>
      <c r="B103" t="s">
        <v>7175</v>
      </c>
      <c r="C103">
        <v>2556.73</v>
      </c>
      <c r="D103" s="23">
        <v>35.270000000000003</v>
      </c>
      <c r="CNR103" t="s">
        <v>3353</v>
      </c>
      <c r="CVB103" t="s">
        <v>5758</v>
      </c>
      <c r="CWX103" t="s">
        <v>5758</v>
      </c>
      <c r="CYT103" t="s">
        <v>5758</v>
      </c>
      <c r="DAP103" t="s">
        <v>4733</v>
      </c>
      <c r="EWN103" t="s">
        <v>4164</v>
      </c>
      <c r="EYJ103" t="s">
        <v>3736</v>
      </c>
    </row>
    <row r="104" spans="1:4 2180:3032 3178:4040 4280:4424" ht="12.75" customHeight="1" x14ac:dyDescent="0.2">
      <c r="A104" t="s">
        <v>6085</v>
      </c>
      <c r="B104" t="s">
        <v>7176</v>
      </c>
      <c r="C104">
        <v>2631.94</v>
      </c>
      <c r="D104" s="23">
        <v>17.64</v>
      </c>
      <c r="CRJ104" t="s">
        <v>6127</v>
      </c>
      <c r="CXH104" t="s">
        <v>5759</v>
      </c>
      <c r="CZD104" t="s">
        <v>5759</v>
      </c>
      <c r="DAZ104" t="s">
        <v>5759</v>
      </c>
      <c r="DCV104" t="s">
        <v>4734</v>
      </c>
      <c r="EWN104" t="s">
        <v>3361</v>
      </c>
      <c r="EYJ104" t="s">
        <v>3737</v>
      </c>
    </row>
    <row r="105" spans="1:4 2180:3032 3178:4040 4280:4424" ht="12.75" customHeight="1" x14ac:dyDescent="0.2">
      <c r="A105" t="s">
        <v>6085</v>
      </c>
      <c r="B105" t="s">
        <v>6130</v>
      </c>
      <c r="C105">
        <v>2653.58</v>
      </c>
      <c r="D105" s="23">
        <v>34.42</v>
      </c>
      <c r="CRY105" t="s">
        <v>6128</v>
      </c>
      <c r="CYT105" t="s">
        <v>5760</v>
      </c>
      <c r="DAP105" t="s">
        <v>5760</v>
      </c>
      <c r="DCL105" t="s">
        <v>5760</v>
      </c>
      <c r="DEH105" t="s">
        <v>4735</v>
      </c>
      <c r="FHP105" t="s">
        <v>4165</v>
      </c>
      <c r="FJL105" t="s">
        <v>3738</v>
      </c>
    </row>
    <row r="106" spans="1:4 2180:3032 3178:4040 4280:4424" ht="12.75" customHeight="1" x14ac:dyDescent="0.2">
      <c r="A106" t="s">
        <v>6085</v>
      </c>
      <c r="B106" t="s">
        <v>6131</v>
      </c>
      <c r="C106">
        <v>2670.36</v>
      </c>
      <c r="D106" s="23">
        <v>17.64</v>
      </c>
      <c r="CTF106" t="s">
        <v>6129</v>
      </c>
      <c r="CYT106" t="s">
        <v>5761</v>
      </c>
      <c r="DAP106" t="s">
        <v>5761</v>
      </c>
      <c r="DCL106" t="s">
        <v>5761</v>
      </c>
      <c r="DEH106" t="s">
        <v>4736</v>
      </c>
      <c r="FND106" t="s">
        <v>4166</v>
      </c>
    </row>
    <row r="107" spans="1:4 2180:3032 3178:4040 4280:4424" ht="12.75" customHeight="1" x14ac:dyDescent="0.2">
      <c r="A107" t="s">
        <v>6085</v>
      </c>
      <c r="B107" t="s">
        <v>6132</v>
      </c>
      <c r="C107">
        <v>2679.39</v>
      </c>
      <c r="D107" s="23">
        <v>8.61</v>
      </c>
      <c r="CVB107" t="s">
        <v>6788</v>
      </c>
      <c r="CYT107" t="s">
        <v>5762</v>
      </c>
      <c r="DAP107" t="s">
        <v>5762</v>
      </c>
      <c r="DCL107" t="s">
        <v>5762</v>
      </c>
      <c r="DEH107" t="s">
        <v>4737</v>
      </c>
    </row>
    <row r="108" spans="1:4 2180:3032 3178:4040 4280:4424" ht="12.75" customHeight="1" x14ac:dyDescent="0.2">
      <c r="A108" t="s">
        <v>6085</v>
      </c>
      <c r="B108" t="s">
        <v>6133</v>
      </c>
      <c r="C108">
        <v>2821.42</v>
      </c>
      <c r="D108" s="23">
        <v>17.64</v>
      </c>
      <c r="CWO108" t="s">
        <v>6789</v>
      </c>
      <c r="DEO108" t="s">
        <v>5763</v>
      </c>
      <c r="DGK108" t="s">
        <v>5763</v>
      </c>
      <c r="DIG108" t="s">
        <v>5763</v>
      </c>
      <c r="DKC108" t="s">
        <v>4738</v>
      </c>
    </row>
    <row r="109" spans="1:4 2180:3032 3178:4040 4280:4424" ht="12.75" customHeight="1" x14ac:dyDescent="0.2">
      <c r="A109" t="s">
        <v>6085</v>
      </c>
      <c r="B109" t="s">
        <v>6134</v>
      </c>
      <c r="C109">
        <v>3159.39</v>
      </c>
      <c r="D109" s="23">
        <v>8.61</v>
      </c>
      <c r="CXH109" t="s">
        <v>6790</v>
      </c>
      <c r="DRF109" t="s">
        <v>5764</v>
      </c>
      <c r="DTB109" t="s">
        <v>5764</v>
      </c>
      <c r="DUX109" t="s">
        <v>5764</v>
      </c>
      <c r="DWT109" t="s">
        <v>4739</v>
      </c>
    </row>
    <row r="110" spans="1:4 2180:3032 3178:4040 4280:4424" ht="12.75" customHeight="1" x14ac:dyDescent="0.2">
      <c r="A110" t="s">
        <v>6085</v>
      </c>
      <c r="B110" t="s">
        <v>7177</v>
      </c>
      <c r="C110">
        <v>3324.73</v>
      </c>
      <c r="D110" s="23">
        <v>35.270000000000003</v>
      </c>
      <c r="CYT110" t="s">
        <v>6130</v>
      </c>
      <c r="DYP110" t="s">
        <v>5765</v>
      </c>
      <c r="EAL110" t="s">
        <v>5765</v>
      </c>
      <c r="ECH110" t="s">
        <v>5765</v>
      </c>
      <c r="EED110" t="s">
        <v>4740</v>
      </c>
    </row>
    <row r="111" spans="1:4 2180:3032 3178:4040 4280:4424" ht="12.75" customHeight="1" x14ac:dyDescent="0.2">
      <c r="A111" t="s">
        <v>6085</v>
      </c>
      <c r="B111" t="s">
        <v>6135</v>
      </c>
      <c r="C111">
        <v>3342.35</v>
      </c>
      <c r="D111" s="23">
        <v>17.649999999999999</v>
      </c>
      <c r="CYT111" t="s">
        <v>6131</v>
      </c>
      <c r="DYP111" t="s">
        <v>5766</v>
      </c>
      <c r="EAL111" t="s">
        <v>5766</v>
      </c>
      <c r="ECH111" t="s">
        <v>5766</v>
      </c>
      <c r="EED111" t="s">
        <v>4163</v>
      </c>
    </row>
    <row r="112" spans="1:4 2180:3032 3178:4040 4280:4424" ht="12.75" customHeight="1" x14ac:dyDescent="0.2">
      <c r="A112" t="s">
        <v>6085</v>
      </c>
      <c r="B112" t="s">
        <v>6136</v>
      </c>
      <c r="C112">
        <v>3486.79</v>
      </c>
      <c r="D112" s="23">
        <v>17.21</v>
      </c>
      <c r="CYT112" t="s">
        <v>6132</v>
      </c>
      <c r="EED112" t="s">
        <v>5767</v>
      </c>
      <c r="EFZ112" t="s">
        <v>5767</v>
      </c>
      <c r="EHV112" t="s">
        <v>5767</v>
      </c>
      <c r="EJR112" t="s">
        <v>3360</v>
      </c>
    </row>
    <row r="113" spans="1:171 2849:2849 3178:4090 4099:4438" ht="12.75" customHeight="1" x14ac:dyDescent="0.2">
      <c r="A113" t="s">
        <v>6085</v>
      </c>
      <c r="B113" t="s">
        <v>6137</v>
      </c>
      <c r="C113">
        <v>3660.7</v>
      </c>
      <c r="D113" s="23">
        <v>35.299999999999997</v>
      </c>
      <c r="DEO113" t="s">
        <v>6133</v>
      </c>
      <c r="ELN113" t="s">
        <v>5768</v>
      </c>
      <c r="ENJ113" t="s">
        <v>5768</v>
      </c>
      <c r="EPF113" t="s">
        <v>5768</v>
      </c>
      <c r="ERB113" t="s">
        <v>4164</v>
      </c>
    </row>
    <row r="114" spans="1:171 2849:2849 3178:4090 4099:4438" ht="12.75" customHeight="1" x14ac:dyDescent="0.2">
      <c r="A114" t="s">
        <v>6085</v>
      </c>
      <c r="B114" t="s">
        <v>6138</v>
      </c>
      <c r="C114">
        <v>3687.39</v>
      </c>
      <c r="D114" s="23">
        <v>8.61</v>
      </c>
      <c r="DRF114" t="s">
        <v>6134</v>
      </c>
      <c r="ELN114" t="s">
        <v>5769</v>
      </c>
      <c r="ENJ114" t="s">
        <v>5769</v>
      </c>
      <c r="EPF114" t="s">
        <v>5769</v>
      </c>
      <c r="ERB114" t="s">
        <v>4741</v>
      </c>
    </row>
    <row r="115" spans="1:171 2849:2849 3178:4090 4099:4438" ht="12.75" customHeight="1" x14ac:dyDescent="0.2">
      <c r="A115" t="s">
        <v>6085</v>
      </c>
      <c r="B115" t="s">
        <v>6139</v>
      </c>
      <c r="C115">
        <v>3909.39</v>
      </c>
      <c r="D115" s="23">
        <v>35.299999999999997</v>
      </c>
      <c r="DYP115" t="s">
        <v>6791</v>
      </c>
      <c r="EVC115" t="s">
        <v>5770</v>
      </c>
      <c r="EWY115" t="s">
        <v>5770</v>
      </c>
      <c r="EYU115" t="s">
        <v>5770</v>
      </c>
      <c r="FAQ115" t="s">
        <v>4742</v>
      </c>
    </row>
    <row r="116" spans="1:171 2849:2849 3178:4090 4099:4438" ht="12.75" customHeight="1" x14ac:dyDescent="0.2">
      <c r="A116" t="s">
        <v>6085</v>
      </c>
      <c r="B116" t="s">
        <v>6140</v>
      </c>
      <c r="C116">
        <v>3948.7</v>
      </c>
      <c r="D116" s="23">
        <v>35.299999999999997</v>
      </c>
      <c r="DYP116" t="s">
        <v>6135</v>
      </c>
      <c r="EWP116" t="s">
        <v>5771</v>
      </c>
      <c r="EYL116" t="s">
        <v>5771</v>
      </c>
      <c r="FAH116" t="s">
        <v>5771</v>
      </c>
      <c r="FCD116" t="s">
        <v>4165</v>
      </c>
    </row>
    <row r="117" spans="1:171 2849:2849 3178:4090 4099:4438" ht="12.75" customHeight="1" x14ac:dyDescent="0.2">
      <c r="A117" t="s">
        <v>6085</v>
      </c>
      <c r="B117" t="s">
        <v>6141</v>
      </c>
      <c r="C117">
        <v>4119.3900000000003</v>
      </c>
      <c r="D117" s="23">
        <v>8.61</v>
      </c>
      <c r="EED117" t="s">
        <v>6136</v>
      </c>
      <c r="FCD117" t="s">
        <v>5772</v>
      </c>
      <c r="FDZ117" t="s">
        <v>5772</v>
      </c>
      <c r="FFV117" t="s">
        <v>5772</v>
      </c>
      <c r="FHR117" t="s">
        <v>4743</v>
      </c>
    </row>
    <row r="118" spans="1:171 2849:2849 3178:4090 4099:4438" ht="12.75" customHeight="1" x14ac:dyDescent="0.2">
      <c r="A118" t="s">
        <v>6085</v>
      </c>
      <c r="B118" t="s">
        <v>6142</v>
      </c>
      <c r="C118">
        <v>4266.71</v>
      </c>
      <c r="D118" s="23">
        <v>17.64</v>
      </c>
      <c r="ELN118" t="s">
        <v>6137</v>
      </c>
      <c r="FID118" t="s">
        <v>5773</v>
      </c>
      <c r="FJZ118" t="s">
        <v>5773</v>
      </c>
      <c r="FLV118" t="s">
        <v>5773</v>
      </c>
      <c r="FNR118" t="s">
        <v>4744</v>
      </c>
    </row>
    <row r="119" spans="1:171 2849:2849 3178:4090 4099:4438" ht="12.75" customHeight="1" x14ac:dyDescent="0.2">
      <c r="A119" t="s">
        <v>3598</v>
      </c>
      <c r="B119" t="s">
        <v>4927</v>
      </c>
      <c r="C119">
        <v>-96</v>
      </c>
      <c r="D119" s="23">
        <v>9.01</v>
      </c>
      <c r="J119" t="s">
        <v>4927</v>
      </c>
      <c r="ELN119" t="s">
        <v>6138</v>
      </c>
    </row>
    <row r="120" spans="1:171 2849:2849 3178:4090 4099:4438" ht="12.75" customHeight="1" x14ac:dyDescent="0.2">
      <c r="A120" t="s">
        <v>3598</v>
      </c>
      <c r="B120" t="s">
        <v>4928</v>
      </c>
      <c r="C120">
        <v>-75.13</v>
      </c>
      <c r="D120" s="23">
        <v>27.03</v>
      </c>
      <c r="J120" t="s">
        <v>4928</v>
      </c>
      <c r="EVC120" t="s">
        <v>6139</v>
      </c>
    </row>
    <row r="121" spans="1:171 2849:2849 3178:4090 4099:4438" ht="12.75" customHeight="1" x14ac:dyDescent="0.2">
      <c r="A121" t="s">
        <v>3598</v>
      </c>
      <c r="B121" t="s">
        <v>4929</v>
      </c>
      <c r="C121">
        <v>-47.1</v>
      </c>
      <c r="D121" s="23">
        <v>36.04</v>
      </c>
      <c r="J121" t="s">
        <v>4929</v>
      </c>
      <c r="EWP121" t="s">
        <v>6140</v>
      </c>
    </row>
    <row r="122" spans="1:171 2849:2849 3178:4090 4099:4438" ht="12.75" customHeight="1" x14ac:dyDescent="0.2">
      <c r="A122" t="s">
        <v>3598</v>
      </c>
      <c r="B122" t="s">
        <v>4930</v>
      </c>
      <c r="C122">
        <v>-10.07</v>
      </c>
      <c r="D122" s="23">
        <v>5.51</v>
      </c>
      <c r="J122" t="s">
        <v>4930</v>
      </c>
      <c r="FCD122" t="s">
        <v>6141</v>
      </c>
    </row>
    <row r="123" spans="1:171 2849:2849 3178:4090 4099:4438" ht="12.75" customHeight="1" x14ac:dyDescent="0.2">
      <c r="A123" t="s">
        <v>3598</v>
      </c>
      <c r="B123" t="s">
        <v>4931</v>
      </c>
      <c r="C123">
        <v>-3.56</v>
      </c>
      <c r="D123" s="23">
        <v>36.729999999999997</v>
      </c>
      <c r="AQ123" t="s">
        <v>4931</v>
      </c>
      <c r="FID123" t="s">
        <v>6142</v>
      </c>
    </row>
    <row r="124" spans="1:171 2849:2849 3178:4090 4099:4438" ht="12.75" customHeight="1" x14ac:dyDescent="0.2">
      <c r="A124" t="s">
        <v>3598</v>
      </c>
      <c r="B124" t="s">
        <v>4932</v>
      </c>
      <c r="C124">
        <v>34.18</v>
      </c>
      <c r="D124" s="23">
        <v>36.04</v>
      </c>
      <c r="CB124" t="s">
        <v>4932</v>
      </c>
      <c r="FNF124" t="s">
        <v>6792</v>
      </c>
    </row>
    <row r="125" spans="1:171 2849:2849 3178:4090 4099:4438" ht="12.75" customHeight="1" x14ac:dyDescent="0.2">
      <c r="A125" t="s">
        <v>3598</v>
      </c>
      <c r="B125" t="s">
        <v>7178</v>
      </c>
      <c r="C125">
        <v>71.209999999999994</v>
      </c>
      <c r="D125" s="23">
        <v>18.02</v>
      </c>
      <c r="CU125" t="s">
        <v>7178</v>
      </c>
    </row>
    <row r="126" spans="1:171 2849:2849 3178:4090 4099:4438" ht="12.75" customHeight="1" x14ac:dyDescent="0.2">
      <c r="A126" t="s">
        <v>3598</v>
      </c>
      <c r="B126" t="s">
        <v>7179</v>
      </c>
      <c r="C126">
        <v>90.23</v>
      </c>
      <c r="D126" s="23">
        <v>36.04</v>
      </c>
      <c r="EF126" t="s">
        <v>7179</v>
      </c>
    </row>
    <row r="127" spans="1:171 2849:2849 3178:4090 4099:4438" ht="12.75" customHeight="1" x14ac:dyDescent="0.2">
      <c r="A127" t="s">
        <v>3598</v>
      </c>
      <c r="B127" t="s">
        <v>4933</v>
      </c>
      <c r="C127">
        <v>127.27</v>
      </c>
      <c r="D127" s="23">
        <v>14.69</v>
      </c>
      <c r="EV127" t="s">
        <v>4933</v>
      </c>
    </row>
    <row r="128" spans="1:171 2849:2849 3178:4090 4099:4438" ht="12.75" customHeight="1" x14ac:dyDescent="0.2">
      <c r="A128" t="s">
        <v>3598</v>
      </c>
      <c r="B128" t="s">
        <v>4934</v>
      </c>
      <c r="C128">
        <v>142.96</v>
      </c>
      <c r="D128" s="23">
        <v>18.37</v>
      </c>
      <c r="FO128" t="s">
        <v>4934</v>
      </c>
    </row>
    <row r="129" spans="1:682 1352:2024 2113:2216" ht="12.75" customHeight="1" x14ac:dyDescent="0.2">
      <c r="A129" t="s">
        <v>3598</v>
      </c>
      <c r="B129" t="s">
        <v>4935</v>
      </c>
      <c r="C129">
        <v>162.33000000000001</v>
      </c>
      <c r="D129" s="23">
        <v>9.18</v>
      </c>
      <c r="FZ129" t="s">
        <v>4935</v>
      </c>
    </row>
    <row r="130" spans="1:682 1352:2024 2113:2216" ht="12.75" customHeight="1" x14ac:dyDescent="0.2">
      <c r="A130" t="s">
        <v>3598</v>
      </c>
      <c r="B130" t="s">
        <v>4936</v>
      </c>
      <c r="C130">
        <v>180</v>
      </c>
      <c r="D130" s="23">
        <v>9.18</v>
      </c>
      <c r="GQ130" t="s">
        <v>4936</v>
      </c>
    </row>
    <row r="131" spans="1:682 1352:2024 2113:2216" ht="12.75" customHeight="1" x14ac:dyDescent="0.2">
      <c r="A131" t="s">
        <v>3598</v>
      </c>
      <c r="B131" t="s">
        <v>4937</v>
      </c>
      <c r="C131">
        <v>246</v>
      </c>
      <c r="D131" s="23">
        <v>9.01</v>
      </c>
      <c r="JE131" t="s">
        <v>4937</v>
      </c>
    </row>
    <row r="132" spans="1:682 1352:2024 2113:2216" ht="12.75" customHeight="1" x14ac:dyDescent="0.2">
      <c r="A132" t="s">
        <v>3598</v>
      </c>
      <c r="B132" t="s">
        <v>4938</v>
      </c>
      <c r="C132">
        <v>256</v>
      </c>
      <c r="D132" s="23">
        <v>18.02</v>
      </c>
      <c r="JX132" t="s">
        <v>4938</v>
      </c>
    </row>
    <row r="133" spans="1:682 1352:2024 2113:2216" ht="12.75" customHeight="1" x14ac:dyDescent="0.2">
      <c r="A133" t="s">
        <v>3598</v>
      </c>
      <c r="B133" t="s">
        <v>4939</v>
      </c>
      <c r="C133">
        <v>294</v>
      </c>
      <c r="D133" s="23">
        <v>18.02</v>
      </c>
      <c r="LJ133" t="s">
        <v>4939</v>
      </c>
      <c r="BAV133" t="s">
        <v>3739</v>
      </c>
    </row>
    <row r="134" spans="1:682 1352:2024 2113:2216" ht="12.75" customHeight="1" x14ac:dyDescent="0.2">
      <c r="A134" t="s">
        <v>3598</v>
      </c>
      <c r="B134" t="s">
        <v>4940</v>
      </c>
      <c r="C134">
        <v>318</v>
      </c>
      <c r="D134" s="23">
        <v>18.02</v>
      </c>
      <c r="MH134" t="s">
        <v>4940</v>
      </c>
      <c r="BAV134" t="s">
        <v>3740</v>
      </c>
    </row>
    <row r="135" spans="1:682 1352:2024 2113:2216" ht="12.75" customHeight="1" x14ac:dyDescent="0.2">
      <c r="A135" t="s">
        <v>3598</v>
      </c>
      <c r="B135" t="s">
        <v>4941</v>
      </c>
      <c r="C135">
        <v>344</v>
      </c>
      <c r="D135" s="23">
        <v>18.02</v>
      </c>
      <c r="NH135" s="18" t="s">
        <v>4941</v>
      </c>
      <c r="BDN135" t="s">
        <v>3741</v>
      </c>
    </row>
    <row r="136" spans="1:682 1352:2024 2113:2216" ht="12.75" customHeight="1" x14ac:dyDescent="0.2">
      <c r="A136" t="s">
        <v>3598</v>
      </c>
      <c r="B136" t="s">
        <v>4942</v>
      </c>
      <c r="C136">
        <v>370</v>
      </c>
      <c r="D136" s="23">
        <v>18.02</v>
      </c>
      <c r="OH136" t="s">
        <v>4942</v>
      </c>
      <c r="AYZ136" t="s">
        <v>3619</v>
      </c>
      <c r="BEY136" t="s">
        <v>3742</v>
      </c>
    </row>
    <row r="137" spans="1:682 1352:2024 2113:2216" ht="12.75" customHeight="1" x14ac:dyDescent="0.2">
      <c r="A137" t="s">
        <v>3598</v>
      </c>
      <c r="B137" t="s">
        <v>4943</v>
      </c>
      <c r="C137">
        <v>396</v>
      </c>
      <c r="D137" s="23">
        <v>18.37</v>
      </c>
      <c r="PH137" t="s">
        <v>4943</v>
      </c>
      <c r="AYZ137" t="s">
        <v>3620</v>
      </c>
      <c r="BGJ137" t="s">
        <v>3743</v>
      </c>
    </row>
    <row r="138" spans="1:682 1352:2024 2113:2216" ht="12.75" customHeight="1" x14ac:dyDescent="0.2">
      <c r="A138" t="s">
        <v>3598</v>
      </c>
      <c r="B138" t="s">
        <v>4944</v>
      </c>
      <c r="C138">
        <v>422</v>
      </c>
      <c r="D138" s="23">
        <v>9.01</v>
      </c>
      <c r="PY138" t="s">
        <v>4944</v>
      </c>
      <c r="BBR138" t="s">
        <v>3621</v>
      </c>
      <c r="BLX138" t="s">
        <v>3744</v>
      </c>
    </row>
    <row r="139" spans="1:682 1352:2024 2113:2216" ht="12.75" customHeight="1" x14ac:dyDescent="0.2">
      <c r="A139" t="s">
        <v>3598</v>
      </c>
      <c r="B139" t="s">
        <v>4945</v>
      </c>
      <c r="C139">
        <v>436</v>
      </c>
      <c r="D139" s="23">
        <v>9.18</v>
      </c>
      <c r="QM139" t="s">
        <v>4945</v>
      </c>
      <c r="BDC139" t="s">
        <v>3362</v>
      </c>
      <c r="BPI139" t="s">
        <v>3745</v>
      </c>
    </row>
    <row r="140" spans="1:682 1352:2024 2113:2216" ht="12.75" customHeight="1" x14ac:dyDescent="0.2">
      <c r="A140" t="s">
        <v>3598</v>
      </c>
      <c r="B140" t="s">
        <v>4946</v>
      </c>
      <c r="C140">
        <v>446</v>
      </c>
      <c r="D140" s="23">
        <v>18.37</v>
      </c>
      <c r="RF140" t="s">
        <v>4946</v>
      </c>
      <c r="BEN140" t="s">
        <v>3363</v>
      </c>
      <c r="BTH140" t="s">
        <v>3746</v>
      </c>
    </row>
    <row r="141" spans="1:682 1352:2024 2113:2216" ht="12.75" customHeight="1" x14ac:dyDescent="0.2">
      <c r="A141" t="s">
        <v>3598</v>
      </c>
      <c r="B141" t="s">
        <v>4947</v>
      </c>
      <c r="C141">
        <v>466</v>
      </c>
      <c r="D141" s="23">
        <v>36.74</v>
      </c>
      <c r="SS141" t="s">
        <v>4947</v>
      </c>
      <c r="BKB141" t="s">
        <v>3622</v>
      </c>
      <c r="BWZ141" t="s">
        <v>3747</v>
      </c>
    </row>
    <row r="142" spans="1:682 1352:2024 2113:2216" ht="12.75" customHeight="1" x14ac:dyDescent="0.2">
      <c r="A142" t="s">
        <v>3598</v>
      </c>
      <c r="B142" t="s">
        <v>7180</v>
      </c>
      <c r="C142">
        <v>522.59</v>
      </c>
      <c r="D142" s="23">
        <v>5.51</v>
      </c>
      <c r="TR142" t="s">
        <v>7180</v>
      </c>
      <c r="BNM142" t="s">
        <v>3364</v>
      </c>
      <c r="BYV142" t="s">
        <v>3748</v>
      </c>
    </row>
    <row r="143" spans="1:682 1352:2024 2113:2216" ht="12.75" customHeight="1" x14ac:dyDescent="0.2">
      <c r="A143" t="s">
        <v>3598</v>
      </c>
      <c r="B143" t="s">
        <v>4948</v>
      </c>
      <c r="C143">
        <v>613.04</v>
      </c>
      <c r="D143" s="23">
        <v>18.02</v>
      </c>
      <c r="XQ143" t="s">
        <v>4948</v>
      </c>
      <c r="BRL143" t="s">
        <v>3365</v>
      </c>
      <c r="CCG143" t="s">
        <v>3749</v>
      </c>
    </row>
    <row r="144" spans="1:682 1352:2024 2113:2216" ht="12.75" customHeight="1" x14ac:dyDescent="0.2">
      <c r="A144" t="s">
        <v>3598</v>
      </c>
      <c r="B144" t="s">
        <v>4949</v>
      </c>
      <c r="C144">
        <v>653.98</v>
      </c>
      <c r="D144" s="23">
        <v>18.02</v>
      </c>
      <c r="ZF144" t="s">
        <v>4949</v>
      </c>
      <c r="BVD144" t="s">
        <v>3623</v>
      </c>
      <c r="CGF144" t="s">
        <v>3750</v>
      </c>
    </row>
    <row r="145" spans="1:1018 1047:1976 2065:2984" ht="12.75" customHeight="1" x14ac:dyDescent="0.2">
      <c r="A145" t="s">
        <v>3598</v>
      </c>
      <c r="B145" t="s">
        <v>4950</v>
      </c>
      <c r="C145">
        <v>690.11</v>
      </c>
      <c r="D145" s="23">
        <v>17.079999999999998</v>
      </c>
      <c r="AAO145" t="s">
        <v>4950</v>
      </c>
      <c r="BWZ145" t="s">
        <v>3366</v>
      </c>
      <c r="CPL145" t="s">
        <v>3751</v>
      </c>
    </row>
    <row r="146" spans="1:1018 1047:1976 2065:2984" ht="12.75" customHeight="1" x14ac:dyDescent="0.2">
      <c r="A146" t="s">
        <v>3598</v>
      </c>
      <c r="B146" t="s">
        <v>4951</v>
      </c>
      <c r="C146">
        <v>709.19</v>
      </c>
      <c r="D146" s="23">
        <v>10.81</v>
      </c>
      <c r="ABB146" t="s">
        <v>4951</v>
      </c>
      <c r="CAK146" t="s">
        <v>3367</v>
      </c>
      <c r="CVJ146" t="s">
        <v>3752</v>
      </c>
    </row>
    <row r="147" spans="1:1018 1047:1976 2065:2984" ht="12.75" customHeight="1" x14ac:dyDescent="0.2">
      <c r="A147" t="s">
        <v>3598</v>
      </c>
      <c r="B147" t="s">
        <v>4952</v>
      </c>
      <c r="C147">
        <v>731.96</v>
      </c>
      <c r="D147" s="23">
        <v>36.04</v>
      </c>
      <c r="ACX147" t="s">
        <v>4952</v>
      </c>
      <c r="CEJ147" t="s">
        <v>3368</v>
      </c>
      <c r="CWV147" t="s">
        <v>3753</v>
      </c>
    </row>
    <row r="148" spans="1:1018 1047:1976 2065:2984" ht="12.75" customHeight="1" x14ac:dyDescent="0.2">
      <c r="A148" t="s">
        <v>3598</v>
      </c>
      <c r="B148" t="s">
        <v>4953</v>
      </c>
      <c r="C148">
        <v>797.98</v>
      </c>
      <c r="D148" s="23">
        <v>18.02</v>
      </c>
      <c r="AET148" t="s">
        <v>4953</v>
      </c>
      <c r="CNP148" t="s">
        <v>3624</v>
      </c>
      <c r="DJT148" t="s">
        <v>3754</v>
      </c>
    </row>
    <row r="149" spans="1:1018 1047:1976 2065:2984" ht="12.75" customHeight="1" x14ac:dyDescent="0.2">
      <c r="A149" t="s">
        <v>3598</v>
      </c>
      <c r="B149" t="s">
        <v>7181</v>
      </c>
      <c r="C149">
        <v>827.96</v>
      </c>
      <c r="D149" s="23">
        <v>9.18</v>
      </c>
      <c r="AFO149" t="s">
        <v>7181</v>
      </c>
      <c r="CTN149" t="s">
        <v>3625</v>
      </c>
    </row>
    <row r="150" spans="1:1018 1047:1976 2065:2984" ht="12.75" customHeight="1" x14ac:dyDescent="0.2">
      <c r="A150" t="s">
        <v>3598</v>
      </c>
      <c r="B150" t="s">
        <v>4954</v>
      </c>
      <c r="C150">
        <v>943.68</v>
      </c>
      <c r="D150" s="23">
        <v>5.51</v>
      </c>
      <c r="AJW150" t="s">
        <v>4954</v>
      </c>
      <c r="CUZ150" t="s">
        <v>3369</v>
      </c>
    </row>
    <row r="151" spans="1:1018 1047:1976 2065:2984" ht="12.75" customHeight="1" x14ac:dyDescent="0.2">
      <c r="A151" t="s">
        <v>3598</v>
      </c>
      <c r="B151" t="s">
        <v>4955</v>
      </c>
      <c r="C151">
        <v>950.19</v>
      </c>
      <c r="D151" s="23">
        <v>10.81</v>
      </c>
      <c r="AKI151" t="s">
        <v>4955</v>
      </c>
      <c r="DHX151" t="s">
        <v>3370</v>
      </c>
    </row>
    <row r="152" spans="1:1018 1047:1976 2065:2984" ht="12.75" customHeight="1" x14ac:dyDescent="0.2">
      <c r="A152" t="s">
        <v>3598</v>
      </c>
      <c r="B152" t="s">
        <v>7182</v>
      </c>
      <c r="C152">
        <v>962</v>
      </c>
      <c r="D152" s="23">
        <v>36.729999999999997</v>
      </c>
      <c r="ALU152" t="s">
        <v>7182</v>
      </c>
    </row>
    <row r="153" spans="1:1018 1047:1976 2065:2984" ht="12.75" customHeight="1" x14ac:dyDescent="0.2">
      <c r="A153" t="s">
        <v>3598</v>
      </c>
      <c r="B153" t="s">
        <v>4956</v>
      </c>
      <c r="C153">
        <v>989.63</v>
      </c>
      <c r="D153" s="23">
        <v>18.37</v>
      </c>
      <c r="AMD153" t="s">
        <v>4956</v>
      </c>
    </row>
    <row r="154" spans="1:1018 1047:1976 2065:2984" ht="12.75" customHeight="1" x14ac:dyDescent="0.2">
      <c r="A154" t="s">
        <v>3598</v>
      </c>
      <c r="B154" t="s">
        <v>4957</v>
      </c>
      <c r="C154">
        <v>1018.96</v>
      </c>
      <c r="D154" s="23">
        <v>18.02</v>
      </c>
      <c r="ANG154" t="s">
        <v>4957</v>
      </c>
    </row>
    <row r="155" spans="1:1018 1047:1976 2065:2984" ht="12.75" customHeight="1" x14ac:dyDescent="0.2">
      <c r="A155" t="s">
        <v>3598</v>
      </c>
      <c r="B155" t="s">
        <v>7183</v>
      </c>
      <c r="C155">
        <v>1037.98</v>
      </c>
      <c r="D155" s="23">
        <v>18.02</v>
      </c>
      <c r="ANZ155" t="s">
        <v>7183</v>
      </c>
    </row>
    <row r="156" spans="1:1018 1047:1976 2065:2984" ht="12.75" customHeight="1" x14ac:dyDescent="0.2">
      <c r="A156" t="s">
        <v>3598</v>
      </c>
      <c r="B156" t="s">
        <v>4958</v>
      </c>
      <c r="C156">
        <v>1046.99</v>
      </c>
      <c r="D156" s="23">
        <v>9.01</v>
      </c>
      <c r="ANZ156" t="s">
        <v>4958</v>
      </c>
    </row>
    <row r="157" spans="1:1018 1047:1976 2065:2984" ht="12.75" customHeight="1" x14ac:dyDescent="0.2">
      <c r="A157" t="s">
        <v>3598</v>
      </c>
      <c r="B157" t="s">
        <v>7184</v>
      </c>
      <c r="C157">
        <v>1116.72</v>
      </c>
      <c r="D157" s="23">
        <v>9.1999999999999993</v>
      </c>
      <c r="AQR157" t="s">
        <v>7184</v>
      </c>
    </row>
    <row r="158" spans="1:1018 1047:1976 2065:2984" ht="12.75" customHeight="1" x14ac:dyDescent="0.2">
      <c r="A158" t="s">
        <v>3598</v>
      </c>
      <c r="B158" t="s">
        <v>7185</v>
      </c>
      <c r="C158">
        <v>1126.93</v>
      </c>
      <c r="D158" s="23">
        <v>36.04</v>
      </c>
      <c r="ASC158" t="s">
        <v>7185</v>
      </c>
    </row>
    <row r="159" spans="1:1018 1047:1976 2065:2984" ht="12.75" customHeight="1" x14ac:dyDescent="0.2">
      <c r="A159" t="s">
        <v>3598</v>
      </c>
      <c r="B159" t="s">
        <v>4959</v>
      </c>
      <c r="C159">
        <v>1163.96</v>
      </c>
      <c r="D159" s="23">
        <v>36.04</v>
      </c>
      <c r="ATN159" t="s">
        <v>4959</v>
      </c>
      <c r="AZB159" t="s">
        <v>3363</v>
      </c>
    </row>
    <row r="160" spans="1:1018 1047:1976 2065:2984" ht="12.75" customHeight="1" x14ac:dyDescent="0.2">
      <c r="A160" t="s">
        <v>3598</v>
      </c>
      <c r="B160" t="s">
        <v>4960</v>
      </c>
      <c r="C160">
        <v>1307.26</v>
      </c>
      <c r="D160" s="23">
        <v>36.729999999999997</v>
      </c>
      <c r="AZB160" t="s">
        <v>5774</v>
      </c>
      <c r="BAX160" t="s">
        <v>5774</v>
      </c>
      <c r="BCT160" t="s">
        <v>5774</v>
      </c>
      <c r="BEP160" t="s">
        <v>3622</v>
      </c>
    </row>
    <row r="161" spans="1:10 1352:2026 2122:2986" ht="12.75" customHeight="1" x14ac:dyDescent="0.2">
      <c r="A161" t="s">
        <v>3598</v>
      </c>
      <c r="B161" t="s">
        <v>4961</v>
      </c>
      <c r="C161">
        <v>1395.82</v>
      </c>
      <c r="D161" s="23">
        <v>18.37</v>
      </c>
      <c r="BBT161" t="s">
        <v>5775</v>
      </c>
      <c r="BDP161" t="s">
        <v>5775</v>
      </c>
      <c r="BFL161" t="s">
        <v>5775</v>
      </c>
      <c r="BHH161" t="s">
        <v>4745</v>
      </c>
    </row>
    <row r="162" spans="1:10 1352:2026 2122:2986" ht="12.75" customHeight="1" x14ac:dyDescent="0.2">
      <c r="A162" t="s">
        <v>3598</v>
      </c>
      <c r="B162" t="s">
        <v>4962</v>
      </c>
      <c r="C162">
        <v>1415.19</v>
      </c>
      <c r="D162" s="23">
        <v>18.02</v>
      </c>
      <c r="BCM162" t="s">
        <v>5776</v>
      </c>
      <c r="BEI162" t="s">
        <v>5776</v>
      </c>
      <c r="BGE162" t="s">
        <v>5776</v>
      </c>
      <c r="BIA162" t="s">
        <v>3364</v>
      </c>
    </row>
    <row r="163" spans="1:10 1352:2026 2122:2986" ht="12.75" customHeight="1" x14ac:dyDescent="0.2">
      <c r="A163" t="s">
        <v>3598</v>
      </c>
      <c r="B163" t="s">
        <v>7186</v>
      </c>
      <c r="C163">
        <v>1499.96</v>
      </c>
      <c r="D163" s="23">
        <v>36.04</v>
      </c>
      <c r="BGL163" t="s">
        <v>5777</v>
      </c>
      <c r="BIH163" t="s">
        <v>5777</v>
      </c>
      <c r="BKD163" t="s">
        <v>5777</v>
      </c>
      <c r="BLZ163" t="s">
        <v>4746</v>
      </c>
    </row>
    <row r="164" spans="1:10 1352:2026 2122:2986" ht="12.75" customHeight="1" x14ac:dyDescent="0.2">
      <c r="A164" t="s">
        <v>3598</v>
      </c>
      <c r="B164" t="s">
        <v>7187</v>
      </c>
      <c r="C164">
        <v>1613.98</v>
      </c>
      <c r="D164" s="23">
        <v>18.02</v>
      </c>
      <c r="BKD164" t="s">
        <v>5778</v>
      </c>
      <c r="BLZ164" t="s">
        <v>5778</v>
      </c>
      <c r="BNV164" t="s">
        <v>5778</v>
      </c>
      <c r="BPR164" t="s">
        <v>4747</v>
      </c>
    </row>
    <row r="165" spans="1:10 1352:2026 2122:2986" ht="12.75" customHeight="1" x14ac:dyDescent="0.2">
      <c r="A165" t="s">
        <v>3598</v>
      </c>
      <c r="B165" t="s">
        <v>4963</v>
      </c>
      <c r="C165">
        <v>1661.63</v>
      </c>
      <c r="D165" s="23">
        <v>18.37</v>
      </c>
      <c r="BLZ165" t="s">
        <v>5779</v>
      </c>
      <c r="BNV165" t="s">
        <v>5779</v>
      </c>
      <c r="BPR165" t="s">
        <v>5779</v>
      </c>
      <c r="BRN165" t="s">
        <v>3366</v>
      </c>
    </row>
    <row r="166" spans="1:10 1352:2026 2122:2986" ht="12.75" customHeight="1" x14ac:dyDescent="0.2">
      <c r="A166" t="s">
        <v>3598</v>
      </c>
      <c r="B166" t="s">
        <v>4964</v>
      </c>
      <c r="C166">
        <v>1713.45</v>
      </c>
      <c r="D166" s="23">
        <v>36.729999999999997</v>
      </c>
      <c r="AZB166" t="s">
        <v>4960</v>
      </c>
      <c r="BOR166" t="s">
        <v>5780</v>
      </c>
      <c r="BQN166" t="s">
        <v>5780</v>
      </c>
      <c r="BSJ166" t="s">
        <v>5780</v>
      </c>
      <c r="BUF166" t="s">
        <v>4748</v>
      </c>
    </row>
    <row r="167" spans="1:10 1352:2026 2122:2986" ht="12.75" customHeight="1" x14ac:dyDescent="0.2">
      <c r="A167" t="s">
        <v>3598</v>
      </c>
      <c r="B167" t="s">
        <v>4965</v>
      </c>
      <c r="C167">
        <v>1751.19</v>
      </c>
      <c r="D167" s="23">
        <v>18.02</v>
      </c>
      <c r="BBT167" t="s">
        <v>4961</v>
      </c>
      <c r="BPK167" t="s">
        <v>5781</v>
      </c>
      <c r="BRG167" t="s">
        <v>5781</v>
      </c>
      <c r="BTC167" t="s">
        <v>5781</v>
      </c>
      <c r="BUY167" t="s">
        <v>3367</v>
      </c>
    </row>
    <row r="168" spans="1:10 1352:2026 2122:2986" ht="12.75" customHeight="1" x14ac:dyDescent="0.2">
      <c r="A168" t="s">
        <v>3598</v>
      </c>
      <c r="B168" t="s">
        <v>7188</v>
      </c>
      <c r="C168">
        <v>1835.96</v>
      </c>
      <c r="D168" s="23">
        <v>36.04</v>
      </c>
      <c r="BCM168" t="s">
        <v>4962</v>
      </c>
      <c r="BTJ168" t="s">
        <v>5782</v>
      </c>
      <c r="BVF168" t="s">
        <v>5782</v>
      </c>
      <c r="BXB168" t="s">
        <v>5782</v>
      </c>
      <c r="BYX168" t="s">
        <v>4749</v>
      </c>
    </row>
    <row r="169" spans="1:10 1352:2026 2122:2986" ht="12.75" customHeight="1" x14ac:dyDescent="0.2">
      <c r="A169" t="s">
        <v>3598</v>
      </c>
      <c r="B169" t="s">
        <v>7189</v>
      </c>
      <c r="C169">
        <v>2104.79</v>
      </c>
      <c r="D169" s="23">
        <v>7.21</v>
      </c>
      <c r="AYZ169" t="s">
        <v>3755</v>
      </c>
      <c r="BGL169" t="s">
        <v>3365</v>
      </c>
      <c r="CCP169" t="s">
        <v>5783</v>
      </c>
      <c r="CEL169" t="s">
        <v>5783</v>
      </c>
      <c r="CGH169" t="s">
        <v>5783</v>
      </c>
      <c r="CID169" t="s">
        <v>4750</v>
      </c>
    </row>
    <row r="170" spans="1:10 1352:2026 2122:2986" ht="12.75" customHeight="1" x14ac:dyDescent="0.2">
      <c r="A170" t="s">
        <v>3598</v>
      </c>
      <c r="B170" t="s">
        <v>4966</v>
      </c>
      <c r="C170">
        <v>2247.6</v>
      </c>
      <c r="D170" s="23">
        <v>18.37</v>
      </c>
      <c r="BAV170" t="s">
        <v>3756</v>
      </c>
      <c r="BKD170" t="s">
        <v>6793</v>
      </c>
      <c r="CIN170" t="s">
        <v>5784</v>
      </c>
      <c r="CKJ170" t="s">
        <v>5784</v>
      </c>
      <c r="CMF170" t="s">
        <v>5784</v>
      </c>
      <c r="COB170" t="s">
        <v>3625</v>
      </c>
    </row>
    <row r="171" spans="1:10 1352:2026 2122:2986" ht="12.75" customHeight="1" x14ac:dyDescent="0.2">
      <c r="A171" t="s">
        <v>3598</v>
      </c>
      <c r="B171" t="s">
        <v>4967</v>
      </c>
      <c r="C171">
        <v>2267.96</v>
      </c>
      <c r="D171" s="23">
        <v>36.04</v>
      </c>
      <c r="BAV171" t="s">
        <v>3757</v>
      </c>
      <c r="BLZ171" t="s">
        <v>4963</v>
      </c>
      <c r="CJZ171" t="s">
        <v>5785</v>
      </c>
      <c r="CLV171" t="s">
        <v>5785</v>
      </c>
      <c r="CNR171" t="s">
        <v>5785</v>
      </c>
      <c r="CPN171" t="s">
        <v>3369</v>
      </c>
    </row>
    <row r="172" spans="1:10 1352:2026 2122:2986" ht="12.75" customHeight="1" x14ac:dyDescent="0.2">
      <c r="A172" t="s">
        <v>3598</v>
      </c>
      <c r="B172" t="s">
        <v>4968</v>
      </c>
      <c r="C172">
        <v>2603.96</v>
      </c>
      <c r="D172" s="23">
        <v>36.04</v>
      </c>
      <c r="BCR172" t="s">
        <v>3758</v>
      </c>
      <c r="BOR172" t="s">
        <v>4964</v>
      </c>
      <c r="CWX172" t="s">
        <v>5786</v>
      </c>
      <c r="CYT172" t="s">
        <v>5786</v>
      </c>
      <c r="DAP172" t="s">
        <v>5786</v>
      </c>
      <c r="DCL172" t="s">
        <v>3370</v>
      </c>
    </row>
    <row r="173" spans="1:10 1352:2026 2122:2986" ht="12.75" customHeight="1" x14ac:dyDescent="0.2">
      <c r="A173" t="s">
        <v>3598</v>
      </c>
      <c r="B173" t="s">
        <v>4969</v>
      </c>
      <c r="C173">
        <v>2795.27</v>
      </c>
      <c r="D173" s="23">
        <v>36.74</v>
      </c>
      <c r="AYZ173" t="s">
        <v>3371</v>
      </c>
      <c r="BEN173" t="s">
        <v>3759</v>
      </c>
      <c r="BPK173" t="s">
        <v>4965</v>
      </c>
      <c r="DEH173" t="s">
        <v>5787</v>
      </c>
      <c r="DGD173" t="s">
        <v>5787</v>
      </c>
      <c r="DHZ173" t="s">
        <v>5787</v>
      </c>
      <c r="DJV173" t="s">
        <v>4751</v>
      </c>
    </row>
    <row r="174" spans="1:10 1352:2026 2122:2986" ht="12.75" customHeight="1" x14ac:dyDescent="0.2">
      <c r="A174" t="s">
        <v>3599</v>
      </c>
      <c r="B174" t="s">
        <v>4970</v>
      </c>
      <c r="C174">
        <v>-128</v>
      </c>
      <c r="D174" s="23">
        <v>23.54</v>
      </c>
      <c r="J174" t="s">
        <v>4970</v>
      </c>
      <c r="AYZ174" t="s">
        <v>3372</v>
      </c>
      <c r="BEN174" t="s">
        <v>3760</v>
      </c>
      <c r="BTJ174" t="s">
        <v>3368</v>
      </c>
    </row>
    <row r="175" spans="1:10 1352:2026 2122:2986" ht="12.75" customHeight="1" x14ac:dyDescent="0.2">
      <c r="A175" t="s">
        <v>3599</v>
      </c>
      <c r="B175" t="s">
        <v>4971</v>
      </c>
      <c r="C175">
        <v>-66.069999999999993</v>
      </c>
      <c r="D175" s="23">
        <v>23.54</v>
      </c>
      <c r="J175" t="s">
        <v>4971</v>
      </c>
      <c r="BAV175" t="s">
        <v>3373</v>
      </c>
      <c r="BGJ175" t="s">
        <v>3761</v>
      </c>
      <c r="CCP175" t="s">
        <v>3624</v>
      </c>
    </row>
    <row r="176" spans="1:10 1352:2026 2122:2986" ht="12.75" customHeight="1" x14ac:dyDescent="0.2">
      <c r="A176" t="s">
        <v>3599</v>
      </c>
      <c r="B176" t="s">
        <v>4972</v>
      </c>
      <c r="C176">
        <v>-41.53</v>
      </c>
      <c r="D176" s="23">
        <v>23.54</v>
      </c>
      <c r="J176" t="s">
        <v>4972</v>
      </c>
      <c r="BCR176" t="s">
        <v>3374</v>
      </c>
      <c r="BGW176" t="s">
        <v>3762</v>
      </c>
      <c r="CIN176" t="s">
        <v>4966</v>
      </c>
    </row>
    <row r="177" spans="1:970 1448:2047 2072:2842" ht="12.75" customHeight="1" x14ac:dyDescent="0.2">
      <c r="A177" t="s">
        <v>3599</v>
      </c>
      <c r="B177" t="s">
        <v>4973</v>
      </c>
      <c r="C177">
        <v>-16.98</v>
      </c>
      <c r="D177" s="23">
        <v>23.54</v>
      </c>
      <c r="Q177" t="s">
        <v>4973</v>
      </c>
      <c r="BCR177" t="s">
        <v>3375</v>
      </c>
      <c r="BIF177" t="s">
        <v>3763</v>
      </c>
      <c r="CJZ177" t="s">
        <v>4967</v>
      </c>
    </row>
    <row r="178" spans="1:970 1448:2047 2072:2842" ht="12.75" customHeight="1" x14ac:dyDescent="0.2">
      <c r="A178" t="s">
        <v>3599</v>
      </c>
      <c r="B178" t="s">
        <v>4974</v>
      </c>
      <c r="C178">
        <v>7.56</v>
      </c>
      <c r="D178" s="23">
        <v>23.54</v>
      </c>
      <c r="AO178" t="s">
        <v>4974</v>
      </c>
      <c r="BEN178" t="s">
        <v>3376</v>
      </c>
      <c r="BKB178" t="s">
        <v>3764</v>
      </c>
      <c r="CWX178" t="s">
        <v>4968</v>
      </c>
    </row>
    <row r="179" spans="1:970 1448:2047 2072:2842" ht="12.75" customHeight="1" x14ac:dyDescent="0.2">
      <c r="A179" t="s">
        <v>3599</v>
      </c>
      <c r="B179" t="s">
        <v>4975</v>
      </c>
      <c r="C179">
        <v>32.1</v>
      </c>
      <c r="D179" s="23">
        <v>23.54</v>
      </c>
      <c r="BN179" t="s">
        <v>4975</v>
      </c>
      <c r="BFA179" t="s">
        <v>3377</v>
      </c>
      <c r="BLX179" t="s">
        <v>3765</v>
      </c>
      <c r="DEH179" t="s">
        <v>4969</v>
      </c>
    </row>
    <row r="180" spans="1:970 1448:2047 2072:2842" ht="12.75" customHeight="1" x14ac:dyDescent="0.2">
      <c r="A180" t="s">
        <v>3599</v>
      </c>
      <c r="B180" t="s">
        <v>4976</v>
      </c>
      <c r="C180">
        <v>56.65</v>
      </c>
      <c r="D180" s="23">
        <v>11.77</v>
      </c>
      <c r="BZ180" t="s">
        <v>4976</v>
      </c>
      <c r="BGJ180" t="s">
        <v>3378</v>
      </c>
      <c r="BNT180" t="s">
        <v>3766</v>
      </c>
    </row>
    <row r="181" spans="1:970 1448:2047 2072:2842" ht="12.75" customHeight="1" x14ac:dyDescent="0.2">
      <c r="A181" t="s">
        <v>3599</v>
      </c>
      <c r="B181" t="s">
        <v>4977</v>
      </c>
      <c r="C181">
        <v>69.42</v>
      </c>
      <c r="D181" s="23">
        <v>23.54</v>
      </c>
      <c r="CY181" t="s">
        <v>4977</v>
      </c>
      <c r="BIF181" t="s">
        <v>3379</v>
      </c>
      <c r="BPP181" t="s">
        <v>3767</v>
      </c>
    </row>
    <row r="182" spans="1:970 1448:2047 2072:2842" ht="12.75" customHeight="1" x14ac:dyDescent="0.2">
      <c r="A182" t="s">
        <v>3599</v>
      </c>
      <c r="B182" t="s">
        <v>7190</v>
      </c>
      <c r="C182">
        <v>93.96</v>
      </c>
      <c r="D182" s="23">
        <v>23.54</v>
      </c>
      <c r="DX182" t="s">
        <v>7190</v>
      </c>
      <c r="BKB182" t="s">
        <v>3380</v>
      </c>
      <c r="BRL182" t="s">
        <v>3768</v>
      </c>
    </row>
    <row r="183" spans="1:970 1448:2047 2072:2842" ht="12.75" customHeight="1" x14ac:dyDescent="0.2">
      <c r="A183" t="s">
        <v>3599</v>
      </c>
      <c r="B183" t="s">
        <v>7191</v>
      </c>
      <c r="C183">
        <v>118.5</v>
      </c>
      <c r="D183" s="23">
        <v>23.54</v>
      </c>
      <c r="EV183" t="s">
        <v>7191</v>
      </c>
      <c r="BLX183" t="s">
        <v>3381</v>
      </c>
      <c r="BTA183" t="s">
        <v>3769</v>
      </c>
    </row>
    <row r="184" spans="1:970 1448:2047 2072:2842" ht="12.75" customHeight="1" x14ac:dyDescent="0.2">
      <c r="A184" t="s">
        <v>3599</v>
      </c>
      <c r="B184" t="s">
        <v>7192</v>
      </c>
      <c r="C184">
        <v>143.05000000000001</v>
      </c>
      <c r="D184" s="23">
        <v>23.54</v>
      </c>
      <c r="FU184" t="s">
        <v>7192</v>
      </c>
      <c r="BNT184" t="s">
        <v>3382</v>
      </c>
      <c r="BTH184" t="s">
        <v>3770</v>
      </c>
    </row>
    <row r="185" spans="1:970 1448:2047 2072:2842" ht="12.75" customHeight="1" x14ac:dyDescent="0.2">
      <c r="A185" t="s">
        <v>3599</v>
      </c>
      <c r="B185" t="s">
        <v>4978</v>
      </c>
      <c r="C185">
        <v>609.02</v>
      </c>
      <c r="D185" s="23">
        <v>23.77</v>
      </c>
      <c r="XS185" t="s">
        <v>4978</v>
      </c>
      <c r="BPP185" t="s">
        <v>3383</v>
      </c>
      <c r="BVD185" t="s">
        <v>3771</v>
      </c>
    </row>
    <row r="186" spans="1:970 1448:2047 2072:2842" ht="12.75" customHeight="1" x14ac:dyDescent="0.2">
      <c r="A186" t="s">
        <v>3599</v>
      </c>
      <c r="B186" t="s">
        <v>4979</v>
      </c>
      <c r="C186">
        <v>633.78</v>
      </c>
      <c r="D186" s="23">
        <v>11.88</v>
      </c>
      <c r="YF186" t="s">
        <v>4979</v>
      </c>
      <c r="BRE186" t="s">
        <v>3384</v>
      </c>
      <c r="BWZ186" t="s">
        <v>3772</v>
      </c>
    </row>
    <row r="187" spans="1:970 1448:2047 2072:2842" ht="12.75" customHeight="1" x14ac:dyDescent="0.2">
      <c r="A187" t="s">
        <v>3599</v>
      </c>
      <c r="B187" t="s">
        <v>4980</v>
      </c>
      <c r="C187">
        <v>646.66999999999996</v>
      </c>
      <c r="D187" s="23">
        <v>11.88</v>
      </c>
      <c r="YS187" t="s">
        <v>4980</v>
      </c>
      <c r="BRL187" t="s">
        <v>3385</v>
      </c>
      <c r="BYV187" t="s">
        <v>3773</v>
      </c>
    </row>
    <row r="188" spans="1:970 1448:2047 2072:2842" ht="12.75" customHeight="1" x14ac:dyDescent="0.2">
      <c r="A188" t="s">
        <v>3599</v>
      </c>
      <c r="B188" t="s">
        <v>4981</v>
      </c>
      <c r="C188">
        <v>815.91</v>
      </c>
      <c r="D188" s="23">
        <v>23.54</v>
      </c>
      <c r="AFQ188" t="s">
        <v>4981</v>
      </c>
      <c r="BTH188" t="s">
        <v>3386</v>
      </c>
      <c r="BYV188" t="s">
        <v>3774</v>
      </c>
    </row>
    <row r="189" spans="1:970 1448:2047 2072:2842" ht="12.75" customHeight="1" x14ac:dyDescent="0.2">
      <c r="A189" t="s">
        <v>3599</v>
      </c>
      <c r="B189" t="s">
        <v>4982</v>
      </c>
      <c r="C189">
        <v>863.91</v>
      </c>
      <c r="D189" s="23">
        <v>23.54</v>
      </c>
      <c r="AHM189" t="s">
        <v>4982</v>
      </c>
      <c r="BVD189" t="s">
        <v>3387</v>
      </c>
      <c r="BZS189" t="s">
        <v>3775</v>
      </c>
    </row>
    <row r="190" spans="1:970 1448:2047 2072:2842" ht="12.75" customHeight="1" x14ac:dyDescent="0.2">
      <c r="A190" t="s">
        <v>3599</v>
      </c>
      <c r="B190" t="s">
        <v>4983</v>
      </c>
      <c r="C190">
        <v>888.46</v>
      </c>
      <c r="D190" s="23">
        <v>23.54</v>
      </c>
      <c r="AIL190" t="s">
        <v>4983</v>
      </c>
      <c r="BWZ190" t="s">
        <v>3388</v>
      </c>
      <c r="CAR190" t="s">
        <v>3776</v>
      </c>
    </row>
    <row r="191" spans="1:970 1448:2047 2072:2842" ht="12.75" customHeight="1" x14ac:dyDescent="0.2">
      <c r="A191" t="s">
        <v>3599</v>
      </c>
      <c r="B191" t="s">
        <v>4984</v>
      </c>
      <c r="C191">
        <v>936.46</v>
      </c>
      <c r="D191" s="23">
        <v>23.54</v>
      </c>
      <c r="AKH191" t="s">
        <v>4984</v>
      </c>
      <c r="BWZ191" t="s">
        <v>3389</v>
      </c>
      <c r="CCN191" t="s">
        <v>3777</v>
      </c>
    </row>
    <row r="192" spans="1:970 1448:2047 2072:2842" ht="12.75" customHeight="1" x14ac:dyDescent="0.2">
      <c r="A192" t="s">
        <v>3599</v>
      </c>
      <c r="B192" t="s">
        <v>4985</v>
      </c>
      <c r="C192">
        <v>936.46</v>
      </c>
      <c r="D192" s="23">
        <v>23.54</v>
      </c>
      <c r="AKH192" t="s">
        <v>4985</v>
      </c>
      <c r="BXW192" t="s">
        <v>4167</v>
      </c>
      <c r="CEJ192" t="s">
        <v>3778</v>
      </c>
    </row>
    <row r="193" spans="1:1004 1041:2024 2072:3028 3130:3560" ht="12.75" customHeight="1" x14ac:dyDescent="0.2">
      <c r="A193" t="s">
        <v>3599</v>
      </c>
      <c r="B193" t="s">
        <v>4986</v>
      </c>
      <c r="C193">
        <v>971.69</v>
      </c>
      <c r="D193" s="23">
        <v>11.77</v>
      </c>
      <c r="ALE193" t="s">
        <v>4986</v>
      </c>
      <c r="BYV193" t="s">
        <v>3390</v>
      </c>
      <c r="CGF193" t="s">
        <v>3779</v>
      </c>
    </row>
    <row r="194" spans="1:1004 1041:2024 2072:3028 3130:3560" ht="12.75" customHeight="1" x14ac:dyDescent="0.2">
      <c r="A194" t="s">
        <v>3599</v>
      </c>
      <c r="B194" t="s">
        <v>4987</v>
      </c>
      <c r="C194">
        <v>984.46</v>
      </c>
      <c r="D194" s="23">
        <v>9.51</v>
      </c>
      <c r="ALP194" t="s">
        <v>4987</v>
      </c>
      <c r="CAR194" t="s">
        <v>3391</v>
      </c>
      <c r="CIB194" t="s">
        <v>3780</v>
      </c>
    </row>
    <row r="195" spans="1:1004 1041:2024 2072:3028 3130:3560" ht="12.75" customHeight="1" x14ac:dyDescent="0.2">
      <c r="A195" t="s">
        <v>3599</v>
      </c>
      <c r="B195" t="s">
        <v>4988</v>
      </c>
      <c r="C195">
        <v>1007.69</v>
      </c>
      <c r="D195" s="23">
        <v>23.77</v>
      </c>
      <c r="ANA195" t="s">
        <v>4988</v>
      </c>
      <c r="CCN195" t="s">
        <v>3392</v>
      </c>
      <c r="CJR195" t="s">
        <v>3781</v>
      </c>
    </row>
    <row r="196" spans="1:1004 1041:2024 2072:3028 3130:3560" ht="12.75" customHeight="1" x14ac:dyDescent="0.2">
      <c r="A196" t="s">
        <v>3599</v>
      </c>
      <c r="B196" t="s">
        <v>4989</v>
      </c>
      <c r="C196">
        <v>1032.46</v>
      </c>
      <c r="D196" s="23">
        <v>23.54</v>
      </c>
      <c r="ANZ196" t="s">
        <v>4989</v>
      </c>
      <c r="CEJ196" t="s">
        <v>3393</v>
      </c>
      <c r="CJX196" t="s">
        <v>3782</v>
      </c>
    </row>
    <row r="197" spans="1:1004 1041:2024 2072:3028 3130:3560" ht="12.75" customHeight="1" x14ac:dyDescent="0.2">
      <c r="A197" t="s">
        <v>3599</v>
      </c>
      <c r="B197" t="s">
        <v>4990</v>
      </c>
      <c r="C197">
        <v>1032.46</v>
      </c>
      <c r="D197" s="23">
        <v>23.54</v>
      </c>
      <c r="ANZ197" t="s">
        <v>4990</v>
      </c>
      <c r="CGF197" t="s">
        <v>3394</v>
      </c>
      <c r="CLT197" t="s">
        <v>3783</v>
      </c>
    </row>
    <row r="198" spans="1:1004 1041:2024 2072:3028 3130:3560" ht="12.75" customHeight="1" x14ac:dyDescent="0.2">
      <c r="A198" t="s">
        <v>3599</v>
      </c>
      <c r="B198" t="s">
        <v>4991</v>
      </c>
      <c r="C198">
        <v>1080.46</v>
      </c>
      <c r="D198" s="23">
        <v>23.54</v>
      </c>
      <c r="APV198" t="s">
        <v>4991</v>
      </c>
      <c r="CHV198" t="s">
        <v>4168</v>
      </c>
      <c r="CLT198" t="s">
        <v>3784</v>
      </c>
    </row>
    <row r="199" spans="1:1004 1041:2024 2072:3028 3130:3560" ht="12.75" customHeight="1" x14ac:dyDescent="0.2">
      <c r="A199" t="s">
        <v>3599</v>
      </c>
      <c r="B199" t="s">
        <v>4992</v>
      </c>
      <c r="C199">
        <v>1128.46</v>
      </c>
      <c r="D199" s="23">
        <v>23.54</v>
      </c>
      <c r="ARR199" t="s">
        <v>4992</v>
      </c>
      <c r="CIB199" t="s">
        <v>3395</v>
      </c>
      <c r="CZI199" t="s">
        <v>3785</v>
      </c>
    </row>
    <row r="200" spans="1:1004 1041:2024 2072:3028 3130:3560" ht="12.75" customHeight="1" x14ac:dyDescent="0.2">
      <c r="A200" t="s">
        <v>3599</v>
      </c>
      <c r="B200" t="s">
        <v>4993</v>
      </c>
      <c r="C200">
        <v>1128.46</v>
      </c>
      <c r="D200" s="23">
        <v>23.54</v>
      </c>
      <c r="ARR200" t="s">
        <v>4993</v>
      </c>
      <c r="CJX200" t="s">
        <v>3396</v>
      </c>
      <c r="DAH200" t="s">
        <v>3786</v>
      </c>
    </row>
    <row r="201" spans="1:1004 1041:2024 2072:3028 3130:3560" ht="12.75" customHeight="1" x14ac:dyDescent="0.2">
      <c r="A201" t="s">
        <v>3599</v>
      </c>
      <c r="B201" t="s">
        <v>4994</v>
      </c>
      <c r="C201">
        <v>1176.46</v>
      </c>
      <c r="D201" s="23">
        <v>23.54</v>
      </c>
      <c r="ATN201" t="s">
        <v>4994</v>
      </c>
      <c r="AZB201" t="s">
        <v>4752</v>
      </c>
      <c r="CJX201" t="s">
        <v>4169</v>
      </c>
      <c r="DLL201" t="s">
        <v>3787</v>
      </c>
    </row>
    <row r="202" spans="1:1004 1041:2024 2072:3028 3130:3560" ht="12.75" customHeight="1" x14ac:dyDescent="0.2">
      <c r="A202" t="s">
        <v>3599</v>
      </c>
      <c r="B202" t="s">
        <v>4995</v>
      </c>
      <c r="C202">
        <v>1201</v>
      </c>
      <c r="D202" s="23">
        <v>11.88</v>
      </c>
      <c r="AUA202" t="s">
        <v>4995</v>
      </c>
      <c r="AZO202" t="s">
        <v>3377</v>
      </c>
      <c r="CXM202" t="s">
        <v>4170</v>
      </c>
      <c r="DRF202" t="s">
        <v>3788</v>
      </c>
    </row>
    <row r="203" spans="1:1004 1041:2024 2072:3028 3130:3560" ht="12.75" customHeight="1" x14ac:dyDescent="0.2">
      <c r="A203" t="s">
        <v>3599</v>
      </c>
      <c r="B203" t="s">
        <v>4996</v>
      </c>
      <c r="C203">
        <v>1224.46</v>
      </c>
      <c r="D203" s="23">
        <v>23.54</v>
      </c>
      <c r="AVJ203" t="s">
        <v>4996</v>
      </c>
      <c r="AZB203" t="s">
        <v>5788</v>
      </c>
      <c r="BAX203" t="s">
        <v>4753</v>
      </c>
      <c r="CYL203" t="s">
        <v>3397</v>
      </c>
      <c r="DXB203" t="s">
        <v>3789</v>
      </c>
    </row>
    <row r="204" spans="1:1004 1041:2024 2072:3028 3130:3560" ht="12.75" customHeight="1" x14ac:dyDescent="0.2">
      <c r="A204" t="s">
        <v>3599</v>
      </c>
      <c r="B204" t="s">
        <v>4997</v>
      </c>
      <c r="C204">
        <v>1272.46</v>
      </c>
      <c r="D204" s="23">
        <v>23.54</v>
      </c>
      <c r="AXF204" t="s">
        <v>4997</v>
      </c>
      <c r="AZB204" t="s">
        <v>5789</v>
      </c>
      <c r="BAX204" t="s">
        <v>5789</v>
      </c>
      <c r="BCT204" t="s">
        <v>4754</v>
      </c>
      <c r="DJP204" t="s">
        <v>3398</v>
      </c>
      <c r="EFX204" t="s">
        <v>3790</v>
      </c>
    </row>
    <row r="205" spans="1:1004 1041:2024 2072:3028 3130:3560" ht="12.75" customHeight="1" x14ac:dyDescent="0.2">
      <c r="A205" t="s">
        <v>3599</v>
      </c>
      <c r="B205" t="s">
        <v>4998</v>
      </c>
      <c r="C205">
        <v>1320.46</v>
      </c>
      <c r="D205" s="23">
        <v>23.54</v>
      </c>
      <c r="AZB205" t="s">
        <v>5790</v>
      </c>
      <c r="BAX205" t="s">
        <v>5790</v>
      </c>
      <c r="BCT205" t="s">
        <v>5790</v>
      </c>
      <c r="BEP205" t="s">
        <v>4755</v>
      </c>
      <c r="DPJ205" t="s">
        <v>4171</v>
      </c>
    </row>
    <row r="206" spans="1:1004 1041:2024 2072:3028 3130:3560" ht="12.75" customHeight="1" x14ac:dyDescent="0.2">
      <c r="A206" t="s">
        <v>3599</v>
      </c>
      <c r="B206" t="s">
        <v>4999</v>
      </c>
      <c r="C206">
        <v>1368.46</v>
      </c>
      <c r="D206" s="23">
        <v>23.54</v>
      </c>
      <c r="BAX206" t="s">
        <v>5791</v>
      </c>
      <c r="BCT206" t="s">
        <v>5791</v>
      </c>
      <c r="BEP206" t="s">
        <v>5791</v>
      </c>
      <c r="BGL206" t="s">
        <v>4756</v>
      </c>
      <c r="DVF206" t="s">
        <v>3399</v>
      </c>
    </row>
    <row r="207" spans="1:1004 1041:2024 2072:3028 3130:3560" ht="12.75" customHeight="1" x14ac:dyDescent="0.2">
      <c r="A207" t="s">
        <v>3599</v>
      </c>
      <c r="B207" t="s">
        <v>5000</v>
      </c>
      <c r="C207">
        <v>1416.46</v>
      </c>
      <c r="D207" s="23">
        <v>23.54</v>
      </c>
      <c r="BCT207" t="s">
        <v>5792</v>
      </c>
      <c r="BEP207" t="s">
        <v>5792</v>
      </c>
      <c r="BGL207" t="s">
        <v>5792</v>
      </c>
      <c r="BIH207" t="s">
        <v>4757</v>
      </c>
      <c r="EEB207" t="s">
        <v>4172</v>
      </c>
    </row>
    <row r="208" spans="1:1004 1041:2024 2072:3028 3130:3560" ht="12.75" customHeight="1" x14ac:dyDescent="0.2">
      <c r="A208" t="s">
        <v>3599</v>
      </c>
      <c r="B208" t="s">
        <v>5001</v>
      </c>
      <c r="C208">
        <v>1464.46</v>
      </c>
      <c r="D208" s="23">
        <v>23.54</v>
      </c>
      <c r="BEP208" t="s">
        <v>5793</v>
      </c>
      <c r="BGL208" t="s">
        <v>5793</v>
      </c>
      <c r="BIH208" t="s">
        <v>5793</v>
      </c>
      <c r="BKD208" t="s">
        <v>4758</v>
      </c>
    </row>
    <row r="209" spans="1:4 1354:2026 2068:2218" ht="12.75" customHeight="1" x14ac:dyDescent="0.2">
      <c r="A209" t="s">
        <v>3599</v>
      </c>
      <c r="B209" t="s">
        <v>5002</v>
      </c>
      <c r="C209">
        <v>1505.8</v>
      </c>
      <c r="D209" s="23">
        <v>23.54</v>
      </c>
      <c r="BGE209" t="s">
        <v>5794</v>
      </c>
      <c r="BIA209" t="s">
        <v>5794</v>
      </c>
      <c r="BJW209" t="s">
        <v>5794</v>
      </c>
      <c r="BLS209" t="s">
        <v>3384</v>
      </c>
    </row>
    <row r="210" spans="1:4 1354:2026 2068:2218" ht="12.75" customHeight="1" x14ac:dyDescent="0.2">
      <c r="A210" t="s">
        <v>3599</v>
      </c>
      <c r="B210" t="s">
        <v>5003</v>
      </c>
      <c r="C210">
        <v>1512.46</v>
      </c>
      <c r="D210" s="23">
        <v>23.54</v>
      </c>
      <c r="BGL210" t="s">
        <v>5795</v>
      </c>
      <c r="BIH210" t="s">
        <v>5795</v>
      </c>
      <c r="BKD210" t="s">
        <v>5795</v>
      </c>
      <c r="BLZ210" t="s">
        <v>4759</v>
      </c>
    </row>
    <row r="211" spans="1:4 1354:2026 2068:2218" ht="12.75" customHeight="1" x14ac:dyDescent="0.2">
      <c r="A211" t="s">
        <v>3599</v>
      </c>
      <c r="B211" t="s">
        <v>5004</v>
      </c>
      <c r="C211">
        <v>1560.46</v>
      </c>
      <c r="D211" s="23">
        <v>23.54</v>
      </c>
      <c r="AZB211" t="s">
        <v>4998</v>
      </c>
      <c r="BIH211" t="s">
        <v>5796</v>
      </c>
      <c r="BKD211" t="s">
        <v>5796</v>
      </c>
      <c r="BLZ211" t="s">
        <v>5796</v>
      </c>
      <c r="BNV211" t="s">
        <v>4760</v>
      </c>
    </row>
    <row r="212" spans="1:4 1354:2026 2068:2218" ht="12.75" customHeight="1" x14ac:dyDescent="0.2">
      <c r="A212" t="s">
        <v>3599</v>
      </c>
      <c r="B212" t="s">
        <v>5005</v>
      </c>
      <c r="C212">
        <v>1608.46</v>
      </c>
      <c r="D212" s="23">
        <v>23.54</v>
      </c>
      <c r="AZB212" t="s">
        <v>6794</v>
      </c>
      <c r="BKD212" t="s">
        <v>5797</v>
      </c>
      <c r="BLZ212" t="s">
        <v>5797</v>
      </c>
      <c r="BNV212" t="s">
        <v>5797</v>
      </c>
      <c r="BPR212" t="s">
        <v>4761</v>
      </c>
    </row>
    <row r="213" spans="1:4 1354:2026 2068:2218" ht="12.75" customHeight="1" x14ac:dyDescent="0.2">
      <c r="A213" t="s">
        <v>3599</v>
      </c>
      <c r="B213" t="s">
        <v>5006</v>
      </c>
      <c r="C213">
        <v>1656.46</v>
      </c>
      <c r="D213" s="23">
        <v>23.54</v>
      </c>
      <c r="BAX213" t="s">
        <v>4999</v>
      </c>
      <c r="BLZ213" t="s">
        <v>5798</v>
      </c>
      <c r="BNV213" t="s">
        <v>5798</v>
      </c>
      <c r="BPR213" t="s">
        <v>5798</v>
      </c>
      <c r="BRN213" t="s">
        <v>4762</v>
      </c>
    </row>
    <row r="214" spans="1:4 1354:2026 2068:2218" ht="12.75" customHeight="1" x14ac:dyDescent="0.2">
      <c r="A214" t="s">
        <v>3599</v>
      </c>
      <c r="B214" t="s">
        <v>5007</v>
      </c>
      <c r="C214">
        <v>1656.46</v>
      </c>
      <c r="D214" s="23">
        <v>23.54</v>
      </c>
      <c r="BCT214" t="s">
        <v>5000</v>
      </c>
      <c r="BLZ214" t="s">
        <v>5799</v>
      </c>
      <c r="BNV214" t="s">
        <v>5799</v>
      </c>
      <c r="BPR214" t="s">
        <v>5799</v>
      </c>
      <c r="BRN214" t="s">
        <v>4763</v>
      </c>
    </row>
    <row r="215" spans="1:4 1354:2026 2068:2218" ht="12.75" customHeight="1" x14ac:dyDescent="0.2">
      <c r="A215" t="s">
        <v>3599</v>
      </c>
      <c r="B215" t="s">
        <v>5008</v>
      </c>
      <c r="C215">
        <v>1682.07</v>
      </c>
      <c r="D215" s="23">
        <v>21.39</v>
      </c>
      <c r="BEP215" t="s">
        <v>5001</v>
      </c>
      <c r="BMW215" t="s">
        <v>5800</v>
      </c>
      <c r="BOS215" t="s">
        <v>5800</v>
      </c>
      <c r="BQO215" t="s">
        <v>5800</v>
      </c>
      <c r="BSK215" t="s">
        <v>4167</v>
      </c>
    </row>
    <row r="216" spans="1:4 1354:2026 2068:2218" ht="12.75" customHeight="1" x14ac:dyDescent="0.2">
      <c r="A216" t="s">
        <v>3599</v>
      </c>
      <c r="B216" t="s">
        <v>5009</v>
      </c>
      <c r="C216">
        <v>1704.46</v>
      </c>
      <c r="D216" s="23">
        <v>23.54</v>
      </c>
      <c r="BGE216" t="s">
        <v>5002</v>
      </c>
      <c r="BNV216" t="s">
        <v>5801</v>
      </c>
      <c r="BPR216" t="s">
        <v>5801</v>
      </c>
      <c r="BRN216" t="s">
        <v>5801</v>
      </c>
      <c r="BTJ216" t="s">
        <v>4764</v>
      </c>
    </row>
    <row r="217" spans="1:4 1354:2026 2068:2218" ht="12.75" customHeight="1" x14ac:dyDescent="0.2">
      <c r="A217" t="s">
        <v>3599</v>
      </c>
      <c r="B217" t="s">
        <v>5010</v>
      </c>
      <c r="C217">
        <v>1752.46</v>
      </c>
      <c r="D217" s="23">
        <v>23.54</v>
      </c>
      <c r="BGL217" t="s">
        <v>5003</v>
      </c>
      <c r="BPR217" t="s">
        <v>5802</v>
      </c>
      <c r="BRN217" t="s">
        <v>5802</v>
      </c>
      <c r="BTJ217" t="s">
        <v>5802</v>
      </c>
      <c r="BVF217" t="s">
        <v>4765</v>
      </c>
    </row>
    <row r="218" spans="1:4 1354:2026 2068:2218" ht="12.75" customHeight="1" x14ac:dyDescent="0.2">
      <c r="A218" t="s">
        <v>3599</v>
      </c>
      <c r="B218" t="s">
        <v>5011</v>
      </c>
      <c r="C218">
        <v>1800.46</v>
      </c>
      <c r="D218" s="23">
        <v>23.54</v>
      </c>
      <c r="BIH218" t="s">
        <v>5004</v>
      </c>
      <c r="BRN218" t="s">
        <v>5803</v>
      </c>
      <c r="BTJ218" t="s">
        <v>5803</v>
      </c>
      <c r="BVF218" t="s">
        <v>5803</v>
      </c>
      <c r="BXB218" t="s">
        <v>4766</v>
      </c>
    </row>
    <row r="219" spans="1:4 1354:2026 2068:2218" ht="12.75" customHeight="1" x14ac:dyDescent="0.2">
      <c r="A219" t="s">
        <v>3599</v>
      </c>
      <c r="B219" t="s">
        <v>5012</v>
      </c>
      <c r="C219">
        <v>1848.46</v>
      </c>
      <c r="D219" s="23">
        <v>23.54</v>
      </c>
      <c r="BKD219" t="s">
        <v>5005</v>
      </c>
      <c r="BTJ219" t="s">
        <v>5804</v>
      </c>
      <c r="BVF219" t="s">
        <v>5804</v>
      </c>
      <c r="BXB219" t="s">
        <v>5804</v>
      </c>
      <c r="BYX219" t="s">
        <v>4767</v>
      </c>
    </row>
    <row r="220" spans="1:4 1354:2026 2068:2218" ht="12.75" customHeight="1" x14ac:dyDescent="0.2">
      <c r="A220" t="s">
        <v>3599</v>
      </c>
      <c r="B220" t="s">
        <v>5013</v>
      </c>
      <c r="C220">
        <v>1896.23</v>
      </c>
      <c r="D220" s="23">
        <v>23.77</v>
      </c>
      <c r="BLZ220" t="s">
        <v>5006</v>
      </c>
      <c r="BVF220" t="s">
        <v>5805</v>
      </c>
      <c r="BXB220" t="s">
        <v>5805</v>
      </c>
      <c r="BYX220" t="s">
        <v>5805</v>
      </c>
      <c r="CAT220" t="s">
        <v>4768</v>
      </c>
    </row>
    <row r="221" spans="1:4 1354:2026 2068:2218" ht="12.75" customHeight="1" x14ac:dyDescent="0.2">
      <c r="A221" t="s">
        <v>3599</v>
      </c>
      <c r="B221" t="s">
        <v>7193</v>
      </c>
      <c r="C221">
        <v>1937.74</v>
      </c>
      <c r="D221" s="23">
        <v>23.77</v>
      </c>
      <c r="BLZ221" t="s">
        <v>5007</v>
      </c>
      <c r="BWV221" t="s">
        <v>5806</v>
      </c>
      <c r="BYR221" t="s">
        <v>5806</v>
      </c>
      <c r="CAN221" t="s">
        <v>5806</v>
      </c>
      <c r="CCJ221" t="s">
        <v>4769</v>
      </c>
    </row>
    <row r="222" spans="1:4 1354:2026 2068:2218" ht="12.75" customHeight="1" x14ac:dyDescent="0.2">
      <c r="A222" t="s">
        <v>3599</v>
      </c>
      <c r="B222" t="s">
        <v>5014</v>
      </c>
      <c r="C222">
        <v>1944.23</v>
      </c>
      <c r="D222" s="23">
        <v>23.77</v>
      </c>
      <c r="BMW222" t="s">
        <v>5008</v>
      </c>
      <c r="BXB222" t="s">
        <v>5807</v>
      </c>
      <c r="BYX222" t="s">
        <v>5807</v>
      </c>
      <c r="CAT222" t="s">
        <v>5807</v>
      </c>
      <c r="CCP222" t="s">
        <v>4770</v>
      </c>
    </row>
    <row r="223" spans="1:4 1354:2026 2068:2218" ht="12.75" customHeight="1" x14ac:dyDescent="0.2">
      <c r="A223" t="s">
        <v>3599</v>
      </c>
      <c r="B223" t="s">
        <v>5015</v>
      </c>
      <c r="C223">
        <v>1992.23</v>
      </c>
      <c r="D223" s="23">
        <v>23.77</v>
      </c>
      <c r="BNV223" t="s">
        <v>5009</v>
      </c>
      <c r="BYX223" t="s">
        <v>5808</v>
      </c>
      <c r="CAT223" t="s">
        <v>5808</v>
      </c>
      <c r="CCP223" t="s">
        <v>5808</v>
      </c>
      <c r="CEL223" t="s">
        <v>4169</v>
      </c>
    </row>
    <row r="224" spans="1:4 1354:2026 2068:2218" ht="12.75" customHeight="1" x14ac:dyDescent="0.2">
      <c r="A224" t="s">
        <v>3599</v>
      </c>
      <c r="B224" t="s">
        <v>5016</v>
      </c>
      <c r="C224">
        <v>2040.23</v>
      </c>
      <c r="D224" s="23">
        <v>23.77</v>
      </c>
      <c r="BPR224" t="s">
        <v>5010</v>
      </c>
      <c r="CAT224" t="s">
        <v>5809</v>
      </c>
      <c r="CCP224" t="s">
        <v>5809</v>
      </c>
      <c r="CEL224" t="s">
        <v>5809</v>
      </c>
      <c r="CGH224" t="s">
        <v>4771</v>
      </c>
    </row>
    <row r="225" spans="1:24 1834:2026 2074:3044 3092:3706" ht="12.75" customHeight="1" x14ac:dyDescent="0.2">
      <c r="A225" t="s">
        <v>3599</v>
      </c>
      <c r="B225" t="s">
        <v>5017</v>
      </c>
      <c r="C225">
        <v>2136.23</v>
      </c>
      <c r="D225" s="23">
        <v>23.77</v>
      </c>
      <c r="BRN225" t="s">
        <v>5011</v>
      </c>
      <c r="CEL225" t="s">
        <v>5810</v>
      </c>
      <c r="CGH225" t="s">
        <v>5810</v>
      </c>
      <c r="CID225" t="s">
        <v>5810</v>
      </c>
      <c r="CJZ225" t="s">
        <v>4772</v>
      </c>
    </row>
    <row r="226" spans="1:24 1834:2026 2074:3044 3092:3706" ht="12.75" customHeight="1" x14ac:dyDescent="0.2">
      <c r="A226" t="s">
        <v>3599</v>
      </c>
      <c r="B226" t="s">
        <v>5018</v>
      </c>
      <c r="C226">
        <v>2184.23</v>
      </c>
      <c r="D226" s="23">
        <v>23.77</v>
      </c>
      <c r="BTJ226" t="s">
        <v>5012</v>
      </c>
      <c r="CGH226" t="s">
        <v>5811</v>
      </c>
      <c r="CID226" t="s">
        <v>5811</v>
      </c>
      <c r="CJZ226" t="s">
        <v>5811</v>
      </c>
      <c r="CLV226" t="s">
        <v>4773</v>
      </c>
    </row>
    <row r="227" spans="1:24 1834:2026 2074:3044 3092:3706" ht="12.75" customHeight="1" x14ac:dyDescent="0.2">
      <c r="A227" t="s">
        <v>3599</v>
      </c>
      <c r="B227" t="s">
        <v>5019</v>
      </c>
      <c r="C227">
        <v>2232.23</v>
      </c>
      <c r="D227" s="23">
        <v>23.77</v>
      </c>
      <c r="BVF227" t="s">
        <v>5013</v>
      </c>
      <c r="CID227" t="s">
        <v>5812</v>
      </c>
      <c r="CJZ227" t="s">
        <v>5812</v>
      </c>
      <c r="CLV227" t="s">
        <v>5812</v>
      </c>
      <c r="CNR227" t="s">
        <v>4774</v>
      </c>
    </row>
    <row r="228" spans="1:24 1834:2026 2074:3044 3092:3706" ht="12.75" customHeight="1" x14ac:dyDescent="0.2">
      <c r="A228" t="s">
        <v>3599</v>
      </c>
      <c r="B228" t="s">
        <v>5020</v>
      </c>
      <c r="C228">
        <v>2345</v>
      </c>
      <c r="D228" s="23">
        <v>23.77</v>
      </c>
      <c r="BWV228" t="s">
        <v>6795</v>
      </c>
      <c r="CMM228" t="s">
        <v>5813</v>
      </c>
      <c r="COI228" t="s">
        <v>5813</v>
      </c>
      <c r="CQE228" t="s">
        <v>5813</v>
      </c>
      <c r="CSA228" t="s">
        <v>4170</v>
      </c>
    </row>
    <row r="229" spans="1:24 1834:2026 2074:3044 3092:3706" ht="12.75" customHeight="1" x14ac:dyDescent="0.2">
      <c r="A229" t="s">
        <v>3599</v>
      </c>
      <c r="B229" t="s">
        <v>5021</v>
      </c>
      <c r="C229">
        <v>2369.7600000000002</v>
      </c>
      <c r="D229" s="23">
        <v>23.77</v>
      </c>
      <c r="BXB229" t="s">
        <v>5014</v>
      </c>
      <c r="CNL229" t="s">
        <v>5814</v>
      </c>
      <c r="CPH229" t="s">
        <v>5814</v>
      </c>
      <c r="CRD229" t="s">
        <v>5814</v>
      </c>
      <c r="CSZ229" t="s">
        <v>3397</v>
      </c>
    </row>
    <row r="230" spans="1:24 1834:2026 2074:3044 3092:3706" ht="12.75" customHeight="1" x14ac:dyDescent="0.2">
      <c r="A230" t="s">
        <v>3599</v>
      </c>
      <c r="B230" t="s">
        <v>5022</v>
      </c>
      <c r="C230">
        <v>2660</v>
      </c>
      <c r="D230" s="23">
        <v>23.54</v>
      </c>
      <c r="BYX230" t="s">
        <v>5015</v>
      </c>
      <c r="CYP230" t="s">
        <v>5815</v>
      </c>
      <c r="DAL230" t="s">
        <v>5815</v>
      </c>
      <c r="DCH230" t="s">
        <v>5815</v>
      </c>
      <c r="DED230" t="s">
        <v>3398</v>
      </c>
    </row>
    <row r="231" spans="1:24 1834:2026 2074:3044 3092:3706" ht="12.75" customHeight="1" x14ac:dyDescent="0.2">
      <c r="A231" t="s">
        <v>3599</v>
      </c>
      <c r="B231" t="s">
        <v>5023</v>
      </c>
      <c r="C231">
        <v>2810.61</v>
      </c>
      <c r="D231" s="23">
        <v>23.77</v>
      </c>
      <c r="CAT231" t="s">
        <v>5016</v>
      </c>
      <c r="DEJ231" t="s">
        <v>5816</v>
      </c>
      <c r="DGF231" t="s">
        <v>5816</v>
      </c>
      <c r="DIB231" t="s">
        <v>5816</v>
      </c>
      <c r="DJX231" t="s">
        <v>4171</v>
      </c>
    </row>
    <row r="232" spans="1:24 1834:2026 2074:3044 3092:3706" ht="12.75" customHeight="1" x14ac:dyDescent="0.2">
      <c r="A232" t="s">
        <v>3599</v>
      </c>
      <c r="B232" t="s">
        <v>5024</v>
      </c>
      <c r="C232">
        <v>2962</v>
      </c>
      <c r="D232" s="23">
        <v>23.54</v>
      </c>
      <c r="CEL232" t="s">
        <v>5017</v>
      </c>
      <c r="DKF232" t="s">
        <v>5817</v>
      </c>
      <c r="DMB232" t="s">
        <v>5817</v>
      </c>
      <c r="DNX232" t="s">
        <v>5817</v>
      </c>
      <c r="DPT232" t="s">
        <v>3399</v>
      </c>
    </row>
    <row r="233" spans="1:24 1834:2026 2074:3044 3092:3706" ht="12.75" customHeight="1" x14ac:dyDescent="0.2">
      <c r="A233" t="s">
        <v>3599</v>
      </c>
      <c r="B233" t="s">
        <v>5025</v>
      </c>
      <c r="C233">
        <v>3192.46</v>
      </c>
      <c r="D233" s="23">
        <v>23.54</v>
      </c>
      <c r="CGH233" t="s">
        <v>5018</v>
      </c>
      <c r="DTB233" t="s">
        <v>5818</v>
      </c>
      <c r="DUX233" t="s">
        <v>5818</v>
      </c>
      <c r="DWT233" t="s">
        <v>5818</v>
      </c>
      <c r="DYP233" t="s">
        <v>4172</v>
      </c>
    </row>
    <row r="234" spans="1:24 1834:2026 2074:3044 3092:3706" ht="12.75" customHeight="1" x14ac:dyDescent="0.2">
      <c r="A234" t="s">
        <v>3599</v>
      </c>
      <c r="B234" t="s">
        <v>5026</v>
      </c>
      <c r="C234">
        <v>3528.23</v>
      </c>
      <c r="D234" s="23">
        <v>23.77</v>
      </c>
      <c r="CID234" t="s">
        <v>5019</v>
      </c>
      <c r="EFZ234" t="s">
        <v>5819</v>
      </c>
      <c r="EHV234" t="s">
        <v>5819</v>
      </c>
      <c r="EJR234" t="s">
        <v>5819</v>
      </c>
      <c r="ELN234" t="s">
        <v>4775</v>
      </c>
    </row>
    <row r="235" spans="1:24 1834:2026 2074:3044 3092:3706" ht="12.75" customHeight="1" x14ac:dyDescent="0.2">
      <c r="A235" t="s">
        <v>3600</v>
      </c>
      <c r="B235" t="s">
        <v>5027</v>
      </c>
      <c r="C235">
        <v>-93.55</v>
      </c>
      <c r="D235" s="23">
        <v>28.9</v>
      </c>
      <c r="J235" t="s">
        <v>5027</v>
      </c>
      <c r="CMM235" t="s">
        <v>5020</v>
      </c>
    </row>
    <row r="236" spans="1:24 1834:2026 2074:3044 3092:3706" ht="12.75" customHeight="1" x14ac:dyDescent="0.2">
      <c r="A236" t="s">
        <v>3600</v>
      </c>
      <c r="B236" t="s">
        <v>5028</v>
      </c>
      <c r="C236">
        <v>-65.540000000000006</v>
      </c>
      <c r="D236" s="23">
        <v>28.9</v>
      </c>
      <c r="J236" t="s">
        <v>5028</v>
      </c>
      <c r="CNL236" t="s">
        <v>5021</v>
      </c>
    </row>
    <row r="237" spans="1:24 1834:2026 2074:3044 3092:3706" ht="12.75" customHeight="1" x14ac:dyDescent="0.2">
      <c r="A237" t="s">
        <v>3600</v>
      </c>
      <c r="B237" t="s">
        <v>5029</v>
      </c>
      <c r="C237">
        <v>-33.520000000000003</v>
      </c>
      <c r="D237" s="23">
        <v>11.56</v>
      </c>
      <c r="J237" t="s">
        <v>5029</v>
      </c>
      <c r="CYP237" t="s">
        <v>5022</v>
      </c>
    </row>
    <row r="238" spans="1:24 1834:2026 2074:3044 3092:3706" ht="12.75" customHeight="1" x14ac:dyDescent="0.2">
      <c r="A238" t="s">
        <v>3600</v>
      </c>
      <c r="B238" t="s">
        <v>5030</v>
      </c>
      <c r="C238">
        <v>-17.97</v>
      </c>
      <c r="D238" s="23">
        <v>6.17</v>
      </c>
      <c r="J238" t="s">
        <v>5030</v>
      </c>
      <c r="DEJ238" t="s">
        <v>5023</v>
      </c>
    </row>
    <row r="239" spans="1:24 1834:2026 2074:3044 3092:3706" ht="12.75" customHeight="1" x14ac:dyDescent="0.2">
      <c r="A239" t="s">
        <v>3600</v>
      </c>
      <c r="B239" t="s">
        <v>5031</v>
      </c>
      <c r="C239">
        <v>-7.95</v>
      </c>
      <c r="D239" s="23">
        <v>3.47</v>
      </c>
      <c r="J239" t="s">
        <v>5031</v>
      </c>
      <c r="DKF239" t="s">
        <v>5024</v>
      </c>
    </row>
    <row r="240" spans="1:24 1834:2026 2074:3044 3092:3706" ht="12.75" customHeight="1" x14ac:dyDescent="0.2">
      <c r="A240" t="s">
        <v>3600</v>
      </c>
      <c r="B240" t="s">
        <v>5032</v>
      </c>
      <c r="C240">
        <v>2.04</v>
      </c>
      <c r="D240" s="23">
        <v>11.56</v>
      </c>
      <c r="X240" t="s">
        <v>5032</v>
      </c>
      <c r="DTB240" t="s">
        <v>5025</v>
      </c>
    </row>
    <row r="241" spans="1:620 1352:1947 3562:3562" ht="12.75" customHeight="1" x14ac:dyDescent="0.2">
      <c r="A241" t="s">
        <v>3600</v>
      </c>
      <c r="B241" t="s">
        <v>5033</v>
      </c>
      <c r="C241">
        <v>36.43</v>
      </c>
      <c r="D241" s="23">
        <v>3.27</v>
      </c>
      <c r="AX241" t="s">
        <v>5033</v>
      </c>
      <c r="EFZ241" t="s">
        <v>5026</v>
      </c>
    </row>
    <row r="242" spans="1:620 1352:1947 3562:3562" ht="12.75" customHeight="1" x14ac:dyDescent="0.2">
      <c r="A242" t="s">
        <v>3600</v>
      </c>
      <c r="B242" t="s">
        <v>5034</v>
      </c>
      <c r="C242">
        <v>44</v>
      </c>
      <c r="D242" s="23">
        <v>1.87</v>
      </c>
      <c r="BD242" t="s">
        <v>5034</v>
      </c>
    </row>
    <row r="243" spans="1:620 1352:1947 3562:3562" ht="12.75" customHeight="1" x14ac:dyDescent="0.2">
      <c r="A243" t="s">
        <v>3600</v>
      </c>
      <c r="B243" t="s">
        <v>5035</v>
      </c>
      <c r="C243">
        <v>49</v>
      </c>
      <c r="D243" s="23">
        <v>5.8</v>
      </c>
      <c r="BM243" t="s">
        <v>5035</v>
      </c>
    </row>
    <row r="244" spans="1:620 1352:1947 3562:3562" ht="12.75" customHeight="1" x14ac:dyDescent="0.2">
      <c r="A244" t="s">
        <v>3600</v>
      </c>
      <c r="B244" t="s">
        <v>5036</v>
      </c>
      <c r="C244">
        <v>55</v>
      </c>
      <c r="D244" s="23">
        <v>3.03</v>
      </c>
      <c r="BP244" s="18" t="s">
        <v>5036</v>
      </c>
    </row>
    <row r="245" spans="1:620 1352:1947 3562:3562" ht="12.75" customHeight="1" x14ac:dyDescent="0.2">
      <c r="A245" t="s">
        <v>3600</v>
      </c>
      <c r="B245" t="s">
        <v>5037</v>
      </c>
      <c r="C245">
        <v>64.55</v>
      </c>
      <c r="D245" s="23">
        <v>34.799999999999997</v>
      </c>
      <c r="DE245" t="s">
        <v>5037</v>
      </c>
    </row>
    <row r="246" spans="1:620 1352:1947 3562:3562" ht="12.75" customHeight="1" x14ac:dyDescent="0.2">
      <c r="A246" t="s">
        <v>3600</v>
      </c>
      <c r="B246" t="s">
        <v>5038</v>
      </c>
      <c r="C246">
        <v>110</v>
      </c>
      <c r="D246" s="23">
        <v>6.02</v>
      </c>
      <c r="DV246" t="s">
        <v>5038</v>
      </c>
    </row>
    <row r="247" spans="1:620 1352:1947 3562:3562" ht="12.75" customHeight="1" x14ac:dyDescent="0.2">
      <c r="A247" t="s">
        <v>3600</v>
      </c>
      <c r="B247" t="s">
        <v>5039</v>
      </c>
      <c r="C247">
        <v>122</v>
      </c>
      <c r="D247" s="23">
        <v>3.06</v>
      </c>
      <c r="EE247" t="s">
        <v>5039</v>
      </c>
    </row>
    <row r="248" spans="1:620 1352:1947 3562:3562" ht="12.75" customHeight="1" x14ac:dyDescent="0.2">
      <c r="A248" t="s">
        <v>3600</v>
      </c>
      <c r="B248" t="s">
        <v>5040</v>
      </c>
      <c r="C248">
        <v>132</v>
      </c>
      <c r="D248" s="23">
        <v>6.02</v>
      </c>
      <c r="ER248" s="19" t="s">
        <v>5040</v>
      </c>
    </row>
    <row r="249" spans="1:620 1352:1947 3562:3562" ht="12.75" customHeight="1" x14ac:dyDescent="0.2">
      <c r="A249" t="s">
        <v>3600</v>
      </c>
      <c r="B249" t="s">
        <v>5041</v>
      </c>
      <c r="C249">
        <v>148</v>
      </c>
      <c r="D249" s="23">
        <v>12.05</v>
      </c>
      <c r="FN249" t="s">
        <v>5041</v>
      </c>
      <c r="AYZ249" t="s">
        <v>3791</v>
      </c>
    </row>
    <row r="250" spans="1:620 1352:1947 3562:3562" ht="12.75" customHeight="1" x14ac:dyDescent="0.2">
      <c r="A250" t="s">
        <v>3600</v>
      </c>
      <c r="B250" t="s">
        <v>5042</v>
      </c>
      <c r="C250">
        <v>166</v>
      </c>
      <c r="D250" s="23">
        <v>1.73</v>
      </c>
      <c r="FV250" t="s">
        <v>5042</v>
      </c>
      <c r="BAV250" t="s">
        <v>3792</v>
      </c>
    </row>
    <row r="251" spans="1:620 1352:1947 3562:3562" ht="12.75" customHeight="1" x14ac:dyDescent="0.2">
      <c r="A251" t="s">
        <v>3600</v>
      </c>
      <c r="B251" t="s">
        <v>5043</v>
      </c>
      <c r="C251">
        <v>176</v>
      </c>
      <c r="D251" s="23">
        <v>1.81</v>
      </c>
      <c r="GF251" t="s">
        <v>5043</v>
      </c>
      <c r="BJO251" t="s">
        <v>3793</v>
      </c>
    </row>
    <row r="252" spans="1:620 1352:1947 3562:3562" ht="12.75" customHeight="1" x14ac:dyDescent="0.2">
      <c r="A252" t="s">
        <v>3600</v>
      </c>
      <c r="B252" t="s">
        <v>5044</v>
      </c>
      <c r="C252">
        <v>302</v>
      </c>
      <c r="D252" s="23">
        <v>11.56</v>
      </c>
      <c r="LL252" s="18" t="s">
        <v>5044</v>
      </c>
      <c r="BKB252" t="s">
        <v>3794</v>
      </c>
    </row>
    <row r="253" spans="1:620 1352:1947 3562:3562" ht="12.75" customHeight="1" x14ac:dyDescent="0.2">
      <c r="A253" t="s">
        <v>3600</v>
      </c>
      <c r="B253" t="s">
        <v>5045</v>
      </c>
      <c r="C253">
        <v>474.22</v>
      </c>
      <c r="D253" s="23">
        <v>5.78</v>
      </c>
      <c r="RV253" t="s">
        <v>5045</v>
      </c>
      <c r="BKT253" t="s">
        <v>3795</v>
      </c>
    </row>
    <row r="254" spans="1:620 1352:1947 3562:3562" ht="12.75" customHeight="1" x14ac:dyDescent="0.2">
      <c r="A254" t="s">
        <v>3600</v>
      </c>
      <c r="B254" t="s">
        <v>5046</v>
      </c>
      <c r="C254">
        <v>530.46</v>
      </c>
      <c r="D254" s="23">
        <v>60.92</v>
      </c>
      <c r="WC254" t="s">
        <v>5046</v>
      </c>
      <c r="AYZ254" t="s">
        <v>3401</v>
      </c>
      <c r="BLX254" t="s">
        <v>3796</v>
      </c>
    </row>
    <row r="255" spans="1:620 1352:1947 3562:3562" ht="12.75" customHeight="1" x14ac:dyDescent="0.2">
      <c r="A255" t="s">
        <v>3600</v>
      </c>
      <c r="B255" t="s">
        <v>7194</v>
      </c>
      <c r="C255">
        <v>594.38</v>
      </c>
      <c r="D255" s="23">
        <v>3.01</v>
      </c>
      <c r="WI255" t="s">
        <v>7194</v>
      </c>
      <c r="BHS255" t="s">
        <v>3402</v>
      </c>
      <c r="BNU255" t="s">
        <v>3797</v>
      </c>
    </row>
    <row r="256" spans="1:620 1352:1947 3562:3562" ht="12.75" customHeight="1" x14ac:dyDescent="0.2">
      <c r="A256" t="s">
        <v>3600</v>
      </c>
      <c r="B256" t="s">
        <v>5047</v>
      </c>
      <c r="C256">
        <v>598.39</v>
      </c>
      <c r="D256" s="23">
        <v>12.05</v>
      </c>
      <c r="WV256" t="s">
        <v>5047</v>
      </c>
      <c r="BIF256" t="s">
        <v>3403</v>
      </c>
      <c r="BVW256" t="s">
        <v>3798</v>
      </c>
    </row>
    <row r="257" spans="1:820 1610:2024 2072:2869 3296:4088 4136:4136" ht="12.75" customHeight="1" x14ac:dyDescent="0.2">
      <c r="A257" t="s">
        <v>3600</v>
      </c>
      <c r="B257" t="s">
        <v>5048</v>
      </c>
      <c r="C257">
        <v>611.44000000000005</v>
      </c>
      <c r="D257" s="23">
        <v>5.78</v>
      </c>
      <c r="XC257" t="s">
        <v>5048</v>
      </c>
      <c r="BIX257" t="s">
        <v>3404</v>
      </c>
      <c r="BXG257" t="s">
        <v>3799</v>
      </c>
    </row>
    <row r="258" spans="1:820 1610:2024 2072:2869 3296:4088 4136:4136" ht="12.75" customHeight="1" x14ac:dyDescent="0.2">
      <c r="A258" t="s">
        <v>3600</v>
      </c>
      <c r="B258" t="s">
        <v>5049</v>
      </c>
      <c r="C258">
        <v>618.22</v>
      </c>
      <c r="D258" s="23">
        <v>5.78</v>
      </c>
      <c r="XJ258" t="s">
        <v>5049</v>
      </c>
      <c r="BKB258" t="s">
        <v>3405</v>
      </c>
      <c r="BWZ258" t="s">
        <v>3800</v>
      </c>
    </row>
    <row r="259" spans="1:820 1610:2024 2072:2869 3296:4088 4136:4136" ht="12.75" customHeight="1" x14ac:dyDescent="0.2">
      <c r="A259" t="s">
        <v>3600</v>
      </c>
      <c r="B259" t="s">
        <v>5050</v>
      </c>
      <c r="C259">
        <v>625.33000000000004</v>
      </c>
      <c r="D259" s="23">
        <v>12.05</v>
      </c>
      <c r="XW259" t="s">
        <v>5050</v>
      </c>
      <c r="BLY259" t="s">
        <v>3406</v>
      </c>
      <c r="BYV259" t="s">
        <v>3801</v>
      </c>
    </row>
    <row r="260" spans="1:820 1610:2024 2072:2869 3296:4088 4136:4136" ht="12.75" customHeight="1" x14ac:dyDescent="0.2">
      <c r="A260" t="s">
        <v>3600</v>
      </c>
      <c r="B260" t="s">
        <v>5051</v>
      </c>
      <c r="C260">
        <v>639.37</v>
      </c>
      <c r="D260" s="23">
        <v>3.01</v>
      </c>
      <c r="YB260" t="s">
        <v>5051</v>
      </c>
      <c r="BUA260" t="s">
        <v>3407</v>
      </c>
      <c r="CAR260" t="s">
        <v>3802</v>
      </c>
    </row>
    <row r="261" spans="1:820 1610:2024 2072:2869 3296:4088 4136:4136" ht="12.75" customHeight="1" x14ac:dyDescent="0.2">
      <c r="A261" t="s">
        <v>3600</v>
      </c>
      <c r="B261" t="s">
        <v>7195</v>
      </c>
      <c r="C261">
        <v>643.38</v>
      </c>
      <c r="D261" s="23">
        <v>3.01</v>
      </c>
      <c r="YF261" t="s">
        <v>7195</v>
      </c>
      <c r="BVK261" t="s">
        <v>3408</v>
      </c>
      <c r="CJX261" t="s">
        <v>3803</v>
      </c>
    </row>
    <row r="262" spans="1:820 1610:2024 2072:2869 3296:4088 4136:4136" ht="12.75" customHeight="1" x14ac:dyDescent="0.2">
      <c r="A262" t="s">
        <v>3600</v>
      </c>
      <c r="B262" t="s">
        <v>5052</v>
      </c>
      <c r="C262">
        <v>647.39</v>
      </c>
      <c r="D262" s="23">
        <v>12.04</v>
      </c>
      <c r="YS262" t="s">
        <v>5052</v>
      </c>
      <c r="BVD262" t="s">
        <v>3409</v>
      </c>
      <c r="DFI262" t="s">
        <v>3804</v>
      </c>
    </row>
    <row r="263" spans="1:820 1610:2024 2072:2869 3296:4088 4136:4136" ht="12.75" customHeight="1" x14ac:dyDescent="0.2">
      <c r="A263" t="s">
        <v>3600</v>
      </c>
      <c r="B263" t="s">
        <v>5053</v>
      </c>
      <c r="C263">
        <v>660.44</v>
      </c>
      <c r="D263" s="23">
        <v>11.56</v>
      </c>
      <c r="ZF263" t="s">
        <v>5053</v>
      </c>
      <c r="BWZ263" t="s">
        <v>3410</v>
      </c>
      <c r="DXP263" t="s">
        <v>3805</v>
      </c>
    </row>
    <row r="264" spans="1:820 1610:2024 2072:2869 3296:4088 4136:4136" ht="12.75" customHeight="1" x14ac:dyDescent="0.2">
      <c r="A264" t="s">
        <v>3600</v>
      </c>
      <c r="B264" t="s">
        <v>5054</v>
      </c>
      <c r="C264">
        <v>666.22</v>
      </c>
      <c r="D264" s="23">
        <v>5.78</v>
      </c>
      <c r="ZF264" t="s">
        <v>5054</v>
      </c>
      <c r="BYV264" t="s">
        <v>3411</v>
      </c>
      <c r="DYN264" t="s">
        <v>3806</v>
      </c>
    </row>
    <row r="265" spans="1:820 1610:2024 2072:2869 3296:4088 4136:4136" ht="12.75" customHeight="1" x14ac:dyDescent="0.2">
      <c r="A265" t="s">
        <v>3600</v>
      </c>
      <c r="B265" t="s">
        <v>5055</v>
      </c>
      <c r="C265">
        <v>666.22</v>
      </c>
      <c r="D265" s="23">
        <v>5.78</v>
      </c>
      <c r="ZF265" t="s">
        <v>5055</v>
      </c>
      <c r="CIB265" t="s">
        <v>4173</v>
      </c>
      <c r="EEB265" t="s">
        <v>3807</v>
      </c>
    </row>
    <row r="266" spans="1:820 1610:2024 2072:2869 3296:4088 4136:4136" ht="12.75" customHeight="1" x14ac:dyDescent="0.2">
      <c r="A266" t="s">
        <v>3600</v>
      </c>
      <c r="B266" t="s">
        <v>5056</v>
      </c>
      <c r="C266">
        <v>678</v>
      </c>
      <c r="D266" s="23">
        <v>8.67</v>
      </c>
      <c r="ZU266" t="s">
        <v>5056</v>
      </c>
      <c r="DDM266" t="s">
        <v>3412</v>
      </c>
      <c r="EHT266" t="s">
        <v>3808</v>
      </c>
    </row>
    <row r="267" spans="1:820 1610:2024 2072:2869 3296:4088 4136:4136" ht="12.75" customHeight="1" x14ac:dyDescent="0.2">
      <c r="A267" t="s">
        <v>3600</v>
      </c>
      <c r="B267" t="s">
        <v>5057</v>
      </c>
      <c r="C267">
        <v>704.41</v>
      </c>
      <c r="D267" s="23">
        <v>5.81</v>
      </c>
      <c r="AAR267" t="s">
        <v>5057</v>
      </c>
      <c r="DVT267" t="s">
        <v>3413</v>
      </c>
      <c r="EWN267" t="s">
        <v>3809</v>
      </c>
    </row>
    <row r="268" spans="1:820 1610:2024 2072:2869 3296:4088 4136:4136" ht="12.75" customHeight="1" x14ac:dyDescent="0.2">
      <c r="A268" t="s">
        <v>3600</v>
      </c>
      <c r="B268" t="s">
        <v>5058</v>
      </c>
      <c r="C268">
        <v>714.22</v>
      </c>
      <c r="D268" s="23">
        <v>5.78</v>
      </c>
      <c r="ABB268" t="s">
        <v>5058</v>
      </c>
      <c r="DWR268" t="s">
        <v>3414</v>
      </c>
      <c r="FCB268" t="s">
        <v>3810</v>
      </c>
    </row>
    <row r="269" spans="1:820 1610:2024 2072:2869 3296:4088 4136:4136" ht="12.75" customHeight="1" x14ac:dyDescent="0.2">
      <c r="A269" t="s">
        <v>3600</v>
      </c>
      <c r="B269" t="s">
        <v>5059</v>
      </c>
      <c r="C269">
        <v>730.98</v>
      </c>
      <c r="D269" s="23">
        <v>7.53</v>
      </c>
      <c r="ABU269" t="s">
        <v>5059</v>
      </c>
      <c r="ECF269" t="s">
        <v>3415</v>
      </c>
    </row>
    <row r="270" spans="1:820 1610:2024 2072:2869 3296:4088 4136:4136" ht="12.75" customHeight="1" x14ac:dyDescent="0.2">
      <c r="A270" t="s">
        <v>3600</v>
      </c>
      <c r="B270" t="s">
        <v>5060</v>
      </c>
      <c r="C270">
        <v>739.5</v>
      </c>
      <c r="D270" s="23">
        <v>12.04</v>
      </c>
      <c r="ACH270" t="s">
        <v>5060</v>
      </c>
      <c r="EFX270" t="s">
        <v>3416</v>
      </c>
    </row>
    <row r="271" spans="1:820 1610:2024 2072:2869 3296:4088 4136:4136" ht="12.75" customHeight="1" x14ac:dyDescent="0.2">
      <c r="A271" t="s">
        <v>3600</v>
      </c>
      <c r="B271" t="s">
        <v>5061</v>
      </c>
      <c r="C271">
        <v>752</v>
      </c>
      <c r="D271" s="23">
        <v>58.02</v>
      </c>
      <c r="AEN271" s="19" t="s">
        <v>5061</v>
      </c>
      <c r="EUR271" t="s">
        <v>3417</v>
      </c>
    </row>
    <row r="272" spans="1:820 1610:2024 2072:2869 3296:4088 4136:4136" ht="12.75" customHeight="1" x14ac:dyDescent="0.2">
      <c r="A272" t="s">
        <v>3600</v>
      </c>
      <c r="B272" t="s">
        <v>5062</v>
      </c>
      <c r="C272">
        <v>762.22</v>
      </c>
      <c r="D272" s="23">
        <v>5.78</v>
      </c>
      <c r="ACX272" t="s">
        <v>5062</v>
      </c>
      <c r="FAF272" t="s">
        <v>3418</v>
      </c>
    </row>
    <row r="273" spans="1:1018 1066:1518" ht="12.75" customHeight="1" x14ac:dyDescent="0.2">
      <c r="A273" t="s">
        <v>3600</v>
      </c>
      <c r="B273" t="s">
        <v>5063</v>
      </c>
      <c r="C273">
        <v>790.73</v>
      </c>
      <c r="D273" s="23">
        <v>6.2</v>
      </c>
      <c r="AEA273" t="s">
        <v>5063</v>
      </c>
    </row>
    <row r="274" spans="1:1018 1066:1518" ht="12.75" customHeight="1" x14ac:dyDescent="0.2">
      <c r="A274" t="s">
        <v>3600</v>
      </c>
      <c r="B274" t="s">
        <v>5064</v>
      </c>
      <c r="C274">
        <v>797.93</v>
      </c>
      <c r="D274" s="23">
        <v>18.07</v>
      </c>
      <c r="AET274" t="s">
        <v>5064</v>
      </c>
    </row>
    <row r="275" spans="1:1018 1066:1518" ht="12.75" customHeight="1" x14ac:dyDescent="0.2">
      <c r="A275" t="s">
        <v>3600</v>
      </c>
      <c r="B275" t="s">
        <v>5065</v>
      </c>
      <c r="C275">
        <v>817.94</v>
      </c>
      <c r="D275" s="23">
        <v>3.06</v>
      </c>
      <c r="AEY275" t="s">
        <v>5065</v>
      </c>
    </row>
    <row r="276" spans="1:1018 1066:1518" ht="12.75" customHeight="1" x14ac:dyDescent="0.2">
      <c r="A276" t="s">
        <v>3600</v>
      </c>
      <c r="B276" t="s">
        <v>5066</v>
      </c>
      <c r="C276">
        <v>824</v>
      </c>
      <c r="D276" s="23">
        <v>11.56</v>
      </c>
      <c r="AFN276" t="s">
        <v>5066</v>
      </c>
    </row>
    <row r="277" spans="1:1018 1066:1518" ht="12.75" customHeight="1" x14ac:dyDescent="0.2">
      <c r="A277" t="s">
        <v>3600</v>
      </c>
      <c r="B277" t="s">
        <v>5067</v>
      </c>
      <c r="C277">
        <v>841.64</v>
      </c>
      <c r="D277" s="23">
        <v>57.8</v>
      </c>
      <c r="AHY277" t="s">
        <v>5067</v>
      </c>
    </row>
    <row r="278" spans="1:1018 1066:1518" ht="12.75" customHeight="1" x14ac:dyDescent="0.2">
      <c r="A278" t="s">
        <v>3600</v>
      </c>
      <c r="B278" t="s">
        <v>5068</v>
      </c>
      <c r="C278">
        <v>900.44</v>
      </c>
      <c r="D278" s="23">
        <v>11.56</v>
      </c>
      <c r="AIL278" t="s">
        <v>5068</v>
      </c>
    </row>
    <row r="279" spans="1:1018 1066:1518" ht="12.75" customHeight="1" x14ac:dyDescent="0.2">
      <c r="A279" t="s">
        <v>3600</v>
      </c>
      <c r="B279" t="s">
        <v>5069</v>
      </c>
      <c r="C279">
        <v>922.35</v>
      </c>
      <c r="D279" s="23">
        <v>12.05</v>
      </c>
      <c r="AJH279" t="s">
        <v>5069</v>
      </c>
    </row>
    <row r="280" spans="1:1018 1066:1518" ht="12.75" customHeight="1" x14ac:dyDescent="0.2">
      <c r="A280" t="s">
        <v>3600</v>
      </c>
      <c r="B280" t="s">
        <v>5070</v>
      </c>
      <c r="C280">
        <v>935.39</v>
      </c>
      <c r="D280" s="23">
        <v>12.04</v>
      </c>
      <c r="AJU280" t="s">
        <v>5070</v>
      </c>
    </row>
    <row r="281" spans="1:1018 1066:1518" ht="12.75" customHeight="1" x14ac:dyDescent="0.2">
      <c r="A281" t="s">
        <v>3600</v>
      </c>
      <c r="B281" t="s">
        <v>5071</v>
      </c>
      <c r="C281">
        <v>951.26</v>
      </c>
      <c r="D281" s="23">
        <v>6.02</v>
      </c>
      <c r="AKE281" t="s">
        <v>5071</v>
      </c>
    </row>
    <row r="282" spans="1:1018 1066:1518" ht="12.75" customHeight="1" x14ac:dyDescent="0.2">
      <c r="A282" t="s">
        <v>3600</v>
      </c>
      <c r="B282" t="s">
        <v>5072</v>
      </c>
      <c r="C282">
        <v>958.28</v>
      </c>
      <c r="D282" s="23">
        <v>5.78</v>
      </c>
      <c r="AKL282" t="s">
        <v>5072</v>
      </c>
    </row>
    <row r="283" spans="1:1018 1066:1518" ht="12.75" customHeight="1" x14ac:dyDescent="0.2">
      <c r="A283" t="s">
        <v>3600</v>
      </c>
      <c r="B283" t="s">
        <v>5073</v>
      </c>
      <c r="C283">
        <v>973.32</v>
      </c>
      <c r="D283" s="23">
        <v>34.68</v>
      </c>
      <c r="AMD283" t="s">
        <v>5073</v>
      </c>
    </row>
    <row r="284" spans="1:1018 1066:1518" ht="12.75" customHeight="1" x14ac:dyDescent="0.2">
      <c r="A284" t="s">
        <v>3600</v>
      </c>
      <c r="B284" t="s">
        <v>5074</v>
      </c>
      <c r="C284">
        <v>1027.0999999999999</v>
      </c>
      <c r="D284" s="23">
        <v>28.9</v>
      </c>
      <c r="ANZ284" t="s">
        <v>5074</v>
      </c>
    </row>
    <row r="285" spans="1:1018 1066:1518" ht="12.75" customHeight="1" x14ac:dyDescent="0.2">
      <c r="A285" t="s">
        <v>3600</v>
      </c>
      <c r="B285" t="s">
        <v>5075</v>
      </c>
      <c r="C285">
        <v>1100.99</v>
      </c>
      <c r="D285" s="23">
        <v>3.01</v>
      </c>
      <c r="APV285" t="s">
        <v>5075</v>
      </c>
    </row>
    <row r="286" spans="1:1018 1066:1518" ht="12.75" customHeight="1" x14ac:dyDescent="0.2">
      <c r="A286" t="s">
        <v>3600</v>
      </c>
      <c r="B286" t="s">
        <v>5076</v>
      </c>
      <c r="C286">
        <v>1148.99</v>
      </c>
      <c r="D286" s="23">
        <v>3.01</v>
      </c>
      <c r="ARR286" t="s">
        <v>5076</v>
      </c>
    </row>
    <row r="287" spans="1:1018 1066:1518" ht="12.75" customHeight="1" x14ac:dyDescent="0.2">
      <c r="A287" t="s">
        <v>3600</v>
      </c>
      <c r="B287" t="s">
        <v>5077</v>
      </c>
      <c r="C287">
        <v>1252.55</v>
      </c>
      <c r="D287" s="23">
        <v>30.11</v>
      </c>
      <c r="AWS287" t="s">
        <v>5077</v>
      </c>
      <c r="BAK287" t="s">
        <v>5820</v>
      </c>
      <c r="BCG287" t="s">
        <v>3402</v>
      </c>
      <c r="BCR287" t="s">
        <v>3811</v>
      </c>
    </row>
    <row r="288" spans="1:1018 1066:1518" ht="12.75" customHeight="1" x14ac:dyDescent="0.2">
      <c r="A288" t="s">
        <v>3600</v>
      </c>
      <c r="B288" t="s">
        <v>5078</v>
      </c>
      <c r="C288">
        <v>1283.6600000000001</v>
      </c>
      <c r="D288" s="23">
        <v>12.34</v>
      </c>
      <c r="AXF288" t="s">
        <v>5078</v>
      </c>
      <c r="AZB288" t="s">
        <v>5821</v>
      </c>
      <c r="BAX288" t="s">
        <v>5821</v>
      </c>
      <c r="BCT288" t="s">
        <v>3403</v>
      </c>
      <c r="BFJ288" t="s">
        <v>3812</v>
      </c>
    </row>
    <row r="289" spans="1:4 1324:2026 2069:3058 3080:4040" ht="12.75" customHeight="1" x14ac:dyDescent="0.2">
      <c r="A289" t="s">
        <v>3600</v>
      </c>
      <c r="B289" t="s">
        <v>5079</v>
      </c>
      <c r="C289">
        <v>1302.54</v>
      </c>
      <c r="D289" s="23">
        <v>11.56</v>
      </c>
      <c r="AXX289" t="s">
        <v>5079</v>
      </c>
      <c r="AZT289" t="s">
        <v>5822</v>
      </c>
      <c r="BBP289" t="s">
        <v>5822</v>
      </c>
      <c r="BDL289" t="s">
        <v>3404</v>
      </c>
      <c r="BGJ289" t="s">
        <v>3813</v>
      </c>
    </row>
    <row r="290" spans="1:4 1324:2026 2069:3058 3080:4040" ht="12.75" customHeight="1" x14ac:dyDescent="0.2">
      <c r="A290" t="s">
        <v>3600</v>
      </c>
      <c r="B290" t="s">
        <v>5080</v>
      </c>
      <c r="C290">
        <v>1315.1</v>
      </c>
      <c r="D290" s="23">
        <v>28.9</v>
      </c>
      <c r="AZB290" t="s">
        <v>5823</v>
      </c>
      <c r="BAX290" t="s">
        <v>5823</v>
      </c>
      <c r="BCT290" t="s">
        <v>5823</v>
      </c>
      <c r="BEP290" t="s">
        <v>3405</v>
      </c>
      <c r="BJY290" t="s">
        <v>3814</v>
      </c>
    </row>
    <row r="291" spans="1:4 1324:2026 2069:3058 3080:4040" ht="12.75" customHeight="1" x14ac:dyDescent="0.2">
      <c r="A291" t="s">
        <v>3600</v>
      </c>
      <c r="B291" t="s">
        <v>5081</v>
      </c>
      <c r="C291">
        <v>1364.36</v>
      </c>
      <c r="D291" s="23">
        <v>28.9</v>
      </c>
      <c r="BAV291" t="s">
        <v>3419</v>
      </c>
      <c r="BAY291" t="s">
        <v>5824</v>
      </c>
      <c r="BCU291" t="s">
        <v>5824</v>
      </c>
      <c r="BEQ291" t="s">
        <v>5824</v>
      </c>
      <c r="BGM291" t="s">
        <v>3406</v>
      </c>
      <c r="BLX291" t="s">
        <v>3815</v>
      </c>
    </row>
    <row r="292" spans="1:4 1324:2026 2069:3058 3080:4040" ht="12.75" customHeight="1" x14ac:dyDescent="0.2">
      <c r="A292" t="s">
        <v>3600</v>
      </c>
      <c r="B292" t="s">
        <v>5082</v>
      </c>
      <c r="C292">
        <v>1542</v>
      </c>
      <c r="D292" s="23">
        <v>37.43</v>
      </c>
      <c r="BDN292" t="s">
        <v>3420</v>
      </c>
      <c r="BIC292" t="s">
        <v>5825</v>
      </c>
      <c r="BJY292" t="s">
        <v>5825</v>
      </c>
      <c r="BLU292" t="s">
        <v>5825</v>
      </c>
      <c r="BNQ292" t="s">
        <v>3400</v>
      </c>
      <c r="BPQ292" t="s">
        <v>3816</v>
      </c>
    </row>
    <row r="293" spans="1:4 1324:2026 2069:3058 3080:4040" ht="12.75" customHeight="1" x14ac:dyDescent="0.2">
      <c r="A293" t="s">
        <v>3600</v>
      </c>
      <c r="B293" t="s">
        <v>7196</v>
      </c>
      <c r="C293">
        <v>1591.38</v>
      </c>
      <c r="D293" s="23">
        <v>12.04</v>
      </c>
      <c r="BEN293" t="s">
        <v>3421</v>
      </c>
      <c r="BJA293" t="s">
        <v>5826</v>
      </c>
      <c r="BKW293" t="s">
        <v>5826</v>
      </c>
      <c r="BMS293" t="s">
        <v>5826</v>
      </c>
      <c r="BOO293" t="s">
        <v>4776</v>
      </c>
      <c r="CAO293" t="s">
        <v>3817</v>
      </c>
    </row>
    <row r="294" spans="1:4 1324:2026 2069:3058 3080:4040" ht="12.75" customHeight="1" x14ac:dyDescent="0.2">
      <c r="A294" t="s">
        <v>3600</v>
      </c>
      <c r="B294" t="s">
        <v>7197</v>
      </c>
      <c r="C294">
        <v>1604.42</v>
      </c>
      <c r="D294" s="23">
        <v>34.68</v>
      </c>
      <c r="BIC294" t="s">
        <v>3422</v>
      </c>
      <c r="BKK294" t="s">
        <v>5827</v>
      </c>
      <c r="BMG294" t="s">
        <v>5827</v>
      </c>
      <c r="BOC294" t="s">
        <v>5827</v>
      </c>
      <c r="BPY294" t="s">
        <v>4777</v>
      </c>
      <c r="CCN294" t="s">
        <v>3818</v>
      </c>
    </row>
    <row r="295" spans="1:4 1324:2026 2069:3058 3080:4040" ht="12.75" customHeight="1" x14ac:dyDescent="0.2">
      <c r="A295" t="s">
        <v>3600</v>
      </c>
      <c r="B295" t="s">
        <v>7198</v>
      </c>
      <c r="C295">
        <v>1649.89</v>
      </c>
      <c r="D295" s="23">
        <v>30.11</v>
      </c>
      <c r="BKB295" t="s">
        <v>3423</v>
      </c>
      <c r="BLZ295" t="s">
        <v>5828</v>
      </c>
      <c r="BNV295" t="s">
        <v>5828</v>
      </c>
      <c r="BPR295" t="s">
        <v>5828</v>
      </c>
      <c r="BRN295" t="s">
        <v>4778</v>
      </c>
      <c r="CNP295" t="s">
        <v>3819</v>
      </c>
    </row>
    <row r="296" spans="1:4 1324:2026 2069:3058 3080:4040" ht="12.75" customHeight="1" x14ac:dyDescent="0.2">
      <c r="A296" t="s">
        <v>3600</v>
      </c>
      <c r="B296" t="s">
        <v>5083</v>
      </c>
      <c r="C296">
        <v>1697.89</v>
      </c>
      <c r="D296" s="23">
        <v>30.11</v>
      </c>
      <c r="BNU296" t="s">
        <v>3424</v>
      </c>
      <c r="BNV296" t="s">
        <v>5829</v>
      </c>
      <c r="BPR296" t="s">
        <v>5829</v>
      </c>
      <c r="BRN296" t="s">
        <v>5829</v>
      </c>
      <c r="BTJ296" t="s">
        <v>3411</v>
      </c>
      <c r="CYI296" t="s">
        <v>3820</v>
      </c>
    </row>
    <row r="297" spans="1:4 1324:2026 2069:3058 3080:4040" ht="12.75" customHeight="1" x14ac:dyDescent="0.2">
      <c r="A297" t="s">
        <v>3600</v>
      </c>
      <c r="B297" t="s">
        <v>7199</v>
      </c>
      <c r="C297">
        <v>1960.98</v>
      </c>
      <c r="D297" s="23">
        <v>3.01</v>
      </c>
      <c r="AZB297" t="s">
        <v>6876</v>
      </c>
      <c r="BWX297" t="s">
        <v>5830</v>
      </c>
      <c r="BYS297" t="s">
        <v>3425</v>
      </c>
      <c r="BYT297" t="s">
        <v>5830</v>
      </c>
      <c r="CAP297" t="s">
        <v>5830</v>
      </c>
      <c r="CCL297" t="s">
        <v>4779</v>
      </c>
      <c r="DNL297" t="s">
        <v>3821</v>
      </c>
    </row>
    <row r="298" spans="1:4 1324:2026 2069:3058 3080:4040" ht="12.75" customHeight="1" x14ac:dyDescent="0.2">
      <c r="A298" t="s">
        <v>3600</v>
      </c>
      <c r="B298" t="s">
        <v>4780</v>
      </c>
      <c r="C298">
        <v>1964.99</v>
      </c>
      <c r="D298" s="23">
        <v>3.01</v>
      </c>
      <c r="BAY298" t="s">
        <v>6877</v>
      </c>
      <c r="BXB298" t="s">
        <v>3803</v>
      </c>
      <c r="BYX298" t="s">
        <v>3803</v>
      </c>
      <c r="CAR298" t="s">
        <v>3426</v>
      </c>
      <c r="CAT298" t="s">
        <v>5831</v>
      </c>
      <c r="CCP298" t="s">
        <v>4780</v>
      </c>
      <c r="DYN298" t="s">
        <v>3822</v>
      </c>
    </row>
    <row r="299" spans="1:4 1324:2026 2069:3058 3080:4040" ht="12.75" customHeight="1" x14ac:dyDescent="0.2">
      <c r="A299" t="s">
        <v>3600</v>
      </c>
      <c r="B299" t="s">
        <v>5084</v>
      </c>
      <c r="C299">
        <v>2489.98</v>
      </c>
      <c r="D299" s="23">
        <v>6.02</v>
      </c>
      <c r="BIC299" t="s">
        <v>6878</v>
      </c>
      <c r="CLT299" t="s">
        <v>3427</v>
      </c>
      <c r="CRJ299" t="s">
        <v>5832</v>
      </c>
      <c r="CTF299" t="s">
        <v>5832</v>
      </c>
      <c r="CVB299" t="s">
        <v>5832</v>
      </c>
      <c r="CWX299" t="s">
        <v>4781</v>
      </c>
      <c r="ELD299" t="s">
        <v>3823</v>
      </c>
    </row>
    <row r="300" spans="1:4 1324:2026 2069:3058 3080:4040" ht="12.75" customHeight="1" x14ac:dyDescent="0.2">
      <c r="A300" t="s">
        <v>3600</v>
      </c>
      <c r="B300" t="s">
        <v>7200</v>
      </c>
      <c r="C300">
        <v>2513.19</v>
      </c>
      <c r="D300" s="23">
        <v>11.56</v>
      </c>
      <c r="BJA300" t="s">
        <v>6879</v>
      </c>
      <c r="CSM300" t="s">
        <v>5833</v>
      </c>
      <c r="CUI300" t="s">
        <v>5833</v>
      </c>
      <c r="CWE300" t="s">
        <v>5833</v>
      </c>
      <c r="CWM300" t="s">
        <v>3428</v>
      </c>
      <c r="CYA300" t="s">
        <v>4782</v>
      </c>
      <c r="ENC300" t="s">
        <v>3824</v>
      </c>
    </row>
    <row r="301" spans="1:4 1324:2026 2069:3058 3080:4040" ht="12.75" customHeight="1" x14ac:dyDescent="0.2">
      <c r="A301" t="s">
        <v>3600</v>
      </c>
      <c r="B301" t="s">
        <v>5085</v>
      </c>
      <c r="C301">
        <v>2992.97</v>
      </c>
      <c r="D301" s="23">
        <v>3.02</v>
      </c>
      <c r="BKK301" t="s">
        <v>6880</v>
      </c>
      <c r="DKP301" t="s">
        <v>5834</v>
      </c>
      <c r="DLP301" t="s">
        <v>3429</v>
      </c>
      <c r="DML301" t="s">
        <v>5834</v>
      </c>
      <c r="DOH301" t="s">
        <v>5834</v>
      </c>
      <c r="DQD301" t="s">
        <v>4783</v>
      </c>
      <c r="EPA301" t="s">
        <v>3825</v>
      </c>
    </row>
    <row r="302" spans="1:4 1324:2026 2069:3058 3080:4040" ht="12.75" customHeight="1" x14ac:dyDescent="0.2">
      <c r="A302" t="s">
        <v>3600</v>
      </c>
      <c r="B302" t="s">
        <v>5086</v>
      </c>
      <c r="C302">
        <v>2996.99</v>
      </c>
      <c r="D302" s="23">
        <v>2.89</v>
      </c>
      <c r="BLZ302" t="s">
        <v>6881</v>
      </c>
      <c r="DKT302" t="s">
        <v>5835</v>
      </c>
      <c r="DMP302" t="s">
        <v>5835</v>
      </c>
      <c r="DOL302" t="s">
        <v>5835</v>
      </c>
      <c r="DQH302" t="s">
        <v>3413</v>
      </c>
      <c r="DWR302" t="s">
        <v>3430</v>
      </c>
      <c r="EQZ302" t="s">
        <v>3826</v>
      </c>
    </row>
    <row r="303" spans="1:4 1324:2026 2069:3058 3080:4040" ht="12.75" customHeight="1" x14ac:dyDescent="0.2">
      <c r="A303" t="s">
        <v>3600</v>
      </c>
      <c r="B303" t="s">
        <v>5087</v>
      </c>
      <c r="C303">
        <v>3000.88</v>
      </c>
      <c r="D303" s="23">
        <v>23.12</v>
      </c>
      <c r="BNV303" t="s">
        <v>6882</v>
      </c>
      <c r="DLR303" t="s">
        <v>5836</v>
      </c>
      <c r="DNN303" t="s">
        <v>5836</v>
      </c>
      <c r="DPJ303" t="s">
        <v>5836</v>
      </c>
      <c r="DRF303" t="s">
        <v>4784</v>
      </c>
      <c r="EJH303" t="s">
        <v>3431</v>
      </c>
      <c r="EUR303" t="s">
        <v>3827</v>
      </c>
    </row>
    <row r="304" spans="1:4 1324:2026 2069:3058 3080:4040" ht="12.75" customHeight="1" x14ac:dyDescent="0.2">
      <c r="A304" t="s">
        <v>3600</v>
      </c>
      <c r="B304" t="s">
        <v>5088</v>
      </c>
      <c r="C304">
        <v>3052.39</v>
      </c>
      <c r="D304" s="23">
        <v>115.61</v>
      </c>
      <c r="BWX304" t="s">
        <v>6883</v>
      </c>
      <c r="DRF304" t="s">
        <v>5837</v>
      </c>
      <c r="DTB304" t="s">
        <v>5837</v>
      </c>
      <c r="DUX304" t="s">
        <v>5837</v>
      </c>
      <c r="DWT304" t="s">
        <v>3415</v>
      </c>
      <c r="ELG304" t="s">
        <v>3432</v>
      </c>
      <c r="EYJ304" t="s">
        <v>3828</v>
      </c>
    </row>
    <row r="305" spans="1:590 1978:1978 2506:3034 3178:3992" ht="12.75" customHeight="1" x14ac:dyDescent="0.2">
      <c r="A305" t="s">
        <v>3600</v>
      </c>
      <c r="B305" t="s">
        <v>5089</v>
      </c>
      <c r="C305">
        <v>3148.39</v>
      </c>
      <c r="D305" s="23">
        <v>115.61</v>
      </c>
      <c r="BXB305" t="s">
        <v>6884</v>
      </c>
      <c r="DUX305" t="s">
        <v>5838</v>
      </c>
      <c r="DWT305" t="s">
        <v>5838</v>
      </c>
      <c r="DYP305" t="s">
        <v>5838</v>
      </c>
      <c r="EAL305" t="s">
        <v>3416</v>
      </c>
      <c r="ENE305" t="s">
        <v>3433</v>
      </c>
    </row>
    <row r="306" spans="1:590 1978:1978 2506:3034 3178:3992" ht="12.75" customHeight="1" x14ac:dyDescent="0.2">
      <c r="A306" t="s">
        <v>3600</v>
      </c>
      <c r="B306" t="s">
        <v>5090</v>
      </c>
      <c r="C306">
        <v>3590.2</v>
      </c>
      <c r="D306" s="23">
        <v>57.8</v>
      </c>
      <c r="CRJ306" t="s">
        <v>6885</v>
      </c>
      <c r="EJR306" t="s">
        <v>5839</v>
      </c>
      <c r="ELN306" t="s">
        <v>5839</v>
      </c>
      <c r="ENJ306" t="s">
        <v>5839</v>
      </c>
      <c r="EPD306" t="s">
        <v>3434</v>
      </c>
      <c r="EPF306" t="s">
        <v>3417</v>
      </c>
    </row>
    <row r="307" spans="1:590 1978:1978 2506:3034 3178:3992" ht="12.75" customHeight="1" x14ac:dyDescent="0.2">
      <c r="A307" t="s">
        <v>3600</v>
      </c>
      <c r="B307" t="s">
        <v>5091</v>
      </c>
      <c r="C307">
        <v>3676.39</v>
      </c>
      <c r="D307" s="23">
        <v>115.61</v>
      </c>
      <c r="CSM307" t="s">
        <v>6886</v>
      </c>
      <c r="EPF307" t="s">
        <v>5840</v>
      </c>
      <c r="ERB307" t="s">
        <v>5840</v>
      </c>
      <c r="ESV307" t="s">
        <v>3435</v>
      </c>
      <c r="ESX307" t="s">
        <v>5840</v>
      </c>
      <c r="EUT307" t="s">
        <v>3418</v>
      </c>
    </row>
    <row r="308" spans="1:590 1978:1978 2506:3034 3178:3992" ht="12.75" customHeight="1" x14ac:dyDescent="0.2">
      <c r="A308" t="s">
        <v>3601</v>
      </c>
      <c r="B308" t="s">
        <v>5092</v>
      </c>
      <c r="C308">
        <v>-75.67</v>
      </c>
      <c r="D308" s="23">
        <v>23.87</v>
      </c>
      <c r="J308" t="s">
        <v>5092</v>
      </c>
      <c r="DCL308" t="s">
        <v>6887</v>
      </c>
      <c r="EWN308" t="s">
        <v>3436</v>
      </c>
    </row>
    <row r="309" spans="1:590 1978:1978 2506:3034 3178:3992" ht="12.75" customHeight="1" x14ac:dyDescent="0.2">
      <c r="A309" t="s">
        <v>3601</v>
      </c>
      <c r="B309" t="s">
        <v>5093</v>
      </c>
      <c r="C309">
        <v>-50.81</v>
      </c>
      <c r="D309" s="23">
        <v>9.81</v>
      </c>
      <c r="J309" t="s">
        <v>5093</v>
      </c>
      <c r="DKP309" t="s">
        <v>6888</v>
      </c>
    </row>
    <row r="310" spans="1:590 1978:1978 2506:3034 3178:3992" ht="12.75" customHeight="1" x14ac:dyDescent="0.2">
      <c r="A310" t="s">
        <v>3601</v>
      </c>
      <c r="B310" t="s">
        <v>5094</v>
      </c>
      <c r="C310">
        <v>-39.99</v>
      </c>
      <c r="D310" s="23">
        <v>4.97</v>
      </c>
      <c r="J310" t="s">
        <v>5094</v>
      </c>
      <c r="DKT310" t="s">
        <v>6889</v>
      </c>
    </row>
    <row r="311" spans="1:590 1978:1978 2506:3034 3178:3992" ht="12.75" customHeight="1" x14ac:dyDescent="0.2">
      <c r="A311" t="s">
        <v>3601</v>
      </c>
      <c r="B311" t="s">
        <v>5095</v>
      </c>
      <c r="C311">
        <v>-34.020000000000003</v>
      </c>
      <c r="D311" s="23">
        <v>24.87</v>
      </c>
      <c r="J311" t="s">
        <v>5095</v>
      </c>
      <c r="DLR311" t="s">
        <v>6890</v>
      </c>
    </row>
    <row r="312" spans="1:590 1978:1978 2506:3034 3178:3992" ht="12.75" customHeight="1" x14ac:dyDescent="0.2">
      <c r="A312" t="s">
        <v>3601</v>
      </c>
      <c r="B312" t="s">
        <v>5096</v>
      </c>
      <c r="C312">
        <v>-7.15</v>
      </c>
      <c r="D312" s="23">
        <v>4.97</v>
      </c>
      <c r="J312" t="s">
        <v>5096</v>
      </c>
      <c r="DRF312" t="s">
        <v>6891</v>
      </c>
    </row>
    <row r="313" spans="1:590 1978:1978 2506:3034 3178:3992" ht="12.75" customHeight="1" x14ac:dyDescent="0.2">
      <c r="A313" t="s">
        <v>3601</v>
      </c>
      <c r="B313" t="s">
        <v>5097</v>
      </c>
      <c r="C313">
        <v>-1.19</v>
      </c>
      <c r="D313" s="23">
        <v>24.84</v>
      </c>
      <c r="AH313" t="s">
        <v>5097</v>
      </c>
      <c r="DUX313" t="s">
        <v>6892</v>
      </c>
    </row>
    <row r="314" spans="1:590 1978:1978 2506:3034 3178:3992" ht="12.75" customHeight="1" x14ac:dyDescent="0.2">
      <c r="A314" t="s">
        <v>3601</v>
      </c>
      <c r="B314" t="s">
        <v>5098</v>
      </c>
      <c r="C314">
        <v>24.66</v>
      </c>
      <c r="D314" s="23">
        <v>4.97</v>
      </c>
      <c r="AN314" t="s">
        <v>5098</v>
      </c>
      <c r="EJR314" t="s">
        <v>6893</v>
      </c>
    </row>
    <row r="315" spans="1:590 1978:1978 2506:3034 3178:3992" ht="12.75" customHeight="1" x14ac:dyDescent="0.2">
      <c r="A315" t="s">
        <v>3601</v>
      </c>
      <c r="B315" t="s">
        <v>5099</v>
      </c>
      <c r="C315">
        <v>30.63</v>
      </c>
      <c r="D315" s="23">
        <v>49.69</v>
      </c>
      <c r="CL315" t="s">
        <v>5099</v>
      </c>
      <c r="EPF315" t="s">
        <v>6894</v>
      </c>
    </row>
    <row r="316" spans="1:590 1978:1978 2506:3034 3178:3992" ht="12.75" customHeight="1" x14ac:dyDescent="0.2">
      <c r="A316" t="s">
        <v>3601</v>
      </c>
      <c r="B316" t="s">
        <v>5100</v>
      </c>
      <c r="C316">
        <v>81.319999999999993</v>
      </c>
      <c r="D316" s="23">
        <v>49.69</v>
      </c>
      <c r="EK316" t="s">
        <v>5100</v>
      </c>
    </row>
    <row r="317" spans="1:590 1978:1978 2506:3034 3178:3992" ht="12.75" customHeight="1" x14ac:dyDescent="0.2">
      <c r="A317" t="s">
        <v>3601</v>
      </c>
      <c r="B317" t="s">
        <v>5101</v>
      </c>
      <c r="C317">
        <v>132.01</v>
      </c>
      <c r="D317" s="23">
        <v>49.69</v>
      </c>
      <c r="GJ317" t="s">
        <v>5101</v>
      </c>
    </row>
    <row r="318" spans="1:590 1978:1978 2506:3034 3178:3992" ht="12.75" customHeight="1" x14ac:dyDescent="0.2">
      <c r="A318" t="s">
        <v>3601</v>
      </c>
      <c r="B318" t="s">
        <v>5102</v>
      </c>
      <c r="C318">
        <v>182.7</v>
      </c>
      <c r="D318" s="23">
        <v>49.69</v>
      </c>
      <c r="IH318" t="s">
        <v>5102</v>
      </c>
    </row>
    <row r="319" spans="1:590 1978:1978 2506:3034 3178:3992" ht="12.75" customHeight="1" x14ac:dyDescent="0.2">
      <c r="A319" t="s">
        <v>3601</v>
      </c>
      <c r="B319" t="s">
        <v>5103</v>
      </c>
      <c r="C319">
        <v>434</v>
      </c>
      <c r="D319" s="23">
        <v>49.69</v>
      </c>
      <c r="RZ319" t="s">
        <v>5103</v>
      </c>
    </row>
    <row r="320" spans="1:590 1978:1978 2506:3034 3178:3992" ht="12.75" customHeight="1" x14ac:dyDescent="0.2">
      <c r="A320" t="s">
        <v>3601</v>
      </c>
      <c r="B320" t="s">
        <v>5104</v>
      </c>
      <c r="C320">
        <v>530</v>
      </c>
      <c r="D320" s="23">
        <v>49.69</v>
      </c>
      <c r="VR320" t="s">
        <v>5104</v>
      </c>
    </row>
    <row r="321" spans="1:1018 1114:1930" ht="12.75" customHeight="1" x14ac:dyDescent="0.2">
      <c r="A321" t="s">
        <v>3601</v>
      </c>
      <c r="B321" t="s">
        <v>7201</v>
      </c>
      <c r="C321">
        <v>615.67999999999995</v>
      </c>
      <c r="D321" s="23">
        <v>10.06</v>
      </c>
      <c r="XL321" t="s">
        <v>7201</v>
      </c>
    </row>
    <row r="322" spans="1:1018 1114:1930" ht="12.75" customHeight="1" x14ac:dyDescent="0.2">
      <c r="A322" t="s">
        <v>3601</v>
      </c>
      <c r="B322" t="s">
        <v>5105</v>
      </c>
      <c r="C322">
        <v>674.46</v>
      </c>
      <c r="D322" s="23">
        <v>49.69</v>
      </c>
      <c r="ABF322" t="s">
        <v>5105</v>
      </c>
    </row>
    <row r="323" spans="1:1018 1114:1930" ht="12.75" customHeight="1" x14ac:dyDescent="0.2">
      <c r="A323" t="s">
        <v>3601</v>
      </c>
      <c r="B323" t="s">
        <v>5106</v>
      </c>
      <c r="C323">
        <v>730</v>
      </c>
      <c r="D323" s="23">
        <v>49.69</v>
      </c>
      <c r="ADJ323" t="s">
        <v>5106</v>
      </c>
    </row>
    <row r="324" spans="1:1018 1114:1930" ht="12.75" customHeight="1" x14ac:dyDescent="0.2">
      <c r="A324" t="s">
        <v>3601</v>
      </c>
      <c r="B324" t="s">
        <v>5107</v>
      </c>
      <c r="C324">
        <v>803.14</v>
      </c>
      <c r="D324" s="23">
        <v>4.79</v>
      </c>
      <c r="AEL324" t="s">
        <v>5107</v>
      </c>
    </row>
    <row r="325" spans="1:1018 1114:1930" ht="12.75" customHeight="1" x14ac:dyDescent="0.2">
      <c r="A325" t="s">
        <v>3601</v>
      </c>
      <c r="B325" t="s">
        <v>5108</v>
      </c>
      <c r="C325">
        <v>808.93</v>
      </c>
      <c r="D325" s="23">
        <v>49.69</v>
      </c>
      <c r="AGK325" t="s">
        <v>5108</v>
      </c>
    </row>
    <row r="326" spans="1:1018 1114:1930" ht="12.75" customHeight="1" x14ac:dyDescent="0.2">
      <c r="A326" t="s">
        <v>3601</v>
      </c>
      <c r="B326" t="s">
        <v>5109</v>
      </c>
      <c r="C326">
        <v>859.62</v>
      </c>
      <c r="D326" s="23">
        <v>49.69</v>
      </c>
      <c r="AII326" t="s">
        <v>5109</v>
      </c>
    </row>
    <row r="327" spans="1:1018 1114:1930" ht="12.75" customHeight="1" x14ac:dyDescent="0.2">
      <c r="A327" t="s">
        <v>3601</v>
      </c>
      <c r="B327" t="s">
        <v>5110</v>
      </c>
      <c r="C327">
        <v>910.31</v>
      </c>
      <c r="D327" s="23">
        <v>49.69</v>
      </c>
      <c r="AKH327" t="s">
        <v>5110</v>
      </c>
    </row>
    <row r="328" spans="1:1018 1114:1930" ht="12.75" customHeight="1" x14ac:dyDescent="0.2">
      <c r="A328" t="s">
        <v>3601</v>
      </c>
      <c r="B328" t="s">
        <v>5111</v>
      </c>
      <c r="C328">
        <v>998.06</v>
      </c>
      <c r="D328" s="23">
        <v>9.94</v>
      </c>
      <c r="AMD328" t="s">
        <v>5111</v>
      </c>
    </row>
    <row r="329" spans="1:1018 1114:1930" ht="12.75" customHeight="1" x14ac:dyDescent="0.2">
      <c r="A329" t="s">
        <v>3601</v>
      </c>
      <c r="B329" t="s">
        <v>5112</v>
      </c>
      <c r="C329">
        <v>1054.31</v>
      </c>
      <c r="D329" s="23">
        <v>49.69</v>
      </c>
      <c r="APV329" t="s">
        <v>5112</v>
      </c>
    </row>
    <row r="330" spans="1:1018 1114:1930" ht="12.75" customHeight="1" x14ac:dyDescent="0.2">
      <c r="A330" t="s">
        <v>3601</v>
      </c>
      <c r="B330" t="s">
        <v>5113</v>
      </c>
      <c r="C330">
        <v>1124.44</v>
      </c>
      <c r="D330" s="23">
        <v>49.69</v>
      </c>
      <c r="ASN330" t="s">
        <v>5113</v>
      </c>
    </row>
    <row r="331" spans="1:1018 1114:1930" ht="12.75" customHeight="1" x14ac:dyDescent="0.2">
      <c r="A331" t="s">
        <v>3601</v>
      </c>
      <c r="B331" t="s">
        <v>5114</v>
      </c>
      <c r="C331">
        <v>1176.1300000000001</v>
      </c>
      <c r="D331" s="23">
        <v>23.87</v>
      </c>
      <c r="ATN331" t="s">
        <v>5114</v>
      </c>
      <c r="AZB331" t="s">
        <v>3421</v>
      </c>
    </row>
    <row r="332" spans="1:1018 1114:1930" ht="12.75" customHeight="1" x14ac:dyDescent="0.2">
      <c r="A332" t="s">
        <v>3601</v>
      </c>
      <c r="B332" t="s">
        <v>5115</v>
      </c>
      <c r="C332">
        <v>1243.6199999999999</v>
      </c>
      <c r="D332" s="23">
        <v>49.69</v>
      </c>
      <c r="AXC332" t="s">
        <v>5115</v>
      </c>
      <c r="AYY332" t="s">
        <v>5841</v>
      </c>
      <c r="BAU332" t="s">
        <v>5841</v>
      </c>
      <c r="BCQ332" t="s">
        <v>3422</v>
      </c>
    </row>
    <row r="333" spans="1:1018 1114:1930" ht="12.75" customHeight="1" x14ac:dyDescent="0.2">
      <c r="A333" t="s">
        <v>3601</v>
      </c>
      <c r="B333" t="s">
        <v>5116</v>
      </c>
      <c r="C333">
        <v>1294.31</v>
      </c>
      <c r="D333" s="23">
        <v>49.69</v>
      </c>
      <c r="AZB333" t="s">
        <v>5842</v>
      </c>
      <c r="BAX333" t="s">
        <v>5842</v>
      </c>
      <c r="BCT333" t="s">
        <v>5842</v>
      </c>
      <c r="BEP333" t="s">
        <v>3423</v>
      </c>
    </row>
    <row r="334" spans="1:1018 1114:1930" ht="12.75" customHeight="1" x14ac:dyDescent="0.2">
      <c r="A334" t="s">
        <v>3601</v>
      </c>
      <c r="B334" t="s">
        <v>5117</v>
      </c>
      <c r="C334">
        <v>1391.78</v>
      </c>
      <c r="D334" s="23">
        <v>49.69</v>
      </c>
      <c r="BCU334" t="s">
        <v>5843</v>
      </c>
      <c r="BEQ334" t="s">
        <v>5843</v>
      </c>
      <c r="BGM334" t="s">
        <v>5843</v>
      </c>
      <c r="BII334" t="s">
        <v>3424</v>
      </c>
    </row>
    <row r="335" spans="1:1018 1114:1930" ht="12.75" customHeight="1" x14ac:dyDescent="0.2">
      <c r="A335" t="s">
        <v>3601</v>
      </c>
      <c r="B335" t="s">
        <v>5118</v>
      </c>
      <c r="C335">
        <v>1675.62</v>
      </c>
      <c r="D335" s="23">
        <v>49.69</v>
      </c>
      <c r="BNS335" t="s">
        <v>5844</v>
      </c>
      <c r="BPO335" t="s">
        <v>5844</v>
      </c>
      <c r="BRK335" t="s">
        <v>5844</v>
      </c>
      <c r="BTG335" t="s">
        <v>3425</v>
      </c>
    </row>
    <row r="336" spans="1:1018 1114:1930" ht="12.75" customHeight="1" x14ac:dyDescent="0.2">
      <c r="A336" t="s">
        <v>3601</v>
      </c>
      <c r="B336" t="s">
        <v>5119</v>
      </c>
      <c r="C336">
        <v>1726.31</v>
      </c>
      <c r="D336" s="23">
        <v>49.69</v>
      </c>
      <c r="BPR336" t="s">
        <v>5845</v>
      </c>
      <c r="BRN336" t="s">
        <v>5845</v>
      </c>
      <c r="BTJ336" t="s">
        <v>5845</v>
      </c>
      <c r="BVF336" t="s">
        <v>3426</v>
      </c>
    </row>
    <row r="337" spans="1:10 1352:2024 2074:3034 3080:3850" ht="12.75" customHeight="1" x14ac:dyDescent="0.2">
      <c r="A337" t="s">
        <v>3601</v>
      </c>
      <c r="B337" t="s">
        <v>7202</v>
      </c>
      <c r="C337">
        <v>2049.6799999999998</v>
      </c>
      <c r="D337" s="23">
        <v>14.32</v>
      </c>
      <c r="CAT337" t="s">
        <v>5846</v>
      </c>
      <c r="CCP337" t="s">
        <v>5846</v>
      </c>
      <c r="CEL337" t="s">
        <v>5846</v>
      </c>
      <c r="CGH337" t="s">
        <v>4785</v>
      </c>
    </row>
    <row r="338" spans="1:10 1352:2024 2074:3034 3080:3850" ht="12.75" customHeight="1" x14ac:dyDescent="0.2">
      <c r="A338" t="s">
        <v>3601</v>
      </c>
      <c r="B338" t="s">
        <v>7203</v>
      </c>
      <c r="C338">
        <v>2324.3000000000002</v>
      </c>
      <c r="D338" s="23">
        <v>19.09</v>
      </c>
      <c r="AYZ338" t="s">
        <v>3829</v>
      </c>
      <c r="CLM338" t="s">
        <v>5847</v>
      </c>
      <c r="CNI338" t="s">
        <v>5847</v>
      </c>
      <c r="CPE338" t="s">
        <v>5847</v>
      </c>
      <c r="CRA338" t="s">
        <v>4786</v>
      </c>
    </row>
    <row r="339" spans="1:10 1352:2024 2074:3034 3080:3850" ht="12.75" customHeight="1" x14ac:dyDescent="0.2">
      <c r="A339" t="s">
        <v>3601</v>
      </c>
      <c r="B339" t="s">
        <v>5120</v>
      </c>
      <c r="C339">
        <v>2712.13</v>
      </c>
      <c r="D339" s="23">
        <v>23.87</v>
      </c>
      <c r="BLX339" t="s">
        <v>3830</v>
      </c>
      <c r="DAP339" t="s">
        <v>5848</v>
      </c>
      <c r="DCL339" t="s">
        <v>5848</v>
      </c>
      <c r="DEH339" t="s">
        <v>5848</v>
      </c>
      <c r="DGD339" t="s">
        <v>3429</v>
      </c>
    </row>
    <row r="340" spans="1:10 1352:2024 2074:3034 3080:3850" ht="12.75" customHeight="1" x14ac:dyDescent="0.2">
      <c r="A340" t="s">
        <v>3601</v>
      </c>
      <c r="B340" t="s">
        <v>5121</v>
      </c>
      <c r="C340">
        <v>3021.61</v>
      </c>
      <c r="D340" s="23">
        <v>2.39</v>
      </c>
      <c r="BRL340" t="s">
        <v>3831</v>
      </c>
      <c r="DLR340" t="s">
        <v>5849</v>
      </c>
      <c r="DNN340" t="s">
        <v>5849</v>
      </c>
      <c r="DPJ340" t="s">
        <v>5849</v>
      </c>
      <c r="DRF340" t="s">
        <v>3430</v>
      </c>
    </row>
    <row r="341" spans="1:10 1352:2024 2074:3034 3080:3850" ht="12.75" customHeight="1" x14ac:dyDescent="0.2">
      <c r="A341" t="s">
        <v>3601</v>
      </c>
      <c r="B341" t="s">
        <v>5122</v>
      </c>
      <c r="C341">
        <v>3302.24</v>
      </c>
      <c r="D341" s="23">
        <v>49.69</v>
      </c>
      <c r="BTN341" t="s">
        <v>3832</v>
      </c>
      <c r="DYH341" t="s">
        <v>5850</v>
      </c>
      <c r="EAD341" t="s">
        <v>5850</v>
      </c>
      <c r="EBZ341" t="s">
        <v>5850</v>
      </c>
      <c r="EDV341" t="s">
        <v>3431</v>
      </c>
    </row>
    <row r="342" spans="1:10 1352:2024 2074:3034 3080:3850" ht="12.75" customHeight="1" x14ac:dyDescent="0.2">
      <c r="A342" t="s">
        <v>3601</v>
      </c>
      <c r="B342" t="s">
        <v>5123</v>
      </c>
      <c r="C342">
        <v>3352.93</v>
      </c>
      <c r="D342" s="23">
        <v>49.69</v>
      </c>
      <c r="BKB342" t="s">
        <v>3437</v>
      </c>
      <c r="BYL342" t="s">
        <v>3833</v>
      </c>
      <c r="EAG342" t="s">
        <v>5851</v>
      </c>
      <c r="ECC342" t="s">
        <v>5851</v>
      </c>
      <c r="EDY342" t="s">
        <v>5851</v>
      </c>
      <c r="EFU342" t="s">
        <v>3432</v>
      </c>
    </row>
    <row r="343" spans="1:10 1352:2024 2074:3034 3080:3850" ht="12.75" customHeight="1" x14ac:dyDescent="0.2">
      <c r="A343" t="s">
        <v>3601</v>
      </c>
      <c r="B343" t="s">
        <v>5124</v>
      </c>
      <c r="C343">
        <v>3403.62</v>
      </c>
      <c r="D343" s="23">
        <v>49.69</v>
      </c>
      <c r="BPP343" t="s">
        <v>3438</v>
      </c>
      <c r="BYV343" t="s">
        <v>3834</v>
      </c>
      <c r="ECE343" t="s">
        <v>5852</v>
      </c>
      <c r="EEA343" t="s">
        <v>5852</v>
      </c>
      <c r="EFW343" t="s">
        <v>5852</v>
      </c>
      <c r="EHS343" t="s">
        <v>3433</v>
      </c>
    </row>
    <row r="344" spans="1:10 1352:2024 2074:3034 3080:3850" ht="12.75" customHeight="1" x14ac:dyDescent="0.2">
      <c r="A344" t="s">
        <v>3601</v>
      </c>
      <c r="B344" t="s">
        <v>5125</v>
      </c>
      <c r="C344">
        <v>3454.31</v>
      </c>
      <c r="D344" s="23">
        <v>49.69</v>
      </c>
      <c r="BRR344" t="s">
        <v>3439</v>
      </c>
      <c r="CNP344" t="s">
        <v>3835</v>
      </c>
      <c r="EED344" t="s">
        <v>5853</v>
      </c>
      <c r="EFZ344" t="s">
        <v>5853</v>
      </c>
      <c r="EHV344" t="s">
        <v>5853</v>
      </c>
      <c r="EJR344" t="s">
        <v>3434</v>
      </c>
    </row>
    <row r="345" spans="1:10 1352:2024 2074:3034 3080:3850" ht="12.75" customHeight="1" x14ac:dyDescent="0.2">
      <c r="A345" t="s">
        <v>3601</v>
      </c>
      <c r="B345" t="s">
        <v>5126</v>
      </c>
      <c r="C345">
        <v>3550.31</v>
      </c>
      <c r="D345" s="23">
        <v>49.69</v>
      </c>
      <c r="AZB345" t="s">
        <v>5116</v>
      </c>
      <c r="BWP345" t="s">
        <v>3440</v>
      </c>
      <c r="CLT345" t="s">
        <v>3836</v>
      </c>
      <c r="EHV345" t="s">
        <v>5854</v>
      </c>
      <c r="EJR345" t="s">
        <v>5854</v>
      </c>
      <c r="ELN345" t="s">
        <v>5854</v>
      </c>
      <c r="ENJ345" t="s">
        <v>3435</v>
      </c>
    </row>
    <row r="346" spans="1:10 1352:2024 2074:3034 3080:3850" ht="12.75" customHeight="1" x14ac:dyDescent="0.2">
      <c r="A346" t="s">
        <v>3601</v>
      </c>
      <c r="B346" t="s">
        <v>5127</v>
      </c>
      <c r="C346">
        <v>3646.31</v>
      </c>
      <c r="D346" s="23">
        <v>49.69</v>
      </c>
      <c r="BCU346" t="s">
        <v>5117</v>
      </c>
      <c r="BWZ346" t="s">
        <v>3441</v>
      </c>
      <c r="CPL346" t="s">
        <v>3837</v>
      </c>
      <c r="ELN346" t="s">
        <v>5855</v>
      </c>
      <c r="ENJ346" t="s">
        <v>5855</v>
      </c>
      <c r="EPF346" t="s">
        <v>5855</v>
      </c>
      <c r="ERB346" t="s">
        <v>3436</v>
      </c>
    </row>
    <row r="347" spans="1:10 1352:2024 2074:3034 3080:3850" ht="12.75" customHeight="1" x14ac:dyDescent="0.2">
      <c r="A347" t="s">
        <v>3602</v>
      </c>
      <c r="B347" t="s">
        <v>5128</v>
      </c>
      <c r="C347">
        <v>-90.3</v>
      </c>
      <c r="D347" s="23">
        <v>9.26</v>
      </c>
      <c r="J347" t="s">
        <v>5128</v>
      </c>
      <c r="BNS347" t="s">
        <v>5118</v>
      </c>
      <c r="CLT347" t="s">
        <v>4174</v>
      </c>
      <c r="CRN347" t="s">
        <v>3838</v>
      </c>
    </row>
    <row r="348" spans="1:10 1352:2024 2074:3034 3080:3850" ht="12.75" customHeight="1" x14ac:dyDescent="0.2">
      <c r="A348" t="s">
        <v>3602</v>
      </c>
      <c r="B348" t="s">
        <v>5129</v>
      </c>
      <c r="C348">
        <v>-76.88</v>
      </c>
      <c r="D348" s="23">
        <v>9.9600000000000009</v>
      </c>
      <c r="J348" t="s">
        <v>5129</v>
      </c>
      <c r="BPR348" t="s">
        <v>5119</v>
      </c>
      <c r="CJX348" t="s">
        <v>4175</v>
      </c>
      <c r="CTJ348" t="s">
        <v>3839</v>
      </c>
    </row>
    <row r="349" spans="1:10 1352:2024 2074:3034 3080:3850" ht="12.75" customHeight="1" x14ac:dyDescent="0.2">
      <c r="A349" t="s">
        <v>3602</v>
      </c>
      <c r="B349" t="s">
        <v>5130</v>
      </c>
      <c r="C349">
        <v>-63.63</v>
      </c>
      <c r="D349" s="23">
        <v>1.85</v>
      </c>
      <c r="J349" t="s">
        <v>5130</v>
      </c>
      <c r="CAT349" t="s">
        <v>3427</v>
      </c>
      <c r="CNP349" t="s">
        <v>3442</v>
      </c>
      <c r="DAN349" t="s">
        <v>3840</v>
      </c>
    </row>
    <row r="350" spans="1:10 1352:2024 2074:3034 3080:3850" ht="12.75" customHeight="1" x14ac:dyDescent="0.2">
      <c r="A350" t="s">
        <v>3602</v>
      </c>
      <c r="B350" t="s">
        <v>5131</v>
      </c>
      <c r="C350">
        <v>-55.64</v>
      </c>
      <c r="D350" s="23">
        <v>1.85</v>
      </c>
      <c r="J350" t="s">
        <v>5131</v>
      </c>
      <c r="CLM350" t="s">
        <v>3428</v>
      </c>
      <c r="CPR350" t="s">
        <v>3443</v>
      </c>
      <c r="DLP350" t="s">
        <v>3841</v>
      </c>
    </row>
    <row r="351" spans="1:10 1352:2024 2074:3034 3080:3850" ht="12.75" customHeight="1" x14ac:dyDescent="0.2">
      <c r="A351" t="s">
        <v>3602</v>
      </c>
      <c r="B351" t="s">
        <v>5132</v>
      </c>
      <c r="C351">
        <v>-47</v>
      </c>
      <c r="D351" s="23">
        <v>2.4900000000000002</v>
      </c>
      <c r="J351" t="s">
        <v>5132</v>
      </c>
      <c r="CRN351" t="s">
        <v>3444</v>
      </c>
      <c r="DAP351" t="s">
        <v>5120</v>
      </c>
      <c r="DNL351" t="s">
        <v>3842</v>
      </c>
    </row>
    <row r="352" spans="1:10 1352:2024 2074:3034 3080:3850" ht="12.75" customHeight="1" x14ac:dyDescent="0.2">
      <c r="A352" t="s">
        <v>3602</v>
      </c>
      <c r="B352" t="s">
        <v>5133</v>
      </c>
      <c r="C352">
        <v>-43.51</v>
      </c>
      <c r="D352" s="23">
        <v>6.05</v>
      </c>
      <c r="J352" t="s">
        <v>5133</v>
      </c>
      <c r="CYR352" t="s">
        <v>3445</v>
      </c>
      <c r="DLR352" t="s">
        <v>5121</v>
      </c>
      <c r="ENH352" t="s">
        <v>3843</v>
      </c>
    </row>
    <row r="353" spans="1:194 1592:1640 2984:3032 3362:4088 4136:4136" ht="12.75" customHeight="1" x14ac:dyDescent="0.2">
      <c r="A353" t="s">
        <v>3602</v>
      </c>
      <c r="B353" t="s">
        <v>7204</v>
      </c>
      <c r="C353">
        <v>-36.46</v>
      </c>
      <c r="D353" s="23">
        <v>1.85</v>
      </c>
      <c r="J353" t="s">
        <v>7204</v>
      </c>
      <c r="DJT353" t="s">
        <v>4176</v>
      </c>
      <c r="DYH353" t="s">
        <v>5122</v>
      </c>
      <c r="FCB353" t="s">
        <v>3844</v>
      </c>
    </row>
    <row r="354" spans="1:194 1592:1640 2984:3032 3362:4088 4136:4136" ht="12.75" customHeight="1" x14ac:dyDescent="0.2">
      <c r="A354" t="s">
        <v>3602</v>
      </c>
      <c r="B354" t="s">
        <v>5134</v>
      </c>
      <c r="C354">
        <v>-33.61</v>
      </c>
      <c r="D354" s="23">
        <v>1.85</v>
      </c>
      <c r="J354" t="s">
        <v>5134</v>
      </c>
      <c r="DLP354" t="s">
        <v>4177</v>
      </c>
      <c r="EAG354" t="s">
        <v>5123</v>
      </c>
    </row>
    <row r="355" spans="1:194 1592:1640 2984:3032 3362:4088 4136:4136" ht="12.75" customHeight="1" x14ac:dyDescent="0.2">
      <c r="A355" t="s">
        <v>3602</v>
      </c>
      <c r="B355" t="s">
        <v>7205</v>
      </c>
      <c r="C355">
        <v>-22</v>
      </c>
      <c r="D355" s="23">
        <v>0.5</v>
      </c>
      <c r="J355" t="s">
        <v>7205</v>
      </c>
      <c r="ECE355" t="s">
        <v>5124</v>
      </c>
      <c r="ELL355" t="s">
        <v>3446</v>
      </c>
    </row>
    <row r="356" spans="1:194 1592:1640 2984:3032 3362:4088 4136:4136" ht="12.75" customHeight="1" x14ac:dyDescent="0.2">
      <c r="A356" t="s">
        <v>3602</v>
      </c>
      <c r="B356" t="s">
        <v>7206</v>
      </c>
      <c r="C356">
        <v>-20</v>
      </c>
      <c r="D356" s="23">
        <v>0.5</v>
      </c>
      <c r="J356" t="s">
        <v>7206</v>
      </c>
      <c r="EED356" t="s">
        <v>5125</v>
      </c>
      <c r="FAF356" t="s">
        <v>3447</v>
      </c>
    </row>
    <row r="357" spans="1:194 1592:1640 2984:3032 3362:4088 4136:4136" ht="12.75" customHeight="1" x14ac:dyDescent="0.2">
      <c r="A357" t="s">
        <v>3602</v>
      </c>
      <c r="B357" t="s">
        <v>7207</v>
      </c>
      <c r="C357">
        <v>-14</v>
      </c>
      <c r="D357" s="23">
        <v>0.46</v>
      </c>
      <c r="J357" t="s">
        <v>7207</v>
      </c>
      <c r="EHV357" t="s">
        <v>5126</v>
      </c>
    </row>
    <row r="358" spans="1:194 1592:1640 2984:3032 3362:4088 4136:4136" ht="12.75" customHeight="1" x14ac:dyDescent="0.2">
      <c r="A358" t="s">
        <v>3602</v>
      </c>
      <c r="B358" t="s">
        <v>5135</v>
      </c>
      <c r="C358">
        <v>4</v>
      </c>
      <c r="D358" s="23">
        <v>1.99</v>
      </c>
      <c r="P358" t="s">
        <v>5135</v>
      </c>
      <c r="ELN358" t="s">
        <v>5127</v>
      </c>
    </row>
    <row r="359" spans="1:194 1592:1640 2984:3032 3362:4088 4136:4136" ht="12.75" customHeight="1" x14ac:dyDescent="0.2">
      <c r="A359" t="s">
        <v>3602</v>
      </c>
      <c r="B359" t="s">
        <v>5136</v>
      </c>
      <c r="C359">
        <v>7.99</v>
      </c>
      <c r="D359" s="23">
        <v>3.98</v>
      </c>
      <c r="V359" t="s">
        <v>5136</v>
      </c>
    </row>
    <row r="360" spans="1:194 1592:1640 2984:3032 3362:4088 4136:4136" ht="12.75" customHeight="1" x14ac:dyDescent="0.2">
      <c r="A360" t="s">
        <v>3602</v>
      </c>
      <c r="B360" t="s">
        <v>5137</v>
      </c>
      <c r="C360">
        <v>13.98</v>
      </c>
      <c r="D360" s="23">
        <v>19.920000000000002</v>
      </c>
      <c r="AR360" t="s">
        <v>5137</v>
      </c>
    </row>
    <row r="361" spans="1:194 1592:1640 2984:3032 3362:4088 4136:4136" ht="12.75" customHeight="1" x14ac:dyDescent="0.2">
      <c r="A361" t="s">
        <v>3602</v>
      </c>
      <c r="B361" t="s">
        <v>5138</v>
      </c>
      <c r="C361">
        <v>35.9</v>
      </c>
      <c r="D361" s="23">
        <v>2.99</v>
      </c>
      <c r="AW361" t="s">
        <v>5138</v>
      </c>
    </row>
    <row r="362" spans="1:194 1592:1640 2984:3032 3362:4088 4136:4136" ht="12.75" customHeight="1" x14ac:dyDescent="0.2">
      <c r="A362" t="s">
        <v>3602</v>
      </c>
      <c r="B362" t="s">
        <v>5139</v>
      </c>
      <c r="C362">
        <v>61.56</v>
      </c>
      <c r="D362" s="23">
        <v>3.98</v>
      </c>
      <c r="BX362" t="s">
        <v>5139</v>
      </c>
    </row>
    <row r="363" spans="1:194 1592:1640 2984:3032 3362:4088 4136:4136" ht="12.75" customHeight="1" x14ac:dyDescent="0.2">
      <c r="A363" t="s">
        <v>3602</v>
      </c>
      <c r="B363" t="s">
        <v>5140</v>
      </c>
      <c r="C363">
        <v>76.459999999999994</v>
      </c>
      <c r="D363" s="23">
        <v>2.78</v>
      </c>
      <c r="CK363" t="s">
        <v>5140</v>
      </c>
    </row>
    <row r="364" spans="1:194 1592:1640 2984:3032 3362:4088 4136:4136" ht="12.75" customHeight="1" x14ac:dyDescent="0.2">
      <c r="A364" t="s">
        <v>3602</v>
      </c>
      <c r="B364" t="s">
        <v>5141</v>
      </c>
      <c r="C364">
        <v>98</v>
      </c>
      <c r="D364" s="23">
        <v>39.840000000000003</v>
      </c>
      <c r="ER364" s="19" t="s">
        <v>5141</v>
      </c>
      <c r="BKB364" t="s">
        <v>3845</v>
      </c>
    </row>
    <row r="365" spans="1:194 1592:1640 2984:3032 3362:4088 4136:4136" ht="12.75" customHeight="1" x14ac:dyDescent="0.2">
      <c r="A365" t="s">
        <v>3602</v>
      </c>
      <c r="B365" t="s">
        <v>7208</v>
      </c>
      <c r="C365">
        <v>151.78</v>
      </c>
      <c r="D365" s="23">
        <v>18.52</v>
      </c>
      <c r="FX365" s="18" t="s">
        <v>7208</v>
      </c>
    </row>
    <row r="366" spans="1:194 1592:1640 2984:3032 3362:4088 4136:4136" ht="12.75" customHeight="1" x14ac:dyDescent="0.2">
      <c r="A366" t="s">
        <v>3602</v>
      </c>
      <c r="B366" t="s">
        <v>5142</v>
      </c>
      <c r="C366">
        <v>171.3</v>
      </c>
      <c r="D366" s="23">
        <v>5.56</v>
      </c>
      <c r="GE366" t="s">
        <v>5142</v>
      </c>
    </row>
    <row r="367" spans="1:194 1592:1640 2984:3032 3362:4088 4136:4136" ht="12.75" customHeight="1" x14ac:dyDescent="0.2">
      <c r="A367" t="s">
        <v>3602</v>
      </c>
      <c r="B367" t="s">
        <v>7209</v>
      </c>
      <c r="C367">
        <v>177.85</v>
      </c>
      <c r="D367" s="23">
        <v>1.85</v>
      </c>
      <c r="GH367" t="s">
        <v>7209</v>
      </c>
      <c r="BIF367" t="s">
        <v>3448</v>
      </c>
    </row>
    <row r="368" spans="1:194 1592:1640 2984:3032 3362:4088 4136:4136" ht="12.75" customHeight="1" x14ac:dyDescent="0.2">
      <c r="A368" t="s">
        <v>3602</v>
      </c>
      <c r="B368" t="s">
        <v>5143</v>
      </c>
      <c r="C368">
        <v>184</v>
      </c>
      <c r="D368" s="23">
        <v>0.5</v>
      </c>
      <c r="GL368" t="s">
        <v>5143</v>
      </c>
    </row>
    <row r="369" spans="1:752" ht="12.75" customHeight="1" x14ac:dyDescent="0.2">
      <c r="A369" t="s">
        <v>3602</v>
      </c>
      <c r="B369" t="s">
        <v>5144</v>
      </c>
      <c r="C369">
        <v>186</v>
      </c>
      <c r="D369" s="23">
        <v>1</v>
      </c>
      <c r="GO369" t="s">
        <v>5144</v>
      </c>
    </row>
    <row r="370" spans="1:752" ht="12.75" customHeight="1" x14ac:dyDescent="0.2">
      <c r="A370" t="s">
        <v>3602</v>
      </c>
      <c r="B370" t="s">
        <v>5145</v>
      </c>
      <c r="C370">
        <v>188</v>
      </c>
      <c r="D370" s="23">
        <v>9.9600000000000009</v>
      </c>
      <c r="GZ370" t="s">
        <v>5145</v>
      </c>
    </row>
    <row r="371" spans="1:752" ht="12.75" customHeight="1" x14ac:dyDescent="0.2">
      <c r="A371" t="s">
        <v>3602</v>
      </c>
      <c r="B371" t="s">
        <v>5146</v>
      </c>
      <c r="C371">
        <v>196</v>
      </c>
      <c r="D371" s="23">
        <v>39.840000000000003</v>
      </c>
      <c r="IL371" t="s">
        <v>5146</v>
      </c>
    </row>
    <row r="372" spans="1:752" ht="12.75" customHeight="1" x14ac:dyDescent="0.2">
      <c r="A372" t="s">
        <v>3602</v>
      </c>
      <c r="B372" t="s">
        <v>5147</v>
      </c>
      <c r="C372">
        <v>232.51</v>
      </c>
      <c r="D372" s="23">
        <v>37.04</v>
      </c>
      <c r="JT372" t="s">
        <v>5147</v>
      </c>
    </row>
    <row r="373" spans="1:752" ht="12.75" customHeight="1" x14ac:dyDescent="0.2">
      <c r="A373" t="s">
        <v>3602</v>
      </c>
      <c r="B373" t="s">
        <v>5148</v>
      </c>
      <c r="C373">
        <v>312</v>
      </c>
      <c r="D373" s="23">
        <v>10.19</v>
      </c>
      <c r="LT373" t="s">
        <v>5148</v>
      </c>
    </row>
    <row r="374" spans="1:752" ht="12.75" customHeight="1" x14ac:dyDescent="0.2">
      <c r="A374" t="s">
        <v>3602</v>
      </c>
      <c r="B374" t="s">
        <v>5149</v>
      </c>
      <c r="C374">
        <v>337.19</v>
      </c>
      <c r="D374" s="23">
        <v>1.85</v>
      </c>
      <c r="MK374" t="s">
        <v>5149</v>
      </c>
    </row>
    <row r="375" spans="1:752" ht="12.75" customHeight="1" x14ac:dyDescent="0.2">
      <c r="A375" t="s">
        <v>3602</v>
      </c>
      <c r="B375" t="s">
        <v>5150</v>
      </c>
      <c r="C375">
        <v>470.74</v>
      </c>
      <c r="D375" s="23">
        <v>9.26</v>
      </c>
      <c r="RV375" t="s">
        <v>5150</v>
      </c>
    </row>
    <row r="376" spans="1:752" ht="12.75" customHeight="1" x14ac:dyDescent="0.2">
      <c r="A376" t="s">
        <v>3602</v>
      </c>
      <c r="B376" t="s">
        <v>5151</v>
      </c>
      <c r="C376">
        <v>516</v>
      </c>
      <c r="D376" s="23">
        <v>5.56</v>
      </c>
      <c r="TL376" s="19" t="s">
        <v>5151</v>
      </c>
    </row>
    <row r="377" spans="1:752" ht="12.75" customHeight="1" x14ac:dyDescent="0.2">
      <c r="A377" t="s">
        <v>3602</v>
      </c>
      <c r="B377" t="s">
        <v>5152</v>
      </c>
      <c r="C377">
        <v>528</v>
      </c>
      <c r="D377" s="23">
        <v>9.26</v>
      </c>
      <c r="UA377" t="s">
        <v>5152</v>
      </c>
    </row>
    <row r="378" spans="1:752" ht="12.75" customHeight="1" x14ac:dyDescent="0.2">
      <c r="A378" t="s">
        <v>3602</v>
      </c>
      <c r="B378" t="s">
        <v>5153</v>
      </c>
      <c r="C378">
        <v>549.92999999999995</v>
      </c>
      <c r="D378" s="23">
        <v>19.920000000000002</v>
      </c>
      <c r="VH378" s="19" t="s">
        <v>5153</v>
      </c>
    </row>
    <row r="379" spans="1:752" ht="12.75" customHeight="1" x14ac:dyDescent="0.2">
      <c r="A379" t="s">
        <v>3602</v>
      </c>
      <c r="B379" t="s">
        <v>5154</v>
      </c>
      <c r="C379">
        <v>621.61</v>
      </c>
      <c r="D379" s="23">
        <v>9.26</v>
      </c>
      <c r="XQ379" t="s">
        <v>5154</v>
      </c>
    </row>
    <row r="380" spans="1:752" ht="12.75" customHeight="1" x14ac:dyDescent="0.2">
      <c r="A380" t="s">
        <v>3602</v>
      </c>
      <c r="B380" t="s">
        <v>5155</v>
      </c>
      <c r="C380">
        <v>668.05</v>
      </c>
      <c r="D380" s="23">
        <v>5.98</v>
      </c>
      <c r="ZH380" t="s">
        <v>5155</v>
      </c>
    </row>
    <row r="381" spans="1:752" ht="12.75" customHeight="1" x14ac:dyDescent="0.2">
      <c r="A381" t="s">
        <v>3602</v>
      </c>
      <c r="B381" t="s">
        <v>5156</v>
      </c>
      <c r="C381">
        <v>675.03</v>
      </c>
      <c r="D381" s="23">
        <v>39.840000000000003</v>
      </c>
      <c r="AAW381" t="s">
        <v>5156</v>
      </c>
    </row>
    <row r="382" spans="1:752" ht="12.75" customHeight="1" x14ac:dyDescent="0.2">
      <c r="A382" t="s">
        <v>3602</v>
      </c>
      <c r="B382" t="s">
        <v>5157</v>
      </c>
      <c r="C382">
        <v>714</v>
      </c>
      <c r="D382" s="23">
        <v>1.85</v>
      </c>
      <c r="AAX382" t="s">
        <v>5157</v>
      </c>
    </row>
    <row r="383" spans="1:752" ht="12.75" customHeight="1" x14ac:dyDescent="0.2">
      <c r="A383" t="s">
        <v>3602</v>
      </c>
      <c r="B383" t="s">
        <v>5158</v>
      </c>
      <c r="C383">
        <v>716.87</v>
      </c>
      <c r="D383" s="23">
        <v>11.95</v>
      </c>
      <c r="ABK383" t="s">
        <v>5158</v>
      </c>
    </row>
    <row r="384" spans="1:752" ht="12.75" customHeight="1" x14ac:dyDescent="0.2">
      <c r="A384" t="s">
        <v>3602</v>
      </c>
      <c r="B384" t="s">
        <v>5159</v>
      </c>
      <c r="C384">
        <v>729.83</v>
      </c>
      <c r="D384" s="23">
        <v>11.95</v>
      </c>
      <c r="ABX384" t="s">
        <v>5159</v>
      </c>
    </row>
    <row r="385" spans="1:1018 1162:2026 2074:2551 3574:3574" ht="12.75" customHeight="1" x14ac:dyDescent="0.2">
      <c r="A385" t="s">
        <v>3602</v>
      </c>
      <c r="B385" t="s">
        <v>5160</v>
      </c>
      <c r="C385">
        <v>743.78</v>
      </c>
      <c r="D385" s="23">
        <v>1.85</v>
      </c>
      <c r="ACB385" s="18" t="s">
        <v>5160</v>
      </c>
    </row>
    <row r="386" spans="1:1018 1162:2026 2074:2551 3574:3574" ht="12.75" customHeight="1" x14ac:dyDescent="0.2">
      <c r="A386" t="s">
        <v>3602</v>
      </c>
      <c r="B386" t="s">
        <v>5161</v>
      </c>
      <c r="C386">
        <v>746.63</v>
      </c>
      <c r="D386" s="23">
        <v>1.85</v>
      </c>
      <c r="ACD386" t="s">
        <v>5161</v>
      </c>
    </row>
    <row r="387" spans="1:1018 1162:2026 2074:2551 3574:3574" ht="12.75" customHeight="1" x14ac:dyDescent="0.2">
      <c r="A387" t="s">
        <v>3602</v>
      </c>
      <c r="B387" t="s">
        <v>5162</v>
      </c>
      <c r="C387">
        <v>749.48</v>
      </c>
      <c r="D387" s="23">
        <v>18.52</v>
      </c>
      <c r="ACX387" t="s">
        <v>5162</v>
      </c>
    </row>
    <row r="388" spans="1:1018 1162:2026 2074:2551 3574:3574" ht="12.75" customHeight="1" x14ac:dyDescent="0.2">
      <c r="A388" t="s">
        <v>3602</v>
      </c>
      <c r="B388" t="s">
        <v>5163</v>
      </c>
      <c r="C388">
        <v>774.81</v>
      </c>
      <c r="D388" s="23">
        <v>185.19</v>
      </c>
      <c r="AKH388" t="s">
        <v>5163</v>
      </c>
    </row>
    <row r="389" spans="1:1018 1162:2026 2074:2551 3574:3574" ht="12.75" customHeight="1" x14ac:dyDescent="0.2">
      <c r="A389" t="s">
        <v>3602</v>
      </c>
      <c r="B389" t="s">
        <v>5164</v>
      </c>
      <c r="C389">
        <v>1004.3</v>
      </c>
      <c r="D389" s="23">
        <v>3.7</v>
      </c>
      <c r="AMD389" t="s">
        <v>5164</v>
      </c>
    </row>
    <row r="390" spans="1:1018 1162:2026 2074:2551 3574:3574" ht="12.75" customHeight="1" x14ac:dyDescent="0.2">
      <c r="A390" t="s">
        <v>3602</v>
      </c>
      <c r="B390" t="s">
        <v>5165</v>
      </c>
      <c r="C390">
        <v>1150.1500000000001</v>
      </c>
      <c r="D390" s="23">
        <v>1.85</v>
      </c>
      <c r="ARR390" t="s">
        <v>5165</v>
      </c>
    </row>
    <row r="391" spans="1:1018 1162:2026 2074:2551 3574:3574" ht="12.75" customHeight="1" x14ac:dyDescent="0.2">
      <c r="A391" t="s">
        <v>3602</v>
      </c>
      <c r="B391" t="s">
        <v>5166</v>
      </c>
      <c r="C391">
        <v>1343.5</v>
      </c>
      <c r="D391" s="23">
        <v>0.5</v>
      </c>
      <c r="AZB391" t="s">
        <v>5856</v>
      </c>
      <c r="BAX391" t="s">
        <v>5856</v>
      </c>
      <c r="BCT391" t="s">
        <v>5856</v>
      </c>
      <c r="BEP391" t="s">
        <v>3437</v>
      </c>
    </row>
    <row r="392" spans="1:1018 1162:2026 2074:2551 3574:3574" ht="12.75" customHeight="1" x14ac:dyDescent="0.2">
      <c r="A392" t="s">
        <v>3602</v>
      </c>
      <c r="B392" t="s">
        <v>5167</v>
      </c>
      <c r="C392">
        <v>1469.48</v>
      </c>
      <c r="D392" s="23">
        <v>18.52</v>
      </c>
      <c r="BEP392" t="s">
        <v>5857</v>
      </c>
      <c r="BGL392" t="s">
        <v>5857</v>
      </c>
      <c r="BIH392" t="s">
        <v>5857</v>
      </c>
      <c r="BKD392" t="s">
        <v>3438</v>
      </c>
    </row>
    <row r="393" spans="1:1018 1162:2026 2074:2551 3574:3574" ht="12.75" customHeight="1" x14ac:dyDescent="0.2">
      <c r="A393" t="s">
        <v>3602</v>
      </c>
      <c r="B393" t="s">
        <v>5168</v>
      </c>
      <c r="C393">
        <v>1533.11</v>
      </c>
      <c r="D393" s="23">
        <v>9.26</v>
      </c>
      <c r="AYZ393" t="s">
        <v>3846</v>
      </c>
      <c r="BGR393" t="s">
        <v>5858</v>
      </c>
      <c r="BIN393" t="s">
        <v>5858</v>
      </c>
      <c r="BKJ393" t="s">
        <v>5858</v>
      </c>
      <c r="BMF393" t="s">
        <v>3439</v>
      </c>
    </row>
    <row r="394" spans="1:1018 1162:2026 2074:2551 3574:3574" ht="12.75" customHeight="1" x14ac:dyDescent="0.2">
      <c r="A394" t="s">
        <v>3602</v>
      </c>
      <c r="B394" t="s">
        <v>4787</v>
      </c>
      <c r="C394">
        <v>1629.22</v>
      </c>
      <c r="D394" s="23">
        <v>2.78</v>
      </c>
      <c r="BKB394" t="s">
        <v>3847</v>
      </c>
      <c r="BKD394" t="s">
        <v>5859</v>
      </c>
      <c r="BLZ394" t="s">
        <v>5859</v>
      </c>
      <c r="BNV394" t="s">
        <v>5859</v>
      </c>
      <c r="BPR394" t="s">
        <v>4787</v>
      </c>
    </row>
    <row r="395" spans="1:1018 1162:2026 2074:2551 3574:3574" ht="12.75" customHeight="1" x14ac:dyDescent="0.2">
      <c r="A395" t="s">
        <v>3602</v>
      </c>
      <c r="B395" t="s">
        <v>7210</v>
      </c>
      <c r="C395">
        <v>1667.89</v>
      </c>
      <c r="D395" s="23">
        <v>1.85</v>
      </c>
      <c r="BIF395" t="s">
        <v>3449</v>
      </c>
      <c r="BLP395" t="s">
        <v>5860</v>
      </c>
      <c r="BNL395" t="s">
        <v>5860</v>
      </c>
      <c r="BNT395" t="s">
        <v>3848</v>
      </c>
      <c r="BPH395" t="s">
        <v>5860</v>
      </c>
      <c r="BRD395" t="s">
        <v>4788</v>
      </c>
    </row>
    <row r="396" spans="1:1018 1162:2026 2074:2551 3574:3574" ht="12.75" customHeight="1" x14ac:dyDescent="0.2">
      <c r="A396" t="s">
        <v>3602</v>
      </c>
      <c r="B396" t="s">
        <v>7211</v>
      </c>
      <c r="C396">
        <v>1670.74</v>
      </c>
      <c r="D396" s="23">
        <v>9.26</v>
      </c>
      <c r="BLX396" t="s">
        <v>3450</v>
      </c>
      <c r="BLZ396" t="s">
        <v>5861</v>
      </c>
      <c r="BNV396" t="s">
        <v>5861</v>
      </c>
      <c r="BPR396" t="s">
        <v>5861</v>
      </c>
      <c r="BRN396" t="s">
        <v>4789</v>
      </c>
      <c r="BTH396" t="s">
        <v>3849</v>
      </c>
    </row>
    <row r="397" spans="1:1018 1162:2026 2074:2551 3574:3574" ht="12.75" customHeight="1" x14ac:dyDescent="0.2">
      <c r="A397" t="s">
        <v>3602</v>
      </c>
      <c r="B397" t="s">
        <v>7212</v>
      </c>
      <c r="C397">
        <v>1971.41</v>
      </c>
      <c r="D397" s="23">
        <v>92.59</v>
      </c>
      <c r="BRL397" t="s">
        <v>3451</v>
      </c>
      <c r="CAT397" t="s">
        <v>5862</v>
      </c>
      <c r="CCP397" t="s">
        <v>5862</v>
      </c>
      <c r="CEL397" t="s">
        <v>5862</v>
      </c>
      <c r="CGH397" t="s">
        <v>4790</v>
      </c>
      <c r="CLT397" t="s">
        <v>3850</v>
      </c>
    </row>
    <row r="398" spans="1:1018 1162:2026 2074:2551 3574:3574" ht="12.75" customHeight="1" x14ac:dyDescent="0.2">
      <c r="A398" t="s">
        <v>3602</v>
      </c>
      <c r="B398" t="s">
        <v>7213</v>
      </c>
      <c r="C398">
        <v>1997.48</v>
      </c>
      <c r="D398" s="23">
        <v>18.52</v>
      </c>
      <c r="BYX398" t="s">
        <v>5863</v>
      </c>
      <c r="CAT398" t="s">
        <v>5863</v>
      </c>
      <c r="CCP398" t="s">
        <v>5863</v>
      </c>
      <c r="CEL398" t="s">
        <v>4791</v>
      </c>
      <c r="CJX398" t="s">
        <v>4178</v>
      </c>
      <c r="CPL398" t="s">
        <v>3851</v>
      </c>
    </row>
    <row r="399" spans="1:1018 1162:2026 2074:2551 3574:3574" ht="12.75" customHeight="1" x14ac:dyDescent="0.2">
      <c r="A399" t="s">
        <v>3602</v>
      </c>
      <c r="B399" t="s">
        <v>7214</v>
      </c>
      <c r="C399">
        <v>2093.48</v>
      </c>
      <c r="D399" s="23">
        <v>18.52</v>
      </c>
      <c r="CCP399" t="s">
        <v>5864</v>
      </c>
      <c r="CEL399" t="s">
        <v>5864</v>
      </c>
      <c r="CGH399" t="s">
        <v>5864</v>
      </c>
      <c r="CID399" t="s">
        <v>3442</v>
      </c>
      <c r="CNP399" t="s">
        <v>3626</v>
      </c>
      <c r="CTC399" t="s">
        <v>3852</v>
      </c>
    </row>
    <row r="400" spans="1:1018 1162:2026 2074:2551 3574:3574" ht="12.75" customHeight="1" x14ac:dyDescent="0.2">
      <c r="A400" t="s">
        <v>3602</v>
      </c>
      <c r="B400" t="s">
        <v>7215</v>
      </c>
      <c r="C400">
        <v>2157.11</v>
      </c>
      <c r="D400" s="23">
        <v>9.26</v>
      </c>
      <c r="CER400" t="s">
        <v>5865</v>
      </c>
      <c r="CGN400" t="s">
        <v>5865</v>
      </c>
      <c r="CIJ400" t="s">
        <v>5865</v>
      </c>
      <c r="CKF400" t="s">
        <v>4792</v>
      </c>
      <c r="CRG400" t="s">
        <v>4179</v>
      </c>
      <c r="EGL400" t="s">
        <v>3853</v>
      </c>
    </row>
    <row r="401" spans="1:778 1354:1666 2224:2890 3370:3946" ht="12.75" customHeight="1" x14ac:dyDescent="0.2">
      <c r="A401" t="s">
        <v>3602</v>
      </c>
      <c r="B401" t="s">
        <v>5169</v>
      </c>
      <c r="C401">
        <v>2211.96</v>
      </c>
      <c r="D401" s="23">
        <v>1.85</v>
      </c>
      <c r="CGN401" t="s">
        <v>5866</v>
      </c>
      <c r="CIJ401" t="s">
        <v>5866</v>
      </c>
      <c r="CKF401" t="s">
        <v>5866</v>
      </c>
      <c r="CMB401" t="s">
        <v>3444</v>
      </c>
      <c r="EEP401" t="s">
        <v>4180</v>
      </c>
    </row>
    <row r="402" spans="1:778 1354:1666 2224:2890 3370:3946" ht="12.75" customHeight="1" x14ac:dyDescent="0.2">
      <c r="A402" t="s">
        <v>3602</v>
      </c>
      <c r="B402" t="s">
        <v>5170</v>
      </c>
      <c r="C402">
        <v>2214.81</v>
      </c>
      <c r="D402" s="23">
        <v>185.19</v>
      </c>
      <c r="CNR402" t="s">
        <v>5867</v>
      </c>
      <c r="CPN402" t="s">
        <v>5867</v>
      </c>
      <c r="CRJ402" t="s">
        <v>5867</v>
      </c>
      <c r="CTF402" t="s">
        <v>3445</v>
      </c>
    </row>
    <row r="403" spans="1:778 1354:1666 2224:2890 3370:3946" ht="12.75" customHeight="1" x14ac:dyDescent="0.2">
      <c r="A403" t="s">
        <v>3602</v>
      </c>
      <c r="B403" t="s">
        <v>5171</v>
      </c>
      <c r="C403">
        <v>2730.44</v>
      </c>
      <c r="D403" s="23">
        <v>5.56</v>
      </c>
      <c r="DAP403" t="s">
        <v>5868</v>
      </c>
      <c r="DCL403" t="s">
        <v>5868</v>
      </c>
      <c r="DEH403" t="s">
        <v>5868</v>
      </c>
      <c r="DGD403" t="s">
        <v>4177</v>
      </c>
    </row>
    <row r="404" spans="1:778 1354:1666 2224:2890 3370:3946" ht="12.75" customHeight="1" x14ac:dyDescent="0.2">
      <c r="A404" t="s">
        <v>3602</v>
      </c>
      <c r="B404" t="s">
        <v>5172</v>
      </c>
      <c r="C404">
        <v>3300.23</v>
      </c>
      <c r="D404" s="23">
        <v>59.77</v>
      </c>
      <c r="DYP404" t="s">
        <v>5869</v>
      </c>
      <c r="EAL404" t="s">
        <v>5869</v>
      </c>
      <c r="ECH404" t="s">
        <v>5869</v>
      </c>
      <c r="EED404" t="s">
        <v>4793</v>
      </c>
    </row>
    <row r="405" spans="1:778 1354:1666 2224:2890 3370:3946" ht="12.75" customHeight="1" x14ac:dyDescent="0.2">
      <c r="A405" t="s">
        <v>3602</v>
      </c>
      <c r="B405" t="s">
        <v>5173</v>
      </c>
      <c r="C405">
        <v>3406.15</v>
      </c>
      <c r="D405" s="23">
        <v>1.85</v>
      </c>
      <c r="EAL405" t="s">
        <v>5870</v>
      </c>
      <c r="ECH405" t="s">
        <v>5870</v>
      </c>
      <c r="EED405" t="s">
        <v>5870</v>
      </c>
      <c r="EFZ405" t="s">
        <v>3446</v>
      </c>
    </row>
    <row r="406" spans="1:778 1354:1666 2224:2890 3370:3946" ht="12.75" customHeight="1" x14ac:dyDescent="0.2">
      <c r="A406" t="s">
        <v>3602</v>
      </c>
      <c r="B406" t="s">
        <v>7216</v>
      </c>
      <c r="C406">
        <v>3791.5</v>
      </c>
      <c r="D406" s="23">
        <v>0.5</v>
      </c>
      <c r="EPF406" t="s">
        <v>5871</v>
      </c>
      <c r="ERB406" t="s">
        <v>5871</v>
      </c>
      <c r="ESX406" t="s">
        <v>5871</v>
      </c>
      <c r="EUT406" t="s">
        <v>4794</v>
      </c>
    </row>
    <row r="407" spans="1:778 1354:1666 2224:2890 3370:3946" ht="12.75" customHeight="1" x14ac:dyDescent="0.2">
      <c r="A407" t="s">
        <v>3603</v>
      </c>
      <c r="B407" t="s">
        <v>5174</v>
      </c>
      <c r="C407">
        <v>-96</v>
      </c>
      <c r="D407" s="23">
        <v>0.76</v>
      </c>
      <c r="J407" t="s">
        <v>5174</v>
      </c>
    </row>
    <row r="408" spans="1:778 1354:1666 2224:2890 3370:3946" ht="12.75" customHeight="1" x14ac:dyDescent="0.2">
      <c r="A408" t="s">
        <v>3603</v>
      </c>
      <c r="B408" t="s">
        <v>5175</v>
      </c>
      <c r="C408">
        <v>-75.45</v>
      </c>
      <c r="D408" s="23">
        <v>30.3</v>
      </c>
      <c r="J408" t="s">
        <v>5175</v>
      </c>
    </row>
    <row r="409" spans="1:778 1354:1666 2224:2890 3370:3946" ht="12.75" customHeight="1" x14ac:dyDescent="0.2">
      <c r="A409" t="s">
        <v>3603</v>
      </c>
      <c r="B409" t="s">
        <v>5176</v>
      </c>
      <c r="C409">
        <v>-43.44</v>
      </c>
      <c r="D409" s="23">
        <v>16.02</v>
      </c>
      <c r="J409" t="s">
        <v>5176</v>
      </c>
    </row>
    <row r="410" spans="1:778 1354:1666 2224:2890 3370:3946" ht="12.75" customHeight="1" x14ac:dyDescent="0.2">
      <c r="A410" t="s">
        <v>3603</v>
      </c>
      <c r="B410" t="s">
        <v>5177</v>
      </c>
      <c r="C410">
        <v>-23.43</v>
      </c>
      <c r="D410" s="23">
        <v>1.52</v>
      </c>
      <c r="J410" t="s">
        <v>5177</v>
      </c>
    </row>
    <row r="411" spans="1:778 1354:1666 2224:2890 3370:3946" ht="12.75" customHeight="1" x14ac:dyDescent="0.2">
      <c r="A411" t="s">
        <v>3603</v>
      </c>
      <c r="B411" t="s">
        <v>5178</v>
      </c>
      <c r="C411">
        <v>-15.41</v>
      </c>
      <c r="D411" s="23">
        <v>8.01</v>
      </c>
      <c r="J411" t="s">
        <v>5178</v>
      </c>
    </row>
    <row r="412" spans="1:778 1354:1666 2224:2890 3370:3946" ht="12.75" customHeight="1" x14ac:dyDescent="0.2">
      <c r="A412" t="s">
        <v>3603</v>
      </c>
      <c r="B412" t="s">
        <v>5179</v>
      </c>
      <c r="C412">
        <v>1</v>
      </c>
      <c r="D412" s="23">
        <v>75.760000000000005</v>
      </c>
      <c r="CI412" t="s">
        <v>5179</v>
      </c>
      <c r="AZB412" t="s">
        <v>5166</v>
      </c>
    </row>
    <row r="413" spans="1:778 1354:1666 2224:2890 3370:3946" ht="12.75" customHeight="1" x14ac:dyDescent="0.2">
      <c r="A413" t="s">
        <v>3603</v>
      </c>
      <c r="B413" t="s">
        <v>5180</v>
      </c>
      <c r="C413">
        <v>97</v>
      </c>
      <c r="D413" s="23">
        <v>282.77</v>
      </c>
      <c r="NZ413" t="s">
        <v>5180</v>
      </c>
      <c r="BEP413" t="s">
        <v>5167</v>
      </c>
    </row>
    <row r="414" spans="1:778 1354:1666 2224:2890 3370:3946" ht="12.75" customHeight="1" x14ac:dyDescent="0.2">
      <c r="A414" t="s">
        <v>3603</v>
      </c>
      <c r="B414" t="s">
        <v>5181</v>
      </c>
      <c r="C414">
        <v>403.02</v>
      </c>
      <c r="D414" s="23">
        <v>24.03</v>
      </c>
      <c r="PU414" t="s">
        <v>5181</v>
      </c>
      <c r="BGR414" t="s">
        <v>5168</v>
      </c>
    </row>
    <row r="415" spans="1:778 1354:1666 2224:2890 3370:3946" ht="12.75" customHeight="1" x14ac:dyDescent="0.2">
      <c r="A415" t="s">
        <v>3603</v>
      </c>
      <c r="B415" t="s">
        <v>5182</v>
      </c>
      <c r="C415">
        <v>428.05</v>
      </c>
      <c r="D415" s="23">
        <v>16.02</v>
      </c>
      <c r="QL415" t="s">
        <v>5182</v>
      </c>
      <c r="BKD415" t="s">
        <v>6796</v>
      </c>
    </row>
    <row r="416" spans="1:778 1354:1666 2224:2890 3370:3946" ht="12.75" customHeight="1" x14ac:dyDescent="0.2">
      <c r="A416" t="s">
        <v>3603</v>
      </c>
      <c r="B416" t="s">
        <v>5183</v>
      </c>
      <c r="C416">
        <v>735.96</v>
      </c>
      <c r="D416" s="23">
        <v>32.04</v>
      </c>
      <c r="ACX416" t="s">
        <v>5183</v>
      </c>
      <c r="BLB416" t="s">
        <v>6797</v>
      </c>
    </row>
    <row r="417" spans="1:952 1306:2026 2074:2746 3370:3802" ht="12.75" customHeight="1" x14ac:dyDescent="0.2">
      <c r="A417" t="s">
        <v>3603</v>
      </c>
      <c r="B417" t="s">
        <v>7217</v>
      </c>
      <c r="C417">
        <v>842.8</v>
      </c>
      <c r="D417" s="23">
        <v>65.69</v>
      </c>
      <c r="AIH417" t="s">
        <v>7217</v>
      </c>
      <c r="BLP417" t="s">
        <v>6798</v>
      </c>
    </row>
    <row r="418" spans="1:952 1306:2026 2074:2746 3370:3802" ht="12.75" customHeight="1" x14ac:dyDescent="0.2">
      <c r="A418" t="s">
        <v>3603</v>
      </c>
      <c r="B418" t="s">
        <v>5184</v>
      </c>
      <c r="C418">
        <v>909.49</v>
      </c>
      <c r="D418" s="23">
        <v>32.04</v>
      </c>
      <c r="AJP418" t="s">
        <v>5184</v>
      </c>
      <c r="BLZ418" t="s">
        <v>6799</v>
      </c>
    </row>
    <row r="419" spans="1:952 1306:2026 2074:2746 3370:3802" ht="12.75" customHeight="1" x14ac:dyDescent="0.2">
      <c r="A419" t="s">
        <v>3603</v>
      </c>
      <c r="B419" t="s">
        <v>5185</v>
      </c>
      <c r="C419">
        <v>1263.96</v>
      </c>
      <c r="D419" s="23">
        <v>32.04</v>
      </c>
      <c r="AXF419" t="s">
        <v>5185</v>
      </c>
      <c r="AZB419" t="s">
        <v>5872</v>
      </c>
      <c r="BAX419" t="s">
        <v>5872</v>
      </c>
      <c r="BCT419" t="s">
        <v>3448</v>
      </c>
      <c r="CAT419" t="s">
        <v>6800</v>
      </c>
    </row>
    <row r="420" spans="1:952 1306:2026 2074:2746 3370:3802" ht="12.75" customHeight="1" x14ac:dyDescent="0.2">
      <c r="A420" t="s">
        <v>3604</v>
      </c>
      <c r="B420" t="s">
        <v>5186</v>
      </c>
      <c r="C420">
        <v>-75.39</v>
      </c>
      <c r="D420" s="23">
        <v>28.57</v>
      </c>
      <c r="J420" t="s">
        <v>5186</v>
      </c>
      <c r="BYX420" t="s">
        <v>6801</v>
      </c>
    </row>
    <row r="421" spans="1:952 1306:2026 2074:2746 3370:3802" ht="12.75" customHeight="1" x14ac:dyDescent="0.2">
      <c r="A421" t="s">
        <v>3604</v>
      </c>
      <c r="B421" t="s">
        <v>5187</v>
      </c>
      <c r="C421">
        <v>-44.46</v>
      </c>
      <c r="D421" s="23">
        <v>45.29</v>
      </c>
      <c r="J421" t="s">
        <v>5187</v>
      </c>
      <c r="CCP421" t="s">
        <v>6802</v>
      </c>
    </row>
    <row r="422" spans="1:952 1306:2026 2074:2746 3370:3802" ht="12.75" customHeight="1" x14ac:dyDescent="0.2">
      <c r="A422" t="s">
        <v>3604</v>
      </c>
      <c r="B422" t="s">
        <v>5188</v>
      </c>
      <c r="C422">
        <v>2.83</v>
      </c>
      <c r="D422" s="23">
        <v>2.86</v>
      </c>
      <c r="P422" t="s">
        <v>5188</v>
      </c>
      <c r="CER422" t="s">
        <v>6803</v>
      </c>
    </row>
    <row r="423" spans="1:952 1306:2026 2074:2746 3370:3802" ht="12.75" customHeight="1" x14ac:dyDescent="0.2">
      <c r="A423" t="s">
        <v>3604</v>
      </c>
      <c r="B423" t="s">
        <v>5189</v>
      </c>
      <c r="C423">
        <v>10</v>
      </c>
      <c r="D423" s="23">
        <v>30.19</v>
      </c>
      <c r="AX423" t="s">
        <v>5189</v>
      </c>
      <c r="CGN423" t="s">
        <v>5169</v>
      </c>
    </row>
    <row r="424" spans="1:952 1306:2026 2074:2746 3370:3802" ht="12.75" customHeight="1" x14ac:dyDescent="0.2">
      <c r="A424" t="s">
        <v>3604</v>
      </c>
      <c r="B424" t="s">
        <v>5190</v>
      </c>
      <c r="C424">
        <v>44.63</v>
      </c>
      <c r="D424" s="23">
        <v>29.44</v>
      </c>
      <c r="CF424" s="18" t="s">
        <v>5190</v>
      </c>
      <c r="CNR424" t="s">
        <v>5170</v>
      </c>
    </row>
    <row r="425" spans="1:952 1306:2026 2074:2746 3370:3802" ht="12.75" customHeight="1" x14ac:dyDescent="0.2">
      <c r="A425" t="s">
        <v>3604</v>
      </c>
      <c r="B425" t="s">
        <v>7218</v>
      </c>
      <c r="C425">
        <v>78</v>
      </c>
      <c r="D425" s="23">
        <v>14.29</v>
      </c>
      <c r="CX425" t="s">
        <v>7218</v>
      </c>
      <c r="CYT425" t="s">
        <v>6804</v>
      </c>
    </row>
    <row r="426" spans="1:952 1306:2026 2074:2746 3370:3802" ht="12.75" customHeight="1" x14ac:dyDescent="0.2">
      <c r="A426" t="s">
        <v>3604</v>
      </c>
      <c r="B426" t="s">
        <v>7219</v>
      </c>
      <c r="C426">
        <v>100</v>
      </c>
      <c r="D426" s="23">
        <v>28.57</v>
      </c>
      <c r="EI426" t="s">
        <v>7219</v>
      </c>
      <c r="DAP426" t="s">
        <v>5171</v>
      </c>
    </row>
    <row r="427" spans="1:952 1306:2026 2074:2746 3370:3802" ht="12.75" customHeight="1" x14ac:dyDescent="0.2">
      <c r="A427" t="s">
        <v>3604</v>
      </c>
      <c r="B427" t="s">
        <v>7220</v>
      </c>
      <c r="C427">
        <v>138</v>
      </c>
      <c r="D427" s="23">
        <v>7.14</v>
      </c>
      <c r="EY427" t="s">
        <v>7220</v>
      </c>
      <c r="DYP427" t="s">
        <v>5172</v>
      </c>
    </row>
    <row r="428" spans="1:952 1306:2026 2074:2746 3370:3802" ht="12.75" customHeight="1" x14ac:dyDescent="0.2">
      <c r="A428" t="s">
        <v>3604</v>
      </c>
      <c r="B428" t="s">
        <v>7221</v>
      </c>
      <c r="C428">
        <v>150.82</v>
      </c>
      <c r="D428" s="23">
        <v>0.38</v>
      </c>
      <c r="FE428" t="s">
        <v>7221</v>
      </c>
      <c r="EAL428" t="s">
        <v>5173</v>
      </c>
    </row>
    <row r="429" spans="1:952 1306:2026 2074:2746 3370:3802" ht="12.75" customHeight="1" x14ac:dyDescent="0.2">
      <c r="A429" t="s">
        <v>3604</v>
      </c>
      <c r="B429" t="s">
        <v>5191</v>
      </c>
      <c r="C429">
        <v>160.86000000000001</v>
      </c>
      <c r="D429" s="23">
        <v>4.53</v>
      </c>
      <c r="FS429" t="s">
        <v>5191</v>
      </c>
      <c r="EPF429" t="s">
        <v>3447</v>
      </c>
    </row>
    <row r="430" spans="1:952 1306:2026 2074:2746 3370:3802" ht="12.75" customHeight="1" x14ac:dyDescent="0.2">
      <c r="A430" t="s">
        <v>3604</v>
      </c>
      <c r="B430" t="s">
        <v>5192</v>
      </c>
      <c r="C430">
        <v>174.87</v>
      </c>
      <c r="D430" s="23">
        <v>7.57</v>
      </c>
      <c r="GJ430" t="s">
        <v>5192</v>
      </c>
    </row>
    <row r="431" spans="1:952 1306:2026 2074:2746 3370:3802" ht="12.75" customHeight="1" x14ac:dyDescent="0.2">
      <c r="A431" t="s">
        <v>3604</v>
      </c>
      <c r="B431" t="s">
        <v>5193</v>
      </c>
      <c r="C431">
        <v>196</v>
      </c>
      <c r="D431" s="23">
        <v>30.19</v>
      </c>
      <c r="IB431" t="s">
        <v>5193</v>
      </c>
    </row>
    <row r="432" spans="1:952 1306:2026 2074:2746 3370:3802" ht="12.75" customHeight="1" x14ac:dyDescent="0.2">
      <c r="A432" t="s">
        <v>3604</v>
      </c>
      <c r="B432" t="s">
        <v>5194</v>
      </c>
      <c r="C432">
        <v>230</v>
      </c>
      <c r="D432" s="23">
        <v>8.57</v>
      </c>
      <c r="IO432" t="s">
        <v>5194</v>
      </c>
    </row>
    <row r="433" spans="1:898 1352:1400" ht="12.75" customHeight="1" x14ac:dyDescent="0.2">
      <c r="A433" t="s">
        <v>3604</v>
      </c>
      <c r="B433" t="s">
        <v>5195</v>
      </c>
      <c r="C433">
        <v>238</v>
      </c>
      <c r="D433" s="23">
        <v>45.29</v>
      </c>
      <c r="KG433" t="s">
        <v>5195</v>
      </c>
    </row>
    <row r="434" spans="1:898 1352:1400" ht="12.75" customHeight="1" x14ac:dyDescent="0.2">
      <c r="A434" t="s">
        <v>3604</v>
      </c>
      <c r="B434" t="s">
        <v>5196</v>
      </c>
      <c r="C434">
        <v>286</v>
      </c>
      <c r="D434" s="23">
        <v>28.57</v>
      </c>
      <c r="LM434" t="s">
        <v>5196</v>
      </c>
    </row>
    <row r="435" spans="1:898 1352:1400" ht="12.75" customHeight="1" x14ac:dyDescent="0.2">
      <c r="A435" t="s">
        <v>3604</v>
      </c>
      <c r="B435" t="s">
        <v>5197</v>
      </c>
      <c r="C435">
        <v>317.66000000000003</v>
      </c>
      <c r="D435" s="23">
        <v>28.57</v>
      </c>
      <c r="MR435" s="18" t="s">
        <v>5197</v>
      </c>
    </row>
    <row r="436" spans="1:898 1352:1400" ht="12.75" customHeight="1" x14ac:dyDescent="0.2">
      <c r="A436" t="s">
        <v>3604</v>
      </c>
      <c r="B436" t="s">
        <v>5198</v>
      </c>
      <c r="C436">
        <v>347.23</v>
      </c>
      <c r="D436" s="23">
        <v>28.57</v>
      </c>
      <c r="NV436" t="s">
        <v>5198</v>
      </c>
    </row>
    <row r="437" spans="1:898 1352:1400" ht="12.75" customHeight="1" x14ac:dyDescent="0.2">
      <c r="A437" t="s">
        <v>3604</v>
      </c>
      <c r="B437" t="s">
        <v>5199</v>
      </c>
      <c r="C437">
        <v>376.8</v>
      </c>
      <c r="D437" s="23">
        <v>15.16</v>
      </c>
      <c r="OL437" t="s">
        <v>5199</v>
      </c>
    </row>
    <row r="438" spans="1:898 1352:1400" ht="12.75" customHeight="1" x14ac:dyDescent="0.2">
      <c r="A438" t="s">
        <v>3604</v>
      </c>
      <c r="B438" t="s">
        <v>5200</v>
      </c>
      <c r="C438">
        <v>393.96</v>
      </c>
      <c r="D438" s="23">
        <v>7.14</v>
      </c>
      <c r="OU438" t="s">
        <v>5200</v>
      </c>
    </row>
    <row r="439" spans="1:898 1352:1400" ht="12.75" customHeight="1" x14ac:dyDescent="0.2">
      <c r="A439" t="s">
        <v>3604</v>
      </c>
      <c r="B439" t="s">
        <v>5201</v>
      </c>
      <c r="C439">
        <v>404</v>
      </c>
      <c r="D439" s="23">
        <v>71.430000000000007</v>
      </c>
      <c r="RQ439" t="s">
        <v>5201</v>
      </c>
    </row>
    <row r="440" spans="1:898 1352:1400" ht="12.75" customHeight="1" x14ac:dyDescent="0.2">
      <c r="A440" t="s">
        <v>3604</v>
      </c>
      <c r="B440" t="s">
        <v>5202</v>
      </c>
      <c r="C440">
        <v>480</v>
      </c>
      <c r="D440" s="23">
        <v>28.57</v>
      </c>
      <c r="SY440" t="s">
        <v>5202</v>
      </c>
    </row>
    <row r="441" spans="1:898 1352:1400" ht="12.75" customHeight="1" x14ac:dyDescent="0.2">
      <c r="A441" t="s">
        <v>3604</v>
      </c>
      <c r="B441" t="s">
        <v>5203</v>
      </c>
      <c r="C441">
        <v>574.57000000000005</v>
      </c>
      <c r="D441" s="23">
        <v>1.43</v>
      </c>
      <c r="VN441" t="s">
        <v>5203</v>
      </c>
    </row>
    <row r="442" spans="1:898 1352:1400" ht="12.75" customHeight="1" x14ac:dyDescent="0.2">
      <c r="A442" t="s">
        <v>3604</v>
      </c>
      <c r="B442" t="s">
        <v>5204</v>
      </c>
      <c r="C442">
        <v>620</v>
      </c>
      <c r="D442" s="23">
        <v>28.57</v>
      </c>
      <c r="YI442" t="s">
        <v>5204</v>
      </c>
    </row>
    <row r="443" spans="1:898 1352:1400" ht="12.75" customHeight="1" x14ac:dyDescent="0.2">
      <c r="A443" t="s">
        <v>3604</v>
      </c>
      <c r="B443" t="s">
        <v>5205</v>
      </c>
      <c r="C443">
        <v>664.41</v>
      </c>
      <c r="D443" s="23">
        <v>7.59</v>
      </c>
      <c r="ZF443" t="s">
        <v>5205</v>
      </c>
    </row>
    <row r="444" spans="1:898 1352:1400" ht="12.75" customHeight="1" x14ac:dyDescent="0.2">
      <c r="A444" t="s">
        <v>3604</v>
      </c>
      <c r="B444" t="s">
        <v>5206</v>
      </c>
      <c r="C444">
        <v>697.57</v>
      </c>
      <c r="D444" s="23">
        <v>7.14</v>
      </c>
      <c r="AAM444" t="s">
        <v>5206</v>
      </c>
    </row>
    <row r="445" spans="1:898 1352:1400" ht="12.75" customHeight="1" x14ac:dyDescent="0.2">
      <c r="A445" t="s">
        <v>3604</v>
      </c>
      <c r="B445" t="s">
        <v>5207</v>
      </c>
      <c r="C445">
        <v>705.71</v>
      </c>
      <c r="D445" s="23">
        <v>14.29</v>
      </c>
      <c r="ABB445" t="s">
        <v>5207</v>
      </c>
    </row>
    <row r="446" spans="1:898 1352:1400" ht="12.75" customHeight="1" x14ac:dyDescent="0.2">
      <c r="A446" t="s">
        <v>3604</v>
      </c>
      <c r="B446" t="s">
        <v>5208</v>
      </c>
      <c r="C446">
        <v>738.21</v>
      </c>
      <c r="D446" s="23">
        <v>0.71</v>
      </c>
      <c r="ABU446" t="s">
        <v>5208</v>
      </c>
    </row>
    <row r="447" spans="1:898 1352:1400" ht="12.75" customHeight="1" x14ac:dyDescent="0.2">
      <c r="A447" t="s">
        <v>3604</v>
      </c>
      <c r="B447" t="s">
        <v>5209</v>
      </c>
      <c r="C447">
        <v>822</v>
      </c>
      <c r="D447" s="23">
        <v>30.19</v>
      </c>
      <c r="AGD447" t="s">
        <v>5209</v>
      </c>
      <c r="AYZ447" t="s">
        <v>3627</v>
      </c>
    </row>
    <row r="448" spans="1:898 1352:1400" ht="12.75" customHeight="1" x14ac:dyDescent="0.2">
      <c r="A448" t="s">
        <v>3604</v>
      </c>
      <c r="B448" t="s">
        <v>5210</v>
      </c>
      <c r="C448">
        <v>873.29</v>
      </c>
      <c r="D448" s="23">
        <v>14.29</v>
      </c>
      <c r="AHN448" t="s">
        <v>5210</v>
      </c>
      <c r="BAV448" t="s">
        <v>3628</v>
      </c>
    </row>
    <row r="449" spans="1:1018 1354:2026 2072:2633 3240:3384" ht="12.75" customHeight="1" x14ac:dyDescent="0.2">
      <c r="A449" t="s">
        <v>3604</v>
      </c>
      <c r="B449" t="s">
        <v>5211</v>
      </c>
      <c r="C449">
        <v>958.57</v>
      </c>
      <c r="D449" s="23">
        <v>1.43</v>
      </c>
      <c r="AKH449" t="s">
        <v>5211</v>
      </c>
      <c r="BCR449" t="s">
        <v>3854</v>
      </c>
      <c r="BKB449" t="s">
        <v>3629</v>
      </c>
    </row>
    <row r="450" spans="1:1018 1354:2026 2072:2633 3240:3384" ht="12.75" customHeight="1" x14ac:dyDescent="0.2">
      <c r="A450" t="s">
        <v>3604</v>
      </c>
      <c r="B450" t="s">
        <v>5212</v>
      </c>
      <c r="C450">
        <v>979.43</v>
      </c>
      <c r="D450" s="23">
        <v>28.57</v>
      </c>
      <c r="AMD450" t="s">
        <v>5212</v>
      </c>
      <c r="BLX450" t="s">
        <v>3630</v>
      </c>
    </row>
    <row r="451" spans="1:1018 1354:2026 2072:2633 3240:3384" ht="12.75" customHeight="1" x14ac:dyDescent="0.2">
      <c r="A451" t="s">
        <v>3604</v>
      </c>
      <c r="B451" t="s">
        <v>7222</v>
      </c>
      <c r="C451">
        <v>1329.71</v>
      </c>
      <c r="D451" s="23">
        <v>14.29</v>
      </c>
      <c r="AZB451" t="s">
        <v>5873</v>
      </c>
      <c r="BAX451" t="s">
        <v>5873</v>
      </c>
      <c r="BCT451" t="s">
        <v>5873</v>
      </c>
      <c r="BEP451" t="s">
        <v>4795</v>
      </c>
      <c r="BNT451" t="s">
        <v>3855</v>
      </c>
      <c r="BPP451" t="s">
        <v>3631</v>
      </c>
    </row>
    <row r="452" spans="1:1018 1354:2026 2072:2633 3240:3384" ht="12.75" customHeight="1" x14ac:dyDescent="0.2">
      <c r="A452" t="s">
        <v>3604</v>
      </c>
      <c r="B452" t="s">
        <v>5213</v>
      </c>
      <c r="C452">
        <v>1390.57</v>
      </c>
      <c r="D452" s="23">
        <v>1.43</v>
      </c>
      <c r="BAX452" t="s">
        <v>5874</v>
      </c>
      <c r="BCT452" t="s">
        <v>5874</v>
      </c>
      <c r="BEP452" t="s">
        <v>5874</v>
      </c>
      <c r="BGL452" t="s">
        <v>3450</v>
      </c>
      <c r="BRL452" t="s">
        <v>3856</v>
      </c>
      <c r="BWT452" t="s">
        <v>4181</v>
      </c>
    </row>
    <row r="453" spans="1:1018 1354:2026 2072:2633 3240:3384" ht="12.75" customHeight="1" x14ac:dyDescent="0.2">
      <c r="A453" t="s">
        <v>3604</v>
      </c>
      <c r="B453" t="s">
        <v>7223</v>
      </c>
      <c r="C453">
        <v>1987.43</v>
      </c>
      <c r="D453" s="23">
        <v>28.57</v>
      </c>
      <c r="BWU453" t="s">
        <v>3632</v>
      </c>
      <c r="BYQ453" t="s">
        <v>3857</v>
      </c>
      <c r="BYX453" t="s">
        <v>5875</v>
      </c>
      <c r="CAT453" t="s">
        <v>5875</v>
      </c>
      <c r="CCP453" t="s">
        <v>5875</v>
      </c>
      <c r="CEL453" t="s">
        <v>4796</v>
      </c>
    </row>
    <row r="454" spans="1:1018 1354:2026 2072:2633 3240:3384" ht="12.75" customHeight="1" x14ac:dyDescent="0.2">
      <c r="A454" t="s">
        <v>3604</v>
      </c>
      <c r="B454" t="s">
        <v>7224</v>
      </c>
      <c r="C454">
        <v>2083.4299999999998</v>
      </c>
      <c r="D454" s="23">
        <v>28.57</v>
      </c>
      <c r="BWW454" t="s">
        <v>3633</v>
      </c>
      <c r="BYS454" t="s">
        <v>3858</v>
      </c>
      <c r="CCP454" t="s">
        <v>5876</v>
      </c>
      <c r="CEL454" t="s">
        <v>5876</v>
      </c>
      <c r="CGH454" t="s">
        <v>5876</v>
      </c>
      <c r="CID454" t="s">
        <v>4797</v>
      </c>
    </row>
    <row r="455" spans="1:1018 1354:2026 2072:2633 3240:3384" ht="12.75" customHeight="1" x14ac:dyDescent="0.2">
      <c r="A455" t="s">
        <v>3604</v>
      </c>
      <c r="B455" t="s">
        <v>5214</v>
      </c>
      <c r="C455">
        <v>3187.17</v>
      </c>
      <c r="D455" s="23">
        <v>42.86</v>
      </c>
      <c r="BWX455" t="s">
        <v>3634</v>
      </c>
      <c r="BYT455" t="s">
        <v>3859</v>
      </c>
      <c r="DTP455" t="s">
        <v>5877</v>
      </c>
      <c r="DVL455" t="s">
        <v>5877</v>
      </c>
      <c r="DXH455" t="s">
        <v>5877</v>
      </c>
      <c r="DZD455" t="s">
        <v>4180</v>
      </c>
    </row>
    <row r="456" spans="1:1018 1354:2026 2072:2633 3240:3384" ht="12.75" customHeight="1" x14ac:dyDescent="0.2">
      <c r="A456" t="s">
        <v>3605</v>
      </c>
      <c r="B456" t="s">
        <v>5215</v>
      </c>
      <c r="C456">
        <v>-80.62</v>
      </c>
      <c r="D456" s="23">
        <v>28.76</v>
      </c>
      <c r="J456" t="s">
        <v>5215</v>
      </c>
      <c r="BWZ456" t="s">
        <v>3635</v>
      </c>
      <c r="BYV456" t="s">
        <v>3860</v>
      </c>
    </row>
    <row r="457" spans="1:1018 1354:2026 2072:2633 3240:3384" ht="12.75" customHeight="1" x14ac:dyDescent="0.2">
      <c r="A457" t="s">
        <v>3605</v>
      </c>
      <c r="B457" t="s">
        <v>5216</v>
      </c>
      <c r="C457">
        <v>-50.87</v>
      </c>
      <c r="D457" s="23">
        <v>14.38</v>
      </c>
      <c r="J457" t="s">
        <v>5216</v>
      </c>
      <c r="CAR457" t="s">
        <v>3636</v>
      </c>
      <c r="CCN457" t="s">
        <v>3861</v>
      </c>
    </row>
    <row r="458" spans="1:1018 1354:2026 2072:2633 3240:3384" ht="12.75" customHeight="1" x14ac:dyDescent="0.2">
      <c r="A458" t="s">
        <v>3605</v>
      </c>
      <c r="B458" t="s">
        <v>5217</v>
      </c>
      <c r="C458">
        <v>-35.49</v>
      </c>
      <c r="D458" s="23">
        <v>7.24</v>
      </c>
      <c r="J458" t="s">
        <v>5217</v>
      </c>
      <c r="CAR458" t="s">
        <v>3637</v>
      </c>
      <c r="CCN458" t="s">
        <v>3862</v>
      </c>
    </row>
    <row r="459" spans="1:1018 1354:2026 2072:2633 3240:3384" ht="12.75" customHeight="1" x14ac:dyDescent="0.2">
      <c r="A459" t="s">
        <v>3605</v>
      </c>
      <c r="B459" t="s">
        <v>5218</v>
      </c>
      <c r="C459">
        <v>-27.24</v>
      </c>
      <c r="D459" s="23">
        <v>13.7</v>
      </c>
      <c r="J459" t="s">
        <v>5218</v>
      </c>
      <c r="CBY459" t="s">
        <v>3638</v>
      </c>
      <c r="CDU459" t="s">
        <v>3863</v>
      </c>
    </row>
    <row r="460" spans="1:1018 1354:2026 2072:2633 3240:3384" ht="12.75" customHeight="1" x14ac:dyDescent="0.2">
      <c r="A460" t="s">
        <v>3605</v>
      </c>
      <c r="B460" t="s">
        <v>5219</v>
      </c>
      <c r="C460">
        <v>1</v>
      </c>
      <c r="D460" s="23">
        <v>28.97</v>
      </c>
      <c r="AN460" t="s">
        <v>5219</v>
      </c>
      <c r="CCN460" t="s">
        <v>3639</v>
      </c>
      <c r="CEJ460" t="s">
        <v>3864</v>
      </c>
    </row>
    <row r="461" spans="1:1018 1354:2026 2072:2633 3240:3384" ht="12.75" customHeight="1" x14ac:dyDescent="0.2">
      <c r="A461" t="s">
        <v>3605</v>
      </c>
      <c r="B461" t="s">
        <v>5220</v>
      </c>
      <c r="C461">
        <v>49</v>
      </c>
      <c r="D461" s="23">
        <v>28.97</v>
      </c>
      <c r="CJ461" t="s">
        <v>5220</v>
      </c>
      <c r="CCN461" t="s">
        <v>3640</v>
      </c>
      <c r="CEJ461" t="s">
        <v>3865</v>
      </c>
    </row>
    <row r="462" spans="1:1018 1354:2026 2072:2633 3240:3384" ht="12.75" customHeight="1" x14ac:dyDescent="0.2">
      <c r="A462" t="s">
        <v>3605</v>
      </c>
      <c r="B462" t="s">
        <v>5221</v>
      </c>
      <c r="C462">
        <v>97</v>
      </c>
      <c r="D462" s="23">
        <v>28.97</v>
      </c>
      <c r="EF462" t="s">
        <v>5221</v>
      </c>
      <c r="CEJ462" t="s">
        <v>3641</v>
      </c>
      <c r="CGF462" t="s">
        <v>3866</v>
      </c>
    </row>
    <row r="463" spans="1:1018 1354:2026 2072:2633 3240:3384" ht="12.75" customHeight="1" x14ac:dyDescent="0.2">
      <c r="A463" t="s">
        <v>3605</v>
      </c>
      <c r="B463" t="s">
        <v>5222</v>
      </c>
      <c r="C463">
        <v>126.97</v>
      </c>
      <c r="D463" s="23">
        <v>8.69</v>
      </c>
      <c r="EP463" t="s">
        <v>5222</v>
      </c>
      <c r="CLT463" t="s">
        <v>3642</v>
      </c>
      <c r="CNP463" t="s">
        <v>3867</v>
      </c>
    </row>
    <row r="464" spans="1:1018 1354:2026 2072:2633 3240:3384" ht="12.75" customHeight="1" x14ac:dyDescent="0.2">
      <c r="A464" t="s">
        <v>3605</v>
      </c>
      <c r="B464" t="s">
        <v>7225</v>
      </c>
      <c r="C464">
        <v>147.66</v>
      </c>
      <c r="D464" s="23">
        <v>4.1100000000000003</v>
      </c>
      <c r="FF464" t="s">
        <v>7225</v>
      </c>
      <c r="CUK464" t="s">
        <v>3643</v>
      </c>
      <c r="CWG464" t="s">
        <v>3868</v>
      </c>
    </row>
    <row r="465" spans="1:571 1354:2026 2122:2984 3320:3800" ht="12.75" customHeight="1" x14ac:dyDescent="0.2">
      <c r="A465" t="s">
        <v>3605</v>
      </c>
      <c r="B465" t="s">
        <v>7226</v>
      </c>
      <c r="C465">
        <v>152.77000000000001</v>
      </c>
      <c r="D465" s="23">
        <v>6.51</v>
      </c>
      <c r="FM465" t="s">
        <v>7226</v>
      </c>
      <c r="CUZ465" t="s">
        <v>3452</v>
      </c>
      <c r="CWV465" t="s">
        <v>3869</v>
      </c>
    </row>
    <row r="466" spans="1:571 1354:2026 2122:2984 3320:3800" ht="12.75" customHeight="1" x14ac:dyDescent="0.2">
      <c r="A466" t="s">
        <v>3605</v>
      </c>
      <c r="B466" t="s">
        <v>7227</v>
      </c>
      <c r="C466">
        <v>160.28</v>
      </c>
      <c r="D466" s="23">
        <v>27.4</v>
      </c>
      <c r="GP466" t="s">
        <v>7227</v>
      </c>
      <c r="DHX466" t="s">
        <v>3644</v>
      </c>
      <c r="DJT466" t="s">
        <v>3870</v>
      </c>
    </row>
    <row r="467" spans="1:571 1354:2026 2122:2984 3320:3800" ht="12.75" customHeight="1" x14ac:dyDescent="0.2">
      <c r="A467" t="s">
        <v>3605</v>
      </c>
      <c r="B467" t="s">
        <v>7228</v>
      </c>
      <c r="C467">
        <v>188.67</v>
      </c>
      <c r="D467" s="23">
        <v>27.4</v>
      </c>
      <c r="HR467" t="s">
        <v>7228</v>
      </c>
      <c r="DWR467" t="s">
        <v>3645</v>
      </c>
      <c r="DYN467" t="s">
        <v>3871</v>
      </c>
    </row>
    <row r="468" spans="1:571 1354:2026 2122:2984 3320:3800" ht="12.75" customHeight="1" x14ac:dyDescent="0.2">
      <c r="A468" t="s">
        <v>3605</v>
      </c>
      <c r="B468" t="s">
        <v>5223</v>
      </c>
      <c r="C468">
        <v>217.07</v>
      </c>
      <c r="D468" s="23">
        <v>6.85</v>
      </c>
      <c r="HZ468" t="s">
        <v>5223</v>
      </c>
      <c r="DYN468" t="s">
        <v>3646</v>
      </c>
      <c r="EAJ468" t="s">
        <v>3872</v>
      </c>
    </row>
    <row r="469" spans="1:571 1354:2026 2122:2984 3320:3800" ht="12.75" customHeight="1" x14ac:dyDescent="0.2">
      <c r="A469" t="s">
        <v>3605</v>
      </c>
      <c r="B469" t="s">
        <v>5224</v>
      </c>
      <c r="C469">
        <v>224.92</v>
      </c>
      <c r="D469" s="23">
        <v>13.7</v>
      </c>
      <c r="IO469" t="s">
        <v>5224</v>
      </c>
      <c r="ENH469" t="s">
        <v>3647</v>
      </c>
      <c r="EPD469" t="s">
        <v>3873</v>
      </c>
    </row>
    <row r="470" spans="1:571 1354:2026 2122:2984 3320:3800" ht="12.75" customHeight="1" x14ac:dyDescent="0.2">
      <c r="A470" t="s">
        <v>3605</v>
      </c>
      <c r="B470" t="s">
        <v>5225</v>
      </c>
      <c r="C470">
        <v>239.62</v>
      </c>
      <c r="D470" s="23">
        <v>13.7</v>
      </c>
      <c r="JC470" t="s">
        <v>5225</v>
      </c>
    </row>
    <row r="471" spans="1:571 1354:2026 2122:2984 3320:3800" ht="12.75" customHeight="1" x14ac:dyDescent="0.2">
      <c r="A471" t="s">
        <v>3605</v>
      </c>
      <c r="B471" t="s">
        <v>5226</v>
      </c>
      <c r="C471">
        <v>256</v>
      </c>
      <c r="D471" s="23">
        <v>0.36</v>
      </c>
      <c r="JF471" t="s">
        <v>5226</v>
      </c>
    </row>
    <row r="472" spans="1:571 1354:2026 2122:2984 3320:3800" ht="12.75" customHeight="1" x14ac:dyDescent="0.2">
      <c r="A472" t="s">
        <v>3605</v>
      </c>
      <c r="B472" t="s">
        <v>5227</v>
      </c>
      <c r="C472">
        <v>260</v>
      </c>
      <c r="D472" s="23">
        <v>27.4</v>
      </c>
      <c r="KK472" t="s">
        <v>5227</v>
      </c>
    </row>
    <row r="473" spans="1:571 1354:2026 2122:2984 3320:3800" ht="12.75" customHeight="1" x14ac:dyDescent="0.2">
      <c r="A473" t="s">
        <v>3605</v>
      </c>
      <c r="B473" t="s">
        <v>5228</v>
      </c>
      <c r="C473">
        <v>290</v>
      </c>
      <c r="D473" s="23">
        <v>41.1</v>
      </c>
      <c r="MC473" t="s">
        <v>5228</v>
      </c>
    </row>
    <row r="474" spans="1:571 1354:2026 2122:2984 3320:3800" ht="12.75" customHeight="1" x14ac:dyDescent="0.2">
      <c r="A474" t="s">
        <v>3605</v>
      </c>
      <c r="B474" t="s">
        <v>5229</v>
      </c>
      <c r="C474">
        <v>332</v>
      </c>
      <c r="D474" s="23">
        <v>0.36</v>
      </c>
      <c r="MD474" t="s">
        <v>5229</v>
      </c>
    </row>
    <row r="475" spans="1:571 1354:2026 2122:2984 3320:3800" ht="12.75" customHeight="1" x14ac:dyDescent="0.2">
      <c r="A475" t="s">
        <v>3605</v>
      </c>
      <c r="B475" t="s">
        <v>5230</v>
      </c>
      <c r="C475">
        <v>339.94</v>
      </c>
      <c r="D475" s="23">
        <v>13.7</v>
      </c>
      <c r="MZ475" t="s">
        <v>5230</v>
      </c>
    </row>
    <row r="476" spans="1:571 1354:2026 2122:2984 3320:3800" ht="12.75" customHeight="1" x14ac:dyDescent="0.2">
      <c r="A476" t="s">
        <v>3605</v>
      </c>
      <c r="B476" t="s">
        <v>5231</v>
      </c>
      <c r="C476">
        <v>356</v>
      </c>
      <c r="D476" s="23">
        <v>27.4</v>
      </c>
      <c r="OC476" t="s">
        <v>5231</v>
      </c>
      <c r="AZB476" t="s">
        <v>6805</v>
      </c>
    </row>
    <row r="477" spans="1:571 1354:2026 2122:2984 3320:3800" ht="12.75" customHeight="1" x14ac:dyDescent="0.2">
      <c r="A477" t="s">
        <v>3605</v>
      </c>
      <c r="B477" t="s">
        <v>5232</v>
      </c>
      <c r="C477">
        <v>394</v>
      </c>
      <c r="D477" s="23">
        <v>68.489999999999995</v>
      </c>
      <c r="RD477" t="s">
        <v>5232</v>
      </c>
      <c r="BAV477" t="s">
        <v>5198</v>
      </c>
    </row>
    <row r="478" spans="1:571 1354:2026 2122:2984 3320:3800" ht="12.75" customHeight="1" x14ac:dyDescent="0.2">
      <c r="A478" t="s">
        <v>3605</v>
      </c>
      <c r="B478" t="s">
        <v>5233</v>
      </c>
      <c r="C478">
        <v>468</v>
      </c>
      <c r="D478" s="23">
        <v>27.4</v>
      </c>
      <c r="SK478" t="s">
        <v>5233</v>
      </c>
      <c r="BAX478" t="s">
        <v>5213</v>
      </c>
    </row>
    <row r="479" spans="1:571 1354:2026 2122:2984 3320:3800" ht="12.75" customHeight="1" x14ac:dyDescent="0.2">
      <c r="A479" t="s">
        <v>3605</v>
      </c>
      <c r="B479" t="s">
        <v>5234</v>
      </c>
      <c r="C479">
        <v>523.89</v>
      </c>
      <c r="D479" s="23">
        <v>4.1100000000000003</v>
      </c>
      <c r="TR479" t="s">
        <v>5234</v>
      </c>
      <c r="BYX479" t="s">
        <v>6806</v>
      </c>
    </row>
    <row r="480" spans="1:571 1354:2026 2122:2984 3320:3800" ht="12.75" customHeight="1" x14ac:dyDescent="0.2">
      <c r="A480" t="s">
        <v>3605</v>
      </c>
      <c r="B480" t="s">
        <v>5235</v>
      </c>
      <c r="C480">
        <v>547.6</v>
      </c>
      <c r="D480" s="23">
        <v>13.7</v>
      </c>
      <c r="UY480" t="s">
        <v>5235</v>
      </c>
      <c r="CCP480" t="s">
        <v>6807</v>
      </c>
    </row>
    <row r="481" spans="1:955 3240:3240 4426:4426" ht="12.75" customHeight="1" x14ac:dyDescent="0.2">
      <c r="A481" t="s">
        <v>3605</v>
      </c>
      <c r="B481" t="s">
        <v>5236</v>
      </c>
      <c r="C481">
        <v>562.29999999999995</v>
      </c>
      <c r="D481" s="23">
        <v>13.7</v>
      </c>
      <c r="VN481" t="s">
        <v>5236</v>
      </c>
      <c r="DTP481" t="s">
        <v>5214</v>
      </c>
    </row>
    <row r="482" spans="1:955 3240:3240 4426:4426" ht="12.75" customHeight="1" x14ac:dyDescent="0.2">
      <c r="A482" t="s">
        <v>3605</v>
      </c>
      <c r="B482" t="s">
        <v>5237</v>
      </c>
      <c r="C482">
        <v>562.29999999999995</v>
      </c>
      <c r="D482" s="23">
        <v>13.7</v>
      </c>
      <c r="VN482" t="s">
        <v>5237</v>
      </c>
      <c r="FNF482" t="s">
        <v>6808</v>
      </c>
    </row>
    <row r="483" spans="1:955 3240:3240 4426:4426" ht="12.75" customHeight="1" x14ac:dyDescent="0.2">
      <c r="A483" t="s">
        <v>3605</v>
      </c>
      <c r="B483" t="s">
        <v>5238</v>
      </c>
      <c r="C483">
        <v>581.9</v>
      </c>
      <c r="D483" s="23">
        <v>13.7</v>
      </c>
      <c r="WH483" t="s">
        <v>5238</v>
      </c>
    </row>
    <row r="484" spans="1:955 3240:3240 4426:4426" ht="12.75" customHeight="1" x14ac:dyDescent="0.2">
      <c r="A484" t="s">
        <v>3605</v>
      </c>
      <c r="B484" t="s">
        <v>5239</v>
      </c>
      <c r="C484">
        <v>609.51</v>
      </c>
      <c r="D484" s="23">
        <v>14.48</v>
      </c>
      <c r="XJ484" t="s">
        <v>5239</v>
      </c>
    </row>
    <row r="485" spans="1:955 3240:3240 4426:4426" ht="12.75" customHeight="1" x14ac:dyDescent="0.2">
      <c r="A485" t="s">
        <v>3605</v>
      </c>
      <c r="B485" t="s">
        <v>5240</v>
      </c>
      <c r="C485">
        <v>625</v>
      </c>
      <c r="D485" s="23">
        <v>1.37</v>
      </c>
      <c r="XL485" t="s">
        <v>5240</v>
      </c>
    </row>
    <row r="486" spans="1:955 3240:3240 4426:4426" ht="12.75" customHeight="1" x14ac:dyDescent="0.2">
      <c r="A486" t="s">
        <v>3605</v>
      </c>
      <c r="B486" t="s">
        <v>5241</v>
      </c>
      <c r="C486">
        <v>629.12</v>
      </c>
      <c r="D486" s="23">
        <v>14.48</v>
      </c>
      <c r="YD486" t="s">
        <v>5241</v>
      </c>
    </row>
    <row r="487" spans="1:955 3240:3240 4426:4426" ht="12.75" customHeight="1" x14ac:dyDescent="0.2">
      <c r="A487" t="s">
        <v>3605</v>
      </c>
      <c r="B487" t="s">
        <v>5242</v>
      </c>
      <c r="C487">
        <v>644.6</v>
      </c>
      <c r="D487" s="23">
        <v>27.4</v>
      </c>
      <c r="ZF487" t="s">
        <v>5242</v>
      </c>
    </row>
    <row r="488" spans="1:955 3240:3240 4426:4426" ht="12.75" customHeight="1" x14ac:dyDescent="0.2">
      <c r="A488" t="s">
        <v>3605</v>
      </c>
      <c r="B488" t="s">
        <v>5243</v>
      </c>
      <c r="C488">
        <v>682.38</v>
      </c>
      <c r="D488" s="23">
        <v>6.85</v>
      </c>
      <c r="ZW488" t="s">
        <v>5243</v>
      </c>
    </row>
    <row r="489" spans="1:955 3240:3240 4426:4426" ht="12.75" customHeight="1" x14ac:dyDescent="0.2">
      <c r="A489" t="s">
        <v>3605</v>
      </c>
      <c r="B489" t="s">
        <v>5244</v>
      </c>
      <c r="C489">
        <v>690.23</v>
      </c>
      <c r="D489" s="23">
        <v>1.37</v>
      </c>
      <c r="ZZ489" t="s">
        <v>5244</v>
      </c>
    </row>
    <row r="490" spans="1:955 3240:3240 4426:4426" ht="12.75" customHeight="1" x14ac:dyDescent="0.2">
      <c r="A490" t="s">
        <v>3605</v>
      </c>
      <c r="B490" t="s">
        <v>5245</v>
      </c>
      <c r="C490">
        <v>692.6</v>
      </c>
      <c r="D490" s="23">
        <v>27.4</v>
      </c>
      <c r="ABB490" t="s">
        <v>5245</v>
      </c>
    </row>
    <row r="491" spans="1:955 3240:3240 4426:4426" ht="12.75" customHeight="1" x14ac:dyDescent="0.2">
      <c r="A491" t="s">
        <v>3605</v>
      </c>
      <c r="B491" t="s">
        <v>5246</v>
      </c>
      <c r="C491">
        <v>706.3</v>
      </c>
      <c r="D491" s="23">
        <v>13.7</v>
      </c>
      <c r="ABB491" t="s">
        <v>5246</v>
      </c>
    </row>
    <row r="492" spans="1:955 3240:3240 4426:4426" ht="12.75" customHeight="1" x14ac:dyDescent="0.2">
      <c r="A492" t="s">
        <v>3605</v>
      </c>
      <c r="B492" t="s">
        <v>5247</v>
      </c>
      <c r="C492">
        <v>721</v>
      </c>
      <c r="D492" s="23">
        <v>27.4</v>
      </c>
      <c r="ACD492" t="s">
        <v>5247</v>
      </c>
    </row>
    <row r="493" spans="1:955 3240:3240 4426:4426" ht="12.75" customHeight="1" x14ac:dyDescent="0.2">
      <c r="A493" t="s">
        <v>3605</v>
      </c>
      <c r="B493" t="s">
        <v>5248</v>
      </c>
      <c r="C493">
        <v>749.4</v>
      </c>
      <c r="D493" s="23">
        <v>28.97</v>
      </c>
      <c r="ADH493" s="18" t="s">
        <v>5248</v>
      </c>
    </row>
    <row r="494" spans="1:955 3240:3240 4426:4426" ht="12.75" customHeight="1" x14ac:dyDescent="0.2">
      <c r="A494" t="s">
        <v>3605</v>
      </c>
      <c r="B494" t="s">
        <v>5249</v>
      </c>
      <c r="C494">
        <v>779.37</v>
      </c>
      <c r="D494" s="23">
        <v>71.89</v>
      </c>
      <c r="AGC494" t="s">
        <v>5249</v>
      </c>
    </row>
    <row r="495" spans="1:955 3240:3240 4426:4426" ht="12.75" customHeight="1" x14ac:dyDescent="0.2">
      <c r="A495" t="s">
        <v>3605</v>
      </c>
      <c r="B495" t="s">
        <v>5250</v>
      </c>
      <c r="C495">
        <v>879.6</v>
      </c>
      <c r="D495" s="23">
        <v>29.15</v>
      </c>
      <c r="AII495" t="s">
        <v>5250</v>
      </c>
    </row>
    <row r="496" spans="1:955 3240:3240 4426:4426" ht="12.75" customHeight="1" x14ac:dyDescent="0.2">
      <c r="A496" t="s">
        <v>3605</v>
      </c>
      <c r="B496" t="s">
        <v>5251</v>
      </c>
      <c r="C496">
        <v>909.75</v>
      </c>
      <c r="D496" s="23">
        <v>34.76</v>
      </c>
      <c r="AJS496" t="s">
        <v>5251</v>
      </c>
    </row>
    <row r="497" spans="1:1018 1040:1829" ht="12.75" customHeight="1" x14ac:dyDescent="0.2">
      <c r="A497" t="s">
        <v>3605</v>
      </c>
      <c r="B497" t="s">
        <v>5252</v>
      </c>
      <c r="C497">
        <v>945.51</v>
      </c>
      <c r="D497" s="23">
        <v>14.48</v>
      </c>
      <c r="AKH497" t="s">
        <v>5252</v>
      </c>
    </row>
    <row r="498" spans="1:1018 1040:1829" ht="12.75" customHeight="1" x14ac:dyDescent="0.2">
      <c r="A498" t="s">
        <v>3605</v>
      </c>
      <c r="B498" t="s">
        <v>5253</v>
      </c>
      <c r="C498">
        <v>962.55</v>
      </c>
      <c r="D498" s="23">
        <v>14.48</v>
      </c>
      <c r="AKY498" t="s">
        <v>5253</v>
      </c>
    </row>
    <row r="499" spans="1:1018 1040:1829" ht="12.75" customHeight="1" x14ac:dyDescent="0.2">
      <c r="A499" t="s">
        <v>3605</v>
      </c>
      <c r="B499" t="s">
        <v>5254</v>
      </c>
      <c r="C499">
        <v>978.03</v>
      </c>
      <c r="D499" s="23">
        <v>14.49</v>
      </c>
      <c r="ALO499" t="s">
        <v>5254</v>
      </c>
    </row>
    <row r="500" spans="1:1018 1040:1829" ht="12.75" customHeight="1" x14ac:dyDescent="0.2">
      <c r="A500" t="s">
        <v>3605</v>
      </c>
      <c r="B500" t="s">
        <v>5255</v>
      </c>
      <c r="C500">
        <v>993.51</v>
      </c>
      <c r="D500" s="23">
        <v>14.48</v>
      </c>
      <c r="AMD500" t="s">
        <v>5255</v>
      </c>
    </row>
    <row r="501" spans="1:1018 1040:1829" ht="12.75" customHeight="1" x14ac:dyDescent="0.2">
      <c r="A501" t="s">
        <v>3605</v>
      </c>
      <c r="B501" t="s">
        <v>5256</v>
      </c>
      <c r="C501">
        <v>1015</v>
      </c>
      <c r="D501" s="23">
        <v>14.69</v>
      </c>
      <c r="AMZ501" t="s">
        <v>5256</v>
      </c>
    </row>
    <row r="502" spans="1:1018 1040:1829" ht="12.75" customHeight="1" x14ac:dyDescent="0.2">
      <c r="A502" t="s">
        <v>3605</v>
      </c>
      <c r="B502" t="s">
        <v>5257</v>
      </c>
      <c r="C502">
        <v>1030.69</v>
      </c>
      <c r="D502" s="23">
        <v>7.24</v>
      </c>
      <c r="ANH502" t="s">
        <v>5257</v>
      </c>
    </row>
    <row r="503" spans="1:1018 1040:1829" ht="12.75" customHeight="1" x14ac:dyDescent="0.2">
      <c r="A503" t="s">
        <v>3605</v>
      </c>
      <c r="B503" t="s">
        <v>5258</v>
      </c>
      <c r="C503">
        <v>1038.93</v>
      </c>
      <c r="D503" s="23">
        <v>1.37</v>
      </c>
      <c r="ANJ503" t="s">
        <v>5258</v>
      </c>
    </row>
    <row r="504" spans="1:1018 1040:1829" ht="12.75" customHeight="1" x14ac:dyDescent="0.2">
      <c r="A504" t="s">
        <v>3605</v>
      </c>
      <c r="B504" t="s">
        <v>5259</v>
      </c>
      <c r="C504">
        <v>1041.3</v>
      </c>
      <c r="D504" s="23">
        <v>6.85</v>
      </c>
      <c r="ANR504" t="s">
        <v>5259</v>
      </c>
    </row>
    <row r="505" spans="1:1018 1040:1829" ht="12.75" customHeight="1" x14ac:dyDescent="0.2">
      <c r="A505" t="s">
        <v>3605</v>
      </c>
      <c r="B505" t="s">
        <v>5260</v>
      </c>
      <c r="C505">
        <v>1049.1500000000001</v>
      </c>
      <c r="D505" s="23">
        <v>6.85</v>
      </c>
      <c r="ANZ505" t="s">
        <v>5260</v>
      </c>
    </row>
    <row r="506" spans="1:1018 1040:1829" ht="12.75" customHeight="1" x14ac:dyDescent="0.2">
      <c r="A506" t="s">
        <v>3605</v>
      </c>
      <c r="B506" t="s">
        <v>7229</v>
      </c>
      <c r="C506">
        <v>1061.9000000000001</v>
      </c>
      <c r="D506" s="23">
        <v>13.7</v>
      </c>
      <c r="AOT506" t="s">
        <v>7229</v>
      </c>
    </row>
    <row r="507" spans="1:1018 1040:1829" ht="12.75" customHeight="1" x14ac:dyDescent="0.2">
      <c r="A507" t="s">
        <v>3605</v>
      </c>
      <c r="B507" t="s">
        <v>5261</v>
      </c>
      <c r="C507">
        <v>1076.5999999999999</v>
      </c>
      <c r="D507" s="23">
        <v>27.4</v>
      </c>
      <c r="APV507" t="s">
        <v>5261</v>
      </c>
    </row>
    <row r="508" spans="1:1018 1040:1829" ht="12.75" customHeight="1" x14ac:dyDescent="0.2">
      <c r="A508" t="s">
        <v>3605</v>
      </c>
      <c r="B508" t="s">
        <v>5262</v>
      </c>
      <c r="C508">
        <v>1336.76</v>
      </c>
      <c r="D508" s="23">
        <v>7.24</v>
      </c>
      <c r="AZB508" t="s">
        <v>5878</v>
      </c>
      <c r="BAX508" t="s">
        <v>5878</v>
      </c>
      <c r="BCT508" t="s">
        <v>5878</v>
      </c>
      <c r="BEP508" t="s">
        <v>3629</v>
      </c>
    </row>
    <row r="509" spans="1:1018 1040:1829" ht="12.75" customHeight="1" x14ac:dyDescent="0.2">
      <c r="A509" t="s">
        <v>3605</v>
      </c>
      <c r="B509" t="s">
        <v>5263</v>
      </c>
      <c r="C509">
        <v>1385.15</v>
      </c>
      <c r="D509" s="23">
        <v>6.85</v>
      </c>
      <c r="BAX509" t="s">
        <v>5879</v>
      </c>
      <c r="BCT509" t="s">
        <v>5879</v>
      </c>
      <c r="BEP509" t="s">
        <v>5879</v>
      </c>
      <c r="BGL509" t="s">
        <v>3630</v>
      </c>
    </row>
    <row r="510" spans="1:1018 1040:1829" ht="12.75" customHeight="1" x14ac:dyDescent="0.2">
      <c r="A510" t="s">
        <v>3605</v>
      </c>
      <c r="B510" t="s">
        <v>5264</v>
      </c>
      <c r="C510">
        <v>1474.3</v>
      </c>
      <c r="D510" s="23">
        <v>13.7</v>
      </c>
      <c r="BEP510" t="s">
        <v>5880</v>
      </c>
      <c r="BGL510" t="s">
        <v>5880</v>
      </c>
      <c r="BIH510" t="s">
        <v>5880</v>
      </c>
      <c r="BKD510" t="s">
        <v>3631</v>
      </c>
    </row>
    <row r="511" spans="1:1018 1040:1829" ht="12.75" customHeight="1" x14ac:dyDescent="0.2">
      <c r="A511" t="s">
        <v>3605</v>
      </c>
      <c r="B511" t="s">
        <v>5265</v>
      </c>
      <c r="C511">
        <v>1528.5</v>
      </c>
      <c r="D511" s="23">
        <v>145.34</v>
      </c>
      <c r="BLT511" t="s">
        <v>5881</v>
      </c>
      <c r="BNP511" t="s">
        <v>5881</v>
      </c>
      <c r="BPL511" t="s">
        <v>5881</v>
      </c>
      <c r="BRH511" t="s">
        <v>4181</v>
      </c>
    </row>
    <row r="512" spans="1:1018 1040:1829" ht="12.75" customHeight="1" x14ac:dyDescent="0.2">
      <c r="A512" t="s">
        <v>3605</v>
      </c>
      <c r="B512" t="s">
        <v>7230</v>
      </c>
      <c r="C512">
        <v>1674.84</v>
      </c>
      <c r="D512" s="23">
        <v>0.36</v>
      </c>
      <c r="BLU512" t="s">
        <v>5882</v>
      </c>
      <c r="BNQ512" t="s">
        <v>5882</v>
      </c>
      <c r="BPM512" t="s">
        <v>5882</v>
      </c>
      <c r="BRI512" t="s">
        <v>4798</v>
      </c>
    </row>
    <row r="513" spans="1:4 1687:2026 2074:3034 3082:3226" ht="12.75" customHeight="1" x14ac:dyDescent="0.2">
      <c r="A513" t="s">
        <v>3605</v>
      </c>
      <c r="B513" t="s">
        <v>7231</v>
      </c>
      <c r="C513">
        <v>1676.2</v>
      </c>
      <c r="D513" s="23">
        <v>0.36</v>
      </c>
      <c r="BLW513" t="s">
        <v>5883</v>
      </c>
      <c r="BNS513" t="s">
        <v>5883</v>
      </c>
      <c r="BPO513" t="s">
        <v>5883</v>
      </c>
      <c r="BRK513" t="s">
        <v>4799</v>
      </c>
    </row>
    <row r="514" spans="1:4 1687:2026 2074:3034 3082:3226" ht="12.75" customHeight="1" x14ac:dyDescent="0.2">
      <c r="A514" t="s">
        <v>3605</v>
      </c>
      <c r="B514" t="s">
        <v>7232</v>
      </c>
      <c r="C514">
        <v>1677.56</v>
      </c>
      <c r="D514" s="23">
        <v>0.36</v>
      </c>
      <c r="BLX514" t="s">
        <v>5884</v>
      </c>
      <c r="BNT514" t="s">
        <v>5884</v>
      </c>
      <c r="BPP514" t="s">
        <v>5884</v>
      </c>
      <c r="BRL514" t="s">
        <v>4800</v>
      </c>
    </row>
    <row r="515" spans="1:4 1687:2026 2074:3034 3082:3226" ht="12.75" customHeight="1" x14ac:dyDescent="0.2">
      <c r="A515" t="s">
        <v>3605</v>
      </c>
      <c r="B515" t="s">
        <v>7233</v>
      </c>
      <c r="C515">
        <v>1678.92</v>
      </c>
      <c r="D515" s="23">
        <v>1.08</v>
      </c>
      <c r="BLZ515" t="s">
        <v>5885</v>
      </c>
      <c r="BNV515" t="s">
        <v>5885</v>
      </c>
      <c r="BPR515" t="s">
        <v>5885</v>
      </c>
      <c r="BRN515" t="s">
        <v>4801</v>
      </c>
    </row>
    <row r="516" spans="1:4 1687:2026 2074:3034 3082:3226" ht="12.75" customHeight="1" x14ac:dyDescent="0.2">
      <c r="A516" t="s">
        <v>3605</v>
      </c>
      <c r="B516" t="s">
        <v>7234</v>
      </c>
      <c r="C516">
        <v>1707.51</v>
      </c>
      <c r="D516" s="23">
        <v>68.489999999999995</v>
      </c>
      <c r="BPR516" t="s">
        <v>5886</v>
      </c>
      <c r="BRN516" t="s">
        <v>5886</v>
      </c>
      <c r="BTJ516" t="s">
        <v>5886</v>
      </c>
      <c r="BVF516" t="s">
        <v>4802</v>
      </c>
    </row>
    <row r="517" spans="1:4 1687:2026 2074:3034 3082:3226" ht="12.75" customHeight="1" x14ac:dyDescent="0.2">
      <c r="A517" t="s">
        <v>3605</v>
      </c>
      <c r="B517" t="s">
        <v>7235</v>
      </c>
      <c r="C517">
        <v>1762.3</v>
      </c>
      <c r="D517" s="23">
        <v>13.7</v>
      </c>
      <c r="BPR517" t="s">
        <v>5887</v>
      </c>
      <c r="BRN517" t="s">
        <v>5887</v>
      </c>
      <c r="BTJ517" t="s">
        <v>5887</v>
      </c>
      <c r="BVF517" t="s">
        <v>4803</v>
      </c>
    </row>
    <row r="518" spans="1:4 1687:2026 2074:3034 3082:3226" ht="12.75" customHeight="1" x14ac:dyDescent="0.2">
      <c r="A518" t="s">
        <v>3605</v>
      </c>
      <c r="B518" t="s">
        <v>7236</v>
      </c>
      <c r="C518">
        <v>1802.45</v>
      </c>
      <c r="D518" s="23">
        <v>6.85</v>
      </c>
      <c r="BQY518" t="s">
        <v>5888</v>
      </c>
      <c r="BSU518" t="s">
        <v>5888</v>
      </c>
      <c r="BUQ518" t="s">
        <v>5888</v>
      </c>
      <c r="BWM518" t="s">
        <v>4804</v>
      </c>
    </row>
    <row r="519" spans="1:4 1687:2026 2074:3034 3082:3226" ht="12.75" customHeight="1" x14ac:dyDescent="0.2">
      <c r="A519" t="s">
        <v>3605</v>
      </c>
      <c r="B519" t="s">
        <v>7237</v>
      </c>
      <c r="C519">
        <v>1810.3</v>
      </c>
      <c r="D519" s="23">
        <v>13.7</v>
      </c>
      <c r="BRN519" t="s">
        <v>5889</v>
      </c>
      <c r="BTJ519" t="s">
        <v>5889</v>
      </c>
      <c r="BVF519" t="s">
        <v>5889</v>
      </c>
      <c r="BXB519" t="s">
        <v>4805</v>
      </c>
    </row>
    <row r="520" spans="1:4 1687:2026 2074:3034 3082:3226" ht="12.75" customHeight="1" x14ac:dyDescent="0.2">
      <c r="A520" t="s">
        <v>3605</v>
      </c>
      <c r="B520" t="s">
        <v>4806</v>
      </c>
      <c r="C520">
        <v>1820.92</v>
      </c>
      <c r="D520" s="23">
        <v>3.08</v>
      </c>
      <c r="BRN520" t="s">
        <v>5890</v>
      </c>
      <c r="BTJ520" t="s">
        <v>5890</v>
      </c>
      <c r="BVF520" t="s">
        <v>5890</v>
      </c>
      <c r="BXB520" t="s">
        <v>4806</v>
      </c>
    </row>
    <row r="521" spans="1:4 1687:2026 2074:3034 3082:3226" ht="12.75" customHeight="1" x14ac:dyDescent="0.2">
      <c r="A521" t="s">
        <v>3605</v>
      </c>
      <c r="B521" t="s">
        <v>7238</v>
      </c>
      <c r="C521">
        <v>1844.6</v>
      </c>
      <c r="D521" s="23">
        <v>27.4</v>
      </c>
      <c r="BTJ521" t="s">
        <v>5891</v>
      </c>
      <c r="BVF521" t="s">
        <v>5891</v>
      </c>
      <c r="BXB521" t="s">
        <v>5891</v>
      </c>
      <c r="BYX521" t="s">
        <v>4807</v>
      </c>
    </row>
    <row r="522" spans="1:4 1687:2026 2074:3034 3082:3226" ht="12.75" customHeight="1" x14ac:dyDescent="0.2">
      <c r="A522" t="s">
        <v>3605</v>
      </c>
      <c r="B522" t="s">
        <v>7239</v>
      </c>
      <c r="C522">
        <v>1967.64</v>
      </c>
      <c r="D522" s="23">
        <v>0.36</v>
      </c>
      <c r="BXB522" t="s">
        <v>5892</v>
      </c>
      <c r="BYX522" t="s">
        <v>5892</v>
      </c>
      <c r="CAT522" t="s">
        <v>5892</v>
      </c>
      <c r="CCP522" t="s">
        <v>4808</v>
      </c>
    </row>
    <row r="523" spans="1:4 1687:2026 2074:3034 3082:3226" ht="12.75" customHeight="1" x14ac:dyDescent="0.2">
      <c r="A523" t="s">
        <v>3605</v>
      </c>
      <c r="B523" t="s">
        <v>7240</v>
      </c>
      <c r="C523">
        <v>2036.6</v>
      </c>
      <c r="D523" s="23">
        <v>27.4</v>
      </c>
      <c r="CAT523" t="s">
        <v>5893</v>
      </c>
      <c r="CCP523" t="s">
        <v>5893</v>
      </c>
      <c r="CEL523" t="s">
        <v>5893</v>
      </c>
      <c r="CGH523" t="s">
        <v>4809</v>
      </c>
    </row>
    <row r="524" spans="1:4 1687:2026 2074:3034 3082:3226" ht="12.75" customHeight="1" x14ac:dyDescent="0.2">
      <c r="A524" t="s">
        <v>3605</v>
      </c>
      <c r="B524" t="s">
        <v>5266</v>
      </c>
      <c r="C524">
        <v>2260.33</v>
      </c>
      <c r="D524" s="23">
        <v>28.97</v>
      </c>
      <c r="CJK524" t="s">
        <v>5894</v>
      </c>
      <c r="CLG524" t="s">
        <v>5894</v>
      </c>
      <c r="CNC524" t="s">
        <v>5894</v>
      </c>
      <c r="COY524" t="s">
        <v>3643</v>
      </c>
    </row>
    <row r="525" spans="1:4 1687:2026 2074:3034 3082:3226" ht="12.75" customHeight="1" x14ac:dyDescent="0.2">
      <c r="A525" t="s">
        <v>3605</v>
      </c>
      <c r="B525" t="s">
        <v>5267</v>
      </c>
      <c r="C525">
        <v>2290.3000000000002</v>
      </c>
      <c r="D525" s="23">
        <v>13.7</v>
      </c>
      <c r="CJZ525" t="s">
        <v>5895</v>
      </c>
      <c r="CLV525" t="s">
        <v>5895</v>
      </c>
      <c r="CNR525" t="s">
        <v>5895</v>
      </c>
      <c r="CPN525" t="s">
        <v>3452</v>
      </c>
    </row>
    <row r="526" spans="1:4 1687:2026 2074:3034 3082:3226" ht="12.75" customHeight="1" x14ac:dyDescent="0.2">
      <c r="A526" t="s">
        <v>3605</v>
      </c>
      <c r="B526" t="s">
        <v>5268</v>
      </c>
      <c r="C526">
        <v>2612.6</v>
      </c>
      <c r="D526" s="23">
        <v>27.4</v>
      </c>
      <c r="CWX526" t="s">
        <v>5896</v>
      </c>
      <c r="CYT526" t="s">
        <v>5896</v>
      </c>
      <c r="DAP526" t="s">
        <v>5896</v>
      </c>
      <c r="DCL526" t="s">
        <v>3644</v>
      </c>
    </row>
    <row r="527" spans="1:4 1687:2026 2074:3034 3082:3226" ht="12.75" customHeight="1" x14ac:dyDescent="0.2">
      <c r="A527" t="s">
        <v>3605</v>
      </c>
      <c r="B527" t="s">
        <v>5269</v>
      </c>
      <c r="C527">
        <v>3010.3</v>
      </c>
      <c r="D527" s="23">
        <v>13.7</v>
      </c>
      <c r="DLR527" t="s">
        <v>5897</v>
      </c>
      <c r="DNN527" t="s">
        <v>5897</v>
      </c>
      <c r="DPJ527" t="s">
        <v>5897</v>
      </c>
      <c r="DRF527" t="s">
        <v>3645</v>
      </c>
    </row>
    <row r="528" spans="1:4 1687:2026 2074:3034 3082:3226" ht="12.75" customHeight="1" x14ac:dyDescent="0.2">
      <c r="A528" t="s">
        <v>3605</v>
      </c>
      <c r="B528" t="s">
        <v>5270</v>
      </c>
      <c r="C528">
        <v>3044.6</v>
      </c>
      <c r="D528" s="23">
        <v>27.4</v>
      </c>
      <c r="DNN528" t="s">
        <v>5898</v>
      </c>
      <c r="DPJ528" t="s">
        <v>5898</v>
      </c>
      <c r="DRF528" t="s">
        <v>5898</v>
      </c>
      <c r="DTB528" t="s">
        <v>3646</v>
      </c>
    </row>
    <row r="529" spans="1:66 1352:1928 3466:3610" ht="12.75" customHeight="1" x14ac:dyDescent="0.2">
      <c r="A529" t="s">
        <v>3605</v>
      </c>
      <c r="B529" t="s">
        <v>5271</v>
      </c>
      <c r="C529">
        <v>3426.69</v>
      </c>
      <c r="D529" s="23">
        <v>29.31</v>
      </c>
      <c r="ECH529" t="s">
        <v>5899</v>
      </c>
      <c r="EED529" t="s">
        <v>5899</v>
      </c>
      <c r="EFZ529" t="s">
        <v>5899</v>
      </c>
      <c r="EHV529" t="s">
        <v>4810</v>
      </c>
    </row>
    <row r="530" spans="1:66 1352:1928 3466:3610" ht="12.75" customHeight="1" x14ac:dyDescent="0.2">
      <c r="A530" t="s">
        <v>3606</v>
      </c>
      <c r="B530" t="s">
        <v>5272</v>
      </c>
      <c r="C530">
        <v>-126.02</v>
      </c>
      <c r="D530" s="23">
        <v>3.73</v>
      </c>
      <c r="J530" t="s">
        <v>5272</v>
      </c>
    </row>
    <row r="531" spans="1:66 1352:1928 3466:3610" ht="12.75" customHeight="1" x14ac:dyDescent="0.2">
      <c r="A531" t="s">
        <v>3606</v>
      </c>
      <c r="B531" t="s">
        <v>5273</v>
      </c>
      <c r="C531">
        <v>-114.42</v>
      </c>
      <c r="D531" s="23">
        <v>4.87</v>
      </c>
      <c r="J531" t="s">
        <v>5273</v>
      </c>
    </row>
    <row r="532" spans="1:66 1352:1928 3466:3610" ht="12.75" customHeight="1" x14ac:dyDescent="0.2">
      <c r="A532" t="s">
        <v>3606</v>
      </c>
      <c r="B532" t="s">
        <v>5274</v>
      </c>
      <c r="C532">
        <v>-95.86</v>
      </c>
      <c r="D532" s="23">
        <v>1.86</v>
      </c>
      <c r="J532" t="s">
        <v>5274</v>
      </c>
    </row>
    <row r="533" spans="1:66 1352:1928 3466:3610" ht="12.75" customHeight="1" x14ac:dyDescent="0.2">
      <c r="A533" t="s">
        <v>3606</v>
      </c>
      <c r="B533" t="s">
        <v>5275</v>
      </c>
      <c r="C533">
        <v>-93</v>
      </c>
      <c r="D533" s="23">
        <v>3.9</v>
      </c>
      <c r="J533" t="s">
        <v>5275</v>
      </c>
    </row>
    <row r="534" spans="1:66 1352:1928 3466:3610" ht="12.75" customHeight="1" x14ac:dyDescent="0.2">
      <c r="A534" t="s">
        <v>3606</v>
      </c>
      <c r="B534" t="s">
        <v>5276</v>
      </c>
      <c r="C534">
        <v>-88.1</v>
      </c>
      <c r="D534" s="23">
        <v>25.99</v>
      </c>
      <c r="J534" t="s">
        <v>5276</v>
      </c>
    </row>
    <row r="535" spans="1:66 1352:1928 3466:3610" ht="12.75" customHeight="1" x14ac:dyDescent="0.2">
      <c r="A535" t="s">
        <v>3606</v>
      </c>
      <c r="B535" t="s">
        <v>5277</v>
      </c>
      <c r="C535">
        <v>-46</v>
      </c>
      <c r="D535" s="23">
        <v>25.99</v>
      </c>
      <c r="J535" t="s">
        <v>5277</v>
      </c>
    </row>
    <row r="536" spans="1:66 1352:1928 3466:3610" ht="12.75" customHeight="1" x14ac:dyDescent="0.2">
      <c r="A536" t="s">
        <v>3606</v>
      </c>
      <c r="B536" t="s">
        <v>5278</v>
      </c>
      <c r="C536">
        <v>-19.010000000000002</v>
      </c>
      <c r="D536" s="23">
        <v>6.5</v>
      </c>
      <c r="J536" t="s">
        <v>5278</v>
      </c>
    </row>
    <row r="537" spans="1:66 1352:1928 3466:3610" ht="12.75" customHeight="1" x14ac:dyDescent="0.2">
      <c r="A537" t="s">
        <v>3606</v>
      </c>
      <c r="B537" t="s">
        <v>5279</v>
      </c>
      <c r="C537">
        <v>-11.51</v>
      </c>
      <c r="D537" s="23">
        <v>2.48</v>
      </c>
      <c r="J537" t="s">
        <v>5279</v>
      </c>
    </row>
    <row r="538" spans="1:66 1352:1928 3466:3610" ht="12.75" customHeight="1" x14ac:dyDescent="0.2">
      <c r="A538" t="s">
        <v>3606</v>
      </c>
      <c r="B538" t="s">
        <v>5280</v>
      </c>
      <c r="C538">
        <v>-8.0299999999999994</v>
      </c>
      <c r="D538" s="23">
        <v>1.24</v>
      </c>
      <c r="J538" t="s">
        <v>5280</v>
      </c>
    </row>
    <row r="539" spans="1:66 1352:1928 3466:3610" ht="12.75" customHeight="1" x14ac:dyDescent="0.2">
      <c r="A539" t="s">
        <v>3606</v>
      </c>
      <c r="B539" t="s">
        <v>5281</v>
      </c>
      <c r="C539">
        <v>1</v>
      </c>
      <c r="D539" s="23">
        <v>1.55</v>
      </c>
      <c r="J539" t="s">
        <v>5281</v>
      </c>
      <c r="AYZ539" t="s">
        <v>3874</v>
      </c>
    </row>
    <row r="540" spans="1:66 1352:1928 3466:3610" ht="12.75" customHeight="1" x14ac:dyDescent="0.2">
      <c r="A540" t="s">
        <v>3606</v>
      </c>
      <c r="B540" t="s">
        <v>5282</v>
      </c>
      <c r="C540">
        <v>3.55</v>
      </c>
      <c r="D540" s="23">
        <v>12.99</v>
      </c>
      <c r="AA540" t="s">
        <v>5282</v>
      </c>
      <c r="AZB540" t="s">
        <v>5262</v>
      </c>
      <c r="BAV540" t="s">
        <v>3875</v>
      </c>
    </row>
    <row r="541" spans="1:66 1352:1928 3466:3610" ht="12.75" customHeight="1" x14ac:dyDescent="0.2">
      <c r="A541" t="s">
        <v>3606</v>
      </c>
      <c r="B541" t="s">
        <v>5283</v>
      </c>
      <c r="C541">
        <v>17.55</v>
      </c>
      <c r="D541" s="23">
        <v>6.5</v>
      </c>
      <c r="AH541" t="s">
        <v>5283</v>
      </c>
      <c r="BAX541" t="s">
        <v>5263</v>
      </c>
      <c r="BEN541" t="s">
        <v>3876</v>
      </c>
    </row>
    <row r="542" spans="1:66 1352:1928 3466:3610" ht="12.75" customHeight="1" x14ac:dyDescent="0.2">
      <c r="A542" t="s">
        <v>3606</v>
      </c>
      <c r="B542" t="s">
        <v>5284</v>
      </c>
      <c r="C542">
        <v>25.05</v>
      </c>
      <c r="D542" s="23">
        <v>6.5</v>
      </c>
      <c r="AP542" t="s">
        <v>5284</v>
      </c>
      <c r="BEP542" t="s">
        <v>5264</v>
      </c>
      <c r="BRL542" t="s">
        <v>3877</v>
      </c>
    </row>
    <row r="543" spans="1:66 1352:1928 3466:3610" ht="12.75" customHeight="1" x14ac:dyDescent="0.2">
      <c r="A543" t="s">
        <v>3606</v>
      </c>
      <c r="B543" t="s">
        <v>5285</v>
      </c>
      <c r="C543">
        <v>38</v>
      </c>
      <c r="D543" s="23">
        <v>1.24</v>
      </c>
      <c r="AW543" t="s">
        <v>5285</v>
      </c>
      <c r="BLT543" t="s">
        <v>5265</v>
      </c>
      <c r="BUD543" t="s">
        <v>3878</v>
      </c>
    </row>
    <row r="544" spans="1:66 1352:1928 3466:3610" ht="12.75" customHeight="1" x14ac:dyDescent="0.2">
      <c r="A544" t="s">
        <v>3606</v>
      </c>
      <c r="B544" t="s">
        <v>5286</v>
      </c>
      <c r="C544">
        <v>49</v>
      </c>
      <c r="D544" s="23">
        <v>6.5</v>
      </c>
      <c r="BN544" t="s">
        <v>5286</v>
      </c>
      <c r="AYZ544" t="s">
        <v>3648</v>
      </c>
      <c r="BLU544" t="s">
        <v>6809</v>
      </c>
      <c r="BVD544" t="s">
        <v>3879</v>
      </c>
    </row>
    <row r="545" spans="1:332 1448:2024 2072:3034 3678:3992" ht="12.75" customHeight="1" x14ac:dyDescent="0.2">
      <c r="A545" t="s">
        <v>3606</v>
      </c>
      <c r="B545" t="s">
        <v>5287</v>
      </c>
      <c r="C545">
        <v>57.5</v>
      </c>
      <c r="D545" s="23">
        <v>12.99</v>
      </c>
      <c r="CB545" t="s">
        <v>5287</v>
      </c>
      <c r="BCR545" t="s">
        <v>3453</v>
      </c>
      <c r="BLW545" t="s">
        <v>6810</v>
      </c>
      <c r="BWZ545" t="s">
        <v>3880</v>
      </c>
    </row>
    <row r="546" spans="1:332 1448:2024 2072:3034 3678:3992" ht="12.75" customHeight="1" x14ac:dyDescent="0.2">
      <c r="A546" t="s">
        <v>3606</v>
      </c>
      <c r="B546" t="s">
        <v>5288</v>
      </c>
      <c r="C546">
        <v>97</v>
      </c>
      <c r="D546" s="23">
        <v>8.4499999999999993</v>
      </c>
      <c r="DK546" t="s">
        <v>5288</v>
      </c>
      <c r="BLX546" t="s">
        <v>6811</v>
      </c>
      <c r="BPP546" t="s">
        <v>3649</v>
      </c>
      <c r="BXZ546" t="s">
        <v>3881</v>
      </c>
    </row>
    <row r="547" spans="1:332 1448:2024 2072:3034 3678:3992" ht="12.75" customHeight="1" x14ac:dyDescent="0.2">
      <c r="A547" t="s">
        <v>3606</v>
      </c>
      <c r="B547" t="s">
        <v>5289</v>
      </c>
      <c r="C547">
        <v>106.45</v>
      </c>
      <c r="D547" s="23">
        <v>0.32</v>
      </c>
      <c r="DM547" t="s">
        <v>5289</v>
      </c>
      <c r="BLZ547" t="s">
        <v>6812</v>
      </c>
      <c r="BSH547" t="s">
        <v>3650</v>
      </c>
      <c r="BYH547" t="s">
        <v>3882</v>
      </c>
    </row>
    <row r="548" spans="1:332 1448:2024 2072:3034 3678:3992" ht="12.75" customHeight="1" x14ac:dyDescent="0.2">
      <c r="A548" t="s">
        <v>3606</v>
      </c>
      <c r="B548" t="s">
        <v>7241</v>
      </c>
      <c r="C548">
        <v>111.28</v>
      </c>
      <c r="D548" s="23">
        <v>12.42</v>
      </c>
      <c r="ED548" t="s">
        <v>7241</v>
      </c>
      <c r="BPR548" t="s">
        <v>6813</v>
      </c>
      <c r="BTH548" t="s">
        <v>3454</v>
      </c>
      <c r="BYV548" t="s">
        <v>3883</v>
      </c>
    </row>
    <row r="549" spans="1:332 1448:2024 2072:3034 3678:3992" ht="12.75" customHeight="1" x14ac:dyDescent="0.2">
      <c r="A549" t="s">
        <v>3606</v>
      </c>
      <c r="B549" t="s">
        <v>7242</v>
      </c>
      <c r="C549">
        <v>134</v>
      </c>
      <c r="D549" s="23">
        <v>24.84</v>
      </c>
      <c r="FM549" t="s">
        <v>7242</v>
      </c>
      <c r="BPR549" t="s">
        <v>6814</v>
      </c>
      <c r="BVD549" t="s">
        <v>3651</v>
      </c>
      <c r="CAR549" t="s">
        <v>3884</v>
      </c>
    </row>
    <row r="550" spans="1:332 1448:2024 2072:3034 3678:3992" ht="12.75" customHeight="1" x14ac:dyDescent="0.2">
      <c r="A550" t="s">
        <v>3606</v>
      </c>
      <c r="B550" t="s">
        <v>5290</v>
      </c>
      <c r="C550">
        <v>169.29</v>
      </c>
      <c r="D550" s="23">
        <v>2.48</v>
      </c>
      <c r="FZ550" t="s">
        <v>5290</v>
      </c>
      <c r="BQY550" t="s">
        <v>6815</v>
      </c>
      <c r="BWD550" t="s">
        <v>3455</v>
      </c>
      <c r="CCN550" t="s">
        <v>3885</v>
      </c>
    </row>
    <row r="551" spans="1:332 1448:2024 2072:3034 3678:3992" ht="12.75" customHeight="1" x14ac:dyDescent="0.2">
      <c r="A551" t="s">
        <v>3606</v>
      </c>
      <c r="B551" t="s">
        <v>5291</v>
      </c>
      <c r="C551">
        <v>172.78</v>
      </c>
      <c r="D551" s="23">
        <v>6.21</v>
      </c>
      <c r="GG551" t="s">
        <v>5291</v>
      </c>
      <c r="BRN551" t="s">
        <v>6816</v>
      </c>
      <c r="BWL551" t="s">
        <v>3652</v>
      </c>
      <c r="CIG551" t="s">
        <v>3886</v>
      </c>
    </row>
    <row r="552" spans="1:332 1448:2024 2072:3034 3678:3992" ht="12.75" customHeight="1" x14ac:dyDescent="0.2">
      <c r="A552" t="s">
        <v>3606</v>
      </c>
      <c r="B552" t="s">
        <v>5292</v>
      </c>
      <c r="C552">
        <v>179.99</v>
      </c>
      <c r="D552" s="23">
        <v>6.21</v>
      </c>
      <c r="GN552" s="19" t="s">
        <v>5292</v>
      </c>
      <c r="BRN552" t="s">
        <v>6817</v>
      </c>
      <c r="BWZ552" t="s">
        <v>3456</v>
      </c>
      <c r="CJI552" t="s">
        <v>3887</v>
      </c>
    </row>
    <row r="553" spans="1:332 1448:2024 2072:3034 3678:3992" ht="12.75" customHeight="1" x14ac:dyDescent="0.2">
      <c r="A553" t="s">
        <v>3606</v>
      </c>
      <c r="B553" t="s">
        <v>5293</v>
      </c>
      <c r="C553">
        <v>190</v>
      </c>
      <c r="D553" s="23">
        <v>6.21</v>
      </c>
      <c r="GX553" t="s">
        <v>5293</v>
      </c>
      <c r="BTJ553" t="s">
        <v>6818</v>
      </c>
      <c r="BYV553" t="s">
        <v>3653</v>
      </c>
      <c r="CJK553" t="s">
        <v>3888</v>
      </c>
    </row>
    <row r="554" spans="1:332 1448:2024 2072:3034 3678:3992" ht="12.75" customHeight="1" x14ac:dyDescent="0.2">
      <c r="A554" t="s">
        <v>3606</v>
      </c>
      <c r="B554" t="s">
        <v>5294</v>
      </c>
      <c r="C554">
        <v>198</v>
      </c>
      <c r="D554" s="23">
        <v>4.3499999999999996</v>
      </c>
      <c r="HD554" s="18" t="s">
        <v>5294</v>
      </c>
      <c r="BXB554" t="s">
        <v>6819</v>
      </c>
      <c r="CAR554" t="s">
        <v>3457</v>
      </c>
      <c r="CJX554" t="s">
        <v>3889</v>
      </c>
    </row>
    <row r="555" spans="1:332 1448:2024 2072:3034 3678:3992" ht="12.75" customHeight="1" x14ac:dyDescent="0.2">
      <c r="A555" t="s">
        <v>3606</v>
      </c>
      <c r="B555" t="s">
        <v>5295</v>
      </c>
      <c r="C555">
        <v>208</v>
      </c>
      <c r="D555" s="23">
        <v>0.31</v>
      </c>
      <c r="HJ555" t="s">
        <v>5295</v>
      </c>
      <c r="CAT555" t="s">
        <v>6820</v>
      </c>
      <c r="CGK555" t="s">
        <v>3654</v>
      </c>
      <c r="CLG555" t="s">
        <v>3890</v>
      </c>
    </row>
    <row r="556" spans="1:332 1448:2024 2072:3034 3678:3992" ht="12.75" customHeight="1" x14ac:dyDescent="0.2">
      <c r="A556" t="s">
        <v>3606</v>
      </c>
      <c r="B556" t="s">
        <v>5296</v>
      </c>
      <c r="C556">
        <v>214</v>
      </c>
      <c r="D556" s="23">
        <v>1.24</v>
      </c>
      <c r="HQ556" t="s">
        <v>5296</v>
      </c>
      <c r="CHM556" t="s">
        <v>4182</v>
      </c>
      <c r="CJK556" t="s">
        <v>5266</v>
      </c>
      <c r="CLT556" t="s">
        <v>3891</v>
      </c>
    </row>
    <row r="557" spans="1:332 1448:2024 2072:3034 3678:3992" ht="12.75" customHeight="1" x14ac:dyDescent="0.2">
      <c r="A557" t="s">
        <v>3606</v>
      </c>
      <c r="B557" t="s">
        <v>5297</v>
      </c>
      <c r="C557">
        <v>234</v>
      </c>
      <c r="D557" s="23">
        <v>24.84</v>
      </c>
      <c r="JI557" t="s">
        <v>5297</v>
      </c>
      <c r="CHO557" t="s">
        <v>4183</v>
      </c>
      <c r="CJZ557" t="s">
        <v>5267</v>
      </c>
      <c r="CYR557" t="s">
        <v>3892</v>
      </c>
    </row>
    <row r="558" spans="1:332 1448:2024 2072:3034 3678:3992" ht="12.75" customHeight="1" x14ac:dyDescent="0.2">
      <c r="A558" t="s">
        <v>3606</v>
      </c>
      <c r="B558" t="s">
        <v>5298</v>
      </c>
      <c r="C558">
        <v>264</v>
      </c>
      <c r="D558" s="23">
        <v>25.99</v>
      </c>
      <c r="KN558" t="s">
        <v>5298</v>
      </c>
      <c r="CIB558" t="s">
        <v>4184</v>
      </c>
      <c r="CWX558" t="s">
        <v>5268</v>
      </c>
      <c r="EKL558" t="s">
        <v>3893</v>
      </c>
    </row>
    <row r="559" spans="1:332 1448:2024 2072:3034 3678:3992" ht="12.75" customHeight="1" x14ac:dyDescent="0.2">
      <c r="A559" t="s">
        <v>3606</v>
      </c>
      <c r="B559" t="s">
        <v>5299</v>
      </c>
      <c r="C559">
        <v>294</v>
      </c>
      <c r="D559" s="23">
        <v>13.1</v>
      </c>
      <c r="LE559" t="s">
        <v>5299</v>
      </c>
      <c r="CJK559" t="s">
        <v>4185</v>
      </c>
      <c r="CYT559" t="s">
        <v>6821</v>
      </c>
      <c r="ELL559" t="s">
        <v>3894</v>
      </c>
    </row>
    <row r="560" spans="1:332 1448:2024 2072:3034 3678:3992" ht="12.75" customHeight="1" x14ac:dyDescent="0.2">
      <c r="A560" t="s">
        <v>3606</v>
      </c>
      <c r="B560" t="s">
        <v>5300</v>
      </c>
      <c r="C560">
        <v>316</v>
      </c>
      <c r="D560" s="23">
        <v>6.5</v>
      </c>
      <c r="LT560" t="s">
        <v>5300</v>
      </c>
      <c r="CJX560" t="s">
        <v>4186</v>
      </c>
      <c r="DLR560" t="s">
        <v>5269</v>
      </c>
      <c r="EWN560" t="s">
        <v>3895</v>
      </c>
    </row>
    <row r="561" spans="1:586 1695:1784 2072:2648 3082:3944 4138:4138" ht="12.75" customHeight="1" x14ac:dyDescent="0.2">
      <c r="A561" t="s">
        <v>3606</v>
      </c>
      <c r="B561" t="s">
        <v>5301</v>
      </c>
      <c r="C561">
        <v>330</v>
      </c>
      <c r="D561" s="23">
        <v>3.73</v>
      </c>
      <c r="MF561" t="s">
        <v>5301</v>
      </c>
      <c r="CWV561" t="s">
        <v>3655</v>
      </c>
      <c r="DNN561" t="s">
        <v>5270</v>
      </c>
    </row>
    <row r="562" spans="1:586 1695:1784 2072:2648 3082:3944 4138:4138" ht="12.75" customHeight="1" x14ac:dyDescent="0.2">
      <c r="A562" t="s">
        <v>3606</v>
      </c>
      <c r="B562" t="s">
        <v>5302</v>
      </c>
      <c r="C562">
        <v>338</v>
      </c>
      <c r="D562" s="23">
        <v>6.21</v>
      </c>
      <c r="MP562" t="s">
        <v>5302</v>
      </c>
      <c r="DYP562" t="s">
        <v>6822</v>
      </c>
      <c r="EIP562" t="s">
        <v>3656</v>
      </c>
    </row>
    <row r="563" spans="1:586 1695:1784 2072:2648 3082:3944 4138:4138" ht="12.75" customHeight="1" x14ac:dyDescent="0.2">
      <c r="A563" t="s">
        <v>3606</v>
      </c>
      <c r="B563" t="s">
        <v>5303</v>
      </c>
      <c r="C563">
        <v>350</v>
      </c>
      <c r="D563" s="23">
        <v>3.73</v>
      </c>
      <c r="MZ563" t="s">
        <v>5303</v>
      </c>
      <c r="ECH563" t="s">
        <v>5271</v>
      </c>
      <c r="EJP563" t="s">
        <v>3657</v>
      </c>
    </row>
    <row r="564" spans="1:586 1695:1784 2072:2648 3082:3944 4138:4138" ht="12.75" customHeight="1" x14ac:dyDescent="0.2">
      <c r="A564" t="s">
        <v>3606</v>
      </c>
      <c r="B564" t="s">
        <v>5304</v>
      </c>
      <c r="C564">
        <v>358</v>
      </c>
      <c r="D564" s="23">
        <v>12.42</v>
      </c>
      <c r="NP564" t="s">
        <v>5304</v>
      </c>
      <c r="EUR564" t="s">
        <v>3458</v>
      </c>
      <c r="FCD564" t="s">
        <v>6823</v>
      </c>
    </row>
    <row r="565" spans="1:586 1695:1784 2072:2648 3082:3944 4138:4138" ht="12.75" customHeight="1" x14ac:dyDescent="0.2">
      <c r="A565" t="s">
        <v>3606</v>
      </c>
      <c r="B565" t="s">
        <v>5305</v>
      </c>
      <c r="C565">
        <v>359.67</v>
      </c>
      <c r="D565" s="23">
        <v>0.32</v>
      </c>
      <c r="NF565" t="s">
        <v>5305</v>
      </c>
    </row>
    <row r="566" spans="1:586 1695:1784 2072:2648 3082:3944 4138:4138" ht="12.75" customHeight="1" x14ac:dyDescent="0.2">
      <c r="A566" t="s">
        <v>3606</v>
      </c>
      <c r="B566" t="s">
        <v>5306</v>
      </c>
      <c r="C566">
        <v>374</v>
      </c>
      <c r="D566" s="23">
        <v>4.55</v>
      </c>
      <c r="NY566" t="s">
        <v>5306</v>
      </c>
    </row>
    <row r="567" spans="1:586 1695:1784 2072:2648 3082:3944 4138:4138" ht="12.75" customHeight="1" x14ac:dyDescent="0.2">
      <c r="A567" t="s">
        <v>3606</v>
      </c>
      <c r="B567" t="s">
        <v>5307</v>
      </c>
      <c r="C567">
        <v>382</v>
      </c>
      <c r="D567" s="23">
        <v>1.86</v>
      </c>
      <c r="OD567" t="s">
        <v>5307</v>
      </c>
    </row>
    <row r="568" spans="1:586 1695:1784 2072:2648 3082:3944 4138:4138" ht="12.75" customHeight="1" x14ac:dyDescent="0.2">
      <c r="A568" t="s">
        <v>3606</v>
      </c>
      <c r="B568" t="s">
        <v>5308</v>
      </c>
      <c r="C568">
        <v>390</v>
      </c>
      <c r="D568" s="23">
        <v>6.21</v>
      </c>
      <c r="OP568" t="s">
        <v>5308</v>
      </c>
    </row>
    <row r="569" spans="1:586 1695:1784 2072:2648 3082:3944 4138:4138" ht="12.75" customHeight="1" x14ac:dyDescent="0.2">
      <c r="A569" t="s">
        <v>3606</v>
      </c>
      <c r="B569" t="s">
        <v>5309</v>
      </c>
      <c r="C569">
        <v>402</v>
      </c>
      <c r="D569" s="23">
        <v>12.99</v>
      </c>
      <c r="PI569" t="s">
        <v>5309</v>
      </c>
    </row>
    <row r="570" spans="1:586 1695:1784 2072:2648 3082:3944 4138:4138" ht="12.75" customHeight="1" x14ac:dyDescent="0.2">
      <c r="A570" t="s">
        <v>3606</v>
      </c>
      <c r="B570" t="s">
        <v>5310</v>
      </c>
      <c r="C570">
        <v>404</v>
      </c>
      <c r="D570" s="23">
        <v>24.84</v>
      </c>
      <c r="PW570" t="s">
        <v>5310</v>
      </c>
    </row>
    <row r="571" spans="1:586 1695:1784 2072:2648 3082:3944 4138:4138" ht="12.75" customHeight="1" x14ac:dyDescent="0.2">
      <c r="A571" t="s">
        <v>3606</v>
      </c>
      <c r="B571" t="s">
        <v>5311</v>
      </c>
      <c r="C571">
        <v>408</v>
      </c>
      <c r="D571" s="23">
        <v>25.99</v>
      </c>
      <c r="QB571" t="s">
        <v>5311</v>
      </c>
      <c r="BOA571" t="s">
        <v>3896</v>
      </c>
    </row>
    <row r="572" spans="1:586 1695:1784 2072:2648 3082:3944 4138:4138" ht="12.75" customHeight="1" x14ac:dyDescent="0.2">
      <c r="A572" t="s">
        <v>3606</v>
      </c>
      <c r="B572" t="s">
        <v>5312</v>
      </c>
      <c r="C572">
        <v>448.58</v>
      </c>
      <c r="D572" s="23">
        <v>3.9</v>
      </c>
      <c r="QT572" t="s">
        <v>5312</v>
      </c>
      <c r="BPP572" t="s">
        <v>3897</v>
      </c>
    </row>
    <row r="573" spans="1:586 1695:1784 2072:2648 3082:3944 4138:4138" ht="12.75" customHeight="1" x14ac:dyDescent="0.2">
      <c r="A573" t="s">
        <v>3606</v>
      </c>
      <c r="B573" t="s">
        <v>5313</v>
      </c>
      <c r="C573">
        <v>473.39</v>
      </c>
      <c r="D573" s="23">
        <v>37.270000000000003</v>
      </c>
      <c r="TA573" t="s">
        <v>5313</v>
      </c>
      <c r="CCN573" t="s">
        <v>3898</v>
      </c>
    </row>
    <row r="574" spans="1:586 1695:1784 2072:2648 3082:3944 4138:4138" ht="12.75" customHeight="1" x14ac:dyDescent="0.2">
      <c r="A574" t="s">
        <v>3606</v>
      </c>
      <c r="B574" t="s">
        <v>5314</v>
      </c>
      <c r="C574">
        <v>532.26</v>
      </c>
      <c r="D574" s="23">
        <v>3.9</v>
      </c>
      <c r="TZ574" t="s">
        <v>5314</v>
      </c>
      <c r="BME574" t="s">
        <v>3659</v>
      </c>
    </row>
    <row r="575" spans="1:586 1695:1784 2072:2648 3082:3944 4138:4138" ht="12.75" customHeight="1" x14ac:dyDescent="0.2">
      <c r="A575" t="s">
        <v>3606</v>
      </c>
      <c r="B575" t="s">
        <v>5315</v>
      </c>
      <c r="C575">
        <v>537.16</v>
      </c>
      <c r="D575" s="23">
        <v>13</v>
      </c>
      <c r="UN575" t="s">
        <v>5315</v>
      </c>
      <c r="BNT575" t="s">
        <v>3459</v>
      </c>
    </row>
    <row r="576" spans="1:586 1695:1784 2072:2648 3082:3944 4138:4138" ht="12.75" customHeight="1" x14ac:dyDescent="0.2">
      <c r="A576" t="s">
        <v>3606</v>
      </c>
      <c r="B576" t="s">
        <v>5316</v>
      </c>
      <c r="C576">
        <v>551.16</v>
      </c>
      <c r="D576" s="23">
        <v>24.69</v>
      </c>
      <c r="VN576" t="s">
        <v>5316</v>
      </c>
      <c r="CAR576" t="s">
        <v>3460</v>
      </c>
    </row>
    <row r="577" spans="1:767" ht="12.75" customHeight="1" x14ac:dyDescent="0.2">
      <c r="A577" t="s">
        <v>3606</v>
      </c>
      <c r="B577" t="s">
        <v>5317</v>
      </c>
      <c r="C577">
        <v>574.76</v>
      </c>
      <c r="D577" s="23">
        <v>1.24</v>
      </c>
      <c r="VN577" t="s">
        <v>5317</v>
      </c>
    </row>
    <row r="578" spans="1:767" ht="12.75" customHeight="1" x14ac:dyDescent="0.2">
      <c r="A578" t="s">
        <v>3606</v>
      </c>
      <c r="B578" t="s">
        <v>5318</v>
      </c>
      <c r="C578">
        <v>578.1</v>
      </c>
      <c r="D578" s="23">
        <v>1.24</v>
      </c>
      <c r="VQ578" t="s">
        <v>5318</v>
      </c>
    </row>
    <row r="579" spans="1:767" ht="12.75" customHeight="1" x14ac:dyDescent="0.2">
      <c r="A579" t="s">
        <v>3606</v>
      </c>
      <c r="B579" t="s">
        <v>5319</v>
      </c>
      <c r="C579">
        <v>580.35</v>
      </c>
      <c r="D579" s="23">
        <v>1.24</v>
      </c>
      <c r="VT579" t="s">
        <v>5319</v>
      </c>
    </row>
    <row r="580" spans="1:767" ht="12.75" customHeight="1" x14ac:dyDescent="0.2">
      <c r="A580" t="s">
        <v>3606</v>
      </c>
      <c r="B580" t="s">
        <v>5320</v>
      </c>
      <c r="C580">
        <v>586</v>
      </c>
      <c r="D580" s="23">
        <v>12.99</v>
      </c>
      <c r="WK580" t="s">
        <v>5320</v>
      </c>
    </row>
    <row r="581" spans="1:767" ht="12.75" customHeight="1" x14ac:dyDescent="0.2">
      <c r="A581" t="s">
        <v>3606</v>
      </c>
      <c r="B581" t="s">
        <v>5321</v>
      </c>
      <c r="C581">
        <v>600</v>
      </c>
      <c r="D581" s="23">
        <v>1.24</v>
      </c>
      <c r="WM581" t="s">
        <v>5321</v>
      </c>
    </row>
    <row r="582" spans="1:767" ht="12.75" customHeight="1" x14ac:dyDescent="0.2">
      <c r="A582" t="s">
        <v>3606</v>
      </c>
      <c r="B582" t="s">
        <v>5322</v>
      </c>
      <c r="C582">
        <v>611.58000000000004</v>
      </c>
      <c r="D582" s="23">
        <v>12.42</v>
      </c>
      <c r="XJ582" t="s">
        <v>5322</v>
      </c>
    </row>
    <row r="583" spans="1:767" ht="12.75" customHeight="1" x14ac:dyDescent="0.2">
      <c r="A583" t="s">
        <v>3606</v>
      </c>
      <c r="B583" t="s">
        <v>5323</v>
      </c>
      <c r="C583">
        <v>617.79</v>
      </c>
      <c r="D583" s="23">
        <v>6.21</v>
      </c>
      <c r="XJ583" t="s">
        <v>5323</v>
      </c>
    </row>
    <row r="584" spans="1:767" ht="12.75" customHeight="1" x14ac:dyDescent="0.2">
      <c r="A584" t="s">
        <v>3606</v>
      </c>
      <c r="B584" t="s">
        <v>5324</v>
      </c>
      <c r="C584">
        <v>617.79</v>
      </c>
      <c r="D584" s="23">
        <v>6.21</v>
      </c>
      <c r="XJ584" t="s">
        <v>5324</v>
      </c>
    </row>
    <row r="585" spans="1:767" ht="12.75" customHeight="1" x14ac:dyDescent="0.2">
      <c r="A585" t="s">
        <v>3606</v>
      </c>
      <c r="B585" t="s">
        <v>5325</v>
      </c>
      <c r="C585">
        <v>632.29999999999995</v>
      </c>
      <c r="D585" s="23">
        <v>0.65</v>
      </c>
      <c r="XS585" t="s">
        <v>5325</v>
      </c>
    </row>
    <row r="586" spans="1:767" ht="12.75" customHeight="1" x14ac:dyDescent="0.2">
      <c r="A586" t="s">
        <v>3606</v>
      </c>
      <c r="B586" t="s">
        <v>5326</v>
      </c>
      <c r="C586">
        <v>633.95000000000005</v>
      </c>
      <c r="D586" s="23">
        <v>6.5</v>
      </c>
      <c r="XZ586" t="s">
        <v>5326</v>
      </c>
    </row>
    <row r="587" spans="1:767" ht="12.75" customHeight="1" x14ac:dyDescent="0.2">
      <c r="A587" t="s">
        <v>3606</v>
      </c>
      <c r="B587" t="s">
        <v>5327</v>
      </c>
      <c r="C587">
        <v>641.44000000000005</v>
      </c>
      <c r="D587" s="23">
        <v>2.6</v>
      </c>
      <c r="YD587" t="s">
        <v>5327</v>
      </c>
    </row>
    <row r="588" spans="1:767" ht="12.75" customHeight="1" x14ac:dyDescent="0.2">
      <c r="A588" t="s">
        <v>3606</v>
      </c>
      <c r="B588" t="s">
        <v>5328</v>
      </c>
      <c r="C588">
        <v>645.04</v>
      </c>
      <c r="D588" s="23">
        <v>12.42</v>
      </c>
      <c r="YQ588" t="s">
        <v>5328</v>
      </c>
    </row>
    <row r="589" spans="1:767" ht="12.75" customHeight="1" x14ac:dyDescent="0.2">
      <c r="A589" t="s">
        <v>3606</v>
      </c>
      <c r="B589" t="s">
        <v>5329</v>
      </c>
      <c r="C589">
        <v>659.58</v>
      </c>
      <c r="D589" s="23">
        <v>12.42</v>
      </c>
      <c r="ZF589" t="s">
        <v>5329</v>
      </c>
    </row>
    <row r="590" spans="1:767" ht="12.75" customHeight="1" x14ac:dyDescent="0.2">
      <c r="A590" t="s">
        <v>3606</v>
      </c>
      <c r="B590" t="s">
        <v>5330</v>
      </c>
      <c r="C590">
        <v>677.83</v>
      </c>
      <c r="D590" s="23">
        <v>3.9</v>
      </c>
      <c r="ZP590" s="18" t="s">
        <v>5330</v>
      </c>
    </row>
    <row r="591" spans="1:767" ht="12.75" customHeight="1" x14ac:dyDescent="0.2">
      <c r="A591" t="s">
        <v>3606</v>
      </c>
      <c r="B591" t="s">
        <v>5331</v>
      </c>
      <c r="C591">
        <v>682.73</v>
      </c>
      <c r="D591" s="23">
        <v>37.270000000000003</v>
      </c>
      <c r="ABB591" t="s">
        <v>5331</v>
      </c>
    </row>
    <row r="592" spans="1:767" ht="12.75" customHeight="1" x14ac:dyDescent="0.2">
      <c r="A592" t="s">
        <v>3606</v>
      </c>
      <c r="B592" t="s">
        <v>5332</v>
      </c>
      <c r="C592">
        <v>743.37</v>
      </c>
      <c r="D592" s="23">
        <v>13.92</v>
      </c>
      <c r="ACM592" t="s">
        <v>5332</v>
      </c>
    </row>
    <row r="593" spans="1:1018 1352:1784" ht="12.75" customHeight="1" x14ac:dyDescent="0.2">
      <c r="A593" t="s">
        <v>3606</v>
      </c>
      <c r="B593" t="s">
        <v>5333</v>
      </c>
      <c r="C593">
        <v>758.29</v>
      </c>
      <c r="D593" s="23">
        <v>7.47</v>
      </c>
      <c r="ACV593" t="s">
        <v>5333</v>
      </c>
    </row>
    <row r="594" spans="1:1018 1352:1784" ht="12.75" customHeight="1" x14ac:dyDescent="0.2">
      <c r="A594" t="s">
        <v>3606</v>
      </c>
      <c r="B594" t="s">
        <v>5334</v>
      </c>
      <c r="C594">
        <v>766.76</v>
      </c>
      <c r="D594" s="23">
        <v>1.24</v>
      </c>
      <c r="ACX594" t="s">
        <v>5334</v>
      </c>
    </row>
    <row r="595" spans="1:1018 1352:1784" ht="12.75" customHeight="1" x14ac:dyDescent="0.2">
      <c r="A595" t="s">
        <v>3606</v>
      </c>
      <c r="B595" t="s">
        <v>7243</v>
      </c>
      <c r="C595">
        <v>786.26</v>
      </c>
      <c r="D595" s="23">
        <v>24.84</v>
      </c>
      <c r="AEO595" t="s">
        <v>7243</v>
      </c>
    </row>
    <row r="596" spans="1:1018 1352:1784" ht="12.75" customHeight="1" x14ac:dyDescent="0.2">
      <c r="A596" t="s">
        <v>3606</v>
      </c>
      <c r="B596" t="s">
        <v>5335</v>
      </c>
      <c r="C596">
        <v>812.1</v>
      </c>
      <c r="D596" s="23">
        <v>3.9</v>
      </c>
      <c r="AET596" t="s">
        <v>5335</v>
      </c>
    </row>
    <row r="597" spans="1:1018 1352:1784" ht="12.75" customHeight="1" x14ac:dyDescent="0.2">
      <c r="A597" t="s">
        <v>3606</v>
      </c>
      <c r="B597" t="s">
        <v>5336</v>
      </c>
      <c r="C597">
        <v>817</v>
      </c>
      <c r="D597" s="23">
        <v>64.98</v>
      </c>
      <c r="AHH597" t="s">
        <v>5336</v>
      </c>
    </row>
    <row r="598" spans="1:1018 1352:1784" ht="12.75" customHeight="1" x14ac:dyDescent="0.2">
      <c r="A598" t="s">
        <v>3606</v>
      </c>
      <c r="B598" t="s">
        <v>5337</v>
      </c>
      <c r="C598">
        <v>886.32</v>
      </c>
      <c r="D598" s="23">
        <v>24.84</v>
      </c>
      <c r="AIK598" t="s">
        <v>5337</v>
      </c>
    </row>
    <row r="599" spans="1:1018 1352:1784" ht="12.75" customHeight="1" x14ac:dyDescent="0.2">
      <c r="A599" t="s">
        <v>3606</v>
      </c>
      <c r="B599" t="s">
        <v>5338</v>
      </c>
      <c r="C599">
        <v>912.16</v>
      </c>
      <c r="D599" s="23">
        <v>6.5</v>
      </c>
      <c r="AIS599" t="s">
        <v>5338</v>
      </c>
    </row>
    <row r="600" spans="1:1018 1352:1784" ht="12.75" customHeight="1" x14ac:dyDescent="0.2">
      <c r="A600" t="s">
        <v>3606</v>
      </c>
      <c r="B600" t="s">
        <v>5339</v>
      </c>
      <c r="C600">
        <v>919.66</v>
      </c>
      <c r="D600" s="23">
        <v>25.99</v>
      </c>
      <c r="AJT600" t="s">
        <v>5339</v>
      </c>
      <c r="AYZ600" t="s">
        <v>3899</v>
      </c>
    </row>
    <row r="601" spans="1:1018 1352:1784" ht="12.75" customHeight="1" x14ac:dyDescent="0.2">
      <c r="A601" t="s">
        <v>3606</v>
      </c>
      <c r="B601" t="s">
        <v>7244</v>
      </c>
      <c r="C601">
        <v>946.65</v>
      </c>
      <c r="D601" s="23">
        <v>1.24</v>
      </c>
      <c r="AJV601" t="s">
        <v>7244</v>
      </c>
      <c r="BEN601" t="s">
        <v>3900</v>
      </c>
    </row>
    <row r="602" spans="1:1018 1352:1784" ht="12.75" customHeight="1" x14ac:dyDescent="0.2">
      <c r="A602" t="s">
        <v>3606</v>
      </c>
      <c r="B602" t="s">
        <v>5340</v>
      </c>
      <c r="C602">
        <v>948.89</v>
      </c>
      <c r="D602" s="23">
        <v>3.9</v>
      </c>
      <c r="AKA602" t="s">
        <v>5340</v>
      </c>
      <c r="BIF602" t="s">
        <v>3901</v>
      </c>
    </row>
    <row r="603" spans="1:1018 1352:1784" ht="12.75" customHeight="1" x14ac:dyDescent="0.2">
      <c r="A603" t="s">
        <v>3606</v>
      </c>
      <c r="B603" t="s">
        <v>5341</v>
      </c>
      <c r="C603">
        <v>953.79</v>
      </c>
      <c r="D603" s="23">
        <v>6.21</v>
      </c>
      <c r="AKH603" t="s">
        <v>5341</v>
      </c>
      <c r="BJU603" t="s">
        <v>3902</v>
      </c>
    </row>
    <row r="604" spans="1:1018 1352:1784" ht="12.75" customHeight="1" x14ac:dyDescent="0.2">
      <c r="A604" t="s">
        <v>3606</v>
      </c>
      <c r="B604" t="s">
        <v>5342</v>
      </c>
      <c r="C604">
        <v>961.94</v>
      </c>
      <c r="D604" s="23">
        <v>1.95</v>
      </c>
      <c r="AKL604" t="s">
        <v>5342</v>
      </c>
      <c r="BAN604" t="s">
        <v>4187</v>
      </c>
      <c r="BLX604" t="s">
        <v>3903</v>
      </c>
    </row>
    <row r="605" spans="1:1018 1352:1784" ht="12.75" customHeight="1" x14ac:dyDescent="0.2">
      <c r="A605" t="s">
        <v>3606</v>
      </c>
      <c r="B605" t="s">
        <v>5343</v>
      </c>
      <c r="C605">
        <v>964.89</v>
      </c>
      <c r="D605" s="23">
        <v>25.99</v>
      </c>
      <c r="ALM605" t="s">
        <v>5343</v>
      </c>
      <c r="BCR605" t="s">
        <v>3660</v>
      </c>
      <c r="BLX605" t="s">
        <v>3904</v>
      </c>
    </row>
    <row r="606" spans="1:1018 1352:1784" ht="12.75" customHeight="1" x14ac:dyDescent="0.2">
      <c r="A606" t="s">
        <v>3606</v>
      </c>
      <c r="B606" t="s">
        <v>5344</v>
      </c>
      <c r="C606">
        <v>991.88</v>
      </c>
      <c r="D606" s="23">
        <v>6.5</v>
      </c>
      <c r="ALT606" t="s">
        <v>5344</v>
      </c>
      <c r="BFH606" t="s">
        <v>4188</v>
      </c>
      <c r="BLX606" t="s">
        <v>3905</v>
      </c>
    </row>
    <row r="607" spans="1:1018 1352:1784" ht="12.75" customHeight="1" x14ac:dyDescent="0.2">
      <c r="A607" t="s">
        <v>3606</v>
      </c>
      <c r="B607" t="s">
        <v>5345</v>
      </c>
      <c r="C607">
        <v>999.38</v>
      </c>
      <c r="D607" s="23">
        <v>3.9</v>
      </c>
      <c r="ALY607" t="s">
        <v>5345</v>
      </c>
      <c r="BGJ607" t="s">
        <v>3461</v>
      </c>
      <c r="BPP607" t="s">
        <v>3906</v>
      </c>
    </row>
    <row r="608" spans="1:1018 1352:1784" ht="12.75" customHeight="1" x14ac:dyDescent="0.2">
      <c r="A608" t="s">
        <v>3606</v>
      </c>
      <c r="B608" t="s">
        <v>5346</v>
      </c>
      <c r="C608">
        <v>1004.27</v>
      </c>
      <c r="D608" s="23">
        <v>3.73</v>
      </c>
      <c r="AMD608" t="s">
        <v>5346</v>
      </c>
      <c r="BHY608" t="s">
        <v>3462</v>
      </c>
      <c r="BPP608" t="s">
        <v>3907</v>
      </c>
    </row>
    <row r="609" spans="1:4 1040:2031 2061:2936 3080:3560" ht="12.75" customHeight="1" x14ac:dyDescent="0.2">
      <c r="A609" t="s">
        <v>3606</v>
      </c>
      <c r="B609" t="s">
        <v>5347</v>
      </c>
      <c r="C609">
        <v>1022.36</v>
      </c>
      <c r="D609" s="23">
        <v>7.8</v>
      </c>
      <c r="AMZ609" t="s">
        <v>5347</v>
      </c>
      <c r="BKB609" t="s">
        <v>3661</v>
      </c>
      <c r="BWJ609" t="s">
        <v>3908</v>
      </c>
    </row>
    <row r="610" spans="1:4 1040:2031 2061:2936 3080:3560" ht="12.75" customHeight="1" x14ac:dyDescent="0.2">
      <c r="A610" t="s">
        <v>3606</v>
      </c>
      <c r="B610" t="s">
        <v>5348</v>
      </c>
      <c r="C610">
        <v>1070.51</v>
      </c>
      <c r="D610" s="23">
        <v>6.5</v>
      </c>
      <c r="AOU610" t="s">
        <v>5348</v>
      </c>
      <c r="BKB610" t="s">
        <v>3662</v>
      </c>
      <c r="BWZ610" t="s">
        <v>3909</v>
      </c>
    </row>
    <row r="611" spans="1:4 1040:2031 2061:2936 3080:3560" ht="12.75" customHeight="1" x14ac:dyDescent="0.2">
      <c r="A611" t="s">
        <v>3606</v>
      </c>
      <c r="B611" t="s">
        <v>5349</v>
      </c>
      <c r="C611">
        <v>1078.01</v>
      </c>
      <c r="D611" s="23">
        <v>25.99</v>
      </c>
      <c r="APV611" t="s">
        <v>5349</v>
      </c>
      <c r="BKB611" t="s">
        <v>3463</v>
      </c>
      <c r="BYV611" t="s">
        <v>3910</v>
      </c>
    </row>
    <row r="612" spans="1:4 1040:2031 2061:2936 3080:3560" ht="12.75" customHeight="1" x14ac:dyDescent="0.2">
      <c r="A612" t="s">
        <v>3606</v>
      </c>
      <c r="B612" t="s">
        <v>5350</v>
      </c>
      <c r="C612">
        <v>1110</v>
      </c>
      <c r="D612" s="23">
        <v>24.84</v>
      </c>
      <c r="ARA612" t="s">
        <v>5350</v>
      </c>
      <c r="BNT612" t="s">
        <v>3464</v>
      </c>
      <c r="CAR612" t="s">
        <v>3911</v>
      </c>
    </row>
    <row r="613" spans="1:4 1040:2031 2061:2936 3080:3560" ht="12.75" customHeight="1" x14ac:dyDescent="0.2">
      <c r="A613" t="s">
        <v>3606</v>
      </c>
      <c r="B613" t="s">
        <v>5351</v>
      </c>
      <c r="C613">
        <v>1198.76</v>
      </c>
      <c r="D613" s="23">
        <v>1.24</v>
      </c>
      <c r="ATN613" t="s">
        <v>5351</v>
      </c>
      <c r="AZB613" t="s">
        <v>4811</v>
      </c>
      <c r="BNT613" t="s">
        <v>3465</v>
      </c>
      <c r="CIB613" t="s">
        <v>3912</v>
      </c>
    </row>
    <row r="614" spans="1:4 1040:2031 2061:2936 3080:3560" ht="12.75" customHeight="1" x14ac:dyDescent="0.2">
      <c r="A614" t="s">
        <v>3606</v>
      </c>
      <c r="B614" t="s">
        <v>5352</v>
      </c>
      <c r="C614">
        <v>1385.5</v>
      </c>
      <c r="D614" s="23">
        <v>6.5</v>
      </c>
      <c r="BAX614" t="s">
        <v>5900</v>
      </c>
      <c r="BCT614" t="s">
        <v>5900</v>
      </c>
      <c r="BEP614" t="s">
        <v>5900</v>
      </c>
      <c r="BGL614" t="s">
        <v>4812</v>
      </c>
      <c r="BRL614" t="s">
        <v>4189</v>
      </c>
      <c r="CLT614" t="s">
        <v>3913</v>
      </c>
    </row>
    <row r="615" spans="1:4 1040:2031 2061:2936 3080:3560" ht="12.75" customHeight="1" x14ac:dyDescent="0.2">
      <c r="A615" t="s">
        <v>3606</v>
      </c>
      <c r="B615" t="s">
        <v>5353</v>
      </c>
      <c r="C615">
        <v>1532.23</v>
      </c>
      <c r="D615" s="23">
        <v>25.99</v>
      </c>
      <c r="BHH615" t="s">
        <v>5901</v>
      </c>
      <c r="BJD615" t="s">
        <v>5901</v>
      </c>
      <c r="BKZ615" t="s">
        <v>5901</v>
      </c>
      <c r="BMV615" t="s">
        <v>3650</v>
      </c>
      <c r="BTN615" t="s">
        <v>4190</v>
      </c>
      <c r="CPL615" t="s">
        <v>3914</v>
      </c>
    </row>
    <row r="616" spans="1:4 1040:2031 2061:2936 3080:3560" ht="12.75" customHeight="1" x14ac:dyDescent="0.2">
      <c r="A616" t="s">
        <v>3606</v>
      </c>
      <c r="B616" t="s">
        <v>7245</v>
      </c>
      <c r="C616">
        <v>1607.16</v>
      </c>
      <c r="D616" s="23">
        <v>24.84</v>
      </c>
      <c r="BKD616" t="s">
        <v>5902</v>
      </c>
      <c r="BLZ616" t="s">
        <v>5902</v>
      </c>
      <c r="BNV616" t="s">
        <v>5902</v>
      </c>
      <c r="BPR616" t="s">
        <v>4813</v>
      </c>
      <c r="BUN616" t="s">
        <v>3663</v>
      </c>
      <c r="COE616" t="s">
        <v>3915</v>
      </c>
    </row>
    <row r="617" spans="1:4 1040:2031 2061:2936 3080:3560" ht="12.75" customHeight="1" x14ac:dyDescent="0.2">
      <c r="A617" t="s">
        <v>3606</v>
      </c>
      <c r="B617" t="s">
        <v>4814</v>
      </c>
      <c r="C617">
        <v>1651.58</v>
      </c>
      <c r="D617" s="23">
        <v>6.5</v>
      </c>
      <c r="BLD617" t="s">
        <v>5903</v>
      </c>
      <c r="BMZ617" t="s">
        <v>5903</v>
      </c>
      <c r="BOV617" t="s">
        <v>5903</v>
      </c>
      <c r="BQR617" t="s">
        <v>4814</v>
      </c>
      <c r="BVD617" t="s">
        <v>3466</v>
      </c>
      <c r="CRH617" t="s">
        <v>3916</v>
      </c>
    </row>
    <row r="618" spans="1:4 1040:2031 2061:2936 3080:3560" ht="12.75" customHeight="1" x14ac:dyDescent="0.2">
      <c r="A618" t="s">
        <v>3606</v>
      </c>
      <c r="B618" t="s">
        <v>7246</v>
      </c>
      <c r="C618">
        <v>1659.08</v>
      </c>
      <c r="D618" s="23">
        <v>6.5</v>
      </c>
      <c r="BLL618" t="s">
        <v>5904</v>
      </c>
      <c r="BNH618" t="s">
        <v>5904</v>
      </c>
      <c r="BPD618" t="s">
        <v>5904</v>
      </c>
      <c r="BQZ618" t="s">
        <v>4815</v>
      </c>
      <c r="BWZ618" t="s">
        <v>3467</v>
      </c>
      <c r="DAN618" t="s">
        <v>3917</v>
      </c>
    </row>
    <row r="619" spans="1:4 1040:2031 2061:2936 3080:3560" ht="12.75" customHeight="1" x14ac:dyDescent="0.2">
      <c r="A619" t="s">
        <v>3606</v>
      </c>
      <c r="B619" t="s">
        <v>7247</v>
      </c>
      <c r="C619">
        <v>1667.58</v>
      </c>
      <c r="D619" s="23">
        <v>12.42</v>
      </c>
      <c r="BLZ619" t="s">
        <v>5905</v>
      </c>
      <c r="BNV619" t="s">
        <v>5905</v>
      </c>
      <c r="BPR619" t="s">
        <v>5905</v>
      </c>
      <c r="BRN619" t="s">
        <v>4816</v>
      </c>
      <c r="BYV619" t="s">
        <v>3468</v>
      </c>
      <c r="DHX619" t="s">
        <v>3918</v>
      </c>
    </row>
    <row r="620" spans="1:4 1040:2031 2061:2936 3080:3560" ht="12.75" customHeight="1" x14ac:dyDescent="0.2">
      <c r="A620" t="s">
        <v>3606</v>
      </c>
      <c r="B620" t="s">
        <v>7248</v>
      </c>
      <c r="C620">
        <v>1703.16</v>
      </c>
      <c r="D620" s="23">
        <v>24.84</v>
      </c>
      <c r="BNV620" t="s">
        <v>5906</v>
      </c>
      <c r="BPR620" t="s">
        <v>5906</v>
      </c>
      <c r="BRN620" t="s">
        <v>5906</v>
      </c>
      <c r="BTJ620" t="s">
        <v>4817</v>
      </c>
      <c r="CGF620" t="s">
        <v>3469</v>
      </c>
      <c r="DNL620" t="s">
        <v>3919</v>
      </c>
    </row>
    <row r="621" spans="1:4 1040:2031 2061:2936 3080:3560" ht="12.75" customHeight="1" x14ac:dyDescent="0.2">
      <c r="A621" t="s">
        <v>3606</v>
      </c>
      <c r="B621" t="s">
        <v>7249</v>
      </c>
      <c r="C621">
        <v>1774.76</v>
      </c>
      <c r="D621" s="23">
        <v>1.24</v>
      </c>
      <c r="BPR621" t="s">
        <v>5907</v>
      </c>
      <c r="BRN621" t="s">
        <v>5907</v>
      </c>
      <c r="BTJ621" t="s">
        <v>5907</v>
      </c>
      <c r="BVF621" t="s">
        <v>4818</v>
      </c>
      <c r="CJX621" t="s">
        <v>4191</v>
      </c>
      <c r="DYN621" t="s">
        <v>3920</v>
      </c>
    </row>
    <row r="622" spans="1:4 1040:2031 2061:2936 3080:3560" ht="12.75" customHeight="1" x14ac:dyDescent="0.2">
      <c r="A622" t="s">
        <v>3606</v>
      </c>
      <c r="B622" t="s">
        <v>7250</v>
      </c>
      <c r="C622">
        <v>1899.29</v>
      </c>
      <c r="D622" s="23">
        <v>25.99</v>
      </c>
      <c r="BVK622" t="s">
        <v>5908</v>
      </c>
      <c r="BXG622" t="s">
        <v>5908</v>
      </c>
      <c r="BZC622" t="s">
        <v>5908</v>
      </c>
      <c r="CAY622" t="s">
        <v>4819</v>
      </c>
      <c r="CNP622" t="s">
        <v>3470</v>
      </c>
      <c r="EAJ622" t="s">
        <v>3921</v>
      </c>
    </row>
    <row r="623" spans="1:4 1040:2031 2061:2936 3080:3560" ht="12.75" customHeight="1" x14ac:dyDescent="0.2">
      <c r="A623" t="s">
        <v>3606</v>
      </c>
      <c r="B623" t="s">
        <v>7251</v>
      </c>
      <c r="C623">
        <v>1954.27</v>
      </c>
      <c r="D623" s="23">
        <v>0.31</v>
      </c>
      <c r="BWO623" t="s">
        <v>5909</v>
      </c>
      <c r="BYK623" t="s">
        <v>5909</v>
      </c>
      <c r="CAG623" t="s">
        <v>5909</v>
      </c>
      <c r="CCC623" t="s">
        <v>4820</v>
      </c>
      <c r="CMI623" t="s">
        <v>3471</v>
      </c>
      <c r="EAJ623" t="s">
        <v>3922</v>
      </c>
    </row>
    <row r="624" spans="1:4 1040:2031 2061:2936 3080:3560" ht="12.75" customHeight="1" x14ac:dyDescent="0.2">
      <c r="A624" t="s">
        <v>3606</v>
      </c>
      <c r="B624" t="s">
        <v>7252</v>
      </c>
      <c r="C624">
        <v>1955.58</v>
      </c>
      <c r="D624" s="23">
        <v>12.42</v>
      </c>
      <c r="BXB624" t="s">
        <v>5910</v>
      </c>
      <c r="BYX624" t="s">
        <v>5910</v>
      </c>
      <c r="CAT624" t="s">
        <v>5910</v>
      </c>
      <c r="CCP624" t="s">
        <v>4821</v>
      </c>
      <c r="CPL624" t="s">
        <v>3472</v>
      </c>
      <c r="EFX624" t="s">
        <v>3923</v>
      </c>
    </row>
    <row r="625" spans="1:195 2026:2026 2074:3034 3082:4040" ht="12.75" customHeight="1" x14ac:dyDescent="0.2">
      <c r="A625" t="s">
        <v>3606</v>
      </c>
      <c r="B625" t="s">
        <v>7253</v>
      </c>
      <c r="C625">
        <v>2003.58</v>
      </c>
      <c r="D625" s="23">
        <v>12.42</v>
      </c>
      <c r="BYX625" t="s">
        <v>5911</v>
      </c>
      <c r="CAT625" t="s">
        <v>5911</v>
      </c>
      <c r="CCP625" t="s">
        <v>5911</v>
      </c>
      <c r="CEL625" t="s">
        <v>4822</v>
      </c>
      <c r="CYR625" t="s">
        <v>3473</v>
      </c>
      <c r="EYJ625" t="s">
        <v>3924</v>
      </c>
    </row>
    <row r="626" spans="1:195 2026:2026 2074:3034 3082:4040" ht="12.75" customHeight="1" x14ac:dyDescent="0.2">
      <c r="A626" t="s">
        <v>3606</v>
      </c>
      <c r="B626" t="s">
        <v>5354</v>
      </c>
      <c r="C626">
        <v>2327.16</v>
      </c>
      <c r="D626" s="23">
        <v>24.84</v>
      </c>
      <c r="CLV626" t="s">
        <v>5912</v>
      </c>
      <c r="CNR626" t="s">
        <v>5912</v>
      </c>
      <c r="CPN626" t="s">
        <v>5912</v>
      </c>
      <c r="CRJ626" t="s">
        <v>3655</v>
      </c>
      <c r="DGB626" t="s">
        <v>3474</v>
      </c>
    </row>
    <row r="627" spans="1:195 2026:2026 2074:3034 3082:4040" ht="12.75" customHeight="1" x14ac:dyDescent="0.2">
      <c r="A627" t="s">
        <v>3606</v>
      </c>
      <c r="B627" t="s">
        <v>5355</v>
      </c>
      <c r="C627">
        <v>2911.03</v>
      </c>
      <c r="D627" s="23">
        <v>64.97</v>
      </c>
      <c r="DJV627" t="s">
        <v>5913</v>
      </c>
      <c r="DLP627" t="s">
        <v>3475</v>
      </c>
      <c r="DLR627" t="s">
        <v>5913</v>
      </c>
      <c r="DNN627" t="s">
        <v>5913</v>
      </c>
      <c r="DPJ627" t="s">
        <v>4823</v>
      </c>
    </row>
    <row r="628" spans="1:195 2026:2026 2074:3034 3082:4040" ht="12.75" customHeight="1" x14ac:dyDescent="0.2">
      <c r="A628" t="s">
        <v>3606</v>
      </c>
      <c r="B628" t="s">
        <v>5356</v>
      </c>
      <c r="C628">
        <v>3095.16</v>
      </c>
      <c r="D628" s="23">
        <v>24.84</v>
      </c>
      <c r="DPJ628" t="s">
        <v>5914</v>
      </c>
      <c r="DRF628" t="s">
        <v>5914</v>
      </c>
      <c r="DTB628" t="s">
        <v>5914</v>
      </c>
      <c r="DUX628" t="s">
        <v>4824</v>
      </c>
      <c r="DWR628" t="s">
        <v>3476</v>
      </c>
    </row>
    <row r="629" spans="1:195 2026:2026 2074:3034 3082:4040" ht="12.75" customHeight="1" x14ac:dyDescent="0.2">
      <c r="A629" t="s">
        <v>3606</v>
      </c>
      <c r="B629" t="s">
        <v>5357</v>
      </c>
      <c r="C629">
        <v>3321.16</v>
      </c>
      <c r="D629" s="23">
        <v>13</v>
      </c>
      <c r="DXP629" t="s">
        <v>5915</v>
      </c>
      <c r="DYN629" t="s">
        <v>3477</v>
      </c>
      <c r="DZL629" t="s">
        <v>5915</v>
      </c>
      <c r="EBH629" t="s">
        <v>5915</v>
      </c>
      <c r="EDD629" t="s">
        <v>3656</v>
      </c>
    </row>
    <row r="630" spans="1:195 2026:2026 2074:3034 3082:4040" ht="12.75" customHeight="1" x14ac:dyDescent="0.2">
      <c r="A630" t="s">
        <v>3606</v>
      </c>
      <c r="B630" t="s">
        <v>5358</v>
      </c>
      <c r="C630">
        <v>3335.16</v>
      </c>
      <c r="D630" s="23">
        <v>24.84</v>
      </c>
      <c r="DYN630" t="s">
        <v>3478</v>
      </c>
      <c r="DYP630" t="s">
        <v>5916</v>
      </c>
      <c r="EAL630" t="s">
        <v>5916</v>
      </c>
      <c r="ECH630" t="s">
        <v>5916</v>
      </c>
      <c r="EED630" t="s">
        <v>3657</v>
      </c>
    </row>
    <row r="631" spans="1:195 2026:2026 2074:3034 3082:4040" ht="12.75" customHeight="1" x14ac:dyDescent="0.2">
      <c r="A631" t="s">
        <v>3606</v>
      </c>
      <c r="B631" t="s">
        <v>5359</v>
      </c>
      <c r="C631">
        <v>3635.58</v>
      </c>
      <c r="D631" s="23">
        <v>12.42</v>
      </c>
      <c r="EEB631" t="s">
        <v>3479</v>
      </c>
      <c r="EJR631" t="s">
        <v>5917</v>
      </c>
      <c r="ELN631" t="s">
        <v>5917</v>
      </c>
      <c r="ENJ631" t="s">
        <v>5917</v>
      </c>
      <c r="EPF631" t="s">
        <v>3458</v>
      </c>
    </row>
    <row r="632" spans="1:195 2026:2026 2074:3034 3082:4040" ht="12.75" customHeight="1" x14ac:dyDescent="0.2">
      <c r="A632" t="s">
        <v>3606</v>
      </c>
      <c r="B632" t="s">
        <v>7254</v>
      </c>
      <c r="C632">
        <v>3719.22</v>
      </c>
      <c r="D632" s="23">
        <v>24.78</v>
      </c>
      <c r="ENJ632" t="s">
        <v>5918</v>
      </c>
      <c r="EPF632" t="s">
        <v>5918</v>
      </c>
      <c r="ERB632" t="s">
        <v>5918</v>
      </c>
      <c r="ESX632" t="s">
        <v>4825</v>
      </c>
      <c r="EWN632" t="s">
        <v>3480</v>
      </c>
    </row>
    <row r="633" spans="1:195 2026:2026 2074:3034 3082:4040" ht="12.75" customHeight="1" x14ac:dyDescent="0.2">
      <c r="A633" t="s">
        <v>3606</v>
      </c>
      <c r="B633" t="s">
        <v>5360</v>
      </c>
      <c r="C633">
        <v>3785.5</v>
      </c>
      <c r="D633" s="23">
        <v>6.5</v>
      </c>
      <c r="EPF633" t="s">
        <v>5919</v>
      </c>
      <c r="ERB633" t="s">
        <v>5919</v>
      </c>
      <c r="ESX633" t="s">
        <v>5919</v>
      </c>
      <c r="EUT633" t="s">
        <v>4826</v>
      </c>
    </row>
    <row r="634" spans="1:195 2026:2026 2074:3034 3082:4040" ht="12.75" customHeight="1" x14ac:dyDescent="0.2">
      <c r="A634" t="s">
        <v>3607</v>
      </c>
      <c r="B634" t="s">
        <v>5361</v>
      </c>
      <c r="C634">
        <v>-95</v>
      </c>
      <c r="D634" s="23">
        <v>12.92</v>
      </c>
      <c r="J634" t="s">
        <v>5361</v>
      </c>
    </row>
    <row r="635" spans="1:195 2026:2026 2074:3034 3082:4040" ht="12.75" customHeight="1" x14ac:dyDescent="0.2">
      <c r="A635" t="s">
        <v>3607</v>
      </c>
      <c r="B635" t="s">
        <v>5362</v>
      </c>
      <c r="C635">
        <v>-81.08</v>
      </c>
      <c r="D635" s="23">
        <v>52.71</v>
      </c>
      <c r="J635" t="s">
        <v>5362</v>
      </c>
    </row>
    <row r="636" spans="1:195 2026:2026 2074:3034 3082:4040" ht="12.75" customHeight="1" x14ac:dyDescent="0.2">
      <c r="A636" t="s">
        <v>3607</v>
      </c>
      <c r="B636" t="s">
        <v>5363</v>
      </c>
      <c r="C636">
        <v>-27.37</v>
      </c>
      <c r="D636" s="23">
        <v>26.36</v>
      </c>
      <c r="J636" t="s">
        <v>5363</v>
      </c>
    </row>
    <row r="637" spans="1:195 2026:2026 2074:3034 3082:4040" ht="12.75" customHeight="1" x14ac:dyDescent="0.2">
      <c r="A637" t="s">
        <v>3607</v>
      </c>
      <c r="B637" t="s">
        <v>5364</v>
      </c>
      <c r="C637">
        <v>1</v>
      </c>
      <c r="D637" s="23">
        <v>26.1</v>
      </c>
      <c r="AK637" t="s">
        <v>5364</v>
      </c>
    </row>
    <row r="638" spans="1:195 2026:2026 2074:3034 3082:4040" ht="12.75" customHeight="1" x14ac:dyDescent="0.2">
      <c r="A638" t="s">
        <v>3607</v>
      </c>
      <c r="B638" t="s">
        <v>5365</v>
      </c>
      <c r="C638">
        <v>49</v>
      </c>
      <c r="D638" s="23">
        <v>60.03</v>
      </c>
      <c r="DO638" t="s">
        <v>5365</v>
      </c>
    </row>
    <row r="639" spans="1:195 2026:2026 2074:3034 3082:4040" ht="12.75" customHeight="1" x14ac:dyDescent="0.2">
      <c r="A639" t="s">
        <v>3607</v>
      </c>
      <c r="B639" t="s">
        <v>5366</v>
      </c>
      <c r="C639">
        <v>110.03</v>
      </c>
      <c r="D639" s="23">
        <v>28.71</v>
      </c>
      <c r="ES639" t="s">
        <v>5366</v>
      </c>
    </row>
    <row r="640" spans="1:195 2026:2026 2074:3034 3082:4040" ht="12.75" customHeight="1" x14ac:dyDescent="0.2">
      <c r="A640" t="s">
        <v>3607</v>
      </c>
      <c r="B640" t="s">
        <v>5367</v>
      </c>
      <c r="C640">
        <v>159.03</v>
      </c>
      <c r="D640" s="23">
        <v>26.1</v>
      </c>
      <c r="GM640" t="s">
        <v>5367</v>
      </c>
    </row>
    <row r="641" spans="1:970 1114:1930 2600:2696" ht="12.75" customHeight="1" x14ac:dyDescent="0.2">
      <c r="A641" t="s">
        <v>3607</v>
      </c>
      <c r="B641" t="s">
        <v>5368</v>
      </c>
      <c r="C641">
        <v>186.12</v>
      </c>
      <c r="D641" s="23">
        <v>26.36</v>
      </c>
      <c r="HN641" t="s">
        <v>5368</v>
      </c>
    </row>
    <row r="642" spans="1:970 1114:1930 2600:2696" ht="12.75" customHeight="1" x14ac:dyDescent="0.2">
      <c r="A642" t="s">
        <v>3607</v>
      </c>
      <c r="B642" t="s">
        <v>5369</v>
      </c>
      <c r="C642">
        <v>213.48</v>
      </c>
      <c r="D642" s="23">
        <v>39.54</v>
      </c>
      <c r="JC642" t="s">
        <v>5369</v>
      </c>
    </row>
    <row r="643" spans="1:970 1114:1930 2600:2696" ht="12.75" customHeight="1" x14ac:dyDescent="0.2">
      <c r="A643" t="s">
        <v>3607</v>
      </c>
      <c r="B643" t="s">
        <v>5370</v>
      </c>
      <c r="C643">
        <v>254.02</v>
      </c>
      <c r="D643" s="23">
        <v>38.76</v>
      </c>
      <c r="KQ643" t="s">
        <v>5370</v>
      </c>
    </row>
    <row r="644" spans="1:970 1114:1930 2600:2696" ht="12.75" customHeight="1" x14ac:dyDescent="0.2">
      <c r="A644" t="s">
        <v>3607</v>
      </c>
      <c r="B644" t="s">
        <v>5371</v>
      </c>
      <c r="C644">
        <v>293.77999999999997</v>
      </c>
      <c r="D644" s="23">
        <v>50.23</v>
      </c>
      <c r="MP644" t="s">
        <v>5371</v>
      </c>
    </row>
    <row r="645" spans="1:970 1114:1930 2600:2696" ht="12.75" customHeight="1" x14ac:dyDescent="0.2">
      <c r="A645" t="s">
        <v>3607</v>
      </c>
      <c r="B645" t="s">
        <v>5372</v>
      </c>
      <c r="C645">
        <v>934.16</v>
      </c>
      <c r="D645" s="23">
        <v>25.84</v>
      </c>
      <c r="AKH645" t="s">
        <v>5372</v>
      </c>
    </row>
    <row r="646" spans="1:970 1114:1930 2600:2696" ht="12.75" customHeight="1" x14ac:dyDescent="0.2">
      <c r="A646" t="s">
        <v>3607</v>
      </c>
      <c r="B646" t="s">
        <v>5373</v>
      </c>
      <c r="C646">
        <v>1096.1400000000001</v>
      </c>
      <c r="D646" s="23">
        <v>7.86</v>
      </c>
      <c r="APV646" t="s">
        <v>5373</v>
      </c>
    </row>
    <row r="647" spans="1:970 1114:1930 2600:2696" ht="12.75" customHeight="1" x14ac:dyDescent="0.2">
      <c r="A647" t="s">
        <v>3607</v>
      </c>
      <c r="B647" t="s">
        <v>5374</v>
      </c>
      <c r="C647">
        <v>1238</v>
      </c>
      <c r="D647" s="23">
        <v>12.92</v>
      </c>
      <c r="AVM647" t="s">
        <v>5374</v>
      </c>
      <c r="AZE647" t="s">
        <v>5920</v>
      </c>
      <c r="BBA647" t="s">
        <v>3658</v>
      </c>
    </row>
    <row r="648" spans="1:970 1114:1930 2600:2696" ht="12.75" customHeight="1" x14ac:dyDescent="0.2">
      <c r="A648" t="s">
        <v>3607</v>
      </c>
      <c r="B648" t="s">
        <v>5375</v>
      </c>
      <c r="C648">
        <v>1347.27</v>
      </c>
      <c r="D648" s="23">
        <v>52.2</v>
      </c>
      <c r="BBE648" t="s">
        <v>5921</v>
      </c>
      <c r="BDA648" t="s">
        <v>5921</v>
      </c>
      <c r="BEW648" t="s">
        <v>5921</v>
      </c>
      <c r="BGS648" t="s">
        <v>3659</v>
      </c>
      <c r="CWV648" t="s">
        <v>3925</v>
      </c>
    </row>
    <row r="649" spans="1:970 1114:1930 2600:2696" ht="12.75" customHeight="1" x14ac:dyDescent="0.2">
      <c r="A649" t="s">
        <v>3607</v>
      </c>
      <c r="B649" t="s">
        <v>7255</v>
      </c>
      <c r="C649">
        <v>1724.32</v>
      </c>
      <c r="D649" s="23">
        <v>51.68</v>
      </c>
      <c r="BPR649" t="s">
        <v>5922</v>
      </c>
      <c r="BRN649" t="s">
        <v>5922</v>
      </c>
      <c r="BTJ649" t="s">
        <v>5922</v>
      </c>
      <c r="BVF649" t="s">
        <v>4827</v>
      </c>
      <c r="CYR649" t="s">
        <v>3926</v>
      </c>
    </row>
    <row r="650" spans="1:970 1114:1930 2600:2696" ht="12.75" customHeight="1" x14ac:dyDescent="0.2">
      <c r="A650" t="s">
        <v>3608</v>
      </c>
      <c r="B650" t="s">
        <v>5376</v>
      </c>
      <c r="C650">
        <v>-92</v>
      </c>
      <c r="D650" s="23">
        <v>52.15</v>
      </c>
      <c r="J650" t="s">
        <v>5376</v>
      </c>
    </row>
    <row r="651" spans="1:970 1114:1930 2600:2696" ht="12.75" customHeight="1" x14ac:dyDescent="0.2">
      <c r="A651" t="s">
        <v>3608</v>
      </c>
      <c r="B651" t="s">
        <v>7256</v>
      </c>
      <c r="C651">
        <v>-36.33</v>
      </c>
      <c r="D651" s="23">
        <v>26.08</v>
      </c>
      <c r="J651" t="s">
        <v>7256</v>
      </c>
    </row>
    <row r="652" spans="1:970 1114:1930 2600:2696" ht="12.75" customHeight="1" x14ac:dyDescent="0.2">
      <c r="A652" t="s">
        <v>3608</v>
      </c>
      <c r="B652" t="s">
        <v>5377</v>
      </c>
      <c r="C652">
        <v>2</v>
      </c>
      <c r="D652" s="23">
        <v>52.81</v>
      </c>
      <c r="BM652" t="s">
        <v>5377</v>
      </c>
    </row>
    <row r="653" spans="1:970 1114:1930 2600:2696" ht="12.75" customHeight="1" x14ac:dyDescent="0.2">
      <c r="A653" t="s">
        <v>3608</v>
      </c>
      <c r="B653" t="s">
        <v>5378</v>
      </c>
      <c r="C653">
        <v>55.81</v>
      </c>
      <c r="D653" s="23">
        <v>26.34</v>
      </c>
      <c r="CN653" t="s">
        <v>5378</v>
      </c>
    </row>
    <row r="654" spans="1:970 1114:1930 2600:2696" ht="12.75" customHeight="1" x14ac:dyDescent="0.2">
      <c r="A654" t="s">
        <v>3608</v>
      </c>
      <c r="B654" t="s">
        <v>5379</v>
      </c>
      <c r="C654">
        <v>97</v>
      </c>
      <c r="D654" s="23">
        <v>26.34</v>
      </c>
      <c r="EC654" t="s">
        <v>5379</v>
      </c>
      <c r="CUZ654" t="s">
        <v>3664</v>
      </c>
    </row>
    <row r="655" spans="1:970 1114:1930 2600:2696" ht="12.75" customHeight="1" x14ac:dyDescent="0.2">
      <c r="A655" t="s">
        <v>3608</v>
      </c>
      <c r="B655" t="s">
        <v>7257</v>
      </c>
      <c r="C655">
        <v>127.08</v>
      </c>
      <c r="D655" s="23">
        <v>26.08</v>
      </c>
      <c r="FG655" t="s">
        <v>7257</v>
      </c>
      <c r="CWV655" t="s">
        <v>3481</v>
      </c>
    </row>
    <row r="656" spans="1:970 1114:1930 2600:2696" ht="12.75" customHeight="1" x14ac:dyDescent="0.2">
      <c r="A656" t="s">
        <v>3608</v>
      </c>
      <c r="B656" t="s">
        <v>5380</v>
      </c>
      <c r="C656">
        <v>156.15</v>
      </c>
      <c r="D656" s="23">
        <v>52.8</v>
      </c>
      <c r="HK656" t="s">
        <v>5380</v>
      </c>
    </row>
    <row r="657" spans="1:844 1400:2026 2362:2986 3704:3704" ht="12.75" customHeight="1" x14ac:dyDescent="0.2">
      <c r="A657" t="s">
        <v>3608</v>
      </c>
      <c r="B657" t="s">
        <v>7258</v>
      </c>
      <c r="C657">
        <v>209.95</v>
      </c>
      <c r="D657" s="23">
        <v>52.15</v>
      </c>
      <c r="JL657" t="s">
        <v>7258</v>
      </c>
    </row>
    <row r="658" spans="1:844 1400:2026 2362:2986 3704:3704" ht="12.75" customHeight="1" x14ac:dyDescent="0.2">
      <c r="A658" t="s">
        <v>3608</v>
      </c>
      <c r="B658" t="s">
        <v>5381</v>
      </c>
      <c r="C658">
        <v>263.10000000000002</v>
      </c>
      <c r="D658" s="23">
        <v>52.15</v>
      </c>
      <c r="LM658" t="s">
        <v>5381</v>
      </c>
      <c r="BAX658" t="s">
        <v>5352</v>
      </c>
    </row>
    <row r="659" spans="1:844 1400:2026 2362:2986 3704:3704" ht="12.75" customHeight="1" x14ac:dyDescent="0.2">
      <c r="A659" t="s">
        <v>3608</v>
      </c>
      <c r="B659" t="s">
        <v>5382</v>
      </c>
      <c r="C659">
        <v>316.25</v>
      </c>
      <c r="D659" s="23">
        <v>52.15</v>
      </c>
      <c r="NN659" t="s">
        <v>5382</v>
      </c>
      <c r="BGF659" t="s">
        <v>6824</v>
      </c>
    </row>
    <row r="660" spans="1:844 1400:2026 2362:2986 3704:3704" ht="12.75" customHeight="1" x14ac:dyDescent="0.2">
      <c r="A660" t="s">
        <v>3608</v>
      </c>
      <c r="B660" t="s">
        <v>5383</v>
      </c>
      <c r="C660">
        <v>369.4</v>
      </c>
      <c r="D660" s="23">
        <v>26.08</v>
      </c>
      <c r="OO660" t="s">
        <v>5383</v>
      </c>
      <c r="BHH660" t="s">
        <v>5353</v>
      </c>
    </row>
    <row r="661" spans="1:844 1400:2026 2362:2986 3704:3704" ht="12.75" customHeight="1" x14ac:dyDescent="0.2">
      <c r="A661" t="s">
        <v>3608</v>
      </c>
      <c r="B661" t="s">
        <v>5384</v>
      </c>
      <c r="C661">
        <v>396.48</v>
      </c>
      <c r="D661" s="23">
        <v>13.04</v>
      </c>
      <c r="PD661" s="18" t="s">
        <v>5384</v>
      </c>
      <c r="BCR661" t="s">
        <v>3927</v>
      </c>
      <c r="BKD661" t="s">
        <v>6825</v>
      </c>
    </row>
    <row r="662" spans="1:844 1400:2026 2362:2986 3704:3704" ht="12.75" customHeight="1" x14ac:dyDescent="0.2">
      <c r="A662" t="s">
        <v>3608</v>
      </c>
      <c r="B662" t="s">
        <v>5385</v>
      </c>
      <c r="C662">
        <v>410.52</v>
      </c>
      <c r="D662" s="23">
        <v>26.08</v>
      </c>
      <c r="QE662" t="s">
        <v>5385</v>
      </c>
      <c r="BGH662" t="s">
        <v>3928</v>
      </c>
      <c r="BLD662" t="s">
        <v>6826</v>
      </c>
    </row>
    <row r="663" spans="1:844 1400:2026 2362:2986 3704:3704" ht="12.75" customHeight="1" x14ac:dyDescent="0.2">
      <c r="A663" t="s">
        <v>3608</v>
      </c>
      <c r="B663" t="s">
        <v>5386</v>
      </c>
      <c r="C663">
        <v>437.59</v>
      </c>
      <c r="D663" s="23">
        <v>39.11</v>
      </c>
      <c r="RS663" t="s">
        <v>5386</v>
      </c>
      <c r="BIF663" t="s">
        <v>3929</v>
      </c>
      <c r="BLL663" t="s">
        <v>6827</v>
      </c>
    </row>
    <row r="664" spans="1:844 1400:2026 2362:2986 3704:3704" ht="12.75" customHeight="1" x14ac:dyDescent="0.2">
      <c r="A664" t="s">
        <v>3608</v>
      </c>
      <c r="B664" t="s">
        <v>5387</v>
      </c>
      <c r="C664">
        <v>477.7</v>
      </c>
      <c r="D664" s="23">
        <v>31.6</v>
      </c>
      <c r="SY664" t="s">
        <v>5387</v>
      </c>
      <c r="BLZ664" t="s">
        <v>6828</v>
      </c>
      <c r="BNT664" t="s">
        <v>3930</v>
      </c>
    </row>
    <row r="665" spans="1:844 1400:2026 2362:2986 3704:3704" ht="12.75" customHeight="1" x14ac:dyDescent="0.2">
      <c r="A665" t="s">
        <v>3608</v>
      </c>
      <c r="B665" t="s">
        <v>5388</v>
      </c>
      <c r="C665">
        <v>510.31</v>
      </c>
      <c r="D665" s="23">
        <v>52.15</v>
      </c>
      <c r="UZ665" t="s">
        <v>5388</v>
      </c>
      <c r="BNV665" t="s">
        <v>6829</v>
      </c>
      <c r="BTK665" t="s">
        <v>3931</v>
      </c>
    </row>
    <row r="666" spans="1:844 1400:2026 2362:2986 3704:3704" ht="12.75" customHeight="1" x14ac:dyDescent="0.2">
      <c r="A666" t="s">
        <v>3608</v>
      </c>
      <c r="B666" t="s">
        <v>5389</v>
      </c>
      <c r="C666">
        <v>568</v>
      </c>
      <c r="D666" s="23">
        <v>52.15</v>
      </c>
      <c r="XF666" t="s">
        <v>5389</v>
      </c>
      <c r="BPR666" t="s">
        <v>6830</v>
      </c>
      <c r="BWX666" t="s">
        <v>3932</v>
      </c>
    </row>
    <row r="667" spans="1:844 1400:2026 2362:2986 3704:3704" ht="12.75" customHeight="1" x14ac:dyDescent="0.2">
      <c r="A667" t="s">
        <v>3608</v>
      </c>
      <c r="B667" t="s">
        <v>5390</v>
      </c>
      <c r="C667">
        <v>624</v>
      </c>
      <c r="D667" s="23">
        <v>53.19</v>
      </c>
      <c r="ZK667" t="s">
        <v>5390</v>
      </c>
      <c r="BAV667" t="s">
        <v>3482</v>
      </c>
      <c r="BVK667" t="s">
        <v>6831</v>
      </c>
      <c r="BYV667" t="s">
        <v>3933</v>
      </c>
    </row>
    <row r="668" spans="1:844 1400:2026 2362:2986 3704:3704" ht="12.75" customHeight="1" x14ac:dyDescent="0.2">
      <c r="A668" t="s">
        <v>3608</v>
      </c>
      <c r="B668" t="s">
        <v>5391</v>
      </c>
      <c r="C668">
        <v>754.96</v>
      </c>
      <c r="D668" s="23">
        <v>13.04</v>
      </c>
      <c r="ACX668" t="s">
        <v>5391</v>
      </c>
      <c r="BEL668" t="s">
        <v>3483</v>
      </c>
      <c r="BWO668" t="s">
        <v>6832</v>
      </c>
      <c r="BYV668" t="s">
        <v>3934</v>
      </c>
    </row>
    <row r="669" spans="1:844 1400:2026 2362:2986 3704:3704" ht="12.75" customHeight="1" x14ac:dyDescent="0.2">
      <c r="A669" t="s">
        <v>3608</v>
      </c>
      <c r="B669" t="s">
        <v>5392</v>
      </c>
      <c r="C669">
        <v>763.85</v>
      </c>
      <c r="D669" s="23">
        <v>52.15</v>
      </c>
      <c r="AET669" t="s">
        <v>5392</v>
      </c>
      <c r="BGJ669" t="s">
        <v>3484</v>
      </c>
      <c r="BXB669" t="s">
        <v>6833</v>
      </c>
      <c r="BYV669" t="s">
        <v>3935</v>
      </c>
    </row>
    <row r="670" spans="1:844 1400:2026 2362:2986 3704:3704" ht="12.75" customHeight="1" x14ac:dyDescent="0.2">
      <c r="A670" t="s">
        <v>3608</v>
      </c>
      <c r="B670" t="s">
        <v>5393</v>
      </c>
      <c r="C670">
        <v>802.96</v>
      </c>
      <c r="D670" s="23">
        <v>13.04</v>
      </c>
      <c r="AET670" t="s">
        <v>5393</v>
      </c>
      <c r="BLX670" t="s">
        <v>3485</v>
      </c>
      <c r="BYX670" t="s">
        <v>6834</v>
      </c>
      <c r="ELL670" t="s">
        <v>3936</v>
      </c>
    </row>
    <row r="671" spans="1:844 1400:2026 2362:2986 3704:3704" ht="12.75" customHeight="1" x14ac:dyDescent="0.2">
      <c r="A671" t="s">
        <v>3608</v>
      </c>
      <c r="B671" t="s">
        <v>5394</v>
      </c>
      <c r="C671">
        <v>808.18</v>
      </c>
      <c r="D671" s="23">
        <v>7.82</v>
      </c>
      <c r="AET671" t="s">
        <v>5394</v>
      </c>
      <c r="BRO671" t="s">
        <v>3486</v>
      </c>
      <c r="CLV671" t="s">
        <v>5354</v>
      </c>
    </row>
    <row r="672" spans="1:844 1400:2026 2362:2986 3704:3704" ht="12.75" customHeight="1" x14ac:dyDescent="0.2">
      <c r="A672" t="s">
        <v>3608</v>
      </c>
      <c r="B672" t="s">
        <v>5395</v>
      </c>
      <c r="C672">
        <v>818.46</v>
      </c>
      <c r="D672" s="23">
        <v>15.65</v>
      </c>
      <c r="AFL672" t="s">
        <v>5395</v>
      </c>
      <c r="BVB672" t="s">
        <v>3487</v>
      </c>
      <c r="DJV672" t="s">
        <v>5355</v>
      </c>
    </row>
    <row r="673" spans="1:1023 1106:1976 3130:3802 4378:4378" ht="12.75" customHeight="1" x14ac:dyDescent="0.2">
      <c r="A673" t="s">
        <v>3608</v>
      </c>
      <c r="B673" t="s">
        <v>5396</v>
      </c>
      <c r="C673">
        <v>835.11</v>
      </c>
      <c r="D673" s="23">
        <v>26.08</v>
      </c>
      <c r="AGM673" t="s">
        <v>5396</v>
      </c>
      <c r="BWZ673" t="s">
        <v>3488</v>
      </c>
      <c r="DPJ673" t="s">
        <v>5356</v>
      </c>
    </row>
    <row r="674" spans="1:1023 1106:1976 3130:3802 4378:4378" ht="12.75" customHeight="1" x14ac:dyDescent="0.2">
      <c r="A674" t="s">
        <v>3608</v>
      </c>
      <c r="B674" t="s">
        <v>5397</v>
      </c>
      <c r="C674">
        <v>837.92</v>
      </c>
      <c r="D674" s="23">
        <v>26.08</v>
      </c>
      <c r="AGP674" t="s">
        <v>5397</v>
      </c>
      <c r="BWZ674" t="s">
        <v>3489</v>
      </c>
      <c r="DXP674" t="s">
        <v>5357</v>
      </c>
    </row>
    <row r="675" spans="1:1023 1106:1976 3130:3802 4378:4378" ht="12.75" customHeight="1" x14ac:dyDescent="0.2">
      <c r="A675" t="s">
        <v>3608</v>
      </c>
      <c r="B675" t="s">
        <v>5398</v>
      </c>
      <c r="C675">
        <v>859.85</v>
      </c>
      <c r="D675" s="23">
        <v>52.15</v>
      </c>
      <c r="AIL675" t="s">
        <v>5398</v>
      </c>
      <c r="BWZ675" t="s">
        <v>3490</v>
      </c>
      <c r="DYP675" t="s">
        <v>5358</v>
      </c>
    </row>
    <row r="676" spans="1:1023 1106:1976 3130:3802 4378:4378" ht="12.75" customHeight="1" x14ac:dyDescent="0.2">
      <c r="A676" t="s">
        <v>3608</v>
      </c>
      <c r="B676" t="s">
        <v>5399</v>
      </c>
      <c r="C676">
        <v>907.85</v>
      </c>
      <c r="D676" s="23">
        <v>52.15</v>
      </c>
      <c r="AKH676" t="s">
        <v>5399</v>
      </c>
      <c r="EJP676" t="s">
        <v>3491</v>
      </c>
      <c r="EJR676" t="s">
        <v>5359</v>
      </c>
    </row>
    <row r="677" spans="1:1023 1106:1976 3130:3802 4378:4378" ht="12.75" customHeight="1" x14ac:dyDescent="0.2">
      <c r="A677" t="s">
        <v>3608</v>
      </c>
      <c r="B677" t="s">
        <v>5400</v>
      </c>
      <c r="C677">
        <v>961</v>
      </c>
      <c r="D677" s="23">
        <v>52.15</v>
      </c>
      <c r="AMI677" t="s">
        <v>5400</v>
      </c>
      <c r="EPF677" t="s">
        <v>5360</v>
      </c>
    </row>
    <row r="678" spans="1:1023 1106:1976 3130:3802 4378:4378" ht="12.75" customHeight="1" x14ac:dyDescent="0.2">
      <c r="A678" t="s">
        <v>3608</v>
      </c>
      <c r="B678" t="s">
        <v>5401</v>
      </c>
      <c r="C678">
        <v>1043.05</v>
      </c>
      <c r="D678" s="23">
        <v>52.8</v>
      </c>
      <c r="APN678" t="s">
        <v>5401</v>
      </c>
      <c r="FLJ678" t="s">
        <v>6835</v>
      </c>
    </row>
    <row r="679" spans="1:1023 1106:1976 3130:3802 4378:4378" ht="12.75" customHeight="1" x14ac:dyDescent="0.2">
      <c r="A679" t="s">
        <v>3608</v>
      </c>
      <c r="B679" t="s">
        <v>5402</v>
      </c>
      <c r="C679">
        <v>1099.8499999999999</v>
      </c>
      <c r="D679" s="23">
        <v>52.15</v>
      </c>
      <c r="ARR679" t="s">
        <v>5402</v>
      </c>
    </row>
    <row r="680" spans="1:1023 1106:1976 3130:3802 4378:4378" ht="12.75" customHeight="1" x14ac:dyDescent="0.2">
      <c r="A680" t="s">
        <v>3608</v>
      </c>
      <c r="B680" t="s">
        <v>5403</v>
      </c>
      <c r="C680">
        <v>1167.1300000000001</v>
      </c>
      <c r="D680" s="23">
        <v>52.8</v>
      </c>
      <c r="AUH680" t="s">
        <v>5403</v>
      </c>
      <c r="AZV680" t="s">
        <v>4188</v>
      </c>
    </row>
    <row r="681" spans="1:1023 1106:1976 3130:3802 4378:4378" ht="12.75" customHeight="1" x14ac:dyDescent="0.2">
      <c r="A681" t="s">
        <v>3608</v>
      </c>
      <c r="B681" t="s">
        <v>5404</v>
      </c>
      <c r="C681">
        <v>1221.92</v>
      </c>
      <c r="D681" s="23">
        <v>26.08</v>
      </c>
      <c r="AVJ681" t="s">
        <v>5404</v>
      </c>
      <c r="AZB681" t="s">
        <v>5923</v>
      </c>
      <c r="BAX681" t="s">
        <v>3461</v>
      </c>
    </row>
    <row r="682" spans="1:1023 1106:1976 3130:3802 4378:4378" ht="12.75" customHeight="1" x14ac:dyDescent="0.2">
      <c r="A682" t="s">
        <v>3608</v>
      </c>
      <c r="B682" t="s">
        <v>5405</v>
      </c>
      <c r="C682">
        <v>1261.51</v>
      </c>
      <c r="D682" s="23">
        <v>26.34</v>
      </c>
      <c r="AWX682" t="s">
        <v>5405</v>
      </c>
      <c r="AYT682" t="s">
        <v>5924</v>
      </c>
      <c r="BAP682" t="s">
        <v>5924</v>
      </c>
      <c r="BCL682" t="s">
        <v>4828</v>
      </c>
    </row>
    <row r="683" spans="1:1023 1106:1976 3130:3802 4378:4378" ht="12.75" customHeight="1" x14ac:dyDescent="0.2">
      <c r="A683" t="s">
        <v>3608</v>
      </c>
      <c r="B683" t="s">
        <v>5406</v>
      </c>
      <c r="C683">
        <v>1291.8499999999999</v>
      </c>
      <c r="D683" s="23">
        <v>52.15</v>
      </c>
      <c r="AZB683" t="s">
        <v>5925</v>
      </c>
      <c r="BAX683" t="s">
        <v>5925</v>
      </c>
      <c r="BCT683" t="s">
        <v>5925</v>
      </c>
      <c r="BEP683" t="s">
        <v>3661</v>
      </c>
    </row>
    <row r="684" spans="1:1023 1106:1976 3130:3802 4378:4378" ht="12.75" customHeight="1" x14ac:dyDescent="0.2">
      <c r="A684" t="s">
        <v>3608</v>
      </c>
      <c r="B684" t="s">
        <v>5407</v>
      </c>
      <c r="C684">
        <v>1291.8499999999999</v>
      </c>
      <c r="D684" s="23">
        <v>52.15</v>
      </c>
      <c r="AZB684" t="s">
        <v>5926</v>
      </c>
      <c r="BAX684" t="s">
        <v>5926</v>
      </c>
      <c r="BCT684" t="s">
        <v>5926</v>
      </c>
      <c r="BEP684" t="s">
        <v>3662</v>
      </c>
    </row>
    <row r="685" spans="1:1023 1106:1976 3130:3802 4378:4378" ht="12.75" customHeight="1" x14ac:dyDescent="0.2">
      <c r="A685" t="s">
        <v>3608</v>
      </c>
      <c r="B685" t="s">
        <v>5408</v>
      </c>
      <c r="C685">
        <v>1345</v>
      </c>
      <c r="D685" s="23">
        <v>52.15</v>
      </c>
      <c r="BBC685" t="s">
        <v>5927</v>
      </c>
      <c r="BCY685" t="s">
        <v>5927</v>
      </c>
      <c r="BEU685" t="s">
        <v>5927</v>
      </c>
      <c r="BGQ685" t="s">
        <v>3464</v>
      </c>
    </row>
    <row r="686" spans="1:1023 1106:1976 3130:3802 4378:4378" ht="12.75" customHeight="1" x14ac:dyDescent="0.2">
      <c r="A686" t="s">
        <v>3608</v>
      </c>
      <c r="B686" t="s">
        <v>7259</v>
      </c>
      <c r="C686">
        <v>1413.92</v>
      </c>
      <c r="D686" s="23">
        <v>26.08</v>
      </c>
      <c r="BCT686" t="s">
        <v>5928</v>
      </c>
      <c r="BEP686" t="s">
        <v>5928</v>
      </c>
      <c r="BGL686" t="s">
        <v>5928</v>
      </c>
      <c r="BIH686" t="s">
        <v>3465</v>
      </c>
    </row>
    <row r="687" spans="1:1023 1106:1976 3130:3802 4378:4378" ht="12.75" customHeight="1" x14ac:dyDescent="0.2">
      <c r="A687" t="s">
        <v>3608</v>
      </c>
      <c r="B687" t="s">
        <v>5409</v>
      </c>
      <c r="C687">
        <v>1483.2</v>
      </c>
      <c r="D687" s="23">
        <v>52.8</v>
      </c>
      <c r="BGL687" t="s">
        <v>5929</v>
      </c>
      <c r="BIH687" t="s">
        <v>5929</v>
      </c>
      <c r="BKD687" t="s">
        <v>5929</v>
      </c>
      <c r="BLZ687" t="s">
        <v>4189</v>
      </c>
    </row>
    <row r="688" spans="1:1023 1106:1976 3130:3802 4378:4378" ht="12.75" customHeight="1" x14ac:dyDescent="0.2">
      <c r="A688" t="s">
        <v>3608</v>
      </c>
      <c r="B688" t="s">
        <v>5410</v>
      </c>
      <c r="C688">
        <v>1537</v>
      </c>
      <c r="D688" s="23">
        <v>52.8</v>
      </c>
      <c r="BIN688" t="s">
        <v>5930</v>
      </c>
      <c r="BKJ688" t="s">
        <v>5930</v>
      </c>
      <c r="BMF688" t="s">
        <v>5930</v>
      </c>
      <c r="BOB688" t="s">
        <v>4190</v>
      </c>
    </row>
    <row r="689" spans="1:10 1352:2026 2069:3034 3082:3850" ht="12.75" customHeight="1" x14ac:dyDescent="0.2">
      <c r="A689" t="s">
        <v>3608</v>
      </c>
      <c r="B689" t="s">
        <v>7260</v>
      </c>
      <c r="C689">
        <v>1605.92</v>
      </c>
      <c r="D689" s="23">
        <v>26.08</v>
      </c>
      <c r="BKD689" t="s">
        <v>5931</v>
      </c>
      <c r="BLZ689" t="s">
        <v>5931</v>
      </c>
      <c r="BNV689" t="s">
        <v>5931</v>
      </c>
      <c r="BPR689" t="s">
        <v>4829</v>
      </c>
    </row>
    <row r="690" spans="1:10 1352:2026 2069:3034 3082:3850" ht="12.75" customHeight="1" x14ac:dyDescent="0.2">
      <c r="A690" t="s">
        <v>3608</v>
      </c>
      <c r="B690" t="s">
        <v>7261</v>
      </c>
      <c r="C690">
        <v>1666.96</v>
      </c>
      <c r="D690" s="23">
        <v>13.04</v>
      </c>
      <c r="BLZ690" t="s">
        <v>5932</v>
      </c>
      <c r="BNV690" t="s">
        <v>5932</v>
      </c>
      <c r="BPR690" t="s">
        <v>5932</v>
      </c>
      <c r="BRN690" t="s">
        <v>4830</v>
      </c>
    </row>
    <row r="691" spans="1:10 1352:2026 2069:3034 3082:3850" ht="12.75" customHeight="1" x14ac:dyDescent="0.2">
      <c r="A691" t="s">
        <v>3608</v>
      </c>
      <c r="B691" t="s">
        <v>7262</v>
      </c>
      <c r="C691">
        <v>1681</v>
      </c>
      <c r="D691" s="23">
        <v>52.15</v>
      </c>
      <c r="BOA691" t="s">
        <v>5933</v>
      </c>
      <c r="BPW691" t="s">
        <v>5933</v>
      </c>
      <c r="BRS691" t="s">
        <v>5933</v>
      </c>
      <c r="BTO691" t="s">
        <v>4831</v>
      </c>
    </row>
    <row r="692" spans="1:10 1352:2026 2069:3034 3082:3850" ht="12.75" customHeight="1" x14ac:dyDescent="0.2">
      <c r="A692" t="s">
        <v>3608</v>
      </c>
      <c r="B692" t="s">
        <v>7263</v>
      </c>
      <c r="C692">
        <v>1910.7</v>
      </c>
      <c r="D692" s="23">
        <v>52.15</v>
      </c>
      <c r="BWW692" t="s">
        <v>5934</v>
      </c>
      <c r="BYS692" t="s">
        <v>5934</v>
      </c>
      <c r="CAO692" t="s">
        <v>5934</v>
      </c>
      <c r="CCK692" t="s">
        <v>3473</v>
      </c>
    </row>
    <row r="693" spans="1:10 1352:2026 2069:3034 3082:3850" ht="12.75" customHeight="1" x14ac:dyDescent="0.2">
      <c r="A693" t="s">
        <v>3608</v>
      </c>
      <c r="B693" t="s">
        <v>7264</v>
      </c>
      <c r="C693">
        <v>1963.85</v>
      </c>
      <c r="D693" s="23">
        <v>52.15</v>
      </c>
      <c r="BYX693" t="s">
        <v>5935</v>
      </c>
      <c r="CAT693" t="s">
        <v>5935</v>
      </c>
      <c r="CCP693" t="s">
        <v>5935</v>
      </c>
      <c r="CEL693" t="s">
        <v>4832</v>
      </c>
    </row>
    <row r="694" spans="1:10 1352:2026 2069:3034 3082:3850" ht="12.75" customHeight="1" x14ac:dyDescent="0.2">
      <c r="A694" t="s">
        <v>3608</v>
      </c>
      <c r="B694" t="s">
        <v>7265</v>
      </c>
      <c r="C694">
        <v>2059.85</v>
      </c>
      <c r="D694" s="23">
        <v>52.15</v>
      </c>
      <c r="BBE694" t="s">
        <v>5375</v>
      </c>
      <c r="CCP694" t="s">
        <v>5936</v>
      </c>
      <c r="CEL694" t="s">
        <v>5936</v>
      </c>
      <c r="CGH694" t="s">
        <v>5936</v>
      </c>
      <c r="CID694" t="s">
        <v>3470</v>
      </c>
    </row>
    <row r="695" spans="1:10 1352:2026 2069:3034 3082:3850" ht="12.75" customHeight="1" x14ac:dyDescent="0.2">
      <c r="A695" t="s">
        <v>3608</v>
      </c>
      <c r="B695" t="s">
        <v>7266</v>
      </c>
      <c r="C695">
        <v>2070.9</v>
      </c>
      <c r="D695" s="23">
        <v>7.82</v>
      </c>
      <c r="BPR695" t="s">
        <v>6836</v>
      </c>
      <c r="CBI695" t="s">
        <v>5937</v>
      </c>
      <c r="CDE695" t="s">
        <v>5937</v>
      </c>
      <c r="CFA695" t="s">
        <v>5937</v>
      </c>
      <c r="CGW695" t="s">
        <v>3471</v>
      </c>
    </row>
    <row r="696" spans="1:10 1352:2026 2069:3034 3082:3850" ht="12.75" customHeight="1" x14ac:dyDescent="0.2">
      <c r="A696" t="s">
        <v>3608</v>
      </c>
      <c r="B696" t="s">
        <v>7267</v>
      </c>
      <c r="C696">
        <v>2152.1799999999998</v>
      </c>
      <c r="D696" s="23">
        <v>7.82</v>
      </c>
      <c r="CEL696" t="s">
        <v>5938</v>
      </c>
      <c r="CGH696" t="s">
        <v>5938</v>
      </c>
      <c r="CID696" t="s">
        <v>5938</v>
      </c>
      <c r="CJZ696" t="s">
        <v>3472</v>
      </c>
    </row>
    <row r="697" spans="1:10 1352:2026 2069:3034 3082:3850" ht="12.75" customHeight="1" x14ac:dyDescent="0.2">
      <c r="A697" t="s">
        <v>3608</v>
      </c>
      <c r="B697" t="s">
        <v>5411</v>
      </c>
      <c r="C697">
        <v>2565.92</v>
      </c>
      <c r="D697" s="23">
        <v>26.08</v>
      </c>
      <c r="CVB697" t="s">
        <v>5939</v>
      </c>
      <c r="CWX697" t="s">
        <v>5939</v>
      </c>
      <c r="CYT697" t="s">
        <v>5939</v>
      </c>
      <c r="DAP697" t="s">
        <v>3474</v>
      </c>
    </row>
    <row r="698" spans="1:10 1352:2026 2069:3034 3082:3850" ht="12.75" customHeight="1" x14ac:dyDescent="0.2">
      <c r="A698" t="s">
        <v>3608</v>
      </c>
      <c r="B698" t="s">
        <v>5412</v>
      </c>
      <c r="C698">
        <v>2655.73</v>
      </c>
      <c r="D698" s="23">
        <v>53.19</v>
      </c>
      <c r="AYZ698" t="s">
        <v>3937</v>
      </c>
      <c r="CZO698" t="s">
        <v>5940</v>
      </c>
      <c r="DBK698" t="s">
        <v>5940</v>
      </c>
      <c r="DDG698" t="s">
        <v>5940</v>
      </c>
      <c r="DFC698" t="s">
        <v>4833</v>
      </c>
    </row>
    <row r="699" spans="1:10 1352:2026 2069:3034 3082:3850" ht="12.75" customHeight="1" x14ac:dyDescent="0.2">
      <c r="A699" t="s">
        <v>3608</v>
      </c>
      <c r="B699" t="s">
        <v>5413</v>
      </c>
      <c r="C699">
        <v>2709.92</v>
      </c>
      <c r="D699" s="23">
        <v>26.08</v>
      </c>
      <c r="AYZ699" t="s">
        <v>3938</v>
      </c>
      <c r="DAP699" t="s">
        <v>5941</v>
      </c>
      <c r="DCL699" t="s">
        <v>5941</v>
      </c>
      <c r="DEH699" t="s">
        <v>5941</v>
      </c>
      <c r="DGD699" t="s">
        <v>3475</v>
      </c>
    </row>
    <row r="700" spans="1:10 1352:2026 2069:3034 3082:3850" ht="12.75" customHeight="1" x14ac:dyDescent="0.2">
      <c r="A700" t="s">
        <v>3608</v>
      </c>
      <c r="B700" t="s">
        <v>5414</v>
      </c>
      <c r="C700">
        <v>2779.85</v>
      </c>
      <c r="D700" s="23">
        <v>52.15</v>
      </c>
      <c r="BAV700" t="s">
        <v>3939</v>
      </c>
      <c r="DEH700" t="s">
        <v>5942</v>
      </c>
      <c r="DGD700" t="s">
        <v>5942</v>
      </c>
      <c r="DHZ700" t="s">
        <v>5942</v>
      </c>
      <c r="DJV700" t="s">
        <v>3478</v>
      </c>
    </row>
    <row r="701" spans="1:10 1352:2026 2069:3034 3082:3850" ht="12.75" customHeight="1" x14ac:dyDescent="0.2">
      <c r="A701" t="s">
        <v>3608</v>
      </c>
      <c r="B701" t="s">
        <v>5415</v>
      </c>
      <c r="C701">
        <v>2997.92</v>
      </c>
      <c r="D701" s="23">
        <v>26.08</v>
      </c>
      <c r="BCR701" t="s">
        <v>3940</v>
      </c>
      <c r="DLR701" t="s">
        <v>5943</v>
      </c>
      <c r="DNN701" t="s">
        <v>5943</v>
      </c>
      <c r="DPJ701" t="s">
        <v>5943</v>
      </c>
      <c r="DRF701" t="s">
        <v>3476</v>
      </c>
    </row>
    <row r="702" spans="1:10 1352:2026 2069:3034 3082:3850" ht="12.75" customHeight="1" x14ac:dyDescent="0.2">
      <c r="A702" t="s">
        <v>3608</v>
      </c>
      <c r="B702" t="s">
        <v>5416</v>
      </c>
      <c r="C702">
        <v>3019.85</v>
      </c>
      <c r="D702" s="23">
        <v>52.15</v>
      </c>
      <c r="BIP702" t="s">
        <v>3941</v>
      </c>
      <c r="DNN702" t="s">
        <v>5944</v>
      </c>
      <c r="DPJ702" t="s">
        <v>5944</v>
      </c>
      <c r="DRF702" t="s">
        <v>5944</v>
      </c>
      <c r="DTB702" t="s">
        <v>3477</v>
      </c>
    </row>
    <row r="703" spans="1:10 1352:2026 2069:3034 3082:3850" ht="12.75" customHeight="1" x14ac:dyDescent="0.2">
      <c r="A703" t="s">
        <v>3608</v>
      </c>
      <c r="B703" t="s">
        <v>5417</v>
      </c>
      <c r="C703">
        <v>3688.18</v>
      </c>
      <c r="D703" s="23">
        <v>7.82</v>
      </c>
      <c r="BJO703" t="s">
        <v>3942</v>
      </c>
      <c r="ELN703" t="s">
        <v>5945</v>
      </c>
      <c r="ENJ703" t="s">
        <v>5945</v>
      </c>
      <c r="EPF703" t="s">
        <v>5945</v>
      </c>
      <c r="ERB703" t="s">
        <v>3480</v>
      </c>
    </row>
    <row r="704" spans="1:10 1352:2026 2069:3034 3082:3850" ht="12.75" customHeight="1" x14ac:dyDescent="0.2">
      <c r="A704" t="s">
        <v>3609</v>
      </c>
      <c r="B704" t="s">
        <v>7268</v>
      </c>
      <c r="C704">
        <v>-95</v>
      </c>
      <c r="D704" s="23">
        <v>7.9</v>
      </c>
      <c r="J704" t="s">
        <v>7268</v>
      </c>
      <c r="BKB704" t="s">
        <v>3943</v>
      </c>
    </row>
    <row r="705" spans="1:554 1352:2024 2072:2984" ht="12.75" customHeight="1" x14ac:dyDescent="0.2">
      <c r="A705" t="s">
        <v>3609</v>
      </c>
      <c r="B705" t="s">
        <v>7269</v>
      </c>
      <c r="C705">
        <v>-86.1</v>
      </c>
      <c r="D705" s="23">
        <v>14.34</v>
      </c>
      <c r="J705" t="s">
        <v>7269</v>
      </c>
      <c r="AYZ705" t="s">
        <v>3494</v>
      </c>
      <c r="BLX705" t="s">
        <v>3944</v>
      </c>
    </row>
    <row r="706" spans="1:554 1352:2024 2072:2984" ht="12.75" customHeight="1" x14ac:dyDescent="0.2">
      <c r="A706" t="s">
        <v>3609</v>
      </c>
      <c r="B706" t="s">
        <v>7270</v>
      </c>
      <c r="C706">
        <v>-70.760000000000005</v>
      </c>
      <c r="D706" s="23">
        <v>7.82</v>
      </c>
      <c r="J706" t="s">
        <v>7270</v>
      </c>
      <c r="BAV706" t="s">
        <v>3665</v>
      </c>
      <c r="BLX706" t="s">
        <v>3945</v>
      </c>
    </row>
    <row r="707" spans="1:554 1352:2024 2072:2984" ht="12.75" customHeight="1" x14ac:dyDescent="0.2">
      <c r="A707" t="s">
        <v>3609</v>
      </c>
      <c r="B707" t="s">
        <v>5418</v>
      </c>
      <c r="C707">
        <v>-47</v>
      </c>
      <c r="D707" s="23">
        <v>52.88</v>
      </c>
      <c r="P707" t="s">
        <v>5418</v>
      </c>
      <c r="BGT707" t="s">
        <v>3495</v>
      </c>
      <c r="BON707" t="s">
        <v>3946</v>
      </c>
    </row>
    <row r="708" spans="1:554 1352:2024 2072:2984" ht="12.75" customHeight="1" x14ac:dyDescent="0.2">
      <c r="A708" t="s">
        <v>3609</v>
      </c>
      <c r="B708" t="s">
        <v>5419</v>
      </c>
      <c r="C708">
        <v>10.42</v>
      </c>
      <c r="D708" s="23">
        <v>25.68</v>
      </c>
      <c r="AT708" t="s">
        <v>5419</v>
      </c>
      <c r="BHS708" t="s">
        <v>3496</v>
      </c>
      <c r="BQJ708" t="s">
        <v>3947</v>
      </c>
    </row>
    <row r="709" spans="1:554 1352:2024 2072:2984" ht="12.75" customHeight="1" x14ac:dyDescent="0.2">
      <c r="A709" t="s">
        <v>3609</v>
      </c>
      <c r="B709" t="s">
        <v>5420</v>
      </c>
      <c r="C709">
        <v>42.38</v>
      </c>
      <c r="D709" s="23">
        <v>52.67</v>
      </c>
      <c r="DA709" t="s">
        <v>5420</v>
      </c>
      <c r="BIF709" t="s">
        <v>3666</v>
      </c>
      <c r="BRL709" t="s">
        <v>3948</v>
      </c>
    </row>
    <row r="710" spans="1:554 1352:2024 2072:2984" ht="12.75" customHeight="1" x14ac:dyDescent="0.2">
      <c r="A710" t="s">
        <v>3609</v>
      </c>
      <c r="B710" t="s">
        <v>5421</v>
      </c>
      <c r="C710">
        <v>97</v>
      </c>
      <c r="D710" s="23">
        <v>13.17</v>
      </c>
      <c r="DP710" t="s">
        <v>5421</v>
      </c>
      <c r="BKB710" t="s">
        <v>3497</v>
      </c>
      <c r="BST710" t="s">
        <v>3949</v>
      </c>
    </row>
    <row r="711" spans="1:554 1352:2024 2072:2984" ht="12.75" customHeight="1" x14ac:dyDescent="0.2">
      <c r="A711" t="s">
        <v>3609</v>
      </c>
      <c r="B711" t="s">
        <v>7271</v>
      </c>
      <c r="C711">
        <v>123.07</v>
      </c>
      <c r="D711" s="23">
        <v>23.73</v>
      </c>
      <c r="FA711" t="s">
        <v>7271</v>
      </c>
      <c r="BKB711" t="s">
        <v>3498</v>
      </c>
      <c r="BUP711" t="s">
        <v>3950</v>
      </c>
    </row>
    <row r="712" spans="1:554 1352:2024 2072:2984" ht="12.75" customHeight="1" x14ac:dyDescent="0.2">
      <c r="A712" t="s">
        <v>3609</v>
      </c>
      <c r="B712" t="s">
        <v>5422</v>
      </c>
      <c r="C712">
        <v>163.96</v>
      </c>
      <c r="D712" s="23">
        <v>26.34</v>
      </c>
      <c r="GR712" t="s">
        <v>5422</v>
      </c>
      <c r="BMR712" t="s">
        <v>3499</v>
      </c>
      <c r="BVD712" t="s">
        <v>3951</v>
      </c>
    </row>
    <row r="713" spans="1:554 1352:2024 2072:2984" ht="12.75" customHeight="1" x14ac:dyDescent="0.2">
      <c r="A713" t="s">
        <v>3609</v>
      </c>
      <c r="B713" t="s">
        <v>7272</v>
      </c>
      <c r="C713">
        <v>191.3</v>
      </c>
      <c r="D713" s="23">
        <v>52.15</v>
      </c>
      <c r="IS713" t="s">
        <v>7272</v>
      </c>
      <c r="BON713" t="s">
        <v>3500</v>
      </c>
      <c r="BWZ713" t="s">
        <v>3952</v>
      </c>
    </row>
    <row r="714" spans="1:554 1352:2024 2072:2984" ht="12.75" customHeight="1" x14ac:dyDescent="0.2">
      <c r="A714" t="s">
        <v>3609</v>
      </c>
      <c r="B714" t="s">
        <v>5423</v>
      </c>
      <c r="C714">
        <v>244.45</v>
      </c>
      <c r="D714" s="23">
        <v>13.04</v>
      </c>
      <c r="JG714" t="s">
        <v>5423</v>
      </c>
      <c r="BPP714" t="s">
        <v>3501</v>
      </c>
      <c r="BYV714" t="s">
        <v>3953</v>
      </c>
    </row>
    <row r="715" spans="1:554 1352:2024 2072:2984" ht="12.75" customHeight="1" x14ac:dyDescent="0.2">
      <c r="A715" t="s">
        <v>3609</v>
      </c>
      <c r="B715" t="s">
        <v>5424</v>
      </c>
      <c r="C715">
        <v>258.49</v>
      </c>
      <c r="D715" s="23">
        <v>10.43</v>
      </c>
      <c r="JS715" t="s">
        <v>5424</v>
      </c>
      <c r="BQX715" t="s">
        <v>3667</v>
      </c>
      <c r="CCN715" t="s">
        <v>3954</v>
      </c>
    </row>
    <row r="716" spans="1:554 1352:2024 2072:2984" ht="12.75" customHeight="1" x14ac:dyDescent="0.2">
      <c r="A716" t="s">
        <v>3609</v>
      </c>
      <c r="B716" t="s">
        <v>5425</v>
      </c>
      <c r="C716">
        <v>270</v>
      </c>
      <c r="D716" s="23">
        <v>52.67</v>
      </c>
      <c r="LU716" t="s">
        <v>5425</v>
      </c>
      <c r="BST716" t="s">
        <v>3502</v>
      </c>
      <c r="CGF716" t="s">
        <v>3955</v>
      </c>
    </row>
    <row r="717" spans="1:554 1352:2024 2072:2984" ht="12.75" customHeight="1" x14ac:dyDescent="0.2">
      <c r="A717" t="s">
        <v>3609</v>
      </c>
      <c r="B717" t="s">
        <v>5426</v>
      </c>
      <c r="C717">
        <v>324</v>
      </c>
      <c r="D717" s="23">
        <v>52.67</v>
      </c>
      <c r="NW717" t="s">
        <v>5426</v>
      </c>
      <c r="BTH717" t="s">
        <v>3503</v>
      </c>
      <c r="CJX717" t="s">
        <v>3956</v>
      </c>
    </row>
    <row r="718" spans="1:554 1352:2024 2072:2984" ht="12.75" customHeight="1" x14ac:dyDescent="0.2">
      <c r="A718" t="s">
        <v>3609</v>
      </c>
      <c r="B718" t="s">
        <v>5427</v>
      </c>
      <c r="C718">
        <v>378</v>
      </c>
      <c r="D718" s="23">
        <v>52.67</v>
      </c>
      <c r="PY718" t="s">
        <v>5427</v>
      </c>
      <c r="BVD718" t="s">
        <v>3504</v>
      </c>
      <c r="CWV718" t="s">
        <v>3957</v>
      </c>
    </row>
    <row r="719" spans="1:554 1352:2024 2072:2984" ht="12.75" customHeight="1" x14ac:dyDescent="0.2">
      <c r="A719" t="s">
        <v>3609</v>
      </c>
      <c r="B719" t="s">
        <v>5428</v>
      </c>
      <c r="C719">
        <v>427.22</v>
      </c>
      <c r="D719" s="23">
        <v>52.78</v>
      </c>
      <c r="RV719" t="s">
        <v>5428</v>
      </c>
      <c r="BWZ719" t="s">
        <v>3505</v>
      </c>
      <c r="CZL719" t="s">
        <v>3958</v>
      </c>
    </row>
    <row r="720" spans="1:554 1352:2024 2072:2984" ht="12.75" customHeight="1" x14ac:dyDescent="0.2">
      <c r="A720" t="s">
        <v>3609</v>
      </c>
      <c r="B720" t="s">
        <v>5429</v>
      </c>
      <c r="C720">
        <v>492</v>
      </c>
      <c r="D720" s="23">
        <v>52.15</v>
      </c>
      <c r="UH720" t="s">
        <v>5429</v>
      </c>
      <c r="CAR720" t="s">
        <v>3506</v>
      </c>
      <c r="DJT720" t="s">
        <v>3959</v>
      </c>
    </row>
    <row r="721" spans="1:1018 1354:2026 2168:3032 3224:4088 4136:4376" ht="12.75" customHeight="1" x14ac:dyDescent="0.2">
      <c r="A721" t="s">
        <v>3609</v>
      </c>
      <c r="B721" t="s">
        <v>5430</v>
      </c>
      <c r="C721">
        <v>550</v>
      </c>
      <c r="D721" s="23">
        <v>26.34</v>
      </c>
      <c r="VN721" t="s">
        <v>5430</v>
      </c>
      <c r="CEJ721" t="s">
        <v>3507</v>
      </c>
      <c r="DLP721" t="s">
        <v>3960</v>
      </c>
    </row>
    <row r="722" spans="1:1018 1354:2026 2168:3032 3224:4088 4136:4376" ht="12.75" customHeight="1" x14ac:dyDescent="0.2">
      <c r="A722" t="s">
        <v>3609</v>
      </c>
      <c r="B722" t="s">
        <v>5431</v>
      </c>
      <c r="C722">
        <v>580</v>
      </c>
      <c r="D722" s="23">
        <v>52.67</v>
      </c>
      <c r="XS722" t="s">
        <v>5431</v>
      </c>
      <c r="CIB722" t="s">
        <v>3508</v>
      </c>
      <c r="DUV722" t="s">
        <v>3961</v>
      </c>
    </row>
    <row r="723" spans="1:1018 1354:2026 2168:3032 3224:4088 4136:4376" ht="12.75" customHeight="1" x14ac:dyDescent="0.2">
      <c r="A723" t="s">
        <v>3609</v>
      </c>
      <c r="B723" t="s">
        <v>5432</v>
      </c>
      <c r="C723">
        <v>644.99</v>
      </c>
      <c r="D723" s="23">
        <v>52.15</v>
      </c>
      <c r="AAE723" t="s">
        <v>5432</v>
      </c>
      <c r="CUZ723" t="s">
        <v>4192</v>
      </c>
      <c r="EEB723" t="s">
        <v>3962</v>
      </c>
    </row>
    <row r="724" spans="1:1018 1354:2026 2168:3032 3224:4088 4136:4376" ht="12.75" customHeight="1" x14ac:dyDescent="0.2">
      <c r="A724" t="s">
        <v>3609</v>
      </c>
      <c r="B724" t="s">
        <v>5433</v>
      </c>
      <c r="C724">
        <v>706.96</v>
      </c>
      <c r="D724" s="23">
        <v>13.04</v>
      </c>
      <c r="ABB724" t="s">
        <v>5433</v>
      </c>
      <c r="CXP724" t="s">
        <v>3509</v>
      </c>
      <c r="EFX724" t="s">
        <v>3963</v>
      </c>
    </row>
    <row r="725" spans="1:1018 1354:2026 2168:3032 3224:4088 4136:4376" ht="12.75" customHeight="1" x14ac:dyDescent="0.2">
      <c r="A725" t="s">
        <v>3609</v>
      </c>
      <c r="B725" t="s">
        <v>5434</v>
      </c>
      <c r="C725">
        <v>706.96</v>
      </c>
      <c r="D725" s="23">
        <v>13.04</v>
      </c>
      <c r="ABB725" t="s">
        <v>5434</v>
      </c>
      <c r="DHX725" t="s">
        <v>3510</v>
      </c>
      <c r="ELL725" t="s">
        <v>3964</v>
      </c>
    </row>
    <row r="726" spans="1:1018 1354:2026 2168:3032 3224:4088 4136:4376" ht="12.75" customHeight="1" x14ac:dyDescent="0.2">
      <c r="A726" t="s">
        <v>3609</v>
      </c>
      <c r="B726" t="s">
        <v>5435</v>
      </c>
      <c r="C726">
        <v>802.96</v>
      </c>
      <c r="D726" s="23">
        <v>13.04</v>
      </c>
      <c r="AET726" t="s">
        <v>5435</v>
      </c>
      <c r="DJT726" t="s">
        <v>3511</v>
      </c>
      <c r="ENH726" t="s">
        <v>3965</v>
      </c>
    </row>
    <row r="727" spans="1:1018 1354:2026 2168:3032 3224:4088 4136:4376" ht="12.75" customHeight="1" x14ac:dyDescent="0.2">
      <c r="A727" t="s">
        <v>3609</v>
      </c>
      <c r="B727" t="s">
        <v>5436</v>
      </c>
      <c r="C727">
        <v>955.19</v>
      </c>
      <c r="D727" s="23">
        <v>52.81</v>
      </c>
      <c r="AMD727" t="s">
        <v>5436</v>
      </c>
      <c r="AZB727" t="s">
        <v>5406</v>
      </c>
      <c r="DSZ727" t="s">
        <v>3512</v>
      </c>
      <c r="EPD727" t="s">
        <v>3966</v>
      </c>
    </row>
    <row r="728" spans="1:1018 1354:2026 2168:3032 3224:4088 4136:4376" ht="12.75" customHeight="1" x14ac:dyDescent="0.2">
      <c r="A728" t="s">
        <v>3609</v>
      </c>
      <c r="B728" t="s">
        <v>7273</v>
      </c>
      <c r="C728">
        <v>2277.92</v>
      </c>
      <c r="D728" s="23">
        <v>26.08</v>
      </c>
      <c r="AZB728" t="s">
        <v>5407</v>
      </c>
      <c r="CJZ728" t="s">
        <v>5946</v>
      </c>
      <c r="CLV728" t="s">
        <v>5946</v>
      </c>
      <c r="CNR728" t="s">
        <v>5946</v>
      </c>
      <c r="CPN728" t="s">
        <v>4834</v>
      </c>
      <c r="DWR728" t="s">
        <v>3492</v>
      </c>
      <c r="EWN728" t="s">
        <v>3967</v>
      </c>
    </row>
    <row r="729" spans="1:1018 1354:2026 2168:3032 3224:4088 4136:4376" ht="12.75" customHeight="1" x14ac:dyDescent="0.2">
      <c r="A729" t="s">
        <v>3609</v>
      </c>
      <c r="B729" t="s">
        <v>5437</v>
      </c>
      <c r="C729">
        <v>2338.96</v>
      </c>
      <c r="D729" s="23">
        <v>13.04</v>
      </c>
      <c r="BBC729" t="s">
        <v>5408</v>
      </c>
      <c r="CLV729" t="s">
        <v>5947</v>
      </c>
      <c r="CNR729" t="s">
        <v>5947</v>
      </c>
      <c r="CPN729" t="s">
        <v>5947</v>
      </c>
      <c r="CRJ729" t="s">
        <v>3481</v>
      </c>
      <c r="ECF729" t="s">
        <v>3513</v>
      </c>
      <c r="FCB729" t="s">
        <v>3968</v>
      </c>
    </row>
    <row r="730" spans="1:1018 1354:2026 2168:3032 3224:4088 4136:4376" ht="12.75" customHeight="1" x14ac:dyDescent="0.2">
      <c r="A730" t="s">
        <v>3610</v>
      </c>
      <c r="B730" t="s">
        <v>5438</v>
      </c>
      <c r="C730">
        <v>-96</v>
      </c>
      <c r="D730" s="23">
        <v>29.67</v>
      </c>
      <c r="J730" t="s">
        <v>5438</v>
      </c>
      <c r="BGL730" t="s">
        <v>5409</v>
      </c>
      <c r="EEB730" t="s">
        <v>4193</v>
      </c>
      <c r="FLH730" t="s">
        <v>3969</v>
      </c>
    </row>
    <row r="731" spans="1:1018 1354:2026 2168:3032 3224:4088 4136:4376" ht="12.75" customHeight="1" x14ac:dyDescent="0.2">
      <c r="A731" t="s">
        <v>3610</v>
      </c>
      <c r="B731" t="s">
        <v>7274</v>
      </c>
      <c r="C731">
        <v>-54.84</v>
      </c>
      <c r="D731" s="23">
        <v>25.22</v>
      </c>
      <c r="J731" t="s">
        <v>7274</v>
      </c>
      <c r="BIN731" t="s">
        <v>5410</v>
      </c>
      <c r="EJP731" t="s">
        <v>3514</v>
      </c>
    </row>
    <row r="732" spans="1:1018 1354:2026 2168:3032 3224:4088 4136:4376" ht="12.75" customHeight="1" x14ac:dyDescent="0.2">
      <c r="A732" t="s">
        <v>3610</v>
      </c>
      <c r="B732" t="s">
        <v>5439</v>
      </c>
      <c r="C732">
        <v>-20.84</v>
      </c>
      <c r="D732" s="23">
        <v>49.44</v>
      </c>
      <c r="AM732" t="s">
        <v>5439</v>
      </c>
      <c r="BKD732" t="s">
        <v>6837</v>
      </c>
      <c r="ELL732" t="s">
        <v>3515</v>
      </c>
    </row>
    <row r="733" spans="1:1018 1354:2026 2168:3032 3224:4088 4136:4376" ht="12.75" customHeight="1" x14ac:dyDescent="0.2">
      <c r="A733" t="s">
        <v>3610</v>
      </c>
      <c r="B733" t="s">
        <v>5440</v>
      </c>
      <c r="C733">
        <v>317.12</v>
      </c>
      <c r="D733" s="23">
        <v>36.35</v>
      </c>
      <c r="MY733" t="s">
        <v>5440</v>
      </c>
      <c r="BLZ733" t="s">
        <v>6838</v>
      </c>
      <c r="ENH733" t="s">
        <v>3516</v>
      </c>
    </row>
    <row r="734" spans="1:1018 1354:2026 2168:3032 3224:4088 4136:4376" ht="12.75" customHeight="1" x14ac:dyDescent="0.2">
      <c r="A734" t="s">
        <v>3610</v>
      </c>
      <c r="B734" t="s">
        <v>5441</v>
      </c>
      <c r="C734">
        <v>361.17</v>
      </c>
      <c r="D734" s="23">
        <v>22.56</v>
      </c>
      <c r="OD734" t="s">
        <v>5441</v>
      </c>
      <c r="BOA734" t="s">
        <v>6839</v>
      </c>
      <c r="EPD734" t="s">
        <v>4194</v>
      </c>
    </row>
    <row r="735" spans="1:1018 1354:2026 2168:3032 3224:4088 4136:4376" ht="12.75" customHeight="1" x14ac:dyDescent="0.2">
      <c r="A735" t="s">
        <v>3610</v>
      </c>
      <c r="B735" t="s">
        <v>5442</v>
      </c>
      <c r="C735">
        <v>753.83</v>
      </c>
      <c r="D735" s="23">
        <v>14.17</v>
      </c>
      <c r="ACX735" t="s">
        <v>5442</v>
      </c>
      <c r="BWW735" t="s">
        <v>6840</v>
      </c>
      <c r="EUR735" t="s">
        <v>3517</v>
      </c>
    </row>
    <row r="736" spans="1:1018 1354:2026 2168:3032 3224:4088 4136:4376" ht="12.75" customHeight="1" x14ac:dyDescent="0.2">
      <c r="A736" t="s">
        <v>3610</v>
      </c>
      <c r="B736" t="s">
        <v>5443</v>
      </c>
      <c r="C736">
        <v>788.81</v>
      </c>
      <c r="D736" s="23">
        <v>30.08</v>
      </c>
      <c r="AEW736" t="s">
        <v>5443</v>
      </c>
      <c r="BYX736" t="s">
        <v>6841</v>
      </c>
      <c r="FAF736" t="s">
        <v>3518</v>
      </c>
    </row>
    <row r="737" spans="1:874 1114:2026 2074:3034 3082:3706 4328:4474" ht="12.75" customHeight="1" x14ac:dyDescent="0.2">
      <c r="A737" t="s">
        <v>3610</v>
      </c>
      <c r="B737" t="s">
        <v>5444</v>
      </c>
      <c r="C737">
        <v>846.83</v>
      </c>
      <c r="D737" s="23">
        <v>17.170000000000002</v>
      </c>
      <c r="AGP737" t="s">
        <v>5444</v>
      </c>
      <c r="CCP737" t="s">
        <v>6842</v>
      </c>
      <c r="FJL737" t="s">
        <v>3519</v>
      </c>
    </row>
    <row r="738" spans="1:874 1114:2026 2074:3034 3082:3706 4328:4474" ht="12.75" customHeight="1" x14ac:dyDescent="0.2">
      <c r="A738" t="s">
        <v>3610</v>
      </c>
      <c r="B738" t="s">
        <v>5445</v>
      </c>
      <c r="C738">
        <v>1079.28</v>
      </c>
      <c r="D738" s="23">
        <v>24.72</v>
      </c>
      <c r="APV738" t="s">
        <v>5445</v>
      </c>
      <c r="CBI738" t="s">
        <v>6843</v>
      </c>
    </row>
    <row r="739" spans="1:874 1114:2026 2074:3034 3082:3706 4328:4474" ht="12.75" customHeight="1" x14ac:dyDescent="0.2">
      <c r="A739" t="s">
        <v>3610</v>
      </c>
      <c r="B739" t="s">
        <v>5446</v>
      </c>
      <c r="C739">
        <v>1187.57</v>
      </c>
      <c r="D739" s="23">
        <v>9.99</v>
      </c>
      <c r="ATL739" t="s">
        <v>5446</v>
      </c>
      <c r="AYZ739" t="s">
        <v>3483</v>
      </c>
      <c r="CEL739" t="s">
        <v>6844</v>
      </c>
    </row>
    <row r="740" spans="1:874 1114:2026 2074:3034 3082:3706 4328:4474" ht="12.75" customHeight="1" x14ac:dyDescent="0.2">
      <c r="A740" t="s">
        <v>3610</v>
      </c>
      <c r="B740" t="s">
        <v>5447</v>
      </c>
      <c r="C740">
        <v>1198.56</v>
      </c>
      <c r="D740" s="23">
        <v>49.44</v>
      </c>
      <c r="AVJ740" t="s">
        <v>5447</v>
      </c>
      <c r="AZB740" t="s">
        <v>5948</v>
      </c>
      <c r="BAX740" t="s">
        <v>3484</v>
      </c>
      <c r="CVB740" t="s">
        <v>5411</v>
      </c>
    </row>
    <row r="741" spans="1:874 1114:2026 2074:3034 3082:3706 4328:4474" ht="12.75" customHeight="1" x14ac:dyDescent="0.2">
      <c r="A741" t="s">
        <v>3610</v>
      </c>
      <c r="B741" t="s">
        <v>5448</v>
      </c>
      <c r="C741">
        <v>1342.56</v>
      </c>
      <c r="D741" s="23">
        <v>49.44</v>
      </c>
      <c r="BAX741" t="s">
        <v>5949</v>
      </c>
      <c r="BCT741" t="s">
        <v>5949</v>
      </c>
      <c r="BEP741" t="s">
        <v>5949</v>
      </c>
      <c r="BGL741" t="s">
        <v>3485</v>
      </c>
      <c r="CZO741" t="s">
        <v>5412</v>
      </c>
    </row>
    <row r="742" spans="1:874 1114:2026 2074:3034 3082:3706 4328:4474" ht="12.75" customHeight="1" x14ac:dyDescent="0.2">
      <c r="A742" t="s">
        <v>3610</v>
      </c>
      <c r="B742" t="s">
        <v>5449</v>
      </c>
      <c r="C742">
        <v>1514</v>
      </c>
      <c r="D742" s="23">
        <v>24.72</v>
      </c>
      <c r="BGO742" t="s">
        <v>5950</v>
      </c>
      <c r="BIK742" t="s">
        <v>5950</v>
      </c>
      <c r="BKG742" t="s">
        <v>5950</v>
      </c>
      <c r="BMC742" t="s">
        <v>3486</v>
      </c>
      <c r="DAP742" t="s">
        <v>5413</v>
      </c>
    </row>
    <row r="743" spans="1:874 1114:2026 2074:3034 3082:3706 4328:4474" ht="12.75" customHeight="1" x14ac:dyDescent="0.2">
      <c r="A743" t="s">
        <v>3610</v>
      </c>
      <c r="B743" t="s">
        <v>5450</v>
      </c>
      <c r="C743">
        <v>1580.11</v>
      </c>
      <c r="D743" s="23">
        <v>49.44</v>
      </c>
      <c r="BKB743" t="s">
        <v>5951</v>
      </c>
      <c r="BLX743" t="s">
        <v>5951</v>
      </c>
      <c r="BNT743" t="s">
        <v>5951</v>
      </c>
      <c r="BPP743" t="s">
        <v>3487</v>
      </c>
      <c r="DEH743" t="s">
        <v>5414</v>
      </c>
    </row>
    <row r="744" spans="1:874 1114:2026 2074:3034 3082:3706 4328:4474" ht="12.75" customHeight="1" x14ac:dyDescent="0.2">
      <c r="A744" t="s">
        <v>3610</v>
      </c>
      <c r="B744" t="s">
        <v>5451</v>
      </c>
      <c r="C744">
        <v>1618.19</v>
      </c>
      <c r="D744" s="23">
        <v>61.8</v>
      </c>
      <c r="BLZ744" t="s">
        <v>5952</v>
      </c>
      <c r="BNV744" t="s">
        <v>5952</v>
      </c>
      <c r="BPR744" t="s">
        <v>5952</v>
      </c>
      <c r="BRN744" t="s">
        <v>3488</v>
      </c>
      <c r="DKQ744" t="s">
        <v>6845</v>
      </c>
    </row>
    <row r="745" spans="1:874 1114:2026 2074:3034 3082:3706 4328:4474" ht="12.75" customHeight="1" x14ac:dyDescent="0.2">
      <c r="A745" t="s">
        <v>3610</v>
      </c>
      <c r="B745" t="s">
        <v>5452</v>
      </c>
      <c r="C745">
        <v>1630.56</v>
      </c>
      <c r="D745" s="23">
        <v>49.44</v>
      </c>
      <c r="BLZ745" t="s">
        <v>5953</v>
      </c>
      <c r="BNV745" t="s">
        <v>5953</v>
      </c>
      <c r="BPR745" t="s">
        <v>5953</v>
      </c>
      <c r="BRN745" t="s">
        <v>3489</v>
      </c>
      <c r="DLR745" t="s">
        <v>5415</v>
      </c>
    </row>
    <row r="746" spans="1:874 1114:2026 2074:3034 3082:3706 4328:4474" ht="12.75" customHeight="1" x14ac:dyDescent="0.2">
      <c r="A746" t="s">
        <v>3610</v>
      </c>
      <c r="B746" t="s">
        <v>5453</v>
      </c>
      <c r="C746">
        <v>1630.56</v>
      </c>
      <c r="D746" s="23">
        <v>49.44</v>
      </c>
      <c r="BLZ746" t="s">
        <v>5954</v>
      </c>
      <c r="BNV746" t="s">
        <v>5954</v>
      </c>
      <c r="BPR746" t="s">
        <v>5954</v>
      </c>
      <c r="BRN746" t="s">
        <v>3490</v>
      </c>
      <c r="DNN746" t="s">
        <v>5416</v>
      </c>
    </row>
    <row r="747" spans="1:874 1114:2026 2074:3034 3082:3706 4328:4474" ht="12.75" customHeight="1" x14ac:dyDescent="0.2">
      <c r="A747" t="s">
        <v>3610</v>
      </c>
      <c r="B747" t="s">
        <v>7275</v>
      </c>
      <c r="C747">
        <v>1955.47</v>
      </c>
      <c r="D747" s="23">
        <v>12.53</v>
      </c>
      <c r="BXB747" t="s">
        <v>5955</v>
      </c>
      <c r="BYX747" t="s">
        <v>5955</v>
      </c>
      <c r="CAT747" t="s">
        <v>5955</v>
      </c>
      <c r="CCP747" t="s">
        <v>4835</v>
      </c>
      <c r="ELN747" t="s">
        <v>5417</v>
      </c>
    </row>
    <row r="748" spans="1:874 1114:2026 2074:3034 3082:3706 4328:4474" ht="12.75" customHeight="1" x14ac:dyDescent="0.2">
      <c r="A748" t="s">
        <v>3610</v>
      </c>
      <c r="B748" t="s">
        <v>5454</v>
      </c>
      <c r="C748">
        <v>3347.43</v>
      </c>
      <c r="D748" s="23">
        <v>12.57</v>
      </c>
      <c r="DYP748" t="s">
        <v>5956</v>
      </c>
      <c r="EAL748" t="s">
        <v>5956</v>
      </c>
      <c r="ECH748" t="s">
        <v>5956</v>
      </c>
      <c r="EED748" t="s">
        <v>3491</v>
      </c>
      <c r="FPB748" t="s">
        <v>6846</v>
      </c>
    </row>
    <row r="749" spans="1:874 1114:2026 2074:3034 3082:3706 4328:4474" ht="12.75" customHeight="1" x14ac:dyDescent="0.2">
      <c r="A749" t="s">
        <v>3611</v>
      </c>
      <c r="B749" t="s">
        <v>7276</v>
      </c>
      <c r="C749">
        <v>-95</v>
      </c>
      <c r="D749" s="23">
        <v>48.65</v>
      </c>
      <c r="J749" t="s">
        <v>7276</v>
      </c>
    </row>
    <row r="750" spans="1:874 1114:2026 2074:3034 3082:3706 4328:4474" ht="12.75" customHeight="1" x14ac:dyDescent="0.2">
      <c r="A750" t="s">
        <v>3611</v>
      </c>
      <c r="B750" t="s">
        <v>7277</v>
      </c>
      <c r="C750">
        <v>-45.35</v>
      </c>
      <c r="D750" s="23">
        <v>48.65</v>
      </c>
      <c r="J750" t="s">
        <v>7277</v>
      </c>
    </row>
    <row r="751" spans="1:874 1114:2026 2074:3034 3082:3706 4328:4474" ht="12.75" customHeight="1" x14ac:dyDescent="0.2">
      <c r="A751" t="s">
        <v>3611</v>
      </c>
      <c r="B751" t="s">
        <v>5455</v>
      </c>
      <c r="C751">
        <v>26.32</v>
      </c>
      <c r="D751" s="23">
        <v>23.68</v>
      </c>
      <c r="BH751" t="s">
        <v>5455</v>
      </c>
    </row>
    <row r="752" spans="1:874 1114:2026 2074:3034 3082:3706 4328:4474" ht="12.75" customHeight="1" x14ac:dyDescent="0.2">
      <c r="A752" t="s">
        <v>3611</v>
      </c>
      <c r="B752" t="s">
        <v>5456</v>
      </c>
      <c r="C752">
        <v>76.680000000000007</v>
      </c>
      <c r="D752" s="23">
        <v>11.96</v>
      </c>
      <c r="CU752" t="s">
        <v>5456</v>
      </c>
      <c r="AYZ752" t="s">
        <v>3970</v>
      </c>
    </row>
    <row r="753" spans="1:636 1352:2024 2264:2264" ht="12.75" customHeight="1" x14ac:dyDescent="0.2">
      <c r="A753" t="s">
        <v>3611</v>
      </c>
      <c r="B753" t="s">
        <v>5457</v>
      </c>
      <c r="C753">
        <v>98</v>
      </c>
      <c r="D753" s="23">
        <v>44.4</v>
      </c>
      <c r="EV753" t="s">
        <v>5457</v>
      </c>
      <c r="AYZ753" t="s">
        <v>3971</v>
      </c>
    </row>
    <row r="754" spans="1:636 1352:2024 2264:2264" ht="12.75" customHeight="1" x14ac:dyDescent="0.2">
      <c r="A754" t="s">
        <v>3611</v>
      </c>
      <c r="B754" t="s">
        <v>7278</v>
      </c>
      <c r="C754">
        <v>147</v>
      </c>
      <c r="D754" s="23">
        <v>23.45</v>
      </c>
      <c r="FX754" s="18" t="s">
        <v>7278</v>
      </c>
      <c r="AZW754" t="s">
        <v>3972</v>
      </c>
    </row>
    <row r="755" spans="1:636 1352:2024 2264:2264" ht="12.75" customHeight="1" x14ac:dyDescent="0.2">
      <c r="A755" t="s">
        <v>3611</v>
      </c>
      <c r="B755" t="s">
        <v>7279</v>
      </c>
      <c r="C755">
        <v>171.45</v>
      </c>
      <c r="D755" s="23">
        <v>23.45</v>
      </c>
      <c r="GW755" t="s">
        <v>7279</v>
      </c>
      <c r="BAV755" t="s">
        <v>3973</v>
      </c>
    </row>
    <row r="756" spans="1:636 1352:2024 2264:2264" ht="12.75" customHeight="1" x14ac:dyDescent="0.2">
      <c r="A756" t="s">
        <v>3611</v>
      </c>
      <c r="B756" t="s">
        <v>5458</v>
      </c>
      <c r="C756">
        <v>195.89</v>
      </c>
      <c r="D756" s="23">
        <v>21.31</v>
      </c>
      <c r="HS756" t="s">
        <v>5458</v>
      </c>
      <c r="BBR756" t="s">
        <v>3974</v>
      </c>
    </row>
    <row r="757" spans="1:636 1352:2024 2264:2264" ht="12.75" customHeight="1" x14ac:dyDescent="0.2">
      <c r="A757" t="s">
        <v>3611</v>
      </c>
      <c r="B757" t="s">
        <v>7280</v>
      </c>
      <c r="C757">
        <v>218.21</v>
      </c>
      <c r="D757" s="23">
        <v>23.45</v>
      </c>
      <c r="IR757" t="s">
        <v>7280</v>
      </c>
      <c r="BCR757" t="s">
        <v>3975</v>
      </c>
    </row>
    <row r="758" spans="1:636 1352:2024 2264:2264" ht="12.75" customHeight="1" x14ac:dyDescent="0.2">
      <c r="A758" t="s">
        <v>3611</v>
      </c>
      <c r="B758" t="s">
        <v>5459</v>
      </c>
      <c r="C758">
        <v>242.65</v>
      </c>
      <c r="D758" s="23">
        <v>23.45</v>
      </c>
      <c r="JP758" s="18" t="s">
        <v>5459</v>
      </c>
      <c r="BDM758" t="s">
        <v>3976</v>
      </c>
    </row>
    <row r="759" spans="1:636 1352:2024 2264:2264" ht="12.75" customHeight="1" x14ac:dyDescent="0.2">
      <c r="A759" t="s">
        <v>3611</v>
      </c>
      <c r="B759" t="s">
        <v>5460</v>
      </c>
      <c r="C759">
        <v>267.10000000000002</v>
      </c>
      <c r="D759" s="23">
        <v>23.45</v>
      </c>
      <c r="KO759" t="s">
        <v>5460</v>
      </c>
      <c r="BEL759" t="s">
        <v>3977</v>
      </c>
    </row>
    <row r="760" spans="1:636 1352:2024 2264:2264" ht="12.75" customHeight="1" x14ac:dyDescent="0.2">
      <c r="A760" t="s">
        <v>3611</v>
      </c>
      <c r="B760" t="s">
        <v>5461</v>
      </c>
      <c r="C760">
        <v>291.55</v>
      </c>
      <c r="D760" s="23">
        <v>23.45</v>
      </c>
      <c r="LM760" t="s">
        <v>5461</v>
      </c>
      <c r="BGJ760" t="s">
        <v>3978</v>
      </c>
    </row>
    <row r="761" spans="1:636 1352:2024 2264:2264" ht="12.75" customHeight="1" x14ac:dyDescent="0.2">
      <c r="A761" t="s">
        <v>3611</v>
      </c>
      <c r="B761" t="s">
        <v>5462</v>
      </c>
      <c r="C761">
        <v>315.99</v>
      </c>
      <c r="D761" s="23">
        <v>23.45</v>
      </c>
      <c r="MK761" t="s">
        <v>5462</v>
      </c>
      <c r="BIF761" t="s">
        <v>3979</v>
      </c>
    </row>
    <row r="762" spans="1:636 1352:2024 2264:2264" ht="12.75" customHeight="1" x14ac:dyDescent="0.2">
      <c r="A762" t="s">
        <v>3611</v>
      </c>
      <c r="B762" t="s">
        <v>5463</v>
      </c>
      <c r="C762">
        <v>340.44</v>
      </c>
      <c r="D762" s="23">
        <v>23.68</v>
      </c>
      <c r="NJ762" t="s">
        <v>5463</v>
      </c>
      <c r="AYZ762" t="s">
        <v>3668</v>
      </c>
      <c r="BLX762" t="s">
        <v>3980</v>
      </c>
    </row>
    <row r="763" spans="1:636 1352:2024 2264:2264" ht="12.75" customHeight="1" x14ac:dyDescent="0.2">
      <c r="A763" t="s">
        <v>3611</v>
      </c>
      <c r="B763" t="s">
        <v>5464</v>
      </c>
      <c r="C763">
        <v>376</v>
      </c>
      <c r="D763" s="23">
        <v>23.45</v>
      </c>
      <c r="OS763" t="s">
        <v>5464</v>
      </c>
      <c r="AZQ763" t="s">
        <v>4195</v>
      </c>
      <c r="BLX763" t="s">
        <v>3981</v>
      </c>
    </row>
    <row r="764" spans="1:636 1352:2024 2264:2264" ht="12.75" customHeight="1" x14ac:dyDescent="0.2">
      <c r="A764" t="s">
        <v>3611</v>
      </c>
      <c r="B764" t="s">
        <v>5465</v>
      </c>
      <c r="C764">
        <v>410</v>
      </c>
      <c r="D764" s="23">
        <v>23.92</v>
      </c>
      <c r="QB764" t="s">
        <v>5465</v>
      </c>
      <c r="BAV764" t="s">
        <v>3669</v>
      </c>
      <c r="BLX764" t="s">
        <v>3982</v>
      </c>
    </row>
    <row r="765" spans="1:636 1352:2024 2264:2264" ht="12.75" customHeight="1" x14ac:dyDescent="0.2">
      <c r="A765" t="s">
        <v>3611</v>
      </c>
      <c r="B765" t="s">
        <v>5466</v>
      </c>
      <c r="C765">
        <v>474</v>
      </c>
      <c r="D765" s="23">
        <v>46.89</v>
      </c>
      <c r="TK765" t="s">
        <v>5466</v>
      </c>
      <c r="BBQ765" t="s">
        <v>3520</v>
      </c>
      <c r="BPP765" t="s">
        <v>3983</v>
      </c>
    </row>
    <row r="766" spans="1:636 1352:2024 2264:2264" ht="12.75" customHeight="1" x14ac:dyDescent="0.2">
      <c r="A766" t="s">
        <v>3611</v>
      </c>
      <c r="B766" t="s">
        <v>5467</v>
      </c>
      <c r="C766">
        <v>528</v>
      </c>
      <c r="D766" s="23">
        <v>46.89</v>
      </c>
      <c r="VM766" t="s">
        <v>5467</v>
      </c>
      <c r="BCP766" t="s">
        <v>3521</v>
      </c>
      <c r="BVD766" t="s">
        <v>3984</v>
      </c>
    </row>
    <row r="767" spans="1:636 1352:2024 2264:2264" ht="12.75" customHeight="1" x14ac:dyDescent="0.2">
      <c r="A767" t="s">
        <v>3611</v>
      </c>
      <c r="B767" t="s">
        <v>5468</v>
      </c>
      <c r="C767">
        <v>582</v>
      </c>
      <c r="D767" s="23">
        <v>23.45</v>
      </c>
      <c r="WQ767" t="s">
        <v>5468</v>
      </c>
      <c r="BEN767" t="s">
        <v>3522</v>
      </c>
      <c r="BYV767" t="s">
        <v>3985</v>
      </c>
    </row>
    <row r="768" spans="1:636 1352:2024 2264:2264" ht="12.75" customHeight="1" x14ac:dyDescent="0.2">
      <c r="A768" t="s">
        <v>3611</v>
      </c>
      <c r="B768" t="s">
        <v>5469</v>
      </c>
      <c r="C768">
        <v>614</v>
      </c>
      <c r="D768" s="23">
        <v>11.96</v>
      </c>
      <c r="XL768" t="s">
        <v>5469</v>
      </c>
      <c r="BGJ768" t="s">
        <v>3523</v>
      </c>
      <c r="CIB768" t="s">
        <v>3986</v>
      </c>
    </row>
    <row r="769" spans="1:1018 1066:1976 2216:2696 3224:3320" ht="12.75" customHeight="1" x14ac:dyDescent="0.2">
      <c r="A769" t="s">
        <v>3611</v>
      </c>
      <c r="B769" t="s">
        <v>5470</v>
      </c>
      <c r="C769">
        <v>640</v>
      </c>
      <c r="D769" s="23">
        <v>23.45</v>
      </c>
      <c r="YW769" t="s">
        <v>5470</v>
      </c>
      <c r="BKB769" t="s">
        <v>3524</v>
      </c>
      <c r="BLZ769" t="s">
        <v>5435</v>
      </c>
      <c r="CJX769" t="s">
        <v>3987</v>
      </c>
    </row>
    <row r="770" spans="1:1018 1066:1976 2216:2696 3224:3320" ht="12.75" customHeight="1" x14ac:dyDescent="0.2">
      <c r="A770" t="s">
        <v>3611</v>
      </c>
      <c r="B770" t="s">
        <v>5471</v>
      </c>
      <c r="C770">
        <v>718</v>
      </c>
      <c r="D770" s="23">
        <v>46.89</v>
      </c>
      <c r="ACU770" t="s">
        <v>5471</v>
      </c>
      <c r="BKB770" t="s">
        <v>3525</v>
      </c>
      <c r="CJZ770" t="s">
        <v>3664</v>
      </c>
      <c r="CWV770" t="s">
        <v>3988</v>
      </c>
    </row>
    <row r="771" spans="1:1018 1066:1976 2216:2696 3224:3320" ht="12.75" customHeight="1" x14ac:dyDescent="0.2">
      <c r="A771" t="s">
        <v>3611</v>
      </c>
      <c r="B771" t="s">
        <v>5472</v>
      </c>
      <c r="C771">
        <v>778</v>
      </c>
      <c r="D771" s="23">
        <v>23.92</v>
      </c>
      <c r="AEF771" t="s">
        <v>5472</v>
      </c>
      <c r="BKB771" t="s">
        <v>3526</v>
      </c>
      <c r="CLV771" t="s">
        <v>5437</v>
      </c>
      <c r="CYR771" t="s">
        <v>3989</v>
      </c>
    </row>
    <row r="772" spans="1:1018 1066:1976 2216:2696 3224:3320" ht="12.75" customHeight="1" x14ac:dyDescent="0.2">
      <c r="A772" t="s">
        <v>3611</v>
      </c>
      <c r="B772" t="s">
        <v>5473</v>
      </c>
      <c r="C772">
        <v>888.55</v>
      </c>
      <c r="D772" s="23">
        <v>23.45</v>
      </c>
      <c r="AIL772" t="s">
        <v>5473</v>
      </c>
      <c r="BNT772" t="s">
        <v>3527</v>
      </c>
      <c r="DUV772" t="s">
        <v>3990</v>
      </c>
    </row>
    <row r="773" spans="1:1018 1066:1976 2216:2696 3224:3320" ht="12.75" customHeight="1" x14ac:dyDescent="0.2">
      <c r="A773" t="s">
        <v>3611</v>
      </c>
      <c r="B773" t="s">
        <v>5474</v>
      </c>
      <c r="C773">
        <v>936.55</v>
      </c>
      <c r="D773" s="23">
        <v>23.45</v>
      </c>
      <c r="AKH773" t="s">
        <v>5474</v>
      </c>
      <c r="BTH773" t="s">
        <v>3528</v>
      </c>
      <c r="DWR773" t="s">
        <v>3991</v>
      </c>
    </row>
    <row r="774" spans="1:1018 1066:1976 2216:2696 3224:3320" ht="12.75" customHeight="1" x14ac:dyDescent="0.2">
      <c r="A774" t="s">
        <v>3611</v>
      </c>
      <c r="B774" t="s">
        <v>5475</v>
      </c>
      <c r="C774">
        <v>984.55</v>
      </c>
      <c r="D774" s="23">
        <v>23.45</v>
      </c>
      <c r="AMD774" t="s">
        <v>5475</v>
      </c>
      <c r="BWZ774" t="s">
        <v>3529</v>
      </c>
    </row>
    <row r="775" spans="1:1018 1066:1976 2216:2696 3224:3320" ht="12.75" customHeight="1" x14ac:dyDescent="0.2">
      <c r="A775" t="s">
        <v>3611</v>
      </c>
      <c r="B775" t="s">
        <v>5476</v>
      </c>
      <c r="C775">
        <v>1009.11</v>
      </c>
      <c r="D775" s="23">
        <v>46.89</v>
      </c>
      <c r="ANZ775" t="s">
        <v>5476</v>
      </c>
      <c r="CGF775" t="s">
        <v>3530</v>
      </c>
    </row>
    <row r="776" spans="1:1018 1066:1976 2216:2696 3224:3320" ht="12.75" customHeight="1" x14ac:dyDescent="0.2">
      <c r="A776" t="s">
        <v>3611</v>
      </c>
      <c r="B776" t="s">
        <v>5477</v>
      </c>
      <c r="C776">
        <v>1080.32</v>
      </c>
      <c r="D776" s="23">
        <v>23.68</v>
      </c>
      <c r="APV776" t="s">
        <v>5477</v>
      </c>
      <c r="CIB776" t="s">
        <v>4196</v>
      </c>
    </row>
    <row r="777" spans="1:1018 1066:1976 2216:2696 3224:3320" ht="12.75" customHeight="1" x14ac:dyDescent="0.2">
      <c r="A777" t="s">
        <v>3611</v>
      </c>
      <c r="B777" t="s">
        <v>5478</v>
      </c>
      <c r="C777">
        <v>1210.77</v>
      </c>
      <c r="D777" s="23">
        <v>47.36</v>
      </c>
      <c r="AVT777" s="18" t="s">
        <v>5478</v>
      </c>
      <c r="AZL777" s="18" t="s">
        <v>5957</v>
      </c>
      <c r="BBH777" t="s">
        <v>3495</v>
      </c>
      <c r="CUZ777" t="s">
        <v>3531</v>
      </c>
    </row>
    <row r="778" spans="1:1018 1066:1976 2216:2696 3224:3320" ht="12.75" customHeight="1" x14ac:dyDescent="0.2">
      <c r="A778" t="s">
        <v>3611</v>
      </c>
      <c r="B778" t="s">
        <v>5479</v>
      </c>
      <c r="C778">
        <v>1297.1099999999999</v>
      </c>
      <c r="D778" s="23">
        <v>46.89</v>
      </c>
      <c r="AZB778" t="s">
        <v>5958</v>
      </c>
      <c r="BAX778" t="s">
        <v>5958</v>
      </c>
      <c r="BCT778" t="s">
        <v>5958</v>
      </c>
      <c r="BEP778" t="s">
        <v>3497</v>
      </c>
      <c r="CWV778" t="s">
        <v>3670</v>
      </c>
    </row>
    <row r="779" spans="1:1018 1066:1976 2216:2696 3224:3320" ht="12.75" customHeight="1" x14ac:dyDescent="0.2">
      <c r="A779" t="s">
        <v>3611</v>
      </c>
      <c r="B779" t="s">
        <v>5480</v>
      </c>
      <c r="C779">
        <v>1320.55</v>
      </c>
      <c r="D779" s="23">
        <v>23.45</v>
      </c>
      <c r="AZB779" t="s">
        <v>5959</v>
      </c>
      <c r="BAX779" t="s">
        <v>5959</v>
      </c>
      <c r="BCT779" t="s">
        <v>5959</v>
      </c>
      <c r="BEP779" t="s">
        <v>3498</v>
      </c>
      <c r="DSZ779" t="s">
        <v>3532</v>
      </c>
    </row>
    <row r="780" spans="1:1018 1066:1976 2216:2696 3224:3320" ht="12.75" customHeight="1" x14ac:dyDescent="0.2">
      <c r="A780" t="s">
        <v>3611</v>
      </c>
      <c r="B780" t="s">
        <v>5481</v>
      </c>
      <c r="C780">
        <v>1474.26</v>
      </c>
      <c r="D780" s="23">
        <v>23.45</v>
      </c>
      <c r="BEZ780" t="s">
        <v>5960</v>
      </c>
      <c r="BGV780" t="s">
        <v>5960</v>
      </c>
      <c r="BIR780" t="s">
        <v>5960</v>
      </c>
      <c r="BKN780" t="s">
        <v>3493</v>
      </c>
      <c r="DUV780" t="s">
        <v>3671</v>
      </c>
    </row>
    <row r="781" spans="1:1018 1066:1976 2216:2696 3224:3320" ht="12.75" customHeight="1" x14ac:dyDescent="0.2">
      <c r="A781" t="s">
        <v>3611</v>
      </c>
      <c r="B781" t="s">
        <v>5482</v>
      </c>
      <c r="C781">
        <v>1498.7</v>
      </c>
      <c r="D781" s="23">
        <v>23.68</v>
      </c>
      <c r="BFX781" t="s">
        <v>5961</v>
      </c>
      <c r="BHT781" t="s">
        <v>5961</v>
      </c>
      <c r="BJP781" t="s">
        <v>5961</v>
      </c>
      <c r="BLL781" t="s">
        <v>3667</v>
      </c>
    </row>
    <row r="782" spans="1:1018 1066:1976 2216:2696 3224:3320" ht="12.75" customHeight="1" x14ac:dyDescent="0.2">
      <c r="A782" t="s">
        <v>3611</v>
      </c>
      <c r="B782" t="s">
        <v>5483</v>
      </c>
      <c r="C782">
        <v>1523.38</v>
      </c>
      <c r="D782" s="23">
        <v>46.89</v>
      </c>
      <c r="BHT782" t="s">
        <v>5962</v>
      </c>
      <c r="BJP782" t="s">
        <v>5962</v>
      </c>
      <c r="BLL782" t="s">
        <v>5962</v>
      </c>
      <c r="BNH782" t="s">
        <v>3502</v>
      </c>
    </row>
    <row r="783" spans="1:1018 1066:1976 2216:2696 3224:3320" ht="12.75" customHeight="1" x14ac:dyDescent="0.2">
      <c r="A783" t="s">
        <v>3611</v>
      </c>
      <c r="B783" t="s">
        <v>5484</v>
      </c>
      <c r="C783">
        <v>1572.28</v>
      </c>
      <c r="D783" s="23">
        <v>11.72</v>
      </c>
      <c r="BAX783" t="s">
        <v>5448</v>
      </c>
      <c r="BIH783" t="s">
        <v>5963</v>
      </c>
      <c r="BKD783" t="s">
        <v>5963</v>
      </c>
      <c r="BLZ783" t="s">
        <v>5963</v>
      </c>
      <c r="BNV783" t="s">
        <v>3503</v>
      </c>
    </row>
    <row r="784" spans="1:1018 1066:1976 2216:2696 3224:3320" ht="12.75" customHeight="1" x14ac:dyDescent="0.2">
      <c r="A784" t="s">
        <v>3611</v>
      </c>
      <c r="B784" t="s">
        <v>7281</v>
      </c>
      <c r="C784">
        <v>1608.55</v>
      </c>
      <c r="D784" s="23">
        <v>23.45</v>
      </c>
      <c r="BGO784" t="s">
        <v>5449</v>
      </c>
      <c r="BKD784" t="s">
        <v>5964</v>
      </c>
      <c r="BLZ784" t="s">
        <v>5964</v>
      </c>
      <c r="BNV784" t="s">
        <v>5964</v>
      </c>
      <c r="BPR784" t="s">
        <v>4836</v>
      </c>
    </row>
    <row r="785" spans="1:4 1352:2026 2074:3034 3082:3802" ht="12.75" customHeight="1" x14ac:dyDescent="0.2">
      <c r="A785" t="s">
        <v>3611</v>
      </c>
      <c r="B785" t="s">
        <v>7282</v>
      </c>
      <c r="C785">
        <v>1644.83</v>
      </c>
      <c r="D785" s="23">
        <v>35.17</v>
      </c>
      <c r="BKB785" t="s">
        <v>5450</v>
      </c>
      <c r="BLZ785" t="s">
        <v>5965</v>
      </c>
      <c r="BNV785" t="s">
        <v>5965</v>
      </c>
      <c r="BPR785" t="s">
        <v>5965</v>
      </c>
      <c r="BRN785" t="s">
        <v>4837</v>
      </c>
    </row>
    <row r="786" spans="1:4 1352:2026 2074:3034 3082:3802" ht="12.75" customHeight="1" x14ac:dyDescent="0.2">
      <c r="A786" t="s">
        <v>3611</v>
      </c>
      <c r="B786" t="s">
        <v>5485</v>
      </c>
      <c r="C786">
        <v>1825.11</v>
      </c>
      <c r="D786" s="23">
        <v>46.89</v>
      </c>
      <c r="BLZ786" t="s">
        <v>5451</v>
      </c>
      <c r="BTJ786" t="s">
        <v>5966</v>
      </c>
      <c r="BVF786" t="s">
        <v>5966</v>
      </c>
      <c r="BXB786" t="s">
        <v>5966</v>
      </c>
      <c r="BYX786" t="s">
        <v>3507</v>
      </c>
    </row>
    <row r="787" spans="1:4 1352:2026 2074:3034 3082:3802" ht="12.75" customHeight="1" x14ac:dyDescent="0.2">
      <c r="A787" t="s">
        <v>3611</v>
      </c>
      <c r="B787" t="s">
        <v>5486</v>
      </c>
      <c r="C787">
        <v>1921.11</v>
      </c>
      <c r="D787" s="23">
        <v>46.89</v>
      </c>
      <c r="BLZ787" t="s">
        <v>5452</v>
      </c>
      <c r="BXB787" t="s">
        <v>5967</v>
      </c>
      <c r="BYX787" t="s">
        <v>5967</v>
      </c>
      <c r="CAT787" t="s">
        <v>5967</v>
      </c>
      <c r="CCP787" t="s">
        <v>3508</v>
      </c>
    </row>
    <row r="788" spans="1:4 1352:2026 2074:3034 3082:3802" ht="12.75" customHeight="1" x14ac:dyDescent="0.2">
      <c r="A788" t="s">
        <v>3611</v>
      </c>
      <c r="B788" t="s">
        <v>5487</v>
      </c>
      <c r="C788">
        <v>2277.7199999999998</v>
      </c>
      <c r="D788" s="23">
        <v>12.56</v>
      </c>
      <c r="BLZ788" t="s">
        <v>5453</v>
      </c>
      <c r="CJL788" t="s">
        <v>5968</v>
      </c>
      <c r="CLH788" t="s">
        <v>5968</v>
      </c>
      <c r="CND788" t="s">
        <v>5968</v>
      </c>
      <c r="COZ788" t="s">
        <v>4838</v>
      </c>
    </row>
    <row r="789" spans="1:4 1352:2026 2074:3034 3082:3802" ht="12.75" customHeight="1" x14ac:dyDescent="0.2">
      <c r="A789" t="s">
        <v>3611</v>
      </c>
      <c r="B789" t="s">
        <v>5488</v>
      </c>
      <c r="C789">
        <v>2292.2800000000002</v>
      </c>
      <c r="D789" s="23">
        <v>11.72</v>
      </c>
      <c r="BXB789" t="s">
        <v>6847</v>
      </c>
      <c r="CJZ789" t="s">
        <v>5969</v>
      </c>
      <c r="CLV789" t="s">
        <v>5969</v>
      </c>
      <c r="CNR789" t="s">
        <v>5969</v>
      </c>
      <c r="CPN789" t="s">
        <v>4192</v>
      </c>
    </row>
    <row r="790" spans="1:4 1352:2026 2074:3034 3082:3802" ht="12.75" customHeight="1" x14ac:dyDescent="0.2">
      <c r="A790" t="s">
        <v>3611</v>
      </c>
      <c r="B790" t="s">
        <v>5489</v>
      </c>
      <c r="C790">
        <v>2325.31</v>
      </c>
      <c r="D790" s="23">
        <v>46.89</v>
      </c>
      <c r="CMP790" t="s">
        <v>5970</v>
      </c>
      <c r="COL790" t="s">
        <v>5970</v>
      </c>
      <c r="CQH790" t="s">
        <v>5970</v>
      </c>
      <c r="CSD790" t="s">
        <v>3509</v>
      </c>
      <c r="DYP790" t="s">
        <v>5454</v>
      </c>
    </row>
    <row r="791" spans="1:4 1352:2026 2074:3034 3082:3802" ht="12.75" customHeight="1" x14ac:dyDescent="0.2">
      <c r="A791" t="s">
        <v>3611</v>
      </c>
      <c r="B791" t="s">
        <v>5490</v>
      </c>
      <c r="C791">
        <v>2616.5500000000002</v>
      </c>
      <c r="D791" s="23">
        <v>23.45</v>
      </c>
      <c r="CWX791" t="s">
        <v>5971</v>
      </c>
      <c r="CYT791" t="s">
        <v>5971</v>
      </c>
      <c r="DAP791" t="s">
        <v>5971</v>
      </c>
      <c r="DCL791" t="s">
        <v>3510</v>
      </c>
    </row>
    <row r="792" spans="1:4 1352:2026 2074:3034 3082:3802" ht="12.75" customHeight="1" x14ac:dyDescent="0.2">
      <c r="A792" t="s">
        <v>3611</v>
      </c>
      <c r="B792" t="s">
        <v>5491</v>
      </c>
      <c r="C792">
        <v>2664.55</v>
      </c>
      <c r="D792" s="23">
        <v>23.45</v>
      </c>
      <c r="CYT792" t="s">
        <v>5972</v>
      </c>
      <c r="DAP792" t="s">
        <v>5972</v>
      </c>
      <c r="DCL792" t="s">
        <v>5972</v>
      </c>
      <c r="DEH792" t="s">
        <v>3511</v>
      </c>
    </row>
    <row r="793" spans="1:4 1352:2026 2074:3034 3082:3802" ht="12.75" customHeight="1" x14ac:dyDescent="0.2">
      <c r="A793" t="s">
        <v>3611</v>
      </c>
      <c r="B793" t="s">
        <v>5492</v>
      </c>
      <c r="C793">
        <v>2977.11</v>
      </c>
      <c r="D793" s="23">
        <v>46.89</v>
      </c>
      <c r="DLR793" t="s">
        <v>5973</v>
      </c>
      <c r="DNN793" t="s">
        <v>5973</v>
      </c>
      <c r="DPJ793" t="s">
        <v>5973</v>
      </c>
      <c r="DRF793" t="s">
        <v>3492</v>
      </c>
    </row>
    <row r="794" spans="1:4 1352:2026 2074:3034 3082:3802" ht="12.75" customHeight="1" x14ac:dyDescent="0.2">
      <c r="A794" t="s">
        <v>3611</v>
      </c>
      <c r="B794" t="s">
        <v>5493</v>
      </c>
      <c r="C794">
        <v>3144.55</v>
      </c>
      <c r="D794" s="23">
        <v>23.45</v>
      </c>
      <c r="DRF794" t="s">
        <v>5974</v>
      </c>
      <c r="DTB794" t="s">
        <v>5974</v>
      </c>
      <c r="DUX794" t="s">
        <v>5974</v>
      </c>
      <c r="DWT794" t="s">
        <v>3513</v>
      </c>
    </row>
    <row r="795" spans="1:4 1352:2026 2074:3034 3082:3802" ht="12.75" customHeight="1" x14ac:dyDescent="0.2">
      <c r="A795" t="s">
        <v>3611</v>
      </c>
      <c r="B795" t="s">
        <v>5494</v>
      </c>
      <c r="C795">
        <v>3204.28</v>
      </c>
      <c r="D795" s="23">
        <v>11.72</v>
      </c>
      <c r="DTB795" t="s">
        <v>5975</v>
      </c>
      <c r="DUX795" t="s">
        <v>5975</v>
      </c>
      <c r="DWT795" t="s">
        <v>5975</v>
      </c>
      <c r="DYP795" t="s">
        <v>4193</v>
      </c>
    </row>
    <row r="796" spans="1:4 1352:2026 2074:3034 3082:3802" ht="12.75" customHeight="1" x14ac:dyDescent="0.2">
      <c r="A796" t="s">
        <v>3611</v>
      </c>
      <c r="B796" t="s">
        <v>7283</v>
      </c>
      <c r="C796">
        <v>3313.11</v>
      </c>
      <c r="D796" s="23">
        <v>46.89</v>
      </c>
      <c r="DYP796" t="s">
        <v>5976</v>
      </c>
      <c r="EAL796" t="s">
        <v>5976</v>
      </c>
      <c r="ECH796" t="s">
        <v>5976</v>
      </c>
      <c r="EED796" t="s">
        <v>4839</v>
      </c>
    </row>
    <row r="797" spans="1:4 1352:2026 2074:3034 3082:3802" ht="12.75" customHeight="1" x14ac:dyDescent="0.2">
      <c r="A797" t="s">
        <v>3611</v>
      </c>
      <c r="B797" t="s">
        <v>7284</v>
      </c>
      <c r="C797">
        <v>3361.11</v>
      </c>
      <c r="D797" s="23">
        <v>46.89</v>
      </c>
      <c r="EAL797" t="s">
        <v>5977</v>
      </c>
      <c r="ECH797" t="s">
        <v>5977</v>
      </c>
      <c r="EED797" t="s">
        <v>5977</v>
      </c>
      <c r="EFZ797" t="s">
        <v>4840</v>
      </c>
    </row>
    <row r="798" spans="1:4 1352:2026 2074:3034 3082:3802" ht="12.75" customHeight="1" x14ac:dyDescent="0.2">
      <c r="A798" t="s">
        <v>3611</v>
      </c>
      <c r="B798" t="s">
        <v>7285</v>
      </c>
      <c r="C798">
        <v>3409.11</v>
      </c>
      <c r="D798" s="23">
        <v>46.89</v>
      </c>
      <c r="ECH798" t="s">
        <v>5978</v>
      </c>
      <c r="EED798" t="s">
        <v>5978</v>
      </c>
      <c r="EFZ798" t="s">
        <v>5978</v>
      </c>
      <c r="EHV798" t="s">
        <v>4841</v>
      </c>
    </row>
    <row r="799" spans="1:4 1352:2026 2074:3034 3082:3802" ht="12.75" customHeight="1" x14ac:dyDescent="0.2">
      <c r="A799" t="s">
        <v>3611</v>
      </c>
      <c r="B799" t="s">
        <v>5495</v>
      </c>
      <c r="C799">
        <v>3480.32</v>
      </c>
      <c r="D799" s="23">
        <v>23.68</v>
      </c>
      <c r="EED799" t="s">
        <v>5979</v>
      </c>
      <c r="EFZ799" t="s">
        <v>5979</v>
      </c>
      <c r="EHV799" t="s">
        <v>5979</v>
      </c>
      <c r="EJR799" t="s">
        <v>4194</v>
      </c>
    </row>
    <row r="800" spans="1:4 1352:2026 2074:3034 3082:3802" ht="12.75" customHeight="1" x14ac:dyDescent="0.2">
      <c r="A800" t="s">
        <v>3611</v>
      </c>
      <c r="B800" t="s">
        <v>5496</v>
      </c>
      <c r="C800">
        <v>3624.55</v>
      </c>
      <c r="D800" s="23">
        <v>23.45</v>
      </c>
      <c r="AYZ800" t="s">
        <v>3992</v>
      </c>
      <c r="EJR800" t="s">
        <v>5980</v>
      </c>
      <c r="ELN800" t="s">
        <v>5980</v>
      </c>
      <c r="ENJ800" t="s">
        <v>5980</v>
      </c>
      <c r="EPF800" t="s">
        <v>3517</v>
      </c>
    </row>
    <row r="801" spans="1:341 1352:2024 2072:2072 3802:4090 4138:4186" ht="12.75" customHeight="1" x14ac:dyDescent="0.2">
      <c r="A801" t="s">
        <v>3611</v>
      </c>
      <c r="B801" t="s">
        <v>5497</v>
      </c>
      <c r="C801">
        <v>3768.55</v>
      </c>
      <c r="D801" s="23">
        <v>23.45</v>
      </c>
      <c r="BAV801" t="s">
        <v>3993</v>
      </c>
      <c r="EPF801" t="s">
        <v>5981</v>
      </c>
      <c r="ERB801" t="s">
        <v>5981</v>
      </c>
      <c r="ESX801" t="s">
        <v>5981</v>
      </c>
      <c r="EUT801" t="s">
        <v>3518</v>
      </c>
    </row>
    <row r="802" spans="1:341 1352:2024 2072:2072 3802:4090 4138:4186" ht="12.75" customHeight="1" x14ac:dyDescent="0.2">
      <c r="A802" t="s">
        <v>3611</v>
      </c>
      <c r="B802" t="s">
        <v>5498</v>
      </c>
      <c r="C802">
        <v>3985.11</v>
      </c>
      <c r="D802" s="23">
        <v>46.89</v>
      </c>
      <c r="BCR802" t="s">
        <v>3994</v>
      </c>
      <c r="EYL802" t="s">
        <v>5982</v>
      </c>
      <c r="FAH802" t="s">
        <v>5982</v>
      </c>
      <c r="FCD802" t="s">
        <v>5982</v>
      </c>
      <c r="FDZ802" t="s">
        <v>3519</v>
      </c>
    </row>
    <row r="803" spans="1:341 1352:2024 2072:2072 3802:4090 4138:4186" ht="12.75" customHeight="1" x14ac:dyDescent="0.2">
      <c r="A803" t="s">
        <v>3612</v>
      </c>
      <c r="B803" t="s">
        <v>7286</v>
      </c>
      <c r="C803">
        <v>-432</v>
      </c>
      <c r="D803" s="23">
        <v>49.28</v>
      </c>
      <c r="J803" t="s">
        <v>7286</v>
      </c>
      <c r="BEN803" t="s">
        <v>3995</v>
      </c>
    </row>
    <row r="804" spans="1:341 1352:2024 2072:2072 3802:4090 4138:4186" ht="12.75" customHeight="1" x14ac:dyDescent="0.2">
      <c r="A804" t="s">
        <v>3612</v>
      </c>
      <c r="B804" t="s">
        <v>7287</v>
      </c>
      <c r="C804">
        <v>-95</v>
      </c>
      <c r="D804" s="23">
        <v>49.45</v>
      </c>
      <c r="J804" t="s">
        <v>7287</v>
      </c>
      <c r="BGJ804" t="s">
        <v>3996</v>
      </c>
    </row>
    <row r="805" spans="1:341 1352:2024 2072:2072 3802:4090 4138:4186" ht="12.75" customHeight="1" x14ac:dyDescent="0.2">
      <c r="A805" t="s">
        <v>3612</v>
      </c>
      <c r="B805" t="s">
        <v>7288</v>
      </c>
      <c r="C805">
        <v>-36.090000000000003</v>
      </c>
      <c r="D805" s="23">
        <v>37.090000000000003</v>
      </c>
      <c r="J805" t="s">
        <v>7288</v>
      </c>
      <c r="BKB805" t="s">
        <v>3997</v>
      </c>
    </row>
    <row r="806" spans="1:341 1352:2024 2072:2072 3802:4090 4138:4186" ht="12.75" customHeight="1" x14ac:dyDescent="0.2">
      <c r="A806" t="s">
        <v>3612</v>
      </c>
      <c r="B806" t="s">
        <v>7289</v>
      </c>
      <c r="C806">
        <v>12.06</v>
      </c>
      <c r="D806" s="23">
        <v>36.94</v>
      </c>
      <c r="BG806" t="s">
        <v>7289</v>
      </c>
      <c r="BKB806" t="s">
        <v>3998</v>
      </c>
    </row>
    <row r="807" spans="1:341 1352:2024 2072:2072 3802:4090 4138:4186" ht="12.75" customHeight="1" x14ac:dyDescent="0.2">
      <c r="A807" t="s">
        <v>3612</v>
      </c>
      <c r="B807" t="s">
        <v>5499</v>
      </c>
      <c r="C807">
        <v>50</v>
      </c>
      <c r="D807" s="23">
        <v>12.35</v>
      </c>
      <c r="BT807" t="s">
        <v>5499</v>
      </c>
      <c r="BLX807" t="s">
        <v>3999</v>
      </c>
    </row>
    <row r="808" spans="1:341 1352:2024 2072:2072 3802:4090 4138:4186" ht="12.75" customHeight="1" x14ac:dyDescent="0.2">
      <c r="A808" t="s">
        <v>3612</v>
      </c>
      <c r="B808" t="s">
        <v>5500</v>
      </c>
      <c r="C808">
        <v>64.349999999999994</v>
      </c>
      <c r="D808" s="23">
        <v>12.35</v>
      </c>
      <c r="CI808" t="s">
        <v>5500</v>
      </c>
      <c r="BNT808" t="s">
        <v>4000</v>
      </c>
    </row>
    <row r="809" spans="1:341 1352:2024 2072:2072 3802:4090 4138:4186" ht="12.75" customHeight="1" x14ac:dyDescent="0.2">
      <c r="A809" t="s">
        <v>3612</v>
      </c>
      <c r="B809" t="s">
        <v>5501</v>
      </c>
      <c r="C809">
        <v>84.57</v>
      </c>
      <c r="D809" s="23">
        <v>24.63</v>
      </c>
      <c r="DO809" t="s">
        <v>5501</v>
      </c>
      <c r="AYZ809" t="s">
        <v>3533</v>
      </c>
      <c r="BPP809" t="s">
        <v>4001</v>
      </c>
    </row>
    <row r="810" spans="1:341 1352:2024 2072:2072 3802:4090 4138:4186" ht="12.75" customHeight="1" x14ac:dyDescent="0.2">
      <c r="A810" t="s">
        <v>3612</v>
      </c>
      <c r="B810" t="s">
        <v>5502</v>
      </c>
      <c r="C810">
        <v>114</v>
      </c>
      <c r="D810" s="23">
        <v>12.29</v>
      </c>
      <c r="EF810" t="s">
        <v>5502</v>
      </c>
      <c r="BAV810" t="s">
        <v>3534</v>
      </c>
      <c r="BPP810" t="s">
        <v>4002</v>
      </c>
    </row>
    <row r="811" spans="1:341 1352:2024 2072:2072 3802:4090 4138:4186" ht="12.75" customHeight="1" x14ac:dyDescent="0.2">
      <c r="A811" t="s">
        <v>3612</v>
      </c>
      <c r="B811" t="s">
        <v>5503</v>
      </c>
      <c r="C811">
        <v>132</v>
      </c>
      <c r="D811" s="23">
        <v>24.33</v>
      </c>
      <c r="FJ811" t="s">
        <v>5503</v>
      </c>
      <c r="BCR811" t="s">
        <v>3535</v>
      </c>
      <c r="BRL811" t="s">
        <v>4003</v>
      </c>
    </row>
    <row r="812" spans="1:341 1352:2024 2072:2072 3802:4090 4138:4186" ht="12.75" customHeight="1" x14ac:dyDescent="0.2">
      <c r="A812" t="s">
        <v>3612</v>
      </c>
      <c r="B812" t="s">
        <v>5504</v>
      </c>
      <c r="C812">
        <v>162</v>
      </c>
      <c r="D812" s="23">
        <v>24.74</v>
      </c>
      <c r="GO812" t="s">
        <v>5504</v>
      </c>
      <c r="BEN812" t="s">
        <v>3536</v>
      </c>
      <c r="BVD812" t="s">
        <v>4004</v>
      </c>
    </row>
    <row r="813" spans="1:341 1352:2024 2072:2072 3802:4090 4138:4186" ht="12.75" customHeight="1" x14ac:dyDescent="0.2">
      <c r="A813" t="s">
        <v>3612</v>
      </c>
      <c r="B813" t="s">
        <v>5505</v>
      </c>
      <c r="C813">
        <v>232</v>
      </c>
      <c r="D813" s="23">
        <v>12.32</v>
      </c>
      <c r="IT813" t="s">
        <v>5505</v>
      </c>
      <c r="BIF813" t="s">
        <v>3537</v>
      </c>
      <c r="BWZ813" t="s">
        <v>4005</v>
      </c>
    </row>
    <row r="814" spans="1:341 1352:2024 2072:2072 3802:4090 4138:4186" ht="12.75" customHeight="1" x14ac:dyDescent="0.2">
      <c r="A814" t="s">
        <v>3612</v>
      </c>
      <c r="B814" t="s">
        <v>5506</v>
      </c>
      <c r="C814">
        <v>254</v>
      </c>
      <c r="D814" s="23">
        <v>49.15</v>
      </c>
      <c r="LA814" t="s">
        <v>5506</v>
      </c>
      <c r="BIF814" t="s">
        <v>3538</v>
      </c>
      <c r="BWZ814" t="s">
        <v>4006</v>
      </c>
    </row>
    <row r="815" spans="1:341 1352:2024 2072:2072 3802:4090 4138:4186" ht="12.75" customHeight="1" x14ac:dyDescent="0.2">
      <c r="A815" t="s">
        <v>3612</v>
      </c>
      <c r="B815" t="s">
        <v>5507</v>
      </c>
      <c r="C815">
        <v>310</v>
      </c>
      <c r="D815" s="23">
        <v>7.37</v>
      </c>
      <c r="LO815" t="s">
        <v>5507</v>
      </c>
      <c r="BKB815" t="s">
        <v>3539</v>
      </c>
      <c r="BYV815" t="s">
        <v>4007</v>
      </c>
    </row>
    <row r="816" spans="1:341 1352:2024 2072:2072 3802:4090 4138:4186" ht="12.75" customHeight="1" x14ac:dyDescent="0.2">
      <c r="A816" t="s">
        <v>3612</v>
      </c>
      <c r="B816" t="s">
        <v>5508</v>
      </c>
      <c r="C816">
        <v>324</v>
      </c>
      <c r="D816" s="23">
        <v>7.3</v>
      </c>
      <c r="MC816" t="s">
        <v>5508</v>
      </c>
      <c r="AZB816" t="s">
        <v>5479</v>
      </c>
      <c r="BLX816" t="s">
        <v>3540</v>
      </c>
      <c r="CAR816" t="s">
        <v>4008</v>
      </c>
    </row>
    <row r="817" spans="1:1018 1354:2024 2072:3034 3129:3129" ht="12.75" customHeight="1" x14ac:dyDescent="0.2">
      <c r="A817" t="s">
        <v>3612</v>
      </c>
      <c r="B817" t="s">
        <v>5509</v>
      </c>
      <c r="C817">
        <v>582.83000000000004</v>
      </c>
      <c r="D817" s="23">
        <v>12.29</v>
      </c>
      <c r="WG817" t="s">
        <v>5509</v>
      </c>
      <c r="AZB817" t="s">
        <v>5480</v>
      </c>
      <c r="BNT817" t="s">
        <v>3541</v>
      </c>
      <c r="CCN817" t="s">
        <v>4009</v>
      </c>
    </row>
    <row r="818" spans="1:1018 1354:2024 2072:3034 3129:3129" ht="12.75" customHeight="1" x14ac:dyDescent="0.2">
      <c r="A818" t="s">
        <v>3612</v>
      </c>
      <c r="B818" t="s">
        <v>5510</v>
      </c>
      <c r="C818">
        <v>596.12</v>
      </c>
      <c r="D818" s="23">
        <v>24.73</v>
      </c>
      <c r="XG818" t="s">
        <v>5510</v>
      </c>
      <c r="BDC818" t="s">
        <v>5474</v>
      </c>
      <c r="BNT818" t="s">
        <v>3542</v>
      </c>
      <c r="CEJ818" t="s">
        <v>4010</v>
      </c>
    </row>
    <row r="819" spans="1:1018 1354:2024 2072:3034 3129:3129" ht="12.75" customHeight="1" x14ac:dyDescent="0.2">
      <c r="A819" t="s">
        <v>3612</v>
      </c>
      <c r="B819" t="s">
        <v>5511</v>
      </c>
      <c r="C819">
        <v>599.66999999999996</v>
      </c>
      <c r="D819" s="23">
        <v>24.33</v>
      </c>
      <c r="XJ819" t="s">
        <v>5511</v>
      </c>
      <c r="BEA819" t="s">
        <v>5473</v>
      </c>
      <c r="BPP819" t="s">
        <v>3543</v>
      </c>
      <c r="CGF819" t="s">
        <v>4011</v>
      </c>
    </row>
    <row r="820" spans="1:1018 1354:2024 2072:3034 3129:3129" ht="12.75" customHeight="1" x14ac:dyDescent="0.2">
      <c r="A820" t="s">
        <v>3612</v>
      </c>
      <c r="B820" t="s">
        <v>5512</v>
      </c>
      <c r="C820">
        <v>625.96</v>
      </c>
      <c r="D820" s="23">
        <v>24.57</v>
      </c>
      <c r="YK820" t="s">
        <v>5512</v>
      </c>
      <c r="BEZ820" t="s">
        <v>5481</v>
      </c>
      <c r="BTH820" t="s">
        <v>3544</v>
      </c>
      <c r="CJX820" t="s">
        <v>4012</v>
      </c>
    </row>
    <row r="821" spans="1:1018 1354:2024 2072:3034 3129:3129" ht="12.75" customHeight="1" x14ac:dyDescent="0.2">
      <c r="A821" t="s">
        <v>3612</v>
      </c>
      <c r="B821" t="s">
        <v>7290</v>
      </c>
      <c r="C821">
        <v>652.54</v>
      </c>
      <c r="D821" s="23">
        <v>19.46</v>
      </c>
      <c r="ZF821" t="s">
        <v>7290</v>
      </c>
      <c r="BFX821" t="s">
        <v>5482</v>
      </c>
      <c r="BVD821" t="s">
        <v>3545</v>
      </c>
      <c r="CLT821" t="s">
        <v>4013</v>
      </c>
    </row>
    <row r="822" spans="1:1018 1354:2024 2072:3034 3129:3129" ht="12.75" customHeight="1" x14ac:dyDescent="0.2">
      <c r="A822" t="s">
        <v>3612</v>
      </c>
      <c r="B822" t="s">
        <v>5513</v>
      </c>
      <c r="C822">
        <v>659.83</v>
      </c>
      <c r="D822" s="23">
        <v>12.17</v>
      </c>
      <c r="ZF822" t="s">
        <v>5513</v>
      </c>
      <c r="BHT822" t="s">
        <v>5483</v>
      </c>
      <c r="BVD822" t="s">
        <v>3546</v>
      </c>
      <c r="CNP822" t="s">
        <v>4014</v>
      </c>
    </row>
    <row r="823" spans="1:1018 1354:2024 2072:3034 3129:3129" ht="12.75" customHeight="1" x14ac:dyDescent="0.2">
      <c r="A823" t="s">
        <v>3612</v>
      </c>
      <c r="B823" t="s">
        <v>5514</v>
      </c>
      <c r="C823">
        <v>708</v>
      </c>
      <c r="D823" s="23">
        <v>48.66</v>
      </c>
      <c r="ACM823" t="s">
        <v>5514</v>
      </c>
      <c r="BIH823" t="s">
        <v>5484</v>
      </c>
      <c r="BWZ823" t="s">
        <v>3547</v>
      </c>
      <c r="CRH823" t="s">
        <v>4015</v>
      </c>
    </row>
    <row r="824" spans="1:1018 1354:2024 2072:3034 3129:3129" ht="12.75" customHeight="1" x14ac:dyDescent="0.2">
      <c r="A824" t="s">
        <v>3612</v>
      </c>
      <c r="B824" t="s">
        <v>5515</v>
      </c>
      <c r="C824">
        <v>754.17</v>
      </c>
      <c r="D824" s="23">
        <v>12.17</v>
      </c>
      <c r="ACV824" t="s">
        <v>5515</v>
      </c>
      <c r="BKD824" t="s">
        <v>6848</v>
      </c>
      <c r="BYV824" t="s">
        <v>3548</v>
      </c>
      <c r="CUZ824" t="s">
        <v>4016</v>
      </c>
    </row>
    <row r="825" spans="1:1018 1354:2024 2072:3034 3129:3129" ht="12.75" customHeight="1" x14ac:dyDescent="0.2">
      <c r="A825" t="s">
        <v>3612</v>
      </c>
      <c r="B825" t="s">
        <v>5516</v>
      </c>
      <c r="C825">
        <v>823.84</v>
      </c>
      <c r="D825" s="23">
        <v>24.9</v>
      </c>
      <c r="AGA825" t="s">
        <v>5516</v>
      </c>
      <c r="BLZ825" t="s">
        <v>6849</v>
      </c>
      <c r="CAR825" t="s">
        <v>3549</v>
      </c>
      <c r="CWV825" t="s">
        <v>4017</v>
      </c>
    </row>
    <row r="826" spans="1:1018 1354:2024 2072:3034 3129:3129" ht="12.75" customHeight="1" x14ac:dyDescent="0.2">
      <c r="A826" t="s">
        <v>3612</v>
      </c>
      <c r="B826" t="s">
        <v>5517</v>
      </c>
      <c r="C826">
        <v>849.74</v>
      </c>
      <c r="D826" s="23">
        <v>49.8</v>
      </c>
      <c r="AHZ826" t="s">
        <v>5517</v>
      </c>
      <c r="BTJ826" t="s">
        <v>5485</v>
      </c>
      <c r="CCN826" t="s">
        <v>3550</v>
      </c>
      <c r="CYR826" t="s">
        <v>4018</v>
      </c>
    </row>
    <row r="827" spans="1:1018 1354:2024 2072:3034 3129:3129" ht="12.75" customHeight="1" x14ac:dyDescent="0.2">
      <c r="A827" t="s">
        <v>3612</v>
      </c>
      <c r="B827" t="s">
        <v>5518</v>
      </c>
      <c r="C827">
        <v>900.53</v>
      </c>
      <c r="D827" s="23">
        <v>24.72</v>
      </c>
      <c r="AIY827" t="s">
        <v>5518</v>
      </c>
      <c r="BXB827" t="s">
        <v>5486</v>
      </c>
      <c r="CEJ827" t="s">
        <v>3551</v>
      </c>
      <c r="CYR827" t="s">
        <v>4019</v>
      </c>
    </row>
    <row r="828" spans="1:1018 1354:2024 2072:3034 3129:3129" ht="12.75" customHeight="1" x14ac:dyDescent="0.2">
      <c r="A828" t="s">
        <v>3612</v>
      </c>
      <c r="B828" t="s">
        <v>5519</v>
      </c>
      <c r="C828">
        <v>926.26</v>
      </c>
      <c r="D828" s="23">
        <v>7.41</v>
      </c>
      <c r="AJH828" t="s">
        <v>5519</v>
      </c>
      <c r="CIB828" t="s">
        <v>3552</v>
      </c>
      <c r="CJL828" t="s">
        <v>5487</v>
      </c>
      <c r="DCE828" t="s">
        <v>4020</v>
      </c>
    </row>
    <row r="829" spans="1:1018 1354:2024 2072:3034 3129:3129" ht="12.75" customHeight="1" x14ac:dyDescent="0.2">
      <c r="A829" t="s">
        <v>3612</v>
      </c>
      <c r="B829" t="s">
        <v>5520</v>
      </c>
      <c r="C829">
        <v>935.67</v>
      </c>
      <c r="D829" s="23">
        <v>24.33</v>
      </c>
      <c r="AKH829" t="s">
        <v>5520</v>
      </c>
      <c r="CJX829" t="s">
        <v>3553</v>
      </c>
      <c r="CJZ829" t="s">
        <v>5488</v>
      </c>
      <c r="DEI829" t="s">
        <v>4021</v>
      </c>
    </row>
    <row r="830" spans="1:1018 1354:2024 2072:3034 3129:3129" ht="12.75" customHeight="1" x14ac:dyDescent="0.2">
      <c r="A830" t="s">
        <v>3612</v>
      </c>
      <c r="B830" t="s">
        <v>5521</v>
      </c>
      <c r="C830">
        <v>943.21</v>
      </c>
      <c r="D830" s="23">
        <v>12.29</v>
      </c>
      <c r="AKD830" t="s">
        <v>5521</v>
      </c>
      <c r="CLT830" t="s">
        <v>3554</v>
      </c>
      <c r="CMP830" t="s">
        <v>5489</v>
      </c>
      <c r="DGB830" t="s">
        <v>4022</v>
      </c>
    </row>
    <row r="831" spans="1:1018 1354:2024 2072:3034 3129:3129" ht="12.75" customHeight="1" x14ac:dyDescent="0.2">
      <c r="A831" t="s">
        <v>3612</v>
      </c>
      <c r="B831" t="s">
        <v>5522</v>
      </c>
      <c r="C831">
        <v>959.34</v>
      </c>
      <c r="D831" s="23">
        <v>48.66</v>
      </c>
      <c r="AMD831" t="s">
        <v>5522</v>
      </c>
      <c r="CPL831" t="s">
        <v>3555</v>
      </c>
      <c r="DHX831" t="s">
        <v>4023</v>
      </c>
      <c r="DLR831" t="s">
        <v>5492</v>
      </c>
    </row>
    <row r="832" spans="1:1018 1354:2024 2072:3034 3129:3129" ht="12.75" customHeight="1" x14ac:dyDescent="0.2">
      <c r="A832" t="s">
        <v>3612</v>
      </c>
      <c r="B832" t="s">
        <v>5523</v>
      </c>
      <c r="C832">
        <v>995.83</v>
      </c>
      <c r="D832" s="23">
        <v>12.17</v>
      </c>
      <c r="AMD832" t="s">
        <v>5523</v>
      </c>
      <c r="CTD832" t="s">
        <v>3556</v>
      </c>
      <c r="DJT832" t="s">
        <v>4024</v>
      </c>
      <c r="DPI832" t="s">
        <v>5491</v>
      </c>
    </row>
    <row r="833" spans="1:4 1041:2026 2074:3032 3080:4088 4138:4426" ht="12.75" customHeight="1" x14ac:dyDescent="0.2">
      <c r="A833" t="s">
        <v>3612</v>
      </c>
      <c r="B833" t="s">
        <v>5524</v>
      </c>
      <c r="C833">
        <v>1018.5</v>
      </c>
      <c r="D833" s="23">
        <v>12.17</v>
      </c>
      <c r="ANA833" t="s">
        <v>5524</v>
      </c>
      <c r="CUZ833" t="s">
        <v>3557</v>
      </c>
      <c r="DLP833" t="s">
        <v>4025</v>
      </c>
      <c r="DQH833" t="s">
        <v>5490</v>
      </c>
    </row>
    <row r="834" spans="1:4 1041:2026 2074:3032 3080:4088 4138:4426" ht="12.75" customHeight="1" x14ac:dyDescent="0.2">
      <c r="A834" t="s">
        <v>3612</v>
      </c>
      <c r="B834" t="s">
        <v>5525</v>
      </c>
      <c r="C834">
        <v>1031.67</v>
      </c>
      <c r="D834" s="23">
        <v>24.33</v>
      </c>
      <c r="ANZ834" t="s">
        <v>5525</v>
      </c>
      <c r="CWV834" t="s">
        <v>3558</v>
      </c>
      <c r="DPH834" t="s">
        <v>4026</v>
      </c>
      <c r="DRF834" t="s">
        <v>5493</v>
      </c>
    </row>
    <row r="835" spans="1:4 1041:2026 2074:3032 3080:4088 4138:4426" ht="12.75" customHeight="1" x14ac:dyDescent="0.2">
      <c r="A835" t="s">
        <v>3612</v>
      </c>
      <c r="B835" t="s">
        <v>5526</v>
      </c>
      <c r="C835">
        <v>1079.67</v>
      </c>
      <c r="D835" s="23">
        <v>24.33</v>
      </c>
      <c r="APV835" t="s">
        <v>5526</v>
      </c>
      <c r="CWV835" t="s">
        <v>3559</v>
      </c>
      <c r="DRD835" t="s">
        <v>4027</v>
      </c>
      <c r="DTB835" t="s">
        <v>5494</v>
      </c>
    </row>
    <row r="836" spans="1:4 1041:2026 2074:3032 3080:4088 4138:4426" ht="12.75" customHeight="1" x14ac:dyDescent="0.2">
      <c r="A836" t="s">
        <v>3612</v>
      </c>
      <c r="B836" t="s">
        <v>5527</v>
      </c>
      <c r="C836">
        <v>1112.6500000000001</v>
      </c>
      <c r="D836" s="23">
        <v>12.35</v>
      </c>
      <c r="AQQ836" t="s">
        <v>5527</v>
      </c>
      <c r="DAI836" t="s">
        <v>3560</v>
      </c>
      <c r="DSZ836" t="s">
        <v>4028</v>
      </c>
      <c r="DYP836" t="s">
        <v>3514</v>
      </c>
    </row>
    <row r="837" spans="1:4 1041:2026 2074:3032 3080:4088 4138:4426" ht="12.75" customHeight="1" x14ac:dyDescent="0.2">
      <c r="A837" t="s">
        <v>3612</v>
      </c>
      <c r="B837" t="s">
        <v>5528</v>
      </c>
      <c r="C837">
        <v>1126.01</v>
      </c>
      <c r="D837" s="23">
        <v>24.33</v>
      </c>
      <c r="ARP837" t="s">
        <v>5528</v>
      </c>
      <c r="DCM837" t="s">
        <v>3561</v>
      </c>
      <c r="DWR837" t="s">
        <v>4029</v>
      </c>
      <c r="EAL837" t="s">
        <v>3515</v>
      </c>
    </row>
    <row r="838" spans="1:4 1041:2026 2074:3032 3080:4088 4138:4426" ht="12.75" customHeight="1" x14ac:dyDescent="0.2">
      <c r="A838" t="s">
        <v>3612</v>
      </c>
      <c r="B838" t="s">
        <v>5529</v>
      </c>
      <c r="C838">
        <v>1151.3399999999999</v>
      </c>
      <c r="D838" s="23">
        <v>48.66</v>
      </c>
      <c r="ATN838" t="s">
        <v>5529</v>
      </c>
      <c r="AZB838" t="s">
        <v>3522</v>
      </c>
      <c r="DEF838" t="s">
        <v>3562</v>
      </c>
      <c r="EAJ838" t="s">
        <v>4030</v>
      </c>
      <c r="ECH838" t="s">
        <v>3516</v>
      </c>
    </row>
    <row r="839" spans="1:4 1041:2026 2074:3032 3080:4088 4138:4426" ht="12.75" customHeight="1" x14ac:dyDescent="0.2">
      <c r="A839" t="s">
        <v>3612</v>
      </c>
      <c r="B839" t="s">
        <v>5530</v>
      </c>
      <c r="C839">
        <v>1199.3399999999999</v>
      </c>
      <c r="D839" s="23">
        <v>48.66</v>
      </c>
      <c r="AVJ839" t="s">
        <v>5530</v>
      </c>
      <c r="AZB839" t="s">
        <v>5983</v>
      </c>
      <c r="BAX839" t="s">
        <v>3523</v>
      </c>
      <c r="DGB839" t="s">
        <v>3563</v>
      </c>
      <c r="ECF839" t="s">
        <v>4031</v>
      </c>
      <c r="EED839" t="s">
        <v>5495</v>
      </c>
    </row>
    <row r="840" spans="1:4 1041:2026 2074:3032 3080:4088 4138:4426" ht="12.75" customHeight="1" x14ac:dyDescent="0.2">
      <c r="A840" t="s">
        <v>3612</v>
      </c>
      <c r="B840" t="s">
        <v>5531</v>
      </c>
      <c r="C840">
        <v>1269.8900000000001</v>
      </c>
      <c r="D840" s="23">
        <v>12.29</v>
      </c>
      <c r="AWR840" t="s">
        <v>5531</v>
      </c>
      <c r="BAJ840" t="s">
        <v>5984</v>
      </c>
      <c r="BCF840" t="s">
        <v>4842</v>
      </c>
      <c r="DHX840" t="s">
        <v>3564</v>
      </c>
      <c r="EFX840" t="s">
        <v>4032</v>
      </c>
      <c r="EPF840" t="s">
        <v>5497</v>
      </c>
    </row>
    <row r="841" spans="1:4 1041:2026 2074:3032 3080:4088 4138:4426" ht="12.75" customHeight="1" x14ac:dyDescent="0.2">
      <c r="A841" t="s">
        <v>3612</v>
      </c>
      <c r="B841" t="s">
        <v>5532</v>
      </c>
      <c r="C841">
        <v>1283.17</v>
      </c>
      <c r="D841" s="23">
        <v>60.83</v>
      </c>
      <c r="AZB841" t="s">
        <v>5985</v>
      </c>
      <c r="BAX841" t="s">
        <v>5985</v>
      </c>
      <c r="BCT841" t="s">
        <v>5985</v>
      </c>
      <c r="BEP841" t="s">
        <v>3524</v>
      </c>
      <c r="DJT841" t="s">
        <v>3565</v>
      </c>
      <c r="EJP841" t="s">
        <v>4033</v>
      </c>
      <c r="EYL841" t="s">
        <v>5498</v>
      </c>
    </row>
    <row r="842" spans="1:4 1041:2026 2074:3032 3080:4088 4138:4426" ht="12.75" customHeight="1" x14ac:dyDescent="0.2">
      <c r="A842" t="s">
        <v>3612</v>
      </c>
      <c r="B842" t="s">
        <v>5533</v>
      </c>
      <c r="C842">
        <v>1295.3399999999999</v>
      </c>
      <c r="D842" s="23">
        <v>48.66</v>
      </c>
      <c r="AZB842" t="s">
        <v>5986</v>
      </c>
      <c r="BAX842" t="s">
        <v>5986</v>
      </c>
      <c r="BCT842" t="s">
        <v>5986</v>
      </c>
      <c r="BEP842" t="s">
        <v>3525</v>
      </c>
      <c r="DNL842" t="s">
        <v>3566</v>
      </c>
      <c r="FAF842" t="s">
        <v>4034</v>
      </c>
      <c r="FCD842" t="s">
        <v>5496</v>
      </c>
    </row>
    <row r="843" spans="1:4 1041:2026 2074:3032 3080:4088 4138:4426" ht="12.75" customHeight="1" x14ac:dyDescent="0.2">
      <c r="A843" t="s">
        <v>3612</v>
      </c>
      <c r="B843" t="s">
        <v>5534</v>
      </c>
      <c r="C843">
        <v>1295.3399999999999</v>
      </c>
      <c r="D843" s="23">
        <v>48.66</v>
      </c>
      <c r="AZB843" t="s">
        <v>5987</v>
      </c>
      <c r="BAX843" t="s">
        <v>5987</v>
      </c>
      <c r="BCT843" t="s">
        <v>5987</v>
      </c>
      <c r="BEP843" t="s">
        <v>3526</v>
      </c>
      <c r="DPH843" t="s">
        <v>3567</v>
      </c>
      <c r="FLJ843" t="s">
        <v>6850</v>
      </c>
      <c r="FND843" t="s">
        <v>4035</v>
      </c>
    </row>
    <row r="844" spans="1:4 1041:2026 2074:3032 3080:4088 4138:4426" ht="12.75" customHeight="1" x14ac:dyDescent="0.2">
      <c r="A844" t="s">
        <v>3612</v>
      </c>
      <c r="B844" t="s">
        <v>5535</v>
      </c>
      <c r="C844">
        <v>1432.7</v>
      </c>
      <c r="D844" s="23">
        <v>7.3</v>
      </c>
      <c r="BCT844" t="s">
        <v>5988</v>
      </c>
      <c r="BEP844" t="s">
        <v>5988</v>
      </c>
      <c r="BGL844" t="s">
        <v>5988</v>
      </c>
      <c r="BIH844" t="s">
        <v>3527</v>
      </c>
      <c r="DRD844" t="s">
        <v>3568</v>
      </c>
      <c r="FNF844" t="s">
        <v>6851</v>
      </c>
    </row>
    <row r="845" spans="1:4 1041:2026 2074:3032 3080:4088 4138:4426" ht="12.75" customHeight="1" x14ac:dyDescent="0.2">
      <c r="A845" t="s">
        <v>3612</v>
      </c>
      <c r="B845" t="s">
        <v>5536</v>
      </c>
      <c r="C845">
        <v>1559.67</v>
      </c>
      <c r="D845" s="23">
        <v>24.33</v>
      </c>
      <c r="BIH845" t="s">
        <v>5989</v>
      </c>
      <c r="BKD845" t="s">
        <v>5989</v>
      </c>
      <c r="BLZ845" t="s">
        <v>5989</v>
      </c>
      <c r="BNV845" t="s">
        <v>3528</v>
      </c>
      <c r="DUV845" t="s">
        <v>3569</v>
      </c>
    </row>
    <row r="846" spans="1:4 1041:2026 2074:3032 3080:4088 4138:4426" ht="12.75" customHeight="1" x14ac:dyDescent="0.2">
      <c r="A846" t="s">
        <v>3612</v>
      </c>
      <c r="B846" t="s">
        <v>7291</v>
      </c>
      <c r="C846">
        <v>1618.05</v>
      </c>
      <c r="D846" s="23">
        <v>12.29</v>
      </c>
      <c r="BKB846" t="s">
        <v>5990</v>
      </c>
      <c r="BLX846" t="s">
        <v>5990</v>
      </c>
      <c r="BNT846" t="s">
        <v>5990</v>
      </c>
      <c r="BPP846" t="s">
        <v>4843</v>
      </c>
      <c r="DYN846" t="s">
        <v>3570</v>
      </c>
    </row>
    <row r="847" spans="1:4 1041:2026 2074:3032 3080:4088 4138:4426" ht="12.75" customHeight="1" x14ac:dyDescent="0.2">
      <c r="A847" t="s">
        <v>3612</v>
      </c>
      <c r="B847" t="s">
        <v>5537</v>
      </c>
      <c r="C847">
        <v>1631.34</v>
      </c>
      <c r="D847" s="23">
        <v>48.66</v>
      </c>
      <c r="BLZ847" t="s">
        <v>5991</v>
      </c>
      <c r="BNV847" t="s">
        <v>5991</v>
      </c>
      <c r="BPR847" t="s">
        <v>5991</v>
      </c>
      <c r="BRN847" t="s">
        <v>3529</v>
      </c>
      <c r="EAJ847" t="s">
        <v>3571</v>
      </c>
    </row>
    <row r="848" spans="1:4 1041:2026 2074:3032 3080:4088 4138:4426" ht="12.75" customHeight="1" x14ac:dyDescent="0.2">
      <c r="A848" t="s">
        <v>3612</v>
      </c>
      <c r="B848" t="s">
        <v>5538</v>
      </c>
      <c r="C848">
        <v>1895.67</v>
      </c>
      <c r="D848" s="23">
        <v>24.33</v>
      </c>
      <c r="BVF848" t="s">
        <v>5992</v>
      </c>
      <c r="BXB848" t="s">
        <v>5992</v>
      </c>
      <c r="BYX848" t="s">
        <v>5992</v>
      </c>
      <c r="CAT848" t="s">
        <v>3530</v>
      </c>
      <c r="EEB848" t="s">
        <v>3572</v>
      </c>
    </row>
    <row r="849" spans="1:394 1978:2026 2074:3034 3082:4040 4138:4376" ht="12.75" customHeight="1" x14ac:dyDescent="0.2">
      <c r="A849" t="s">
        <v>3612</v>
      </c>
      <c r="B849" t="s">
        <v>7292</v>
      </c>
      <c r="C849">
        <v>1955.83</v>
      </c>
      <c r="D849" s="23">
        <v>12.17</v>
      </c>
      <c r="BXB849" t="s">
        <v>5993</v>
      </c>
      <c r="BYX849" t="s">
        <v>5993</v>
      </c>
      <c r="CAT849" t="s">
        <v>5993</v>
      </c>
      <c r="CCP849" t="s">
        <v>4844</v>
      </c>
      <c r="EHT849" t="s">
        <v>3573</v>
      </c>
    </row>
    <row r="850" spans="1:394 1978:2026 2074:3034 3082:4040 4138:4376" ht="12.75" customHeight="1" x14ac:dyDescent="0.2">
      <c r="A850" t="s">
        <v>3612</v>
      </c>
      <c r="B850" t="s">
        <v>5539</v>
      </c>
      <c r="C850">
        <v>2291.83</v>
      </c>
      <c r="D850" s="23">
        <v>12.17</v>
      </c>
      <c r="CJZ850" t="s">
        <v>5994</v>
      </c>
      <c r="CLV850" t="s">
        <v>5994</v>
      </c>
      <c r="CNR850" t="s">
        <v>5994</v>
      </c>
      <c r="CPN850" t="s">
        <v>3531</v>
      </c>
      <c r="EYJ850" t="s">
        <v>3574</v>
      </c>
    </row>
    <row r="851" spans="1:394 1978:2026 2074:3034 3082:4040 4138:4376" ht="12.75" customHeight="1" x14ac:dyDescent="0.2">
      <c r="A851" t="s">
        <v>3612</v>
      </c>
      <c r="B851" t="s">
        <v>7293</v>
      </c>
      <c r="C851">
        <v>2339.71</v>
      </c>
      <c r="D851" s="23">
        <v>12.29</v>
      </c>
      <c r="CLV851" t="s">
        <v>5995</v>
      </c>
      <c r="CNR851" t="s">
        <v>5995</v>
      </c>
      <c r="CPN851" t="s">
        <v>5995</v>
      </c>
      <c r="CRJ851" t="s">
        <v>4845</v>
      </c>
      <c r="FLH851" t="s">
        <v>3575</v>
      </c>
    </row>
    <row r="852" spans="1:394 1978:2026 2074:3034 3082:4040 4138:4376" ht="12.75" customHeight="1" x14ac:dyDescent="0.2">
      <c r="A852" t="s">
        <v>3612</v>
      </c>
      <c r="B852" t="s">
        <v>7294</v>
      </c>
      <c r="C852">
        <v>2915.83</v>
      </c>
      <c r="D852" s="23">
        <v>12.17</v>
      </c>
      <c r="DHZ852" t="s">
        <v>5996</v>
      </c>
      <c r="DJV852" t="s">
        <v>5996</v>
      </c>
      <c r="DLR852" t="s">
        <v>5996</v>
      </c>
      <c r="DNN852" t="s">
        <v>4846</v>
      </c>
    </row>
    <row r="853" spans="1:394 1978:2026 2074:3034 3082:4040 4138:4376" ht="12.75" customHeight="1" x14ac:dyDescent="0.2">
      <c r="A853" t="s">
        <v>3612</v>
      </c>
      <c r="B853" t="s">
        <v>5540</v>
      </c>
      <c r="C853">
        <v>2956.29</v>
      </c>
      <c r="D853" s="23">
        <v>19.71</v>
      </c>
      <c r="DJV853" t="s">
        <v>5997</v>
      </c>
      <c r="DLR853" t="s">
        <v>5997</v>
      </c>
      <c r="DNN853" t="s">
        <v>5997</v>
      </c>
      <c r="DPJ853" t="s">
        <v>3671</v>
      </c>
    </row>
    <row r="854" spans="1:394 1978:2026 2074:3034 3082:4040 4138:4376" ht="12.75" customHeight="1" x14ac:dyDescent="0.2">
      <c r="A854" t="s">
        <v>3612</v>
      </c>
      <c r="B854" t="s">
        <v>5541</v>
      </c>
      <c r="C854">
        <v>4118.2700000000004</v>
      </c>
      <c r="D854" s="23">
        <v>9.73</v>
      </c>
      <c r="FCD854" t="s">
        <v>5998</v>
      </c>
      <c r="FDZ854" t="s">
        <v>5998</v>
      </c>
      <c r="FFV854" t="s">
        <v>5998</v>
      </c>
      <c r="FHR854" t="s">
        <v>4847</v>
      </c>
    </row>
    <row r="855" spans="1:394 1978:2026 2074:3034 3082:4040 4138:4376" ht="12.75" customHeight="1" x14ac:dyDescent="0.2">
      <c r="A855" t="s">
        <v>3613</v>
      </c>
      <c r="B855" t="s">
        <v>7295</v>
      </c>
      <c r="C855">
        <v>-96</v>
      </c>
      <c r="D855" s="23">
        <v>89.87</v>
      </c>
      <c r="J855" t="s">
        <v>7295</v>
      </c>
    </row>
    <row r="856" spans="1:394 1978:2026 2074:3034 3082:4040 4138:4376" ht="12.75" customHeight="1" x14ac:dyDescent="0.2">
      <c r="A856" t="s">
        <v>3613</v>
      </c>
      <c r="B856" t="s">
        <v>5542</v>
      </c>
      <c r="C856">
        <v>-1.97</v>
      </c>
      <c r="D856" s="23">
        <v>33.44</v>
      </c>
      <c r="AO856" t="s">
        <v>5542</v>
      </c>
    </row>
    <row r="857" spans="1:394 1978:2026 2074:3034 3082:4040 4138:4376" ht="12.75" customHeight="1" x14ac:dyDescent="0.2">
      <c r="A857" t="s">
        <v>3613</v>
      </c>
      <c r="B857" t="s">
        <v>5543</v>
      </c>
      <c r="C857">
        <v>37.270000000000003</v>
      </c>
      <c r="D857" s="23">
        <v>6.61</v>
      </c>
      <c r="BB857" t="s">
        <v>5543</v>
      </c>
    </row>
    <row r="858" spans="1:394 1978:2026 2074:3034 3082:4040 4138:4376" ht="12.75" customHeight="1" x14ac:dyDescent="0.2">
      <c r="A858" t="s">
        <v>3613</v>
      </c>
      <c r="B858" t="s">
        <v>5544</v>
      </c>
      <c r="C858">
        <v>47.28</v>
      </c>
      <c r="D858" s="23">
        <v>44.71</v>
      </c>
      <c r="CX858" t="s">
        <v>5544</v>
      </c>
    </row>
    <row r="859" spans="1:394 1978:2026 2074:3034 3082:4040 4138:4376" ht="12.75" customHeight="1" x14ac:dyDescent="0.2">
      <c r="A859" t="s">
        <v>3613</v>
      </c>
      <c r="B859" t="s">
        <v>7296</v>
      </c>
      <c r="C859">
        <v>96</v>
      </c>
      <c r="D859" s="23">
        <v>44.05</v>
      </c>
      <c r="ET859" t="s">
        <v>7296</v>
      </c>
    </row>
    <row r="860" spans="1:394 1978:2026 2074:3034 3082:4040 4138:4376" ht="12.75" customHeight="1" x14ac:dyDescent="0.2">
      <c r="A860" t="s">
        <v>3613</v>
      </c>
      <c r="B860" t="s">
        <v>7297</v>
      </c>
      <c r="C860">
        <v>144</v>
      </c>
      <c r="D860" s="23">
        <v>44.05</v>
      </c>
      <c r="GP860" t="s">
        <v>7297</v>
      </c>
    </row>
    <row r="861" spans="1:394 1978:2026 2074:3034 3082:4040 4138:4376" ht="12.75" customHeight="1" x14ac:dyDescent="0.2">
      <c r="A861" t="s">
        <v>3613</v>
      </c>
      <c r="B861" t="s">
        <v>7298</v>
      </c>
      <c r="C861">
        <v>194</v>
      </c>
      <c r="D861" s="23">
        <v>44.05</v>
      </c>
      <c r="IN861" t="s">
        <v>7298</v>
      </c>
    </row>
    <row r="862" spans="1:394 1978:2026 2074:3034 3082:4040 4138:4376" ht="12.75" customHeight="1" x14ac:dyDescent="0.2">
      <c r="A862" t="s">
        <v>3613</v>
      </c>
      <c r="B862" t="s">
        <v>5545</v>
      </c>
      <c r="C862">
        <v>242</v>
      </c>
      <c r="D862" s="23">
        <v>44.05</v>
      </c>
      <c r="KJ862" t="s">
        <v>5545</v>
      </c>
    </row>
    <row r="863" spans="1:394 1978:2026 2074:3034 3082:4040 4138:4376" ht="12.75" customHeight="1" x14ac:dyDescent="0.2">
      <c r="A863" t="s">
        <v>3613</v>
      </c>
      <c r="B863" t="s">
        <v>5546</v>
      </c>
      <c r="C863">
        <v>290</v>
      </c>
      <c r="D863" s="23">
        <v>44.05</v>
      </c>
      <c r="MF863" t="s">
        <v>5546</v>
      </c>
    </row>
    <row r="864" spans="1:394 1978:2026 2074:3034 3082:4040 4138:4376" ht="12.75" customHeight="1" x14ac:dyDescent="0.2">
      <c r="A864" t="s">
        <v>3613</v>
      </c>
      <c r="B864" t="s">
        <v>5547</v>
      </c>
      <c r="C864">
        <v>340</v>
      </c>
      <c r="D864" s="23">
        <v>44.05</v>
      </c>
      <c r="OD864" t="s">
        <v>5547</v>
      </c>
    </row>
    <row r="865" spans="1:973 1349:1496" ht="12.75" customHeight="1" x14ac:dyDescent="0.2">
      <c r="A865" t="s">
        <v>3613</v>
      </c>
      <c r="B865" t="s">
        <v>5548</v>
      </c>
      <c r="C865">
        <v>433.74</v>
      </c>
      <c r="D865" s="23">
        <v>44.05</v>
      </c>
      <c r="RT865" t="s">
        <v>5548</v>
      </c>
    </row>
    <row r="866" spans="1:973 1349:1496" ht="12.75" customHeight="1" x14ac:dyDescent="0.2">
      <c r="A866" t="s">
        <v>3613</v>
      </c>
      <c r="B866" t="s">
        <v>5549</v>
      </c>
      <c r="C866">
        <v>481.99</v>
      </c>
      <c r="D866" s="23">
        <v>11.01</v>
      </c>
      <c r="SI866" t="s">
        <v>5549</v>
      </c>
    </row>
    <row r="867" spans="1:973 1349:1496" ht="12.75" customHeight="1" x14ac:dyDescent="0.2">
      <c r="A867" t="s">
        <v>3613</v>
      </c>
      <c r="B867" t="s">
        <v>5550</v>
      </c>
      <c r="C867">
        <v>494</v>
      </c>
      <c r="D867" s="23">
        <v>11.01</v>
      </c>
      <c r="SU867" t="s">
        <v>5550</v>
      </c>
    </row>
    <row r="868" spans="1:973 1349:1496" ht="12.75" customHeight="1" x14ac:dyDescent="0.2">
      <c r="A868" t="s">
        <v>3613</v>
      </c>
      <c r="B868" t="s">
        <v>5551</v>
      </c>
      <c r="C868">
        <v>512.33000000000004</v>
      </c>
      <c r="D868" s="23">
        <v>6.61</v>
      </c>
      <c r="TI868" t="s">
        <v>5551</v>
      </c>
    </row>
    <row r="869" spans="1:973 1349:1496" ht="12.75" customHeight="1" x14ac:dyDescent="0.2">
      <c r="A869" t="s">
        <v>3613</v>
      </c>
      <c r="B869" t="s">
        <v>5552</v>
      </c>
      <c r="C869">
        <v>522</v>
      </c>
      <c r="D869" s="23">
        <v>11.12</v>
      </c>
      <c r="TW869" t="s">
        <v>5552</v>
      </c>
    </row>
    <row r="870" spans="1:973 1349:1496" ht="12.75" customHeight="1" x14ac:dyDescent="0.2">
      <c r="A870" t="s">
        <v>3613</v>
      </c>
      <c r="B870" t="s">
        <v>5553</v>
      </c>
      <c r="C870">
        <v>531.95000000000005</v>
      </c>
      <c r="D870" s="23">
        <v>44.05</v>
      </c>
      <c r="VN870" t="s">
        <v>5553</v>
      </c>
    </row>
    <row r="871" spans="1:973 1349:1496" ht="12.75" customHeight="1" x14ac:dyDescent="0.2">
      <c r="A871" t="s">
        <v>3613</v>
      </c>
      <c r="B871" t="s">
        <v>5554</v>
      </c>
      <c r="C871">
        <v>579.95000000000005</v>
      </c>
      <c r="D871" s="23">
        <v>44.05</v>
      </c>
      <c r="XJ871" t="s">
        <v>5554</v>
      </c>
    </row>
    <row r="872" spans="1:973 1349:1496" ht="12.75" customHeight="1" x14ac:dyDescent="0.2">
      <c r="A872" t="s">
        <v>3613</v>
      </c>
      <c r="B872" t="s">
        <v>5555</v>
      </c>
      <c r="C872">
        <v>627.95000000000005</v>
      </c>
      <c r="D872" s="23">
        <v>44.05</v>
      </c>
      <c r="ZF872" t="s">
        <v>5555</v>
      </c>
    </row>
    <row r="873" spans="1:973 1349:1496" ht="12.75" customHeight="1" x14ac:dyDescent="0.2">
      <c r="A873" t="s">
        <v>3613</v>
      </c>
      <c r="B873" t="s">
        <v>5556</v>
      </c>
      <c r="C873">
        <v>680</v>
      </c>
      <c r="D873" s="23">
        <v>11.01</v>
      </c>
      <c r="ZY873" t="s">
        <v>5556</v>
      </c>
    </row>
    <row r="874" spans="1:973 1349:1496" ht="12.75" customHeight="1" x14ac:dyDescent="0.2">
      <c r="A874" t="s">
        <v>3613</v>
      </c>
      <c r="B874" t="s">
        <v>7299</v>
      </c>
      <c r="C874">
        <v>695.34</v>
      </c>
      <c r="D874" s="23">
        <v>44.85</v>
      </c>
      <c r="ABV874" t="s">
        <v>7299</v>
      </c>
    </row>
    <row r="875" spans="1:973 1349:1496" ht="12.75" customHeight="1" x14ac:dyDescent="0.2">
      <c r="A875" t="s">
        <v>3613</v>
      </c>
      <c r="B875" t="s">
        <v>5557</v>
      </c>
      <c r="C875">
        <v>748</v>
      </c>
      <c r="D875" s="23">
        <v>11.01</v>
      </c>
      <c r="ACO875" t="s">
        <v>5557</v>
      </c>
      <c r="AYW875" t="s">
        <v>4036</v>
      </c>
    </row>
    <row r="876" spans="1:973 1349:1496" ht="12.75" customHeight="1" x14ac:dyDescent="0.2">
      <c r="A876" t="s">
        <v>3613</v>
      </c>
      <c r="B876" t="s">
        <v>5558</v>
      </c>
      <c r="C876">
        <v>766</v>
      </c>
      <c r="D876" s="23">
        <v>44.05</v>
      </c>
      <c r="AEN876" s="19" t="s">
        <v>5558</v>
      </c>
    </row>
    <row r="877" spans="1:973 1349:1496" ht="12.75" customHeight="1" x14ac:dyDescent="0.2">
      <c r="A877" t="s">
        <v>3613</v>
      </c>
      <c r="B877" t="s">
        <v>5559</v>
      </c>
      <c r="C877">
        <v>819.95</v>
      </c>
      <c r="D877" s="23">
        <v>44.05</v>
      </c>
      <c r="AGP877" t="s">
        <v>5559</v>
      </c>
      <c r="AYX877" t="s">
        <v>4037</v>
      </c>
    </row>
    <row r="878" spans="1:973 1349:1496" ht="12.75" customHeight="1" x14ac:dyDescent="0.2">
      <c r="A878" t="s">
        <v>3613</v>
      </c>
      <c r="B878" t="s">
        <v>5560</v>
      </c>
      <c r="C878">
        <v>900.99</v>
      </c>
      <c r="D878" s="23">
        <v>11.01</v>
      </c>
      <c r="AIL878" t="s">
        <v>5560</v>
      </c>
      <c r="BAV878" t="s">
        <v>4038</v>
      </c>
    </row>
    <row r="879" spans="1:973 1349:1496" ht="12.75" customHeight="1" x14ac:dyDescent="0.2">
      <c r="A879" t="s">
        <v>3613</v>
      </c>
      <c r="B879" t="s">
        <v>5561</v>
      </c>
      <c r="C879">
        <v>928.36</v>
      </c>
      <c r="D879" s="23">
        <v>22.47</v>
      </c>
      <c r="AJY879" t="s">
        <v>5561</v>
      </c>
      <c r="BAV879" t="s">
        <v>4039</v>
      </c>
    </row>
    <row r="880" spans="1:973 1349:1496" ht="12.75" customHeight="1" x14ac:dyDescent="0.2">
      <c r="A880" t="s">
        <v>3613</v>
      </c>
      <c r="B880" t="s">
        <v>5562</v>
      </c>
      <c r="C880">
        <v>951.82</v>
      </c>
      <c r="D880" s="23">
        <v>11.12</v>
      </c>
      <c r="AKK880" t="s">
        <v>5562</v>
      </c>
      <c r="BEN880" t="s">
        <v>4040</v>
      </c>
    </row>
    <row r="881" spans="1:1018 1066:2027 2057:3032 3608:3608 4138:4138" ht="12.75" customHeight="1" x14ac:dyDescent="0.2">
      <c r="A881" t="s">
        <v>3613</v>
      </c>
      <c r="B881" t="s">
        <v>5563</v>
      </c>
      <c r="C881">
        <v>963.95</v>
      </c>
      <c r="D881" s="23">
        <v>44.05</v>
      </c>
      <c r="AMD881" t="s">
        <v>5563</v>
      </c>
      <c r="BLX881" t="s">
        <v>4041</v>
      </c>
    </row>
    <row r="882" spans="1:1018 1066:2027 2057:3032 3608:3608 4138:4138" ht="12.75" customHeight="1" x14ac:dyDescent="0.2">
      <c r="A882" t="s">
        <v>3613</v>
      </c>
      <c r="B882" t="s">
        <v>5564</v>
      </c>
      <c r="C882">
        <v>1011.95</v>
      </c>
      <c r="D882" s="23">
        <v>44.05</v>
      </c>
      <c r="ANZ882" t="s">
        <v>5564</v>
      </c>
      <c r="AZB882" t="s">
        <v>5532</v>
      </c>
      <c r="BLX882" t="s">
        <v>4042</v>
      </c>
    </row>
    <row r="883" spans="1:1018 1066:2027 2057:3032 3608:3608 4138:4138" ht="12.75" customHeight="1" x14ac:dyDescent="0.2">
      <c r="A883" t="s">
        <v>3613</v>
      </c>
      <c r="B883" t="s">
        <v>5565</v>
      </c>
      <c r="C883">
        <v>1059.95</v>
      </c>
      <c r="D883" s="23">
        <v>44.05</v>
      </c>
      <c r="APV883" t="s">
        <v>5565</v>
      </c>
      <c r="AZB883" t="s">
        <v>5533</v>
      </c>
      <c r="BNQ883" t="s">
        <v>4043</v>
      </c>
    </row>
    <row r="884" spans="1:1018 1066:2027 2057:3032 3608:3608 4138:4138" ht="12.75" customHeight="1" x14ac:dyDescent="0.2">
      <c r="A884" t="s">
        <v>3613</v>
      </c>
      <c r="B884" t="s">
        <v>5566</v>
      </c>
      <c r="C884">
        <v>1107.95</v>
      </c>
      <c r="D884" s="23">
        <v>44.05</v>
      </c>
      <c r="ARR884" t="s">
        <v>5566</v>
      </c>
      <c r="BCT884" t="s">
        <v>5535</v>
      </c>
      <c r="BPP884" t="s">
        <v>4044</v>
      </c>
    </row>
    <row r="885" spans="1:1018 1066:2027 2057:3032 3608:3608 4138:4138" ht="12.75" customHeight="1" x14ac:dyDescent="0.2">
      <c r="A885" t="s">
        <v>3613</v>
      </c>
      <c r="B885" t="s">
        <v>5567</v>
      </c>
      <c r="C885">
        <v>1155.95</v>
      </c>
      <c r="D885" s="23">
        <v>44.05</v>
      </c>
      <c r="ATN885" t="s">
        <v>5567</v>
      </c>
      <c r="AZB885" t="s">
        <v>3536</v>
      </c>
      <c r="BIH885" t="s">
        <v>5536</v>
      </c>
      <c r="BYY885" t="s">
        <v>4045</v>
      </c>
    </row>
    <row r="886" spans="1:1018 1066:2027 2057:3032 3608:3608 4138:4138" ht="12.75" customHeight="1" x14ac:dyDescent="0.2">
      <c r="A886" t="s">
        <v>3613</v>
      </c>
      <c r="B886" t="s">
        <v>5568</v>
      </c>
      <c r="C886">
        <v>1216.58</v>
      </c>
      <c r="D886" s="23">
        <v>22.25</v>
      </c>
      <c r="AVA886" t="s">
        <v>5568</v>
      </c>
      <c r="AYS886" t="s">
        <v>5568</v>
      </c>
      <c r="AYZ886" t="s">
        <v>3672</v>
      </c>
      <c r="BAO886" t="s">
        <v>4848</v>
      </c>
      <c r="BKB886" t="s">
        <v>6852</v>
      </c>
      <c r="CBY886" t="s">
        <v>4046</v>
      </c>
    </row>
    <row r="887" spans="1:1018 1066:2027 2057:3032 3608:3608 4138:4138" ht="12.75" customHeight="1" x14ac:dyDescent="0.2">
      <c r="A887" t="s">
        <v>3613</v>
      </c>
      <c r="B887" t="s">
        <v>5569</v>
      </c>
      <c r="C887">
        <v>1239.82</v>
      </c>
      <c r="D887" s="23">
        <v>11.12</v>
      </c>
      <c r="AVM887" t="s">
        <v>5569</v>
      </c>
      <c r="AYZ887" t="s">
        <v>3673</v>
      </c>
      <c r="AZE887" t="s">
        <v>5999</v>
      </c>
      <c r="BBA887" t="s">
        <v>4849</v>
      </c>
      <c r="BLZ887" t="s">
        <v>5537</v>
      </c>
      <c r="CCN887" t="s">
        <v>4047</v>
      </c>
    </row>
    <row r="888" spans="1:1018 1066:2027 2057:3032 3608:3608 4138:4138" ht="12.75" customHeight="1" x14ac:dyDescent="0.2">
      <c r="A888" t="s">
        <v>3613</v>
      </c>
      <c r="B888" t="s">
        <v>5570</v>
      </c>
      <c r="C888">
        <v>1251.95</v>
      </c>
      <c r="D888" s="23">
        <v>44.05</v>
      </c>
      <c r="AXF888" t="s">
        <v>5570</v>
      </c>
      <c r="AZB888" t="s">
        <v>6000</v>
      </c>
      <c r="BAX888" t="s">
        <v>6000</v>
      </c>
      <c r="BCR888" t="s">
        <v>3674</v>
      </c>
      <c r="BCT888" t="s">
        <v>3537</v>
      </c>
      <c r="BVF888" t="s">
        <v>5538</v>
      </c>
      <c r="CFI888" t="s">
        <v>4048</v>
      </c>
    </row>
    <row r="889" spans="1:1018 1066:2027 2057:3032 3608:3608 4138:4138" ht="12.75" customHeight="1" x14ac:dyDescent="0.2">
      <c r="A889" t="s">
        <v>3613</v>
      </c>
      <c r="B889" t="s">
        <v>5571</v>
      </c>
      <c r="C889">
        <v>1251.95</v>
      </c>
      <c r="D889" s="23">
        <v>44.05</v>
      </c>
      <c r="AXF889" t="s">
        <v>5571</v>
      </c>
      <c r="AZB889" t="s">
        <v>6001</v>
      </c>
      <c r="BAX889" t="s">
        <v>6001</v>
      </c>
      <c r="BCT889" t="s">
        <v>3538</v>
      </c>
      <c r="BKB889" t="s">
        <v>3675</v>
      </c>
      <c r="BWO889" t="s">
        <v>6853</v>
      </c>
      <c r="CNP889" t="s">
        <v>4049</v>
      </c>
    </row>
    <row r="890" spans="1:1018 1066:2027 2057:3032 3608:3608 4138:4138" ht="12.75" customHeight="1" x14ac:dyDescent="0.2">
      <c r="A890" t="s">
        <v>3613</v>
      </c>
      <c r="B890" t="s">
        <v>5572</v>
      </c>
      <c r="C890">
        <v>1299.95</v>
      </c>
      <c r="D890" s="23">
        <v>44.05</v>
      </c>
      <c r="AZB890" t="s">
        <v>6002</v>
      </c>
      <c r="BAX890" t="s">
        <v>6002</v>
      </c>
      <c r="BCT890" t="s">
        <v>6002</v>
      </c>
      <c r="BEP890" t="s">
        <v>3539</v>
      </c>
      <c r="BKB890" t="s">
        <v>3676</v>
      </c>
      <c r="BXB890" t="s">
        <v>6854</v>
      </c>
      <c r="CWV890" t="s">
        <v>4050</v>
      </c>
    </row>
    <row r="891" spans="1:1018 1066:2027 2057:3032 3608:3608 4138:4138" ht="12.75" customHeight="1" x14ac:dyDescent="0.2">
      <c r="A891" t="s">
        <v>3613</v>
      </c>
      <c r="B891" t="s">
        <v>5573</v>
      </c>
      <c r="C891">
        <v>1347.95</v>
      </c>
      <c r="D891" s="23">
        <v>44.05</v>
      </c>
      <c r="BAX891" t="s">
        <v>6003</v>
      </c>
      <c r="BCT891" t="s">
        <v>6003</v>
      </c>
      <c r="BEP891" t="s">
        <v>6003</v>
      </c>
      <c r="BGL891" t="s">
        <v>3540</v>
      </c>
      <c r="BLU891" t="s">
        <v>3677</v>
      </c>
      <c r="CJZ891" t="s">
        <v>5539</v>
      </c>
      <c r="CYR891" t="s">
        <v>4051</v>
      </c>
    </row>
    <row r="892" spans="1:1018 1066:2027 2057:3032 3608:3608 4138:4138" ht="12.75" customHeight="1" x14ac:dyDescent="0.2">
      <c r="A892" t="s">
        <v>3613</v>
      </c>
      <c r="B892" t="s">
        <v>5574</v>
      </c>
      <c r="C892">
        <v>1395.95</v>
      </c>
      <c r="D892" s="23">
        <v>44.05</v>
      </c>
      <c r="BCT892" t="s">
        <v>6004</v>
      </c>
      <c r="BEP892" t="s">
        <v>6004</v>
      </c>
      <c r="BGL892" t="s">
        <v>6004</v>
      </c>
      <c r="BIH892" t="s">
        <v>3541</v>
      </c>
      <c r="BNT892" t="s">
        <v>3678</v>
      </c>
      <c r="CLV892" t="s">
        <v>3670</v>
      </c>
      <c r="DDQ892" t="s">
        <v>4052</v>
      </c>
    </row>
    <row r="893" spans="1:1018 1066:2027 2057:3032 3608:3608 4138:4138" ht="12.75" customHeight="1" x14ac:dyDescent="0.2">
      <c r="A893" t="s">
        <v>3613</v>
      </c>
      <c r="B893" t="s">
        <v>5575</v>
      </c>
      <c r="C893">
        <v>1395.95</v>
      </c>
      <c r="D893" s="23">
        <v>44.05</v>
      </c>
      <c r="BCT893" t="s">
        <v>6005</v>
      </c>
      <c r="BEP893" t="s">
        <v>6005</v>
      </c>
      <c r="BGL893" t="s">
        <v>6005</v>
      </c>
      <c r="BIH893" t="s">
        <v>3542</v>
      </c>
      <c r="BXC893" t="s">
        <v>3679</v>
      </c>
      <c r="DEF893" t="s">
        <v>4053</v>
      </c>
      <c r="DHZ893" t="s">
        <v>3532</v>
      </c>
    </row>
    <row r="894" spans="1:1018 1066:2027 2057:3032 3608:3608 4138:4138" ht="12.75" customHeight="1" x14ac:dyDescent="0.2">
      <c r="A894" t="s">
        <v>3613</v>
      </c>
      <c r="B894" t="s">
        <v>5576</v>
      </c>
      <c r="C894">
        <v>1443.95</v>
      </c>
      <c r="D894" s="23">
        <v>44.05</v>
      </c>
      <c r="BEP894" t="s">
        <v>6006</v>
      </c>
      <c r="BGL894" t="s">
        <v>6006</v>
      </c>
      <c r="BIH894" t="s">
        <v>6006</v>
      </c>
      <c r="BKD894" t="s">
        <v>3543</v>
      </c>
      <c r="CAC894" t="s">
        <v>3680</v>
      </c>
      <c r="DJV894" t="s">
        <v>5540</v>
      </c>
      <c r="DLP894" t="s">
        <v>4054</v>
      </c>
    </row>
    <row r="895" spans="1:1018 1066:2027 2057:3032 3608:3608 4138:4138" ht="12.75" customHeight="1" x14ac:dyDescent="0.2">
      <c r="A895" t="s">
        <v>3613</v>
      </c>
      <c r="B895" t="s">
        <v>5577</v>
      </c>
      <c r="C895">
        <v>1517.25</v>
      </c>
      <c r="D895" s="23">
        <v>67.400000000000006</v>
      </c>
      <c r="BII895" t="s">
        <v>6007</v>
      </c>
      <c r="BKE895" t="s">
        <v>6007</v>
      </c>
      <c r="BMA895" t="s">
        <v>6007</v>
      </c>
      <c r="BNW895" t="s">
        <v>4850</v>
      </c>
      <c r="CAR895" t="s">
        <v>3681</v>
      </c>
      <c r="EHT895" t="s">
        <v>4055</v>
      </c>
      <c r="FCD895" t="s">
        <v>5541</v>
      </c>
    </row>
    <row r="896" spans="1:1018 1066:2027 2057:3032 3608:3608 4138:4138" ht="12.75" customHeight="1" x14ac:dyDescent="0.2">
      <c r="A896" t="s">
        <v>3613</v>
      </c>
      <c r="B896" t="s">
        <v>5578</v>
      </c>
      <c r="C896">
        <v>1539.95</v>
      </c>
      <c r="D896" s="23">
        <v>44.05</v>
      </c>
      <c r="BIH896" t="s">
        <v>6008</v>
      </c>
      <c r="BKD896" t="s">
        <v>6008</v>
      </c>
      <c r="BLZ896" t="s">
        <v>6008</v>
      </c>
      <c r="BNV896" t="s">
        <v>3544</v>
      </c>
      <c r="CDM896" t="s">
        <v>4197</v>
      </c>
    </row>
    <row r="897" spans="1:4 1382:2026 2074:2984 3560:3560" ht="12.75" customHeight="1" x14ac:dyDescent="0.2">
      <c r="A897" t="s">
        <v>3613</v>
      </c>
      <c r="B897" t="s">
        <v>5579</v>
      </c>
      <c r="C897">
        <v>1587.95</v>
      </c>
      <c r="D897" s="23">
        <v>44.05</v>
      </c>
      <c r="BKD897" t="s">
        <v>6009</v>
      </c>
      <c r="BLZ897" t="s">
        <v>6009</v>
      </c>
      <c r="BNV897" t="s">
        <v>6009</v>
      </c>
      <c r="BPR897" t="s">
        <v>3545</v>
      </c>
      <c r="CLT897" t="s">
        <v>3682</v>
      </c>
    </row>
    <row r="898" spans="1:4 1382:2026 2074:2984 3560:3560" ht="12.75" customHeight="1" x14ac:dyDescent="0.2">
      <c r="A898" t="s">
        <v>3613</v>
      </c>
      <c r="B898" t="s">
        <v>7300</v>
      </c>
      <c r="C898">
        <v>1668.88</v>
      </c>
      <c r="D898" s="23">
        <v>11.12</v>
      </c>
      <c r="BLZ898" t="s">
        <v>6010</v>
      </c>
      <c r="BNV898" t="s">
        <v>6010</v>
      </c>
      <c r="BPR898" t="s">
        <v>6010</v>
      </c>
      <c r="BRN898" t="s">
        <v>4851</v>
      </c>
      <c r="CUZ898" t="s">
        <v>3683</v>
      </c>
    </row>
    <row r="899" spans="1:4 1382:2026 2074:2984 3560:3560" ht="12.75" customHeight="1" x14ac:dyDescent="0.2">
      <c r="A899" t="s">
        <v>3613</v>
      </c>
      <c r="B899" t="s">
        <v>5580</v>
      </c>
      <c r="C899">
        <v>1683.95</v>
      </c>
      <c r="D899" s="23">
        <v>44.05</v>
      </c>
      <c r="BNV899" t="s">
        <v>6011</v>
      </c>
      <c r="BPR899" t="s">
        <v>6011</v>
      </c>
      <c r="BRN899" t="s">
        <v>6011</v>
      </c>
      <c r="BTJ899" t="s">
        <v>3548</v>
      </c>
      <c r="CWV899" t="s">
        <v>3684</v>
      </c>
    </row>
    <row r="900" spans="1:4 1382:2026 2074:2984 3560:3560" ht="12.75" customHeight="1" x14ac:dyDescent="0.2">
      <c r="A900" t="s">
        <v>3613</v>
      </c>
      <c r="B900" t="s">
        <v>5581</v>
      </c>
      <c r="C900">
        <v>1731.95</v>
      </c>
      <c r="D900" s="23">
        <v>44.05</v>
      </c>
      <c r="BPR900" t="s">
        <v>6012</v>
      </c>
      <c r="BRN900" t="s">
        <v>6012</v>
      </c>
      <c r="BTJ900" t="s">
        <v>6012</v>
      </c>
      <c r="BVF900" t="s">
        <v>3549</v>
      </c>
      <c r="DBU900" t="s">
        <v>3685</v>
      </c>
    </row>
    <row r="901" spans="1:4 1382:2026 2074:2984 3560:3560" ht="12.75" customHeight="1" x14ac:dyDescent="0.2">
      <c r="A901" t="s">
        <v>3613</v>
      </c>
      <c r="B901" t="s">
        <v>5582</v>
      </c>
      <c r="C901">
        <v>1779.95</v>
      </c>
      <c r="D901" s="23">
        <v>44.05</v>
      </c>
      <c r="BRN901" t="s">
        <v>6013</v>
      </c>
      <c r="BTJ901" t="s">
        <v>6013</v>
      </c>
      <c r="BVF901" t="s">
        <v>6013</v>
      </c>
      <c r="BXB901" t="s">
        <v>3550</v>
      </c>
      <c r="DCJ901" t="s">
        <v>3686</v>
      </c>
    </row>
    <row r="902" spans="1:4 1382:2026 2074:2984 3560:3560" ht="12.75" customHeight="1" x14ac:dyDescent="0.2">
      <c r="A902" t="s">
        <v>3613</v>
      </c>
      <c r="B902" t="s">
        <v>5583</v>
      </c>
      <c r="C902">
        <v>1827.95</v>
      </c>
      <c r="D902" s="23">
        <v>44.05</v>
      </c>
      <c r="BTJ902" t="s">
        <v>6014</v>
      </c>
      <c r="BVF902" t="s">
        <v>6014</v>
      </c>
      <c r="BXB902" t="s">
        <v>6014</v>
      </c>
      <c r="BYX902" t="s">
        <v>3551</v>
      </c>
      <c r="DJT902" t="s">
        <v>3687</v>
      </c>
    </row>
    <row r="903" spans="1:4 1382:2026 2074:2984 3560:3560" ht="12.75" customHeight="1" x14ac:dyDescent="0.2">
      <c r="A903" t="s">
        <v>3613</v>
      </c>
      <c r="B903" t="s">
        <v>5584</v>
      </c>
      <c r="C903">
        <v>1923.95</v>
      </c>
      <c r="D903" s="23">
        <v>44.05</v>
      </c>
      <c r="BXB903" t="s">
        <v>6015</v>
      </c>
      <c r="BYX903" t="s">
        <v>6015</v>
      </c>
      <c r="CAT903" t="s">
        <v>6015</v>
      </c>
      <c r="CCP903" t="s">
        <v>3552</v>
      </c>
      <c r="EFX903" t="s">
        <v>3688</v>
      </c>
    </row>
    <row r="904" spans="1:4 1382:2026 2074:2984 3560:3560" ht="12.75" customHeight="1" x14ac:dyDescent="0.2">
      <c r="A904" t="s">
        <v>3613</v>
      </c>
      <c r="B904" t="s">
        <v>5585</v>
      </c>
      <c r="C904">
        <v>1971.95</v>
      </c>
      <c r="D904" s="23">
        <v>44.05</v>
      </c>
      <c r="BYX904" t="s">
        <v>6016</v>
      </c>
      <c r="CAT904" t="s">
        <v>6016</v>
      </c>
      <c r="CCP904" t="s">
        <v>6016</v>
      </c>
      <c r="CEL904" t="s">
        <v>3553</v>
      </c>
    </row>
    <row r="905" spans="1:4 1382:2026 2074:2984 3560:3560" ht="12.75" customHeight="1" x14ac:dyDescent="0.2">
      <c r="A905" t="s">
        <v>3613</v>
      </c>
      <c r="B905" t="s">
        <v>5586</v>
      </c>
      <c r="C905">
        <v>2019.95</v>
      </c>
      <c r="D905" s="23">
        <v>44.05</v>
      </c>
      <c r="CAT905" t="s">
        <v>6017</v>
      </c>
      <c r="CCP905" t="s">
        <v>6017</v>
      </c>
      <c r="CEL905" t="s">
        <v>6017</v>
      </c>
      <c r="CGH905" t="s">
        <v>3554</v>
      </c>
    </row>
    <row r="906" spans="1:4 1382:2026 2074:2984 3560:3560" ht="12.75" customHeight="1" x14ac:dyDescent="0.2">
      <c r="A906" t="s">
        <v>3613</v>
      </c>
      <c r="B906" t="s">
        <v>7301</v>
      </c>
      <c r="C906">
        <v>2118.15</v>
      </c>
      <c r="D906" s="23">
        <v>41.85</v>
      </c>
      <c r="BAD906" t="s">
        <v>4056</v>
      </c>
      <c r="CEL906" t="s">
        <v>6018</v>
      </c>
      <c r="CGH906" t="s">
        <v>6018</v>
      </c>
      <c r="CID906" t="s">
        <v>6018</v>
      </c>
      <c r="CJZ906" t="s">
        <v>4852</v>
      </c>
    </row>
    <row r="907" spans="1:4 1382:2026 2074:2984 3560:3560" ht="12.75" customHeight="1" x14ac:dyDescent="0.2">
      <c r="A907" t="s">
        <v>3613</v>
      </c>
      <c r="B907" t="s">
        <v>7302</v>
      </c>
      <c r="C907">
        <v>2161</v>
      </c>
      <c r="D907" s="23">
        <v>67.400000000000006</v>
      </c>
      <c r="BCR907" t="s">
        <v>4057</v>
      </c>
      <c r="CHB907" t="s">
        <v>6019</v>
      </c>
      <c r="CIX907" t="s">
        <v>6019</v>
      </c>
      <c r="CKT907" t="s">
        <v>6019</v>
      </c>
      <c r="CMP907" t="s">
        <v>4853</v>
      </c>
    </row>
    <row r="908" spans="1:4 1382:2026 2074:2984 3560:3560" ht="12.75" customHeight="1" x14ac:dyDescent="0.2">
      <c r="A908" t="s">
        <v>3613</v>
      </c>
      <c r="B908" t="s">
        <v>5587</v>
      </c>
      <c r="C908">
        <v>2249.39</v>
      </c>
      <c r="D908" s="23">
        <v>6.61</v>
      </c>
      <c r="BJR908" t="s">
        <v>4058</v>
      </c>
      <c r="CID908" t="s">
        <v>6020</v>
      </c>
      <c r="CJZ908" t="s">
        <v>6020</v>
      </c>
      <c r="CLV908" t="s">
        <v>6020</v>
      </c>
      <c r="CNR908" t="s">
        <v>4854</v>
      </c>
    </row>
    <row r="909" spans="1:4 1382:2026 2074:2984 3560:3560" ht="12.75" customHeight="1" x14ac:dyDescent="0.2">
      <c r="A909" t="s">
        <v>3613</v>
      </c>
      <c r="B909" t="s">
        <v>5588</v>
      </c>
      <c r="C909">
        <v>2262.15</v>
      </c>
      <c r="D909" s="23">
        <v>41.85</v>
      </c>
      <c r="BKB909" t="s">
        <v>4059</v>
      </c>
      <c r="CJZ909" t="s">
        <v>6021</v>
      </c>
      <c r="CLV909" t="s">
        <v>6021</v>
      </c>
      <c r="CNR909" t="s">
        <v>6021</v>
      </c>
      <c r="CPN909" t="s">
        <v>4855</v>
      </c>
    </row>
    <row r="910" spans="1:4 1382:2026 2074:2984 3560:3560" ht="12.75" customHeight="1" x14ac:dyDescent="0.2">
      <c r="A910" t="s">
        <v>3613</v>
      </c>
      <c r="B910" t="s">
        <v>5589</v>
      </c>
      <c r="C910">
        <v>2307.9499999999998</v>
      </c>
      <c r="D910" s="23">
        <v>44.05</v>
      </c>
      <c r="BLX910" t="s">
        <v>4060</v>
      </c>
      <c r="CLV910" t="s">
        <v>6022</v>
      </c>
      <c r="CNR910" t="s">
        <v>6022</v>
      </c>
      <c r="CPN910" t="s">
        <v>6022</v>
      </c>
      <c r="CRJ910" t="s">
        <v>4856</v>
      </c>
    </row>
    <row r="911" spans="1:4 1382:2026 2074:2984 3560:3560" ht="12.75" customHeight="1" x14ac:dyDescent="0.2">
      <c r="A911" t="s">
        <v>3613</v>
      </c>
      <c r="B911" t="s">
        <v>5590</v>
      </c>
      <c r="C911">
        <v>2340.9899999999998</v>
      </c>
      <c r="D911" s="23">
        <v>11.01</v>
      </c>
      <c r="BNN911" t="s">
        <v>4061</v>
      </c>
      <c r="CLV911" t="s">
        <v>6023</v>
      </c>
      <c r="CNR911" t="s">
        <v>6023</v>
      </c>
      <c r="CPN911" t="s">
        <v>6023</v>
      </c>
      <c r="CRJ911" t="s">
        <v>3559</v>
      </c>
    </row>
    <row r="912" spans="1:4 1382:2026 2074:2984 3560:3560" ht="12.75" customHeight="1" x14ac:dyDescent="0.2">
      <c r="A912" t="s">
        <v>3613</v>
      </c>
      <c r="B912" t="s">
        <v>5591</v>
      </c>
      <c r="C912">
        <v>2353</v>
      </c>
      <c r="D912" s="23">
        <v>89.87</v>
      </c>
      <c r="CPI912" t="s">
        <v>6024</v>
      </c>
      <c r="CRE912" t="s">
        <v>6024</v>
      </c>
      <c r="CRH912" t="s">
        <v>4062</v>
      </c>
      <c r="CTA912" t="s">
        <v>6024</v>
      </c>
      <c r="CUW912" t="s">
        <v>4857</v>
      </c>
    </row>
    <row r="913" spans="1:4 1400:1682 2456:3034 3082:3898 4234:4378" ht="12.75" customHeight="1" x14ac:dyDescent="0.2">
      <c r="A913" t="s">
        <v>3613</v>
      </c>
      <c r="B913" t="s">
        <v>5592</v>
      </c>
      <c r="C913">
        <v>2487.79</v>
      </c>
      <c r="D913" s="23">
        <v>11.16</v>
      </c>
      <c r="CRM913" t="s">
        <v>6025</v>
      </c>
      <c r="CTI913" t="s">
        <v>6025</v>
      </c>
      <c r="CVE913" t="s">
        <v>6025</v>
      </c>
      <c r="CXA913" t="s">
        <v>3561</v>
      </c>
      <c r="DWR913" t="s">
        <v>4063</v>
      </c>
    </row>
    <row r="914" spans="1:4 1400:1682 2456:3034 3082:3898 4234:4378" ht="12.75" customHeight="1" x14ac:dyDescent="0.2">
      <c r="A914" t="s">
        <v>3613</v>
      </c>
      <c r="B914" t="s">
        <v>5593</v>
      </c>
      <c r="C914">
        <v>2499.9499999999998</v>
      </c>
      <c r="D914" s="23">
        <v>44.05</v>
      </c>
      <c r="CTF914" t="s">
        <v>6026</v>
      </c>
      <c r="CVB914" t="s">
        <v>6026</v>
      </c>
      <c r="CWX914" t="s">
        <v>6026</v>
      </c>
      <c r="CYT914" t="s">
        <v>3562</v>
      </c>
    </row>
    <row r="915" spans="1:4 1400:1682 2456:3034 3082:3898 4234:4378" ht="12.75" customHeight="1" x14ac:dyDescent="0.2">
      <c r="A915" t="s">
        <v>3613</v>
      </c>
      <c r="B915" t="s">
        <v>5594</v>
      </c>
      <c r="C915">
        <v>2547.9499999999998</v>
      </c>
      <c r="D915" s="23">
        <v>44.05</v>
      </c>
      <c r="CVB915" t="s">
        <v>6027</v>
      </c>
      <c r="CWX915" t="s">
        <v>6027</v>
      </c>
      <c r="CYT915" t="s">
        <v>6027</v>
      </c>
      <c r="DAP915" t="s">
        <v>3563</v>
      </c>
    </row>
    <row r="916" spans="1:4 1400:1682 2456:3034 3082:3898 4234:4378" ht="12.75" customHeight="1" x14ac:dyDescent="0.2">
      <c r="A916" t="s">
        <v>3613</v>
      </c>
      <c r="B916" t="s">
        <v>5595</v>
      </c>
      <c r="C916">
        <v>2595.9499999999998</v>
      </c>
      <c r="D916" s="23">
        <v>44.05</v>
      </c>
      <c r="CWX916" t="s">
        <v>6028</v>
      </c>
      <c r="CYT916" t="s">
        <v>6028</v>
      </c>
      <c r="DAP916" t="s">
        <v>6028</v>
      </c>
      <c r="DCL916" t="s">
        <v>3564</v>
      </c>
    </row>
    <row r="917" spans="1:4 1400:1682 2456:3034 3082:3898 4234:4378" ht="12.75" customHeight="1" x14ac:dyDescent="0.2">
      <c r="A917" t="s">
        <v>3613</v>
      </c>
      <c r="B917" t="s">
        <v>5596</v>
      </c>
      <c r="C917">
        <v>2643.95</v>
      </c>
      <c r="D917" s="23">
        <v>44.05</v>
      </c>
      <c r="BAV917" t="s">
        <v>3576</v>
      </c>
      <c r="CYT917" t="s">
        <v>6029</v>
      </c>
      <c r="DAP917" t="s">
        <v>6029</v>
      </c>
      <c r="DCL917" t="s">
        <v>6029</v>
      </c>
      <c r="DEH917" t="s">
        <v>3565</v>
      </c>
    </row>
    <row r="918" spans="1:4 1400:1682 2456:3034 3082:3898 4234:4378" ht="12.75" customHeight="1" x14ac:dyDescent="0.2">
      <c r="A918" t="s">
        <v>3613</v>
      </c>
      <c r="B918" t="s">
        <v>5597</v>
      </c>
      <c r="C918">
        <v>2739.95</v>
      </c>
      <c r="D918" s="23">
        <v>44.05</v>
      </c>
      <c r="BHV918" t="s">
        <v>3577</v>
      </c>
      <c r="DCL918" t="s">
        <v>6030</v>
      </c>
      <c r="DEH918" t="s">
        <v>6030</v>
      </c>
      <c r="DGD918" t="s">
        <v>6030</v>
      </c>
      <c r="DHZ918" t="s">
        <v>3566</v>
      </c>
    </row>
    <row r="919" spans="1:4 1400:1682 2456:3034 3082:3898 4234:4378" ht="12.75" customHeight="1" x14ac:dyDescent="0.2">
      <c r="A919" t="s">
        <v>3613</v>
      </c>
      <c r="B919" t="s">
        <v>5598</v>
      </c>
      <c r="C919">
        <v>2787.95</v>
      </c>
      <c r="D919" s="23">
        <v>44.05</v>
      </c>
      <c r="BIF919" t="s">
        <v>3578</v>
      </c>
      <c r="DEH919" t="s">
        <v>6031</v>
      </c>
      <c r="DGD919" t="s">
        <v>6031</v>
      </c>
      <c r="DHZ919" t="s">
        <v>6031</v>
      </c>
      <c r="DJV919" t="s">
        <v>3567</v>
      </c>
    </row>
    <row r="920" spans="1:4 1400:1682 2456:3034 3082:3898 4234:4378" ht="12.75" customHeight="1" x14ac:dyDescent="0.2">
      <c r="A920" t="s">
        <v>3613</v>
      </c>
      <c r="B920" t="s">
        <v>5599</v>
      </c>
      <c r="C920">
        <v>2835.95</v>
      </c>
      <c r="D920" s="23">
        <v>44.05</v>
      </c>
      <c r="BKB920" t="s">
        <v>3579</v>
      </c>
      <c r="DGD920" t="s">
        <v>6032</v>
      </c>
      <c r="DHZ920" t="s">
        <v>6032</v>
      </c>
      <c r="DJV920" t="s">
        <v>6032</v>
      </c>
      <c r="DLR920" t="s">
        <v>3568</v>
      </c>
    </row>
    <row r="921" spans="1:4 1400:1682 2456:3034 3082:3898 4234:4378" ht="12.75" customHeight="1" x14ac:dyDescent="0.2">
      <c r="A921" t="s">
        <v>3613</v>
      </c>
      <c r="B921" t="s">
        <v>5600</v>
      </c>
      <c r="C921">
        <v>2931.95</v>
      </c>
      <c r="D921" s="23">
        <v>44.05</v>
      </c>
      <c r="BLR921" t="s">
        <v>3580</v>
      </c>
      <c r="DJV921" t="s">
        <v>6033</v>
      </c>
      <c r="DLR921" t="s">
        <v>6033</v>
      </c>
      <c r="DNN921" t="s">
        <v>6033</v>
      </c>
      <c r="DPJ921" t="s">
        <v>3569</v>
      </c>
    </row>
    <row r="922" spans="1:4 1400:1682 2456:3034 3082:3898 4234:4378" ht="12.75" customHeight="1" x14ac:dyDescent="0.2">
      <c r="A922" t="s">
        <v>3613</v>
      </c>
      <c r="B922" t="s">
        <v>5601</v>
      </c>
      <c r="C922">
        <v>3027.95</v>
      </c>
      <c r="D922" s="23">
        <v>44.05</v>
      </c>
      <c r="CPL922" t="s">
        <v>3581</v>
      </c>
      <c r="DNN922" t="s">
        <v>6034</v>
      </c>
      <c r="DPJ922" t="s">
        <v>6034</v>
      </c>
      <c r="DRF922" t="s">
        <v>6034</v>
      </c>
      <c r="DTB922" t="s">
        <v>3570</v>
      </c>
    </row>
    <row r="923" spans="1:4 1400:1682 2456:3034 3082:3898 4234:4378" ht="12.75" customHeight="1" x14ac:dyDescent="0.2">
      <c r="A923" t="s">
        <v>3613</v>
      </c>
      <c r="B923" t="s">
        <v>5602</v>
      </c>
      <c r="C923">
        <v>3075.95</v>
      </c>
      <c r="D923" s="23">
        <v>44.05</v>
      </c>
      <c r="DPJ923" t="s">
        <v>6035</v>
      </c>
      <c r="DRF923" t="s">
        <v>6035</v>
      </c>
      <c r="DTB923" t="s">
        <v>6035</v>
      </c>
      <c r="DUV923" t="s">
        <v>3582</v>
      </c>
      <c r="DUX923" t="s">
        <v>3571</v>
      </c>
    </row>
    <row r="924" spans="1:4 1400:1682 2456:3034 3082:3898 4234:4378" ht="12.75" customHeight="1" x14ac:dyDescent="0.2">
      <c r="A924" t="s">
        <v>3613</v>
      </c>
      <c r="B924" t="s">
        <v>5603</v>
      </c>
      <c r="C924">
        <v>3171.95</v>
      </c>
      <c r="D924" s="23">
        <v>44.05</v>
      </c>
      <c r="DTB924" t="s">
        <v>6036</v>
      </c>
      <c r="DUX924" t="s">
        <v>6036</v>
      </c>
      <c r="DWT924" t="s">
        <v>6036</v>
      </c>
      <c r="DYP924" t="s">
        <v>3572</v>
      </c>
    </row>
    <row r="925" spans="1:4 1400:1682 2456:3034 3082:3898 4234:4378" ht="12.75" customHeight="1" x14ac:dyDescent="0.2">
      <c r="A925" t="s">
        <v>3613</v>
      </c>
      <c r="B925" t="s">
        <v>5604</v>
      </c>
      <c r="C925">
        <v>3267.95</v>
      </c>
      <c r="D925" s="23">
        <v>44.05</v>
      </c>
      <c r="DWT925" t="s">
        <v>6037</v>
      </c>
      <c r="DYP925" t="s">
        <v>6037</v>
      </c>
      <c r="EAL925" t="s">
        <v>6037</v>
      </c>
      <c r="ECH925" t="s">
        <v>3573</v>
      </c>
    </row>
    <row r="926" spans="1:4 1400:1682 2456:3034 3082:3898 4234:4378" ht="12.75" customHeight="1" x14ac:dyDescent="0.2">
      <c r="A926" t="s">
        <v>3613</v>
      </c>
      <c r="B926" t="s">
        <v>7303</v>
      </c>
      <c r="C926">
        <v>3341.84</v>
      </c>
      <c r="D926" s="23">
        <v>18.16</v>
      </c>
      <c r="DYP926" t="s">
        <v>6038</v>
      </c>
      <c r="EAL926" t="s">
        <v>6038</v>
      </c>
      <c r="ECH926" t="s">
        <v>6038</v>
      </c>
      <c r="EED926" t="s">
        <v>4858</v>
      </c>
    </row>
    <row r="927" spans="1:4 1400:1682 2456:3034 3082:3898 4234:4378" ht="12.75" customHeight="1" x14ac:dyDescent="0.2">
      <c r="A927" t="s">
        <v>3613</v>
      </c>
      <c r="B927" t="s">
        <v>5605</v>
      </c>
      <c r="C927">
        <v>3702.15</v>
      </c>
      <c r="D927" s="23">
        <v>41.85</v>
      </c>
      <c r="ENJ927" t="s">
        <v>6039</v>
      </c>
      <c r="EPF927" t="s">
        <v>6039</v>
      </c>
      <c r="ERB927" t="s">
        <v>6039</v>
      </c>
      <c r="ESX927" t="s">
        <v>4859</v>
      </c>
    </row>
    <row r="928" spans="1:4 1400:1682 2456:3034 3082:3898 4234:4378" ht="12.75" customHeight="1" x14ac:dyDescent="0.2">
      <c r="A928" t="s">
        <v>3613</v>
      </c>
      <c r="B928" t="s">
        <v>5606</v>
      </c>
      <c r="C928">
        <v>4179.95</v>
      </c>
      <c r="D928" s="23">
        <v>44.05</v>
      </c>
      <c r="FFV928" t="s">
        <v>6040</v>
      </c>
      <c r="FHR928" t="s">
        <v>6040</v>
      </c>
      <c r="FJN928" t="s">
        <v>6040</v>
      </c>
      <c r="FLJ928" t="s">
        <v>4860</v>
      </c>
    </row>
    <row r="929" spans="1:377 1352:1978 4282:4426" ht="12.75" customHeight="1" x14ac:dyDescent="0.2">
      <c r="A929" t="s">
        <v>3613</v>
      </c>
      <c r="B929" t="s">
        <v>7304</v>
      </c>
      <c r="C929">
        <v>4249.97</v>
      </c>
      <c r="D929" s="23">
        <v>22.03</v>
      </c>
      <c r="FHR929" t="s">
        <v>6041</v>
      </c>
      <c r="FJN929" t="s">
        <v>6041</v>
      </c>
      <c r="FLJ929" t="s">
        <v>6041</v>
      </c>
      <c r="FNF929" t="s">
        <v>4861</v>
      </c>
    </row>
    <row r="930" spans="1:377 1352:1978 4282:4426" ht="12.75" customHeight="1" x14ac:dyDescent="0.2">
      <c r="A930" t="s">
        <v>3614</v>
      </c>
      <c r="B930" t="s">
        <v>7305</v>
      </c>
      <c r="C930">
        <v>-96</v>
      </c>
      <c r="D930" s="23">
        <v>7.67</v>
      </c>
      <c r="J930" t="s">
        <v>7305</v>
      </c>
      <c r="AZB930" t="s">
        <v>5572</v>
      </c>
    </row>
    <row r="931" spans="1:377 1352:1978 4282:4426" ht="12.75" customHeight="1" x14ac:dyDescent="0.2">
      <c r="A931" t="s">
        <v>3614</v>
      </c>
      <c r="B931" t="s">
        <v>7306</v>
      </c>
      <c r="C931">
        <v>-85.33</v>
      </c>
      <c r="D931" s="23">
        <v>12.53</v>
      </c>
      <c r="J931" t="s">
        <v>7306</v>
      </c>
      <c r="BAX931" t="s">
        <v>5573</v>
      </c>
    </row>
    <row r="932" spans="1:377 1352:1978 4282:4426" ht="12.75" customHeight="1" x14ac:dyDescent="0.2">
      <c r="A932" t="s">
        <v>3614</v>
      </c>
      <c r="B932" t="s">
        <v>7307</v>
      </c>
      <c r="C932">
        <v>-71.8</v>
      </c>
      <c r="D932" s="23">
        <v>12.53</v>
      </c>
      <c r="J932" t="s">
        <v>7307</v>
      </c>
      <c r="BCT932" t="s">
        <v>5574</v>
      </c>
    </row>
    <row r="933" spans="1:377 1352:1978 4282:4426" ht="12.75" customHeight="1" x14ac:dyDescent="0.2">
      <c r="A933" t="s">
        <v>3614</v>
      </c>
      <c r="B933" t="s">
        <v>7308</v>
      </c>
      <c r="C933">
        <v>-41</v>
      </c>
      <c r="D933" s="23">
        <v>12.61</v>
      </c>
      <c r="J933" t="s">
        <v>7308</v>
      </c>
      <c r="BCT933" t="s">
        <v>5575</v>
      </c>
    </row>
    <row r="934" spans="1:377 1352:1978 4282:4426" ht="12.75" customHeight="1" x14ac:dyDescent="0.2">
      <c r="A934" t="s">
        <v>3614</v>
      </c>
      <c r="B934" t="s">
        <v>7309</v>
      </c>
      <c r="C934">
        <v>-26.39</v>
      </c>
      <c r="D934" s="23">
        <v>11.5</v>
      </c>
      <c r="J934" t="s">
        <v>7309</v>
      </c>
      <c r="BEP934" t="s">
        <v>5576</v>
      </c>
    </row>
    <row r="935" spans="1:377 1352:1978 4282:4426" ht="12.75" customHeight="1" x14ac:dyDescent="0.2">
      <c r="A935" t="s">
        <v>3614</v>
      </c>
      <c r="B935" t="s">
        <v>5607</v>
      </c>
      <c r="C935">
        <v>1</v>
      </c>
      <c r="D935" s="23">
        <v>50.56</v>
      </c>
      <c r="BJ935" t="s">
        <v>5607</v>
      </c>
      <c r="BII935" t="s">
        <v>5577</v>
      </c>
    </row>
    <row r="936" spans="1:377 1352:1978 4282:4426" ht="12.75" customHeight="1" x14ac:dyDescent="0.2">
      <c r="A936" t="s">
        <v>3614</v>
      </c>
      <c r="B936" t="s">
        <v>5608</v>
      </c>
      <c r="C936">
        <v>53.56</v>
      </c>
      <c r="D936" s="23">
        <v>25.36</v>
      </c>
      <c r="CK936" t="s">
        <v>5608</v>
      </c>
      <c r="BIH936" t="s">
        <v>5578</v>
      </c>
    </row>
    <row r="937" spans="1:377 1352:1978 4282:4426" ht="12.75" customHeight="1" x14ac:dyDescent="0.2">
      <c r="A937" t="s">
        <v>3614</v>
      </c>
      <c r="B937" t="s">
        <v>7310</v>
      </c>
      <c r="C937">
        <v>82</v>
      </c>
      <c r="D937" s="23">
        <v>12.57</v>
      </c>
      <c r="DA937" t="s">
        <v>7310</v>
      </c>
      <c r="BKD937" t="s">
        <v>5579</v>
      </c>
    </row>
    <row r="938" spans="1:377 1352:1978 4282:4426" ht="12.75" customHeight="1" x14ac:dyDescent="0.2">
      <c r="A938" t="s">
        <v>3614</v>
      </c>
      <c r="B938" t="s">
        <v>5609</v>
      </c>
      <c r="C938">
        <v>97</v>
      </c>
      <c r="D938" s="23">
        <v>43.35</v>
      </c>
      <c r="ET938" t="s">
        <v>5609</v>
      </c>
      <c r="BLZ938" t="s">
        <v>6855</v>
      </c>
    </row>
    <row r="939" spans="1:377 1352:1978 4282:4426" ht="12.75" customHeight="1" x14ac:dyDescent="0.2">
      <c r="A939" t="s">
        <v>3614</v>
      </c>
      <c r="B939" t="s">
        <v>5610</v>
      </c>
      <c r="C939">
        <v>142</v>
      </c>
      <c r="D939" s="23">
        <v>23.32</v>
      </c>
      <c r="FS939" t="s">
        <v>5610</v>
      </c>
      <c r="BNV939" t="s">
        <v>5580</v>
      </c>
    </row>
    <row r="940" spans="1:377 1352:1978 4282:4426" ht="12.75" customHeight="1" x14ac:dyDescent="0.2">
      <c r="A940" t="s">
        <v>3614</v>
      </c>
      <c r="B940" t="s">
        <v>5611</v>
      </c>
      <c r="C940">
        <v>168.67</v>
      </c>
      <c r="D940" s="23">
        <v>12.41</v>
      </c>
      <c r="GI940" t="s">
        <v>5611</v>
      </c>
      <c r="BPR940" t="s">
        <v>5581</v>
      </c>
    </row>
    <row r="941" spans="1:377 1352:1978 4282:4426" ht="12.75" customHeight="1" x14ac:dyDescent="0.2">
      <c r="A941" t="s">
        <v>3614</v>
      </c>
      <c r="B941" t="s">
        <v>5612</v>
      </c>
      <c r="C941">
        <v>182.08</v>
      </c>
      <c r="D941" s="23">
        <v>44.67</v>
      </c>
      <c r="IC941" t="s">
        <v>5612</v>
      </c>
      <c r="BRN941" t="s">
        <v>5582</v>
      </c>
    </row>
    <row r="942" spans="1:377 1352:1978 4282:4426" ht="12.75" customHeight="1" x14ac:dyDescent="0.2">
      <c r="A942" t="s">
        <v>3614</v>
      </c>
      <c r="B942" t="s">
        <v>5613</v>
      </c>
      <c r="C942">
        <v>227.74</v>
      </c>
      <c r="D942" s="23">
        <v>24.81</v>
      </c>
      <c r="JC942" t="s">
        <v>5613</v>
      </c>
      <c r="BTJ942" t="s">
        <v>5583</v>
      </c>
    </row>
    <row r="943" spans="1:377 1352:1978 4282:4426" ht="12.75" customHeight="1" x14ac:dyDescent="0.2">
      <c r="A943" t="s">
        <v>3614</v>
      </c>
      <c r="B943" t="s">
        <v>5614</v>
      </c>
      <c r="C943">
        <v>253.56</v>
      </c>
      <c r="D943" s="23">
        <v>50.56</v>
      </c>
      <c r="LB943" t="s">
        <v>5614</v>
      </c>
      <c r="AYZ943" t="s">
        <v>4064</v>
      </c>
      <c r="BVI943" t="s">
        <v>6856</v>
      </c>
    </row>
    <row r="944" spans="1:377 1352:1978 4282:4426" ht="12.75" customHeight="1" x14ac:dyDescent="0.2">
      <c r="A944" t="s">
        <v>3614</v>
      </c>
      <c r="B944" t="s">
        <v>5615</v>
      </c>
      <c r="C944">
        <v>354.72</v>
      </c>
      <c r="D944" s="23">
        <v>12.41</v>
      </c>
      <c r="NM944" t="s">
        <v>5615</v>
      </c>
      <c r="BAV944" t="s">
        <v>4065</v>
      </c>
      <c r="BXB944" t="s">
        <v>5584</v>
      </c>
    </row>
    <row r="945" spans="1:970 1586:2026 2074:2842 4040:4040" ht="12.75" customHeight="1" x14ac:dyDescent="0.2">
      <c r="A945" t="s">
        <v>3614</v>
      </c>
      <c r="B945" t="s">
        <v>5616</v>
      </c>
      <c r="C945">
        <v>368.13</v>
      </c>
      <c r="D945" s="23">
        <v>25.43</v>
      </c>
      <c r="ON945" s="18" t="s">
        <v>5616</v>
      </c>
      <c r="BKB945" t="s">
        <v>4066</v>
      </c>
      <c r="BYX945" t="s">
        <v>5585</v>
      </c>
    </row>
    <row r="946" spans="1:970 1586:2026 2074:2842 4040:4040" ht="12.75" customHeight="1" x14ac:dyDescent="0.2">
      <c r="A946" t="s">
        <v>3614</v>
      </c>
      <c r="B946" t="s">
        <v>7311</v>
      </c>
      <c r="C946">
        <v>394.55</v>
      </c>
      <c r="D946" s="23">
        <v>25.3</v>
      </c>
      <c r="PN946" t="s">
        <v>7311</v>
      </c>
      <c r="BLN946" t="s">
        <v>4067</v>
      </c>
      <c r="CAT946" t="s">
        <v>5586</v>
      </c>
    </row>
    <row r="947" spans="1:970 1586:2026 2074:2842 4040:4040" ht="12.75" customHeight="1" x14ac:dyDescent="0.2">
      <c r="A947" t="s">
        <v>3614</v>
      </c>
      <c r="B947" t="s">
        <v>5617</v>
      </c>
      <c r="C947">
        <v>420.85</v>
      </c>
      <c r="D947" s="23">
        <v>24.81</v>
      </c>
      <c r="QN947" t="s">
        <v>5617</v>
      </c>
      <c r="BLX947" t="s">
        <v>4068</v>
      </c>
      <c r="CEL947" t="s">
        <v>6857</v>
      </c>
    </row>
    <row r="948" spans="1:970 1586:2026 2074:2842 4040:4040" ht="12.75" customHeight="1" x14ac:dyDescent="0.2">
      <c r="A948" t="s">
        <v>3614</v>
      </c>
      <c r="B948" t="s">
        <v>5618</v>
      </c>
      <c r="C948">
        <v>446.66</v>
      </c>
      <c r="D948" s="23">
        <v>12.73</v>
      </c>
      <c r="RA948" t="s">
        <v>5618</v>
      </c>
      <c r="BMT948" t="s">
        <v>4069</v>
      </c>
      <c r="CHB948" t="s">
        <v>6858</v>
      </c>
    </row>
    <row r="949" spans="1:970 1586:2026 2074:2842 4040:4040" ht="12.75" customHeight="1" x14ac:dyDescent="0.2">
      <c r="A949" t="s">
        <v>3614</v>
      </c>
      <c r="B949" t="s">
        <v>5619</v>
      </c>
      <c r="C949">
        <v>460.39</v>
      </c>
      <c r="D949" s="23">
        <v>12.56</v>
      </c>
      <c r="RO949" t="s">
        <v>5619</v>
      </c>
      <c r="BOO949" t="s">
        <v>4070</v>
      </c>
      <c r="CID949" t="s">
        <v>5587</v>
      </c>
    </row>
    <row r="950" spans="1:970 1586:2026 2074:2842 4040:4040" ht="12.75" customHeight="1" x14ac:dyDescent="0.2">
      <c r="A950" t="s">
        <v>3614</v>
      </c>
      <c r="B950" t="s">
        <v>5620</v>
      </c>
      <c r="C950">
        <v>488.94</v>
      </c>
      <c r="D950" s="23">
        <v>50.59</v>
      </c>
      <c r="UD950" t="s">
        <v>5620</v>
      </c>
      <c r="BPP950" t="s">
        <v>4071</v>
      </c>
      <c r="CJZ950" t="s">
        <v>5588</v>
      </c>
    </row>
    <row r="951" spans="1:970 1586:2026 2074:2842 4040:4040" ht="12.75" customHeight="1" x14ac:dyDescent="0.2">
      <c r="A951" t="s">
        <v>3614</v>
      </c>
      <c r="B951" t="s">
        <v>5621</v>
      </c>
      <c r="C951">
        <v>604</v>
      </c>
      <c r="D951" s="23">
        <v>12.71</v>
      </c>
      <c r="XC951" t="s">
        <v>5621</v>
      </c>
      <c r="BYP951" t="s">
        <v>4072</v>
      </c>
      <c r="CLV951" t="s">
        <v>5589</v>
      </c>
    </row>
    <row r="952" spans="1:970 1586:2026 2074:2842 4040:4040" ht="12.75" customHeight="1" x14ac:dyDescent="0.2">
      <c r="A952" t="s">
        <v>3614</v>
      </c>
      <c r="B952" t="s">
        <v>5622</v>
      </c>
      <c r="C952">
        <v>647.66999999999996</v>
      </c>
      <c r="D952" s="23">
        <v>9.93</v>
      </c>
      <c r="YR952" t="s">
        <v>5622</v>
      </c>
      <c r="BYV952" t="s">
        <v>4073</v>
      </c>
      <c r="CLV952" t="s">
        <v>5590</v>
      </c>
    </row>
    <row r="953" spans="1:970 1586:2026 2074:2842 4040:4040" ht="12.75" customHeight="1" x14ac:dyDescent="0.2">
      <c r="A953" t="s">
        <v>3614</v>
      </c>
      <c r="B953" t="s">
        <v>5623</v>
      </c>
      <c r="C953">
        <v>659.59</v>
      </c>
      <c r="D953" s="23">
        <v>12.41</v>
      </c>
      <c r="ZF953" t="s">
        <v>5623</v>
      </c>
      <c r="CCN953" t="s">
        <v>4074</v>
      </c>
      <c r="CPI953" t="s">
        <v>5591</v>
      </c>
    </row>
    <row r="954" spans="1:970 1586:2026 2074:2842 4040:4040" ht="12.75" customHeight="1" x14ac:dyDescent="0.2">
      <c r="A954" t="s">
        <v>3614</v>
      </c>
      <c r="B954" t="s">
        <v>5624</v>
      </c>
      <c r="C954">
        <v>670.37</v>
      </c>
      <c r="D954" s="23">
        <v>50.88</v>
      </c>
      <c r="ABC954" t="s">
        <v>5624</v>
      </c>
      <c r="BHZ954" t="s">
        <v>4198</v>
      </c>
      <c r="CMR954" t="s">
        <v>4075</v>
      </c>
      <c r="CRM954" t="s">
        <v>5592</v>
      </c>
    </row>
    <row r="955" spans="1:970 1586:2026 2074:2842 4040:4040" ht="12.75" customHeight="1" x14ac:dyDescent="0.2">
      <c r="A955" t="s">
        <v>3614</v>
      </c>
      <c r="B955" t="s">
        <v>5625</v>
      </c>
      <c r="C955">
        <v>689.96</v>
      </c>
      <c r="D955" s="23">
        <v>12.68</v>
      </c>
      <c r="AAK955" t="s">
        <v>5625</v>
      </c>
      <c r="BIF955" t="s">
        <v>3583</v>
      </c>
      <c r="CNP955" t="s">
        <v>4076</v>
      </c>
      <c r="CTF955" t="s">
        <v>5593</v>
      </c>
    </row>
    <row r="956" spans="1:970 1586:2026 2074:2842 4040:4040" ht="12.75" customHeight="1" x14ac:dyDescent="0.2">
      <c r="A956" t="s">
        <v>3614</v>
      </c>
      <c r="B956" t="s">
        <v>5626</v>
      </c>
      <c r="C956">
        <v>703.65</v>
      </c>
      <c r="D956" s="23">
        <v>12.73</v>
      </c>
      <c r="AAX956" t="s">
        <v>5626</v>
      </c>
      <c r="BJR956" t="s">
        <v>3584</v>
      </c>
      <c r="CPR956" t="s">
        <v>4077</v>
      </c>
      <c r="CVB956" t="s">
        <v>5594</v>
      </c>
    </row>
    <row r="957" spans="1:970 1586:2026 2074:2842 4040:4040" ht="12.75" customHeight="1" x14ac:dyDescent="0.2">
      <c r="A957" t="s">
        <v>3614</v>
      </c>
      <c r="B957" t="s">
        <v>5627</v>
      </c>
      <c r="C957">
        <v>755.59</v>
      </c>
      <c r="D957" s="23">
        <v>12.41</v>
      </c>
      <c r="ACX957" t="s">
        <v>5627</v>
      </c>
      <c r="BKB957" t="s">
        <v>3585</v>
      </c>
      <c r="CWX957" t="s">
        <v>5595</v>
      </c>
      <c r="DCJ957" t="s">
        <v>4078</v>
      </c>
    </row>
    <row r="958" spans="1:970 1586:2026 2074:2842 4040:4040" ht="12.75" customHeight="1" x14ac:dyDescent="0.2">
      <c r="A958" t="s">
        <v>3614</v>
      </c>
      <c r="B958" t="s">
        <v>5628</v>
      </c>
      <c r="C958">
        <v>808.56</v>
      </c>
      <c r="D958" s="23">
        <v>7.44</v>
      </c>
      <c r="AET958" t="s">
        <v>5628</v>
      </c>
      <c r="BKX958" t="s">
        <v>3586</v>
      </c>
      <c r="CYT958" t="s">
        <v>5596</v>
      </c>
      <c r="EYJ958" t="s">
        <v>4079</v>
      </c>
    </row>
    <row r="959" spans="1:970 1586:2026 2074:2842 4040:4040" ht="12.75" customHeight="1" x14ac:dyDescent="0.2">
      <c r="A959" t="s">
        <v>3614</v>
      </c>
      <c r="B959" t="s">
        <v>5629</v>
      </c>
      <c r="C959">
        <v>858.74</v>
      </c>
      <c r="D959" s="23">
        <v>49.63</v>
      </c>
      <c r="AIH959" t="s">
        <v>5629</v>
      </c>
      <c r="BMS959" t="s">
        <v>3587</v>
      </c>
      <c r="DCL959" t="s">
        <v>5597</v>
      </c>
    </row>
    <row r="960" spans="1:970 1586:2026 2074:2842 4040:4040" ht="12.75" customHeight="1" x14ac:dyDescent="0.2">
      <c r="A960" t="s">
        <v>3614</v>
      </c>
      <c r="B960" t="s">
        <v>5630</v>
      </c>
      <c r="C960">
        <v>945.11</v>
      </c>
      <c r="D960" s="23">
        <v>14.89</v>
      </c>
      <c r="AKH960" t="s">
        <v>5630</v>
      </c>
      <c r="BNN960" t="s">
        <v>4199</v>
      </c>
      <c r="DEH960" t="s">
        <v>5598</v>
      </c>
    </row>
    <row r="961" spans="1:1016 1029:1976 2072:2986 3082:3992 4234:4282" ht="12.75" customHeight="1" x14ac:dyDescent="0.2">
      <c r="A961" t="s">
        <v>3614</v>
      </c>
      <c r="B961" t="s">
        <v>5631</v>
      </c>
      <c r="C961">
        <v>971.87</v>
      </c>
      <c r="D961" s="23">
        <v>33.5</v>
      </c>
      <c r="AMA961" t="s">
        <v>5631</v>
      </c>
      <c r="BNT961" t="s">
        <v>3588</v>
      </c>
      <c r="DGD961" t="s">
        <v>5599</v>
      </c>
    </row>
    <row r="962" spans="1:1016 1029:1976 2072:2986 3082:3992 4234:4282" ht="12.75" customHeight="1" x14ac:dyDescent="0.2">
      <c r="A962" t="s">
        <v>3614</v>
      </c>
      <c r="B962" t="s">
        <v>5632</v>
      </c>
      <c r="C962">
        <v>980.7</v>
      </c>
      <c r="D962" s="23">
        <v>12.53</v>
      </c>
      <c r="ALO962" t="s">
        <v>5632</v>
      </c>
      <c r="BWT962" t="s">
        <v>3589</v>
      </c>
      <c r="DIC962" t="s">
        <v>6859</v>
      </c>
    </row>
    <row r="963" spans="1:1016 1029:1976 2072:2986 3082:3992 4234:4282" ht="12.75" customHeight="1" x14ac:dyDescent="0.2">
      <c r="A963" t="s">
        <v>3614</v>
      </c>
      <c r="B963" t="s">
        <v>5633</v>
      </c>
      <c r="C963">
        <v>980.73</v>
      </c>
      <c r="D963" s="23">
        <v>24.81</v>
      </c>
      <c r="AMB963" t="s">
        <v>5633</v>
      </c>
      <c r="BWZ963" t="s">
        <v>3590</v>
      </c>
      <c r="DJV963" t="s">
        <v>5600</v>
      </c>
    </row>
    <row r="964" spans="1:1016 1029:1976 2072:2986 3082:3992 4234:4282" ht="12.75" customHeight="1" x14ac:dyDescent="0.2">
      <c r="A964" t="s">
        <v>3614</v>
      </c>
      <c r="B964" t="s">
        <v>5634</v>
      </c>
      <c r="C964">
        <v>1006.54</v>
      </c>
      <c r="D964" s="23">
        <v>12.56</v>
      </c>
      <c r="AMO964" t="s">
        <v>5634</v>
      </c>
      <c r="CAR964" t="s">
        <v>3591</v>
      </c>
      <c r="DNN964" t="s">
        <v>5601</v>
      </c>
    </row>
    <row r="965" spans="1:1016 1029:1976 2072:2986 3082:3992 4234:4282" ht="12.75" customHeight="1" x14ac:dyDescent="0.2">
      <c r="A965" t="s">
        <v>3614</v>
      </c>
      <c r="B965" t="s">
        <v>5635</v>
      </c>
      <c r="C965">
        <v>1043.5899999999999</v>
      </c>
      <c r="D965" s="23">
        <v>12.41</v>
      </c>
      <c r="ANZ965" t="s">
        <v>5635</v>
      </c>
      <c r="CKV965" t="s">
        <v>3592</v>
      </c>
      <c r="DPJ965" t="s">
        <v>5602</v>
      </c>
    </row>
    <row r="966" spans="1:1016 1029:1976 2072:2986 3082:3992 4234:4282" ht="12.75" customHeight="1" x14ac:dyDescent="0.2">
      <c r="A966" t="s">
        <v>3614</v>
      </c>
      <c r="B966" t="s">
        <v>5636</v>
      </c>
      <c r="C966">
        <v>1079.1400000000001</v>
      </c>
      <c r="D966" s="23">
        <v>7.59</v>
      </c>
      <c r="APE966" t="s">
        <v>5636</v>
      </c>
      <c r="CLT966" t="s">
        <v>3593</v>
      </c>
      <c r="DTB966" t="s">
        <v>5603</v>
      </c>
    </row>
    <row r="967" spans="1:1016 1029:1976 2072:2986 3082:3992 4234:4282" ht="12.75" customHeight="1" x14ac:dyDescent="0.2">
      <c r="A967" t="s">
        <v>3614</v>
      </c>
      <c r="B967" t="s">
        <v>5637</v>
      </c>
      <c r="C967">
        <v>1087.73</v>
      </c>
      <c r="D967" s="23">
        <v>12.71</v>
      </c>
      <c r="APR967" t="s">
        <v>5637</v>
      </c>
      <c r="CNV967" t="s">
        <v>3594</v>
      </c>
      <c r="DWT967" t="s">
        <v>5604</v>
      </c>
    </row>
    <row r="968" spans="1:1016 1029:1976 2072:2986 3082:3992 4234:4282" ht="12.75" customHeight="1" x14ac:dyDescent="0.2">
      <c r="A968" t="s">
        <v>3614</v>
      </c>
      <c r="B968" t="s">
        <v>5638</v>
      </c>
      <c r="C968">
        <v>1101.44</v>
      </c>
      <c r="D968" s="23">
        <v>50.56</v>
      </c>
      <c r="ARR968" t="s">
        <v>5638</v>
      </c>
      <c r="DAN968" t="s">
        <v>3595</v>
      </c>
      <c r="DWY968" t="s">
        <v>6860</v>
      </c>
    </row>
    <row r="969" spans="1:1016 1029:1976 2072:2986 3082:3992 4234:4282" ht="12.75" customHeight="1" x14ac:dyDescent="0.2">
      <c r="A969" t="s">
        <v>3614</v>
      </c>
      <c r="B969" t="s">
        <v>5639</v>
      </c>
      <c r="C969">
        <v>1318.88</v>
      </c>
      <c r="D969" s="23">
        <v>25.12</v>
      </c>
      <c r="AZB969" t="s">
        <v>6042</v>
      </c>
      <c r="BAX969" t="s">
        <v>6042</v>
      </c>
      <c r="BCT969" t="s">
        <v>6042</v>
      </c>
      <c r="BEP969" t="s">
        <v>3675</v>
      </c>
      <c r="ENJ969" t="s">
        <v>5605</v>
      </c>
      <c r="EWN969" t="s">
        <v>3596</v>
      </c>
    </row>
    <row r="970" spans="1:1016 1029:1976 2072:2986 3082:3992 4234:4282" ht="12.75" customHeight="1" x14ac:dyDescent="0.2">
      <c r="A970" t="s">
        <v>3614</v>
      </c>
      <c r="B970" t="s">
        <v>5640</v>
      </c>
      <c r="C970">
        <v>1330.72</v>
      </c>
      <c r="D970" s="23">
        <v>13.28</v>
      </c>
      <c r="AZB970" t="s">
        <v>6043</v>
      </c>
      <c r="BAX970" t="s">
        <v>6043</v>
      </c>
      <c r="BCT970" t="s">
        <v>6043</v>
      </c>
      <c r="BEP970" t="s">
        <v>3676</v>
      </c>
      <c r="FFV970" t="s">
        <v>5606</v>
      </c>
    </row>
    <row r="971" spans="1:1016 1029:1976 2072:2986 3082:3992 4234:4282" ht="12.75" customHeight="1" x14ac:dyDescent="0.2">
      <c r="A971" t="s">
        <v>3614</v>
      </c>
      <c r="B971" t="s">
        <v>5641</v>
      </c>
      <c r="C971">
        <v>1379.25</v>
      </c>
      <c r="D971" s="23">
        <v>10.119999999999999</v>
      </c>
      <c r="BAU971" t="s">
        <v>6044</v>
      </c>
      <c r="BCQ971" t="s">
        <v>6044</v>
      </c>
      <c r="BEM971" t="s">
        <v>6044</v>
      </c>
      <c r="BGI971" t="s">
        <v>3677</v>
      </c>
      <c r="FHR971" t="s">
        <v>6861</v>
      </c>
    </row>
    <row r="972" spans="1:1016 1029:1976 2072:2986 3082:3992 4234:4282" ht="12.75" customHeight="1" x14ac:dyDescent="0.2">
      <c r="A972" t="s">
        <v>3614</v>
      </c>
      <c r="B972" t="s">
        <v>5642</v>
      </c>
      <c r="C972">
        <v>1390.37</v>
      </c>
      <c r="D972" s="23">
        <v>49.63</v>
      </c>
      <c r="BCT972" t="s">
        <v>6045</v>
      </c>
      <c r="BEP972" t="s">
        <v>6045</v>
      </c>
      <c r="BGL972" t="s">
        <v>6045</v>
      </c>
      <c r="BIH972" t="s">
        <v>3678</v>
      </c>
    </row>
    <row r="973" spans="1:1016 1029:1976 2072:2986 3082:3992 4234:4282" ht="12.75" customHeight="1" x14ac:dyDescent="0.2">
      <c r="A973" t="s">
        <v>3614</v>
      </c>
      <c r="B973" t="s">
        <v>5643</v>
      </c>
      <c r="C973">
        <v>1633</v>
      </c>
      <c r="D973" s="23">
        <v>50.25</v>
      </c>
      <c r="BMC973" t="s">
        <v>6046</v>
      </c>
      <c r="BNY973" t="s">
        <v>6046</v>
      </c>
      <c r="BPU973" t="s">
        <v>6046</v>
      </c>
      <c r="BRQ973" t="s">
        <v>3679</v>
      </c>
    </row>
    <row r="974" spans="1:1016 1029:1976 2072:2986 3082:3992 4234:4282" ht="12.75" customHeight="1" x14ac:dyDescent="0.2">
      <c r="A974" t="s">
        <v>3614</v>
      </c>
      <c r="B974" t="s">
        <v>5644</v>
      </c>
      <c r="C974">
        <v>1710.73</v>
      </c>
      <c r="D974" s="23">
        <v>50.56</v>
      </c>
      <c r="BPC974" t="s">
        <v>6047</v>
      </c>
      <c r="BQY974" t="s">
        <v>6047</v>
      </c>
      <c r="BSU974" t="s">
        <v>6047</v>
      </c>
      <c r="BUQ974" t="s">
        <v>3680</v>
      </c>
    </row>
    <row r="975" spans="1:1016 1029:1976 2072:2986 3082:3992 4234:4282" ht="12.75" customHeight="1" x14ac:dyDescent="0.2">
      <c r="A975" t="s">
        <v>3614</v>
      </c>
      <c r="B975" t="s">
        <v>7312</v>
      </c>
      <c r="C975">
        <v>1711.97</v>
      </c>
      <c r="D975" s="23">
        <v>24.81</v>
      </c>
      <c r="BOE975" t="s">
        <v>6048</v>
      </c>
      <c r="BQA975" t="s">
        <v>6048</v>
      </c>
      <c r="BRW975" t="s">
        <v>6048</v>
      </c>
      <c r="BTS975" t="s">
        <v>4862</v>
      </c>
    </row>
    <row r="976" spans="1:1016 1029:1976 2072:2986 3082:3992 4234:4282" ht="12.75" customHeight="1" x14ac:dyDescent="0.2">
      <c r="A976" t="s">
        <v>3614</v>
      </c>
      <c r="B976" t="s">
        <v>7313</v>
      </c>
      <c r="C976">
        <v>1712</v>
      </c>
      <c r="D976" s="23">
        <v>24.81</v>
      </c>
      <c r="BOE976" t="s">
        <v>6049</v>
      </c>
      <c r="BQA976" t="s">
        <v>6049</v>
      </c>
      <c r="BRW976" t="s">
        <v>6049</v>
      </c>
      <c r="BTS976" t="s">
        <v>4863</v>
      </c>
    </row>
    <row r="977" spans="1:10 1786:2003 2074:3034 3082:3850" ht="12.75" customHeight="1" x14ac:dyDescent="0.2">
      <c r="A977" t="s">
        <v>3614</v>
      </c>
      <c r="B977" t="s">
        <v>5645</v>
      </c>
      <c r="C977">
        <v>1763.29</v>
      </c>
      <c r="D977" s="23">
        <v>12.71</v>
      </c>
      <c r="BPR977" t="s">
        <v>6050</v>
      </c>
      <c r="BRN977" t="s">
        <v>6050</v>
      </c>
      <c r="BTJ977" t="s">
        <v>6050</v>
      </c>
      <c r="BVF977" t="s">
        <v>3681</v>
      </c>
    </row>
    <row r="978" spans="1:10 1786:2003 2074:3034 3082:3850" ht="12.75" customHeight="1" x14ac:dyDescent="0.2">
      <c r="A978" t="s">
        <v>3614</v>
      </c>
      <c r="B978" t="s">
        <v>5646</v>
      </c>
      <c r="C978">
        <v>1824</v>
      </c>
      <c r="D978" s="23">
        <v>24.81</v>
      </c>
      <c r="BSM978" t="s">
        <v>6051</v>
      </c>
      <c r="BUI978" t="s">
        <v>6051</v>
      </c>
      <c r="BWE978" t="s">
        <v>6051</v>
      </c>
      <c r="BYA978" t="s">
        <v>4197</v>
      </c>
    </row>
    <row r="979" spans="1:10 1786:2003 2074:3034 3082:3850" ht="12.75" customHeight="1" x14ac:dyDescent="0.2">
      <c r="A979" t="s">
        <v>3614</v>
      </c>
      <c r="B979" t="s">
        <v>7314</v>
      </c>
      <c r="C979">
        <v>2051.59</v>
      </c>
      <c r="D979" s="23">
        <v>12.41</v>
      </c>
      <c r="CAT979" t="s">
        <v>6052</v>
      </c>
      <c r="CCP979" t="s">
        <v>6052</v>
      </c>
      <c r="CEL979" t="s">
        <v>6052</v>
      </c>
      <c r="CGH979" t="s">
        <v>4864</v>
      </c>
    </row>
    <row r="980" spans="1:10 1786:2003 2074:3034 3082:3850" ht="12.75" customHeight="1" x14ac:dyDescent="0.2">
      <c r="A980" t="s">
        <v>3614</v>
      </c>
      <c r="B980" t="s">
        <v>5647</v>
      </c>
      <c r="C980">
        <v>2201.81</v>
      </c>
      <c r="D980" s="23">
        <v>50.56</v>
      </c>
      <c r="CHZ980" t="s">
        <v>6053</v>
      </c>
      <c r="CJV980" t="s">
        <v>6053</v>
      </c>
      <c r="CLR980" t="s">
        <v>6053</v>
      </c>
      <c r="CNN980" t="s">
        <v>4865</v>
      </c>
    </row>
    <row r="981" spans="1:10 1786:2003 2074:3034 3082:3850" ht="12.75" customHeight="1" x14ac:dyDescent="0.2">
      <c r="A981" t="s">
        <v>3614</v>
      </c>
      <c r="B981" t="s">
        <v>5648</v>
      </c>
      <c r="C981">
        <v>2254.37</v>
      </c>
      <c r="D981" s="23">
        <v>49.63</v>
      </c>
      <c r="CJZ981" t="s">
        <v>6054</v>
      </c>
      <c r="CLV981" t="s">
        <v>6054</v>
      </c>
      <c r="CNR981" t="s">
        <v>6054</v>
      </c>
      <c r="CPN981" t="s">
        <v>3683</v>
      </c>
    </row>
    <row r="982" spans="1:10 1786:2003 2074:3034 3082:3850" ht="12.75" customHeight="1" x14ac:dyDescent="0.2">
      <c r="A982" t="s">
        <v>3614</v>
      </c>
      <c r="B982" t="s">
        <v>5649</v>
      </c>
      <c r="C982">
        <v>2327.19</v>
      </c>
      <c r="D982" s="23">
        <v>24.81</v>
      </c>
      <c r="CLV982" t="s">
        <v>6055</v>
      </c>
      <c r="CNR982" t="s">
        <v>6055</v>
      </c>
      <c r="CPN982" t="s">
        <v>6055</v>
      </c>
      <c r="CRJ982" t="s">
        <v>3684</v>
      </c>
    </row>
    <row r="983" spans="1:10 1786:2003 2074:3034 3082:3850" ht="12.75" customHeight="1" x14ac:dyDescent="0.2">
      <c r="A983" t="s">
        <v>3614</v>
      </c>
      <c r="B983" t="s">
        <v>5650</v>
      </c>
      <c r="C983">
        <v>2468.56</v>
      </c>
      <c r="D983" s="23">
        <v>12.73</v>
      </c>
      <c r="CQU983" t="s">
        <v>6056</v>
      </c>
      <c r="CSQ983" t="s">
        <v>6056</v>
      </c>
      <c r="CUM983" t="s">
        <v>6056</v>
      </c>
      <c r="CWI983" t="s">
        <v>3685</v>
      </c>
    </row>
    <row r="984" spans="1:10 1786:2003 2074:3034 3082:3850" ht="12.75" customHeight="1" x14ac:dyDescent="0.2">
      <c r="A984" t="s">
        <v>3614</v>
      </c>
      <c r="B984" t="s">
        <v>5651</v>
      </c>
      <c r="C984">
        <v>2483.29</v>
      </c>
      <c r="D984" s="23">
        <v>12.71</v>
      </c>
      <c r="CRJ984" t="s">
        <v>6057</v>
      </c>
      <c r="CTF984" t="s">
        <v>6057</v>
      </c>
      <c r="CVB984" t="s">
        <v>6057</v>
      </c>
      <c r="CWX984" t="s">
        <v>3686</v>
      </c>
    </row>
    <row r="985" spans="1:10 1786:2003 2074:3034 3082:3850" ht="12.75" customHeight="1" x14ac:dyDescent="0.2">
      <c r="A985" t="s">
        <v>3614</v>
      </c>
      <c r="B985" t="s">
        <v>7315</v>
      </c>
      <c r="C985">
        <v>2637.75</v>
      </c>
      <c r="D985" s="23">
        <v>50.25</v>
      </c>
      <c r="CYT985" t="s">
        <v>6058</v>
      </c>
      <c r="DAP985" t="s">
        <v>6058</v>
      </c>
      <c r="DCL985" t="s">
        <v>6058</v>
      </c>
      <c r="DEH985" t="s">
        <v>4866</v>
      </c>
    </row>
    <row r="986" spans="1:10 1786:2003 2074:3034 3082:3850" ht="12.75" customHeight="1" x14ac:dyDescent="0.2">
      <c r="A986" t="s">
        <v>3614</v>
      </c>
      <c r="B986" t="s">
        <v>5652</v>
      </c>
      <c r="C986">
        <v>3011.27</v>
      </c>
      <c r="D986" s="23">
        <v>12.73</v>
      </c>
      <c r="DLR986" t="s">
        <v>6059</v>
      </c>
      <c r="DNN986" t="s">
        <v>6059</v>
      </c>
      <c r="DPJ986" t="s">
        <v>6059</v>
      </c>
      <c r="DRF986" t="s">
        <v>4867</v>
      </c>
    </row>
    <row r="987" spans="1:10 1786:2003 2074:3034 3082:3850" ht="12.75" customHeight="1" x14ac:dyDescent="0.2">
      <c r="A987" t="s">
        <v>3614</v>
      </c>
      <c r="B987" t="s">
        <v>5653</v>
      </c>
      <c r="C987">
        <v>3246.2</v>
      </c>
      <c r="D987" s="23">
        <v>17.8</v>
      </c>
      <c r="DUX987" t="s">
        <v>6060</v>
      </c>
      <c r="DWT987" t="s">
        <v>6060</v>
      </c>
      <c r="DYP987" t="s">
        <v>6060</v>
      </c>
      <c r="EAL987" t="s">
        <v>3688</v>
      </c>
    </row>
    <row r="988" spans="1:10 1786:2003 2074:3034 3082:3850" ht="12.75" customHeight="1" x14ac:dyDescent="0.2">
      <c r="A988" t="s">
        <v>3614</v>
      </c>
      <c r="B988" t="s">
        <v>5654</v>
      </c>
      <c r="C988">
        <v>3347.27</v>
      </c>
      <c r="D988" s="23">
        <v>12.73</v>
      </c>
      <c r="DYP988" t="s">
        <v>6061</v>
      </c>
      <c r="EAL988" t="s">
        <v>6061</v>
      </c>
      <c r="ECH988" t="s">
        <v>6061</v>
      </c>
      <c r="EED988" t="s">
        <v>4868</v>
      </c>
    </row>
    <row r="989" spans="1:10 1786:2003 2074:3034 3082:3850" ht="12.75" customHeight="1" x14ac:dyDescent="0.2">
      <c r="A989" t="s">
        <v>3614</v>
      </c>
      <c r="B989" t="s">
        <v>5655</v>
      </c>
      <c r="C989">
        <v>3683.27</v>
      </c>
      <c r="D989" s="23">
        <v>12.73</v>
      </c>
      <c r="ELN989" t="s">
        <v>6062</v>
      </c>
      <c r="ENJ989" t="s">
        <v>6062</v>
      </c>
      <c r="EPF989" t="s">
        <v>6062</v>
      </c>
      <c r="ERB989" t="s">
        <v>4869</v>
      </c>
    </row>
    <row r="990" spans="1:10 1786:2003 2074:3034 3082:3850" ht="12.75" customHeight="1" x14ac:dyDescent="0.2">
      <c r="A990" t="s">
        <v>3615</v>
      </c>
      <c r="B990" t="s">
        <v>7316</v>
      </c>
      <c r="C990">
        <v>-96</v>
      </c>
      <c r="D990" s="23">
        <v>9.67</v>
      </c>
      <c r="J990" t="s">
        <v>7316</v>
      </c>
    </row>
    <row r="991" spans="1:10 1786:2003 2074:3034 3082:3850" ht="12.75" customHeight="1" x14ac:dyDescent="0.2">
      <c r="A991" t="s">
        <v>3615</v>
      </c>
      <c r="B991" t="s">
        <v>7317</v>
      </c>
      <c r="C991">
        <v>-85.33</v>
      </c>
      <c r="D991" s="23">
        <v>47.2</v>
      </c>
      <c r="J991" t="s">
        <v>7317</v>
      </c>
    </row>
    <row r="992" spans="1:10 1786:2003 2074:3034 3082:3850" ht="12.75" customHeight="1" x14ac:dyDescent="0.2">
      <c r="A992" t="s">
        <v>3615</v>
      </c>
      <c r="B992" t="s">
        <v>7318</v>
      </c>
      <c r="C992">
        <v>-36.14</v>
      </c>
      <c r="D992" s="23">
        <v>23.6</v>
      </c>
      <c r="J992" t="s">
        <v>7318</v>
      </c>
    </row>
    <row r="993" spans="1:950 1048:1450" ht="12.75" customHeight="1" x14ac:dyDescent="0.2">
      <c r="A993" t="s">
        <v>3615</v>
      </c>
      <c r="B993" t="s">
        <v>7319</v>
      </c>
      <c r="C993">
        <v>2</v>
      </c>
      <c r="D993" s="23">
        <v>9.5</v>
      </c>
      <c r="V993" t="s">
        <v>7319</v>
      </c>
    </row>
    <row r="994" spans="1:950 1048:1450" ht="12.75" customHeight="1" x14ac:dyDescent="0.2">
      <c r="A994" t="s">
        <v>3615</v>
      </c>
      <c r="B994" t="s">
        <v>5656</v>
      </c>
      <c r="C994">
        <v>12.5</v>
      </c>
      <c r="D994" s="23">
        <v>95.1</v>
      </c>
      <c r="DN994" t="s">
        <v>5656</v>
      </c>
    </row>
    <row r="995" spans="1:950 1048:1450" ht="12.75" customHeight="1" x14ac:dyDescent="0.2">
      <c r="A995" t="s">
        <v>3615</v>
      </c>
      <c r="B995" t="s">
        <v>7320</v>
      </c>
      <c r="C995">
        <v>108.6</v>
      </c>
      <c r="D995" s="23">
        <v>9.51</v>
      </c>
      <c r="DX995" t="s">
        <v>7320</v>
      </c>
    </row>
    <row r="996" spans="1:950 1048:1450" ht="12.75" customHeight="1" x14ac:dyDescent="0.2">
      <c r="A996" t="s">
        <v>3615</v>
      </c>
      <c r="B996" t="s">
        <v>5657</v>
      </c>
      <c r="C996">
        <v>119.1</v>
      </c>
      <c r="D996" s="23">
        <v>85.59</v>
      </c>
      <c r="HG996" t="s">
        <v>5657</v>
      </c>
    </row>
    <row r="997" spans="1:950 1048:1450" ht="12.75" customHeight="1" x14ac:dyDescent="0.2">
      <c r="A997" t="s">
        <v>3615</v>
      </c>
      <c r="B997" t="s">
        <v>5658</v>
      </c>
      <c r="C997">
        <v>555.96</v>
      </c>
      <c r="D997" s="23">
        <v>23.26</v>
      </c>
      <c r="VQ997" t="s">
        <v>5658</v>
      </c>
    </row>
    <row r="998" spans="1:950 1048:1450" ht="12.75" customHeight="1" x14ac:dyDescent="0.2">
      <c r="A998" t="s">
        <v>3615</v>
      </c>
      <c r="B998" t="s">
        <v>5659</v>
      </c>
      <c r="C998">
        <v>580.22</v>
      </c>
      <c r="D998" s="23">
        <v>2.42</v>
      </c>
      <c r="VU998" t="s">
        <v>5659</v>
      </c>
    </row>
    <row r="999" spans="1:950 1048:1450" ht="12.75" customHeight="1" x14ac:dyDescent="0.2">
      <c r="A999" t="s">
        <v>3615</v>
      </c>
      <c r="B999" t="s">
        <v>5660</v>
      </c>
      <c r="C999">
        <v>583.64</v>
      </c>
      <c r="D999" s="23">
        <v>41.86</v>
      </c>
      <c r="XL999" t="s">
        <v>5660</v>
      </c>
    </row>
    <row r="1000" spans="1:950 1048:1450" ht="12.75" customHeight="1" x14ac:dyDescent="0.2">
      <c r="A1000" t="s">
        <v>3615</v>
      </c>
      <c r="B1000" t="s">
        <v>5661</v>
      </c>
      <c r="C1000">
        <v>624.79999999999995</v>
      </c>
      <c r="D1000" s="23">
        <v>47.2</v>
      </c>
      <c r="ZF1000" t="s">
        <v>5661</v>
      </c>
    </row>
    <row r="1001" spans="1:950 1048:1450" ht="12.75" customHeight="1" x14ac:dyDescent="0.2">
      <c r="A1001" t="s">
        <v>3615</v>
      </c>
      <c r="B1001" t="s">
        <v>5662</v>
      </c>
      <c r="C1001">
        <v>634.41</v>
      </c>
      <c r="D1001" s="23">
        <v>85.59</v>
      </c>
      <c r="ABB1001" t="s">
        <v>5662</v>
      </c>
    </row>
    <row r="1002" spans="1:950 1048:1450" ht="12.75" customHeight="1" x14ac:dyDescent="0.2">
      <c r="A1002" t="s">
        <v>3615</v>
      </c>
      <c r="B1002" t="s">
        <v>5663</v>
      </c>
      <c r="C1002">
        <v>910.54</v>
      </c>
      <c r="D1002" s="23">
        <v>4.74</v>
      </c>
      <c r="AIO1002" t="s">
        <v>5663</v>
      </c>
    </row>
    <row r="1003" spans="1:950 1048:1450" ht="12.75" customHeight="1" x14ac:dyDescent="0.2">
      <c r="A1003" t="s">
        <v>3615</v>
      </c>
      <c r="B1003" t="s">
        <v>5664</v>
      </c>
      <c r="C1003">
        <v>916.28</v>
      </c>
      <c r="D1003" s="23">
        <v>23.26</v>
      </c>
      <c r="AJN1003" t="s">
        <v>5664</v>
      </c>
    </row>
    <row r="1004" spans="1:950 1048:1450" ht="12.75" customHeight="1" x14ac:dyDescent="0.2">
      <c r="A1004" t="s">
        <v>3615</v>
      </c>
      <c r="B1004" t="s">
        <v>5665</v>
      </c>
      <c r="C1004">
        <v>942.53</v>
      </c>
      <c r="D1004" s="23">
        <v>95.1</v>
      </c>
      <c r="ANH1004" t="s">
        <v>5665</v>
      </c>
    </row>
    <row r="1005" spans="1:950 1048:1450" ht="12.75" customHeight="1" x14ac:dyDescent="0.2">
      <c r="A1005" t="s">
        <v>3615</v>
      </c>
      <c r="B1005" t="s">
        <v>5666</v>
      </c>
      <c r="C1005">
        <v>1075.31</v>
      </c>
      <c r="D1005" s="23">
        <v>9.64</v>
      </c>
      <c r="APC1005" t="s">
        <v>5666</v>
      </c>
    </row>
    <row r="1006" spans="1:950 1048:1450" ht="12.75" customHeight="1" x14ac:dyDescent="0.2">
      <c r="A1006" t="s">
        <v>3615</v>
      </c>
      <c r="B1006" t="s">
        <v>5667</v>
      </c>
      <c r="C1006">
        <v>1085.95</v>
      </c>
      <c r="D1006" s="23">
        <v>9.4</v>
      </c>
      <c r="APM1006" t="s">
        <v>5667</v>
      </c>
      <c r="AZB1006" t="s">
        <v>5639</v>
      </c>
    </row>
    <row r="1007" spans="1:950 1048:1450" ht="12.75" customHeight="1" x14ac:dyDescent="0.2">
      <c r="A1007" t="s">
        <v>3615</v>
      </c>
      <c r="B1007" t="s">
        <v>5668</v>
      </c>
      <c r="C1007">
        <v>1099.3499999999999</v>
      </c>
      <c r="D1007" s="23">
        <v>4.6500000000000004</v>
      </c>
      <c r="APV1007" t="s">
        <v>5668</v>
      </c>
      <c r="AZB1007" t="s">
        <v>5640</v>
      </c>
    </row>
    <row r="1008" spans="1:950 1048:1450" ht="12.75" customHeight="1" x14ac:dyDescent="0.2">
      <c r="A1008" t="s">
        <v>3615</v>
      </c>
      <c r="B1008" t="s">
        <v>5669</v>
      </c>
      <c r="C1008">
        <v>1286.7</v>
      </c>
      <c r="D1008" s="23">
        <v>9.3000000000000007</v>
      </c>
      <c r="AXF1008" t="s">
        <v>5669</v>
      </c>
      <c r="AZB1008" t="s">
        <v>6063</v>
      </c>
      <c r="BAU1008" t="s">
        <v>5641</v>
      </c>
      <c r="BAX1008" t="s">
        <v>6063</v>
      </c>
      <c r="BCT1008" t="s">
        <v>3578</v>
      </c>
    </row>
    <row r="1009" spans="1:127 1354:1859 2074:3044 3092:3092" ht="12.75" customHeight="1" x14ac:dyDescent="0.2">
      <c r="A1009" t="s">
        <v>3615</v>
      </c>
      <c r="B1009" t="s">
        <v>5670</v>
      </c>
      <c r="C1009">
        <v>1320.74</v>
      </c>
      <c r="D1009" s="23">
        <v>23.26</v>
      </c>
      <c r="AZB1009" t="s">
        <v>6064</v>
      </c>
      <c r="BAX1009" t="s">
        <v>6064</v>
      </c>
      <c r="BCG1009" t="s">
        <v>5612</v>
      </c>
      <c r="BCT1009" t="s">
        <v>6064</v>
      </c>
      <c r="BEP1009" t="s">
        <v>3579</v>
      </c>
    </row>
    <row r="1010" spans="1:127 1354:1859 2074:3044 3092:3092" ht="12.75" customHeight="1" x14ac:dyDescent="0.2">
      <c r="A1010" t="s">
        <v>3615</v>
      </c>
      <c r="B1010" t="s">
        <v>5671</v>
      </c>
      <c r="C1010">
        <v>2136.7399999999998</v>
      </c>
      <c r="D1010" s="23">
        <v>23.26</v>
      </c>
      <c r="BCT1010" t="s">
        <v>5642</v>
      </c>
      <c r="CEL1010" t="s">
        <v>6065</v>
      </c>
      <c r="CGH1010" t="s">
        <v>6065</v>
      </c>
      <c r="CID1010" t="s">
        <v>6065</v>
      </c>
      <c r="CJZ1010" t="s">
        <v>3581</v>
      </c>
    </row>
    <row r="1011" spans="1:127 1354:1859 2074:3044 3092:3092" ht="12.75" customHeight="1" x14ac:dyDescent="0.2">
      <c r="A1011" t="s">
        <v>3615</v>
      </c>
      <c r="B1011" t="s">
        <v>5672</v>
      </c>
      <c r="C1011">
        <v>2929</v>
      </c>
      <c r="D1011" s="23">
        <v>9.48</v>
      </c>
      <c r="BMC1011" t="s">
        <v>5643</v>
      </c>
      <c r="DIJ1011" t="s">
        <v>6066</v>
      </c>
      <c r="DKF1011" t="s">
        <v>6066</v>
      </c>
      <c r="DMB1011" t="s">
        <v>6066</v>
      </c>
      <c r="DNX1011" t="s">
        <v>4870</v>
      </c>
    </row>
    <row r="1012" spans="1:127 1354:1859 2074:3044 3092:3092" ht="12.75" customHeight="1" x14ac:dyDescent="0.2">
      <c r="A1012" t="s">
        <v>3616</v>
      </c>
      <c r="B1012" t="s">
        <v>7321</v>
      </c>
      <c r="C1012">
        <v>-127</v>
      </c>
      <c r="D1012" s="23">
        <v>47.37</v>
      </c>
      <c r="J1012" t="s">
        <v>7321</v>
      </c>
      <c r="BPC1012" t="s">
        <v>5644</v>
      </c>
    </row>
    <row r="1013" spans="1:127 1354:1859 2074:3044 3092:3092" ht="12.75" customHeight="1" x14ac:dyDescent="0.2">
      <c r="A1013" t="s">
        <v>3616</v>
      </c>
      <c r="B1013" t="s">
        <v>7322</v>
      </c>
      <c r="C1013">
        <v>-76.63</v>
      </c>
      <c r="D1013" s="23">
        <v>9.5500000000000007</v>
      </c>
      <c r="J1013" t="s">
        <v>7322</v>
      </c>
      <c r="BOE1013" t="s">
        <v>6862</v>
      </c>
    </row>
    <row r="1014" spans="1:127 1354:1859 2074:3044 3092:3092" ht="12.75" customHeight="1" x14ac:dyDescent="0.2">
      <c r="A1014" t="s">
        <v>3616</v>
      </c>
      <c r="B1014" t="s">
        <v>7323</v>
      </c>
      <c r="C1014">
        <v>-64.08</v>
      </c>
      <c r="D1014" s="23">
        <v>4.7699999999999996</v>
      </c>
      <c r="J1014" t="s">
        <v>7323</v>
      </c>
      <c r="BOE1014" t="s">
        <v>6863</v>
      </c>
    </row>
    <row r="1015" spans="1:127 1354:1859 2074:3044 3092:3092" ht="12.75" customHeight="1" x14ac:dyDescent="0.2">
      <c r="A1015" t="s">
        <v>3616</v>
      </c>
      <c r="B1015" t="s">
        <v>7324</v>
      </c>
      <c r="C1015">
        <v>-58.32</v>
      </c>
      <c r="D1015" s="23">
        <v>4.7699999999999996</v>
      </c>
      <c r="J1015" t="s">
        <v>7324</v>
      </c>
      <c r="BPR1015" t="s">
        <v>5645</v>
      </c>
    </row>
    <row r="1016" spans="1:127 1354:1859 2074:3044 3092:3092" ht="12.75" customHeight="1" x14ac:dyDescent="0.2">
      <c r="A1016" t="s">
        <v>3616</v>
      </c>
      <c r="B1016" t="s">
        <v>7325</v>
      </c>
      <c r="C1016">
        <v>-47</v>
      </c>
      <c r="D1016" s="23">
        <v>9.48</v>
      </c>
      <c r="J1016" t="s">
        <v>7325</v>
      </c>
      <c r="BSM1016" t="s">
        <v>5646</v>
      </c>
    </row>
    <row r="1017" spans="1:127 1354:1859 2074:3044 3092:3092" ht="12.75" customHeight="1" x14ac:dyDescent="0.2">
      <c r="A1017" t="s">
        <v>3616</v>
      </c>
      <c r="B1017" t="s">
        <v>7326</v>
      </c>
      <c r="C1017">
        <v>-36.53</v>
      </c>
      <c r="D1017" s="23">
        <v>9.83</v>
      </c>
      <c r="J1017" t="s">
        <v>7326</v>
      </c>
      <c r="CAT1017" t="s">
        <v>6864</v>
      </c>
    </row>
    <row r="1018" spans="1:127 1354:1859 2074:3044 3092:3092" ht="12.75" customHeight="1" x14ac:dyDescent="0.2">
      <c r="A1018" t="s">
        <v>3616</v>
      </c>
      <c r="B1018" t="s">
        <v>7327</v>
      </c>
      <c r="C1018">
        <v>-25.69</v>
      </c>
      <c r="D1018" s="23">
        <v>13.95</v>
      </c>
      <c r="J1018" t="s">
        <v>7327</v>
      </c>
      <c r="CHZ1018" t="s">
        <v>5647</v>
      </c>
    </row>
    <row r="1019" spans="1:127 1354:1859 2074:3044 3092:3092" ht="12.75" customHeight="1" x14ac:dyDescent="0.2">
      <c r="A1019" t="s">
        <v>3616</v>
      </c>
      <c r="B1019" t="s">
        <v>5673</v>
      </c>
      <c r="C1019">
        <v>2</v>
      </c>
      <c r="D1019" s="23">
        <v>9.4700000000000006</v>
      </c>
      <c r="U1019" t="s">
        <v>5673</v>
      </c>
      <c r="CJZ1019" t="s">
        <v>5648</v>
      </c>
    </row>
    <row r="1020" spans="1:127 1354:1859 2074:3044 3092:3092" ht="12.75" customHeight="1" x14ac:dyDescent="0.2">
      <c r="A1020" t="s">
        <v>3616</v>
      </c>
      <c r="B1020" t="s">
        <v>7328</v>
      </c>
      <c r="C1020">
        <v>12.47</v>
      </c>
      <c r="D1020" s="23">
        <v>14.21</v>
      </c>
      <c r="AK1020" t="s">
        <v>7328</v>
      </c>
      <c r="CLV1020" t="s">
        <v>5649</v>
      </c>
    </row>
    <row r="1021" spans="1:127 1354:1859 2074:3044 3092:3092" ht="12.75" customHeight="1" x14ac:dyDescent="0.2">
      <c r="A1021" t="s">
        <v>3616</v>
      </c>
      <c r="B1021" t="s">
        <v>7329</v>
      </c>
      <c r="C1021">
        <v>35.4</v>
      </c>
      <c r="D1021" s="23">
        <v>4.74</v>
      </c>
      <c r="AX1021" t="s">
        <v>7329</v>
      </c>
      <c r="CQU1021" t="s">
        <v>5650</v>
      </c>
    </row>
    <row r="1022" spans="1:127 1354:1859 2074:3044 3092:3092" ht="12.75" customHeight="1" x14ac:dyDescent="0.2">
      <c r="A1022" t="s">
        <v>3616</v>
      </c>
      <c r="B1022" t="s">
        <v>5674</v>
      </c>
      <c r="C1022">
        <v>49</v>
      </c>
      <c r="D1022" s="23">
        <v>23.63</v>
      </c>
      <c r="CE1022" t="s">
        <v>5674</v>
      </c>
      <c r="CRJ1022" t="s">
        <v>5651</v>
      </c>
    </row>
    <row r="1023" spans="1:127 1354:1859 2074:3044 3092:3092" ht="12.75" customHeight="1" x14ac:dyDescent="0.2">
      <c r="A1023" t="s">
        <v>3616</v>
      </c>
      <c r="B1023" t="s">
        <v>5675</v>
      </c>
      <c r="C1023">
        <v>88</v>
      </c>
      <c r="D1023" s="23">
        <v>9.4</v>
      </c>
      <c r="DC1023" t="s">
        <v>5675</v>
      </c>
      <c r="CYT1023" t="s">
        <v>3687</v>
      </c>
    </row>
    <row r="1024" spans="1:127 1354:1859 2074:3044 3092:3092" ht="12.75" customHeight="1" x14ac:dyDescent="0.2">
      <c r="A1024" t="s">
        <v>3616</v>
      </c>
      <c r="B1024" t="s">
        <v>5676</v>
      </c>
      <c r="C1024">
        <v>108</v>
      </c>
      <c r="D1024" s="23">
        <v>9.43</v>
      </c>
      <c r="DW1024" t="s">
        <v>5676</v>
      </c>
      <c r="DLR1024" t="s">
        <v>5652</v>
      </c>
    </row>
    <row r="1025" spans="1:723 3034:3034 3370:3706" ht="12.75" customHeight="1" x14ac:dyDescent="0.2">
      <c r="A1025" t="s">
        <v>3616</v>
      </c>
      <c r="B1025" t="s">
        <v>5677</v>
      </c>
      <c r="C1025">
        <v>124</v>
      </c>
      <c r="D1025" s="23">
        <v>18.71</v>
      </c>
      <c r="EW1025" t="s">
        <v>5677</v>
      </c>
      <c r="DLR1025" t="s">
        <v>6865</v>
      </c>
    </row>
    <row r="1026" spans="1:723 3034:3034 3370:3706" ht="12.75" customHeight="1" x14ac:dyDescent="0.2">
      <c r="A1026" t="s">
        <v>3616</v>
      </c>
      <c r="B1026" t="s">
        <v>5678</v>
      </c>
      <c r="C1026">
        <v>150</v>
      </c>
      <c r="D1026" s="23">
        <v>4.5999999999999996</v>
      </c>
      <c r="FI1026" t="s">
        <v>5678</v>
      </c>
      <c r="DYP1026" t="s">
        <v>5654</v>
      </c>
    </row>
    <row r="1027" spans="1:723 3034:3034 3370:3706" ht="12.75" customHeight="1" x14ac:dyDescent="0.2">
      <c r="A1027" t="s">
        <v>3616</v>
      </c>
      <c r="B1027" t="s">
        <v>7330</v>
      </c>
      <c r="C1027">
        <v>160</v>
      </c>
      <c r="D1027" s="23">
        <v>9.1999999999999993</v>
      </c>
      <c r="FW1027" t="s">
        <v>7330</v>
      </c>
      <c r="EAL1027" t="s">
        <v>5653</v>
      </c>
    </row>
    <row r="1028" spans="1:723 3034:3034 3370:3706" ht="12.75" customHeight="1" x14ac:dyDescent="0.2">
      <c r="A1028" t="s">
        <v>3616</v>
      </c>
      <c r="B1028" t="s">
        <v>5679</v>
      </c>
      <c r="C1028">
        <v>166</v>
      </c>
      <c r="D1028" s="23">
        <v>47.72</v>
      </c>
      <c r="HP1028" t="s">
        <v>5679</v>
      </c>
      <c r="ELN1028" t="s">
        <v>5655</v>
      </c>
    </row>
    <row r="1029" spans="1:723 3034:3034 3370:3706" ht="12.75" customHeight="1" x14ac:dyDescent="0.2">
      <c r="A1029" t="s">
        <v>3616</v>
      </c>
      <c r="B1029" t="s">
        <v>5680</v>
      </c>
      <c r="C1029">
        <v>216</v>
      </c>
      <c r="D1029" s="23">
        <v>4.7699999999999996</v>
      </c>
      <c r="HW1029" t="s">
        <v>5680</v>
      </c>
    </row>
    <row r="1030" spans="1:723 3034:3034 3370:3706" ht="12.75" customHeight="1" x14ac:dyDescent="0.2">
      <c r="A1030" t="s">
        <v>3616</v>
      </c>
      <c r="B1030" t="s">
        <v>5681</v>
      </c>
      <c r="C1030">
        <v>230</v>
      </c>
      <c r="D1030" s="23">
        <v>2.39</v>
      </c>
      <c r="IH1030" t="s">
        <v>5681</v>
      </c>
    </row>
    <row r="1031" spans="1:723 3034:3034 3370:3706" ht="12.75" customHeight="1" x14ac:dyDescent="0.2">
      <c r="A1031" t="s">
        <v>3616</v>
      </c>
      <c r="B1031" t="s">
        <v>5682</v>
      </c>
      <c r="C1031">
        <v>369.21</v>
      </c>
      <c r="D1031" s="23">
        <v>9.1999999999999993</v>
      </c>
      <c r="NX1031" s="19" t="s">
        <v>5682</v>
      </c>
    </row>
    <row r="1032" spans="1:723 3034:3034 3370:3706" ht="12.75" customHeight="1" x14ac:dyDescent="0.2">
      <c r="A1032" t="s">
        <v>3616</v>
      </c>
      <c r="B1032" t="s">
        <v>5683</v>
      </c>
      <c r="C1032">
        <v>384</v>
      </c>
      <c r="D1032" s="23">
        <v>9.1999999999999993</v>
      </c>
      <c r="OM1032" t="s">
        <v>5683</v>
      </c>
    </row>
    <row r="1033" spans="1:723 3034:3034 3370:3706" ht="12.75" customHeight="1" x14ac:dyDescent="0.2">
      <c r="A1033" t="s">
        <v>3616</v>
      </c>
      <c r="B1033" t="s">
        <v>7331</v>
      </c>
      <c r="C1033">
        <v>438</v>
      </c>
      <c r="D1033" s="23">
        <v>47.1</v>
      </c>
      <c r="SA1033" t="s">
        <v>7331</v>
      </c>
    </row>
    <row r="1034" spans="1:723 3034:3034 3370:3706" ht="12.75" customHeight="1" x14ac:dyDescent="0.2">
      <c r="A1034" t="s">
        <v>3616</v>
      </c>
      <c r="B1034" t="s">
        <v>5684</v>
      </c>
      <c r="C1034">
        <v>494.59</v>
      </c>
      <c r="D1034" s="23">
        <v>33.409999999999997</v>
      </c>
      <c r="TR1034" t="s">
        <v>5684</v>
      </c>
    </row>
    <row r="1035" spans="1:723 3034:3034 3370:3706" ht="12.75" customHeight="1" x14ac:dyDescent="0.2">
      <c r="A1035" t="s">
        <v>3616</v>
      </c>
      <c r="B1035" t="s">
        <v>5685</v>
      </c>
      <c r="C1035">
        <v>556.29999999999995</v>
      </c>
      <c r="D1035" s="23">
        <v>9.5</v>
      </c>
      <c r="VD1035" t="s">
        <v>5685</v>
      </c>
    </row>
    <row r="1036" spans="1:723 3034:3034 3370:3706" ht="12.75" customHeight="1" x14ac:dyDescent="0.2">
      <c r="A1036" t="s">
        <v>3616</v>
      </c>
      <c r="B1036" t="s">
        <v>5686</v>
      </c>
      <c r="C1036">
        <v>590.47</v>
      </c>
      <c r="D1036" s="23">
        <v>9.5399999999999991</v>
      </c>
      <c r="WL1036" t="s">
        <v>5686</v>
      </c>
    </row>
    <row r="1037" spans="1:723 3034:3034 3370:3706" ht="12.75" customHeight="1" x14ac:dyDescent="0.2">
      <c r="A1037" t="s">
        <v>3616</v>
      </c>
      <c r="B1037" t="s">
        <v>7332</v>
      </c>
      <c r="C1037">
        <v>613.57000000000005</v>
      </c>
      <c r="D1037" s="23">
        <v>18.39</v>
      </c>
      <c r="XR1037" t="s">
        <v>7332</v>
      </c>
    </row>
    <row r="1038" spans="1:723 3034:3034 3370:3706" ht="12.75" customHeight="1" x14ac:dyDescent="0.2">
      <c r="A1038" t="s">
        <v>3616</v>
      </c>
      <c r="B1038" t="s">
        <v>5687</v>
      </c>
      <c r="C1038">
        <v>645.04999999999995</v>
      </c>
      <c r="D1038" s="23">
        <v>14.02</v>
      </c>
      <c r="YS1038" t="s">
        <v>5687</v>
      </c>
    </row>
    <row r="1039" spans="1:723 3034:3034 3370:3706" ht="12.75" customHeight="1" x14ac:dyDescent="0.2">
      <c r="A1039" t="s">
        <v>3616</v>
      </c>
      <c r="B1039" t="s">
        <v>5688</v>
      </c>
      <c r="C1039">
        <v>690.7</v>
      </c>
      <c r="D1039" s="23">
        <v>9.2899999999999991</v>
      </c>
      <c r="AAH1039" t="s">
        <v>5688</v>
      </c>
    </row>
    <row r="1040" spans="1:723 3034:3034 3370:3706" ht="12.75" customHeight="1" x14ac:dyDescent="0.2">
      <c r="A1040" t="s">
        <v>3616</v>
      </c>
      <c r="B1040" t="s">
        <v>5689</v>
      </c>
      <c r="C1040">
        <v>700.98</v>
      </c>
      <c r="D1040" s="23">
        <v>12.42</v>
      </c>
      <c r="AAU1040" t="s">
        <v>5689</v>
      </c>
    </row>
    <row r="1041" spans="1:1023 1306:1891 2362:2948" ht="12.75" customHeight="1" x14ac:dyDescent="0.2">
      <c r="A1041" t="s">
        <v>3616</v>
      </c>
      <c r="B1041" t="s">
        <v>5690</v>
      </c>
      <c r="C1041">
        <v>738</v>
      </c>
      <c r="D1041" s="23">
        <v>9.1999999999999993</v>
      </c>
      <c r="ACC1041" t="s">
        <v>5690</v>
      </c>
    </row>
    <row r="1042" spans="1:1023 1306:1891 2362:2948" ht="12.75" customHeight="1" x14ac:dyDescent="0.2">
      <c r="A1042" t="s">
        <v>3616</v>
      </c>
      <c r="B1042" t="s">
        <v>5691</v>
      </c>
      <c r="C1042">
        <v>748.19</v>
      </c>
      <c r="D1042" s="23">
        <v>9.41</v>
      </c>
      <c r="ACN1042" t="s">
        <v>5691</v>
      </c>
    </row>
    <row r="1043" spans="1:1023 1306:1891 2362:2948" ht="12.75" customHeight="1" x14ac:dyDescent="0.2">
      <c r="A1043" t="s">
        <v>3616</v>
      </c>
      <c r="B1043" t="s">
        <v>5692</v>
      </c>
      <c r="C1043">
        <v>809.25</v>
      </c>
      <c r="D1043" s="23">
        <v>6.75</v>
      </c>
      <c r="AET1043" t="s">
        <v>5692</v>
      </c>
    </row>
    <row r="1044" spans="1:1023 1306:1891 2362:2948" ht="12.75" customHeight="1" x14ac:dyDescent="0.2">
      <c r="A1044" t="s">
        <v>3616</v>
      </c>
      <c r="B1044" t="s">
        <v>7333</v>
      </c>
      <c r="C1044">
        <v>977.76</v>
      </c>
      <c r="D1044" s="23">
        <v>9.5399999999999991</v>
      </c>
      <c r="ALI1044" t="s">
        <v>7333</v>
      </c>
    </row>
    <row r="1045" spans="1:1023 1306:1891 2362:2948" ht="12.75" customHeight="1" x14ac:dyDescent="0.2">
      <c r="A1045" t="s">
        <v>3616</v>
      </c>
      <c r="B1045" t="s">
        <v>5693</v>
      </c>
      <c r="C1045">
        <v>998.8</v>
      </c>
      <c r="D1045" s="23">
        <v>9.1999999999999993</v>
      </c>
      <c r="AMD1045" t="s">
        <v>5693</v>
      </c>
      <c r="AZB1045" t="s">
        <v>5670</v>
      </c>
    </row>
    <row r="1046" spans="1:1023 1306:1891 2362:2948" ht="12.75" customHeight="1" x14ac:dyDescent="0.2">
      <c r="A1046" t="s">
        <v>3616</v>
      </c>
      <c r="B1046" t="s">
        <v>5694</v>
      </c>
      <c r="C1046">
        <v>1003.26</v>
      </c>
      <c r="D1046" s="23">
        <v>10.07</v>
      </c>
      <c r="AMI1046" t="s">
        <v>5694</v>
      </c>
      <c r="CLV1046" t="s">
        <v>5671</v>
      </c>
    </row>
    <row r="1047" spans="1:1023 1306:1891 2362:2948" ht="12.75" customHeight="1" x14ac:dyDescent="0.2">
      <c r="A1047" t="s">
        <v>3616</v>
      </c>
      <c r="B1047" t="s">
        <v>5695</v>
      </c>
      <c r="C1047">
        <v>1291.4000000000001</v>
      </c>
      <c r="D1047" s="23">
        <v>4.5999999999999996</v>
      </c>
      <c r="AXF1047" t="s">
        <v>5695</v>
      </c>
      <c r="AZB1047" t="s">
        <v>6067</v>
      </c>
      <c r="BAX1047" t="s">
        <v>6067</v>
      </c>
      <c r="BCT1047" t="s">
        <v>3583</v>
      </c>
      <c r="DIJ1047" t="s">
        <v>5672</v>
      </c>
    </row>
    <row r="1048" spans="1:1023 1306:1891 2362:2948" ht="12.75" customHeight="1" x14ac:dyDescent="0.2">
      <c r="A1048" t="s">
        <v>3616</v>
      </c>
      <c r="B1048" t="s">
        <v>5696</v>
      </c>
      <c r="C1048">
        <v>1334.6</v>
      </c>
      <c r="D1048" s="23">
        <v>9.4</v>
      </c>
      <c r="AZB1048" t="s">
        <v>6068</v>
      </c>
      <c r="BAX1048" t="s">
        <v>6068</v>
      </c>
      <c r="BCT1048" t="s">
        <v>6068</v>
      </c>
      <c r="BEP1048" t="s">
        <v>3585</v>
      </c>
    </row>
    <row r="1049" spans="1:1023 1306:1891 2362:2948" ht="12.75" customHeight="1" x14ac:dyDescent="0.2">
      <c r="A1049" t="s">
        <v>3616</v>
      </c>
      <c r="B1049" t="s">
        <v>5697</v>
      </c>
      <c r="C1049">
        <v>1361.32</v>
      </c>
      <c r="D1049" s="23">
        <v>4.8600000000000003</v>
      </c>
      <c r="AZX1049" t="s">
        <v>6069</v>
      </c>
      <c r="BBT1049" t="s">
        <v>6069</v>
      </c>
      <c r="BDP1049" t="s">
        <v>6069</v>
      </c>
      <c r="BFL1049" t="s">
        <v>3586</v>
      </c>
    </row>
    <row r="1050" spans="1:1023 1306:1891 2362:2948" ht="12.75" customHeight="1" x14ac:dyDescent="0.2">
      <c r="A1050" t="s">
        <v>3616</v>
      </c>
      <c r="B1050" t="s">
        <v>5698</v>
      </c>
      <c r="C1050">
        <v>1367.19</v>
      </c>
      <c r="D1050" s="23">
        <v>45.98</v>
      </c>
      <c r="BBS1050" t="s">
        <v>6070</v>
      </c>
      <c r="BDO1050" t="s">
        <v>6070</v>
      </c>
      <c r="BFK1050" t="s">
        <v>6070</v>
      </c>
      <c r="BHG1050" t="s">
        <v>3587</v>
      </c>
    </row>
    <row r="1051" spans="1:1023 1306:1891 2362:2948" ht="12.75" customHeight="1" x14ac:dyDescent="0.2">
      <c r="A1051" t="s">
        <v>3616</v>
      </c>
      <c r="B1051" t="s">
        <v>5699</v>
      </c>
      <c r="C1051">
        <v>1419.59</v>
      </c>
      <c r="D1051" s="23">
        <v>4.6100000000000003</v>
      </c>
      <c r="BCD1051" t="s">
        <v>6071</v>
      </c>
      <c r="BDZ1051" t="s">
        <v>6071</v>
      </c>
      <c r="BFV1051" t="s">
        <v>6071</v>
      </c>
      <c r="BHR1051" t="s">
        <v>4871</v>
      </c>
    </row>
    <row r="1052" spans="1:1023 1306:1891 2362:2948" ht="12.75" customHeight="1" x14ac:dyDescent="0.2">
      <c r="A1052" t="s">
        <v>3616</v>
      </c>
      <c r="B1052" t="s">
        <v>5700</v>
      </c>
      <c r="C1052">
        <v>1425.21</v>
      </c>
      <c r="D1052" s="23">
        <v>9.1999999999999993</v>
      </c>
      <c r="BCN1052" t="s">
        <v>6072</v>
      </c>
      <c r="BEJ1052" t="s">
        <v>6072</v>
      </c>
      <c r="BGF1052" t="s">
        <v>6072</v>
      </c>
      <c r="BIB1052" t="s">
        <v>4199</v>
      </c>
    </row>
    <row r="1053" spans="1:1023 1306:1891 2362:2948" ht="12.75" customHeight="1" x14ac:dyDescent="0.2">
      <c r="A1053" t="s">
        <v>3616</v>
      </c>
      <c r="B1053" t="s">
        <v>5701</v>
      </c>
      <c r="C1053">
        <v>1435.4</v>
      </c>
      <c r="D1053" s="23">
        <v>4.5999999999999996</v>
      </c>
      <c r="BCT1053" t="s">
        <v>6073</v>
      </c>
      <c r="BEP1053" t="s">
        <v>6073</v>
      </c>
      <c r="BGL1053" t="s">
        <v>6073</v>
      </c>
      <c r="BIH1053" t="s">
        <v>3588</v>
      </c>
    </row>
    <row r="1054" spans="1:1023 1306:1891 2362:2948" ht="12.75" customHeight="1" x14ac:dyDescent="0.2">
      <c r="A1054" t="s">
        <v>3616</v>
      </c>
      <c r="B1054" t="s">
        <v>7334</v>
      </c>
      <c r="C1054">
        <v>1664.95</v>
      </c>
      <c r="D1054" s="23">
        <v>9.4499999999999993</v>
      </c>
      <c r="BLT1054" t="s">
        <v>6074</v>
      </c>
      <c r="BNP1054" t="s">
        <v>6074</v>
      </c>
      <c r="BPL1054" t="s">
        <v>6074</v>
      </c>
      <c r="BRH1054" t="s">
        <v>4872</v>
      </c>
    </row>
    <row r="1055" spans="1:1023 1306:1891 2362:2948" ht="12.75" customHeight="1" x14ac:dyDescent="0.2">
      <c r="A1055" t="s">
        <v>3616</v>
      </c>
      <c r="B1055" t="s">
        <v>7335</v>
      </c>
      <c r="C1055">
        <v>1675.4</v>
      </c>
      <c r="D1055" s="23">
        <v>4.5999999999999996</v>
      </c>
      <c r="BLZ1055" t="s">
        <v>6075</v>
      </c>
      <c r="BNV1055" t="s">
        <v>6075</v>
      </c>
      <c r="BPR1055" t="s">
        <v>6075</v>
      </c>
      <c r="BRN1055" t="s">
        <v>4873</v>
      </c>
    </row>
    <row r="1056" spans="1:1023 1306:1891 2362:2948" ht="12.75" customHeight="1" x14ac:dyDescent="0.2">
      <c r="A1056" t="s">
        <v>3616</v>
      </c>
      <c r="B1056" t="s">
        <v>7336</v>
      </c>
      <c r="C1056">
        <v>1713.56</v>
      </c>
      <c r="D1056" s="23">
        <v>22.99</v>
      </c>
      <c r="BOE1056" t="s">
        <v>6076</v>
      </c>
      <c r="BQA1056" t="s">
        <v>6076</v>
      </c>
      <c r="BRW1056" t="s">
        <v>6076</v>
      </c>
      <c r="BTS1056" t="s">
        <v>4874</v>
      </c>
    </row>
    <row r="1057" spans="1:452 1786:1930 2050:2870 3706:3850" ht="12.75" customHeight="1" x14ac:dyDescent="0.2">
      <c r="A1057" t="s">
        <v>3616</v>
      </c>
      <c r="B1057" t="s">
        <v>4875</v>
      </c>
      <c r="C1057">
        <v>1771.4</v>
      </c>
      <c r="D1057" s="23">
        <v>4.5999999999999996</v>
      </c>
      <c r="BPR1057" t="s">
        <v>6077</v>
      </c>
      <c r="BRN1057" t="s">
        <v>6077</v>
      </c>
      <c r="BTJ1057" t="s">
        <v>6077</v>
      </c>
      <c r="BVF1057" t="s">
        <v>4875</v>
      </c>
    </row>
    <row r="1058" spans="1:452 1786:1930 2050:2870 3706:3850" ht="12.75" customHeight="1" x14ac:dyDescent="0.2">
      <c r="A1058" t="s">
        <v>3616</v>
      </c>
      <c r="B1058" t="s">
        <v>7337</v>
      </c>
      <c r="C1058">
        <v>2030.54</v>
      </c>
      <c r="D1058" s="23">
        <v>9.4700000000000006</v>
      </c>
      <c r="BZV1058" t="s">
        <v>6078</v>
      </c>
      <c r="CBR1058" t="s">
        <v>6078</v>
      </c>
      <c r="CDN1058" t="s">
        <v>6078</v>
      </c>
      <c r="CFJ1058" t="s">
        <v>4876</v>
      </c>
    </row>
    <row r="1059" spans="1:452 1786:1930 2050:2870 3706:3850" ht="12.75" customHeight="1" x14ac:dyDescent="0.2">
      <c r="A1059" t="s">
        <v>3616</v>
      </c>
      <c r="B1059" t="s">
        <v>5702</v>
      </c>
      <c r="C1059">
        <v>2041.01</v>
      </c>
      <c r="D1059" s="23">
        <v>22.99</v>
      </c>
      <c r="CAT1059" t="s">
        <v>6079</v>
      </c>
      <c r="CCP1059" t="s">
        <v>6079</v>
      </c>
      <c r="CEL1059" t="s">
        <v>6079</v>
      </c>
      <c r="CGH1059" t="s">
        <v>3593</v>
      </c>
    </row>
    <row r="1060" spans="1:452 1786:1930 2050:2870 3706:3850" ht="12.75" customHeight="1" x14ac:dyDescent="0.2">
      <c r="A1060" t="s">
        <v>3616</v>
      </c>
      <c r="B1060" t="s">
        <v>7338</v>
      </c>
      <c r="C1060">
        <v>2097.16</v>
      </c>
      <c r="D1060" s="23">
        <v>36.78</v>
      </c>
      <c r="CDL1060" t="s">
        <v>6080</v>
      </c>
      <c r="CFH1060" t="s">
        <v>6080</v>
      </c>
      <c r="CHD1060" t="s">
        <v>6080</v>
      </c>
      <c r="CIZ1060" t="s">
        <v>4877</v>
      </c>
    </row>
    <row r="1061" spans="1:452 1786:1930 2050:2870 3706:3850" ht="12.75" customHeight="1" x14ac:dyDescent="0.2">
      <c r="A1061" t="s">
        <v>3616</v>
      </c>
      <c r="B1061" t="s">
        <v>7339</v>
      </c>
      <c r="C1061">
        <v>2104.1799999999998</v>
      </c>
      <c r="D1061" s="23">
        <v>13.79</v>
      </c>
      <c r="CCV1061" t="s">
        <v>6081</v>
      </c>
      <c r="CER1061" t="s">
        <v>6081</v>
      </c>
      <c r="CGN1061" t="s">
        <v>6081</v>
      </c>
      <c r="CIJ1061" t="s">
        <v>4878</v>
      </c>
    </row>
    <row r="1062" spans="1:452 1786:1930 2050:2870 3706:3850" ht="12.75" customHeight="1" x14ac:dyDescent="0.2">
      <c r="A1062" t="s">
        <v>3616</v>
      </c>
      <c r="B1062" t="s">
        <v>7340</v>
      </c>
      <c r="C1062">
        <v>2438.8000000000002</v>
      </c>
      <c r="D1062" s="23">
        <v>9.1999999999999993</v>
      </c>
      <c r="CPN1062" t="s">
        <v>6082</v>
      </c>
      <c r="CRJ1062" t="s">
        <v>6082</v>
      </c>
      <c r="CTF1062" t="s">
        <v>6082</v>
      </c>
      <c r="CVB1062" t="s">
        <v>4879</v>
      </c>
    </row>
    <row r="1063" spans="1:452 1786:1930 2050:2870 3706:3850" ht="12.75" customHeight="1" x14ac:dyDescent="0.2">
      <c r="A1063" t="s">
        <v>3616</v>
      </c>
      <c r="B1063" t="s">
        <v>7341</v>
      </c>
      <c r="C1063">
        <v>2669.37</v>
      </c>
      <c r="D1063" s="23">
        <v>47.13</v>
      </c>
      <c r="CZV1063" t="s">
        <v>6083</v>
      </c>
      <c r="DBR1063" t="s">
        <v>6083</v>
      </c>
      <c r="DDN1063" t="s">
        <v>6083</v>
      </c>
      <c r="DFJ1063" t="s">
        <v>4880</v>
      </c>
    </row>
    <row r="1064" spans="1:452 1786:1930 2050:2870 3706:3850" ht="12.75" customHeight="1" x14ac:dyDescent="0.2">
      <c r="A1064" t="s">
        <v>3616</v>
      </c>
      <c r="B1064" t="s">
        <v>5703</v>
      </c>
      <c r="C1064">
        <v>3691.4</v>
      </c>
      <c r="D1064" s="23">
        <v>4.5999999999999996</v>
      </c>
      <c r="ELN1064" t="s">
        <v>6084</v>
      </c>
      <c r="ENJ1064" t="s">
        <v>6084</v>
      </c>
      <c r="EPF1064" t="s">
        <v>6084</v>
      </c>
      <c r="ERB1064" t="s">
        <v>4881</v>
      </c>
    </row>
    <row r="1065" spans="1:452 1786:1930 2050:2870 3706:3850" ht="12.75" customHeight="1" x14ac:dyDescent="0.2">
      <c r="A1065" t="s">
        <v>3617</v>
      </c>
      <c r="B1065" t="s">
        <v>5704</v>
      </c>
      <c r="C1065">
        <v>-48</v>
      </c>
      <c r="D1065" s="23">
        <v>6.61</v>
      </c>
      <c r="J1065" t="s">
        <v>5704</v>
      </c>
    </row>
    <row r="1066" spans="1:452 1786:1930 2050:2870 3706:3850" ht="12.75" customHeight="1" x14ac:dyDescent="0.2">
      <c r="A1066" t="s">
        <v>3617</v>
      </c>
      <c r="B1066" t="s">
        <v>5705</v>
      </c>
      <c r="C1066">
        <v>0</v>
      </c>
      <c r="D1066" s="23">
        <v>6.61</v>
      </c>
      <c r="Q1066" t="s">
        <v>5705</v>
      </c>
    </row>
    <row r="1067" spans="1:452 1786:1930 2050:2870 3706:3850" ht="12.75" customHeight="1" x14ac:dyDescent="0.2">
      <c r="A1067" t="s">
        <v>3617</v>
      </c>
      <c r="B1067" t="s">
        <v>5706</v>
      </c>
      <c r="C1067">
        <v>54</v>
      </c>
      <c r="D1067" s="23">
        <v>3.28</v>
      </c>
      <c r="BO1067" t="s">
        <v>5706</v>
      </c>
    </row>
    <row r="1068" spans="1:452 1786:1930 2050:2870 3706:3850" ht="12.75" customHeight="1" x14ac:dyDescent="0.2">
      <c r="A1068" t="s">
        <v>3617</v>
      </c>
      <c r="B1068" t="s">
        <v>5707</v>
      </c>
      <c r="C1068">
        <v>96</v>
      </c>
      <c r="D1068" s="23">
        <v>6.96</v>
      </c>
      <c r="DI1068" t="s">
        <v>5707</v>
      </c>
    </row>
    <row r="1069" spans="1:452 1786:1930 2050:2870 3706:3850" ht="12.75" customHeight="1" x14ac:dyDescent="0.2">
      <c r="A1069" t="s">
        <v>3617</v>
      </c>
      <c r="B1069" t="s">
        <v>5708</v>
      </c>
      <c r="C1069">
        <v>180</v>
      </c>
      <c r="D1069" s="23">
        <v>7.83</v>
      </c>
      <c r="GP1069" t="s">
        <v>5708</v>
      </c>
    </row>
    <row r="1070" spans="1:452 1786:1930 2050:2870 3706:3850" ht="12.75" customHeight="1" x14ac:dyDescent="0.2">
      <c r="A1070" t="s">
        <v>3617</v>
      </c>
      <c r="B1070" t="s">
        <v>5709</v>
      </c>
      <c r="C1070">
        <v>242</v>
      </c>
      <c r="D1070" s="23">
        <v>7.66</v>
      </c>
      <c r="IZ1070" s="18" t="s">
        <v>5709</v>
      </c>
    </row>
    <row r="1071" spans="1:452 1786:1930 2050:2870 3706:3850" ht="12.75" customHeight="1" x14ac:dyDescent="0.2">
      <c r="A1071" t="s">
        <v>3617</v>
      </c>
      <c r="B1071" t="s">
        <v>5710</v>
      </c>
      <c r="C1071">
        <v>394</v>
      </c>
      <c r="D1071" s="23">
        <v>7.66</v>
      </c>
      <c r="OV1071" t="s">
        <v>5710</v>
      </c>
    </row>
    <row r="1072" spans="1:452 1786:1930 2050:2870 3706:3850" ht="12.75" customHeight="1" x14ac:dyDescent="0.2">
      <c r="A1072" t="s">
        <v>3617</v>
      </c>
      <c r="B1072" t="s">
        <v>5711</v>
      </c>
      <c r="C1072">
        <v>434</v>
      </c>
      <c r="D1072" s="23">
        <v>7.66</v>
      </c>
      <c r="QJ1072" s="18" t="s">
        <v>5711</v>
      </c>
    </row>
    <row r="1073" spans="1:617 1354:1786 2050:2144" ht="12.75" customHeight="1" x14ac:dyDescent="0.2">
      <c r="A1073" t="s">
        <v>3617</v>
      </c>
      <c r="B1073" t="s">
        <v>5712</v>
      </c>
      <c r="C1073">
        <v>462</v>
      </c>
      <c r="D1073" s="23">
        <v>7.66</v>
      </c>
      <c r="RL1073" t="s">
        <v>5712</v>
      </c>
    </row>
    <row r="1074" spans="1:617 1354:1786 2050:2144" ht="12.75" customHeight="1" x14ac:dyDescent="0.2">
      <c r="A1074" t="s">
        <v>3617</v>
      </c>
      <c r="B1074" t="s">
        <v>5713</v>
      </c>
      <c r="C1074">
        <v>498</v>
      </c>
      <c r="D1074" s="23">
        <v>7.66</v>
      </c>
      <c r="SV1074" s="18" t="s">
        <v>5713</v>
      </c>
    </row>
    <row r="1075" spans="1:617 1354:1786 2050:2144" ht="12.75" customHeight="1" x14ac:dyDescent="0.2">
      <c r="A1075" t="s">
        <v>3617</v>
      </c>
      <c r="B1075" t="s">
        <v>5714</v>
      </c>
      <c r="C1075">
        <v>534</v>
      </c>
      <c r="D1075" s="23">
        <v>5.22</v>
      </c>
      <c r="UC1075" t="s">
        <v>5714</v>
      </c>
    </row>
    <row r="1076" spans="1:617 1354:1786 2050:2144" ht="12.75" customHeight="1" x14ac:dyDescent="0.2">
      <c r="A1076" t="s">
        <v>3617</v>
      </c>
      <c r="B1076" t="s">
        <v>5715</v>
      </c>
      <c r="C1076">
        <v>570</v>
      </c>
      <c r="D1076" s="23">
        <v>10.44</v>
      </c>
      <c r="VR1076" t="s">
        <v>5715</v>
      </c>
      <c r="AZB1076" t="s">
        <v>5696</v>
      </c>
    </row>
    <row r="1077" spans="1:617 1354:1786 2050:2144" ht="12.75" customHeight="1" x14ac:dyDescent="0.2">
      <c r="A1077" t="s">
        <v>3617</v>
      </c>
      <c r="B1077" t="s">
        <v>5716</v>
      </c>
      <c r="C1077">
        <v>602</v>
      </c>
      <c r="D1077" s="23">
        <v>5.22</v>
      </c>
      <c r="WS1077" t="s">
        <v>5716</v>
      </c>
      <c r="AZX1077" t="s">
        <v>5697</v>
      </c>
    </row>
    <row r="1078" spans="1:617 1354:1786 2050:2144" ht="12.75" customHeight="1" x14ac:dyDescent="0.2">
      <c r="A1078" t="s">
        <v>3616</v>
      </c>
      <c r="B1078" t="s">
        <v>5698</v>
      </c>
      <c r="C1078">
        <v>1367.19</v>
      </c>
      <c r="D1078" s="23">
        <v>45.98</v>
      </c>
      <c r="BBS1078" t="s">
        <v>5698</v>
      </c>
    </row>
    <row r="1079" spans="1:617 1354:1786 2050:2144" ht="12.75" customHeight="1" x14ac:dyDescent="0.2">
      <c r="A1079" t="s">
        <v>3616</v>
      </c>
      <c r="B1079" t="s">
        <v>5699</v>
      </c>
      <c r="C1079">
        <v>1419.59</v>
      </c>
      <c r="D1079" s="23">
        <v>4.6100000000000003</v>
      </c>
      <c r="BCD1079" t="s">
        <v>5699</v>
      </c>
    </row>
    <row r="1080" spans="1:617 1354:1786 2050:2144" ht="12.75" customHeight="1" x14ac:dyDescent="0.2">
      <c r="A1080" t="s">
        <v>3616</v>
      </c>
      <c r="B1080" t="s">
        <v>5700</v>
      </c>
      <c r="C1080">
        <v>1425.21</v>
      </c>
      <c r="D1080" s="23">
        <v>9.1999999999999993</v>
      </c>
      <c r="BCN1080" t="s">
        <v>5700</v>
      </c>
    </row>
    <row r="1081" spans="1:617 1354:1786 2050:2144" ht="12.75" customHeight="1" x14ac:dyDescent="0.2">
      <c r="A1081" t="s">
        <v>3616</v>
      </c>
      <c r="B1081" t="s">
        <v>5701</v>
      </c>
      <c r="C1081">
        <v>1435.4</v>
      </c>
      <c r="D1081" s="23">
        <v>4.5999999999999996</v>
      </c>
      <c r="BCT1081" t="s">
        <v>5701</v>
      </c>
    </row>
    <row r="1082" spans="1:617 1354:1786 2050:2144" ht="12.75" customHeight="1" x14ac:dyDescent="0.2">
      <c r="A1082" t="s">
        <v>3616</v>
      </c>
      <c r="B1082" t="s">
        <v>6866</v>
      </c>
      <c r="C1082">
        <v>1664.95</v>
      </c>
      <c r="D1082" s="23">
        <v>9.4499999999999993</v>
      </c>
      <c r="BLT1082" t="s">
        <v>6866</v>
      </c>
    </row>
    <row r="1083" spans="1:617 1354:1786 2050:2144" ht="12.75" customHeight="1" x14ac:dyDescent="0.2">
      <c r="A1083" t="s">
        <v>3616</v>
      </c>
      <c r="B1083" t="s">
        <v>6867</v>
      </c>
      <c r="C1083">
        <v>1675.4</v>
      </c>
      <c r="D1083" s="23">
        <v>4.5999999999999996</v>
      </c>
      <c r="BLZ1083" t="s">
        <v>6867</v>
      </c>
    </row>
    <row r="1084" spans="1:617 1354:1786 2050:2144" ht="12.75" customHeight="1" x14ac:dyDescent="0.2">
      <c r="A1084" t="s">
        <v>3616</v>
      </c>
      <c r="B1084" t="s">
        <v>6868</v>
      </c>
      <c r="C1084">
        <v>1713.56</v>
      </c>
      <c r="D1084" s="23">
        <v>22.99</v>
      </c>
      <c r="BOE1084" t="s">
        <v>6868</v>
      </c>
    </row>
    <row r="1085" spans="1:617 1354:1786 2050:2144" ht="12.75" customHeight="1" x14ac:dyDescent="0.2">
      <c r="A1085" t="s">
        <v>3616</v>
      </c>
      <c r="B1085" t="s">
        <v>6869</v>
      </c>
      <c r="C1085">
        <v>1771.4</v>
      </c>
      <c r="D1085" s="23">
        <v>4.5999999999999996</v>
      </c>
      <c r="BPR1085" t="s">
        <v>6869</v>
      </c>
    </row>
    <row r="1086" spans="1:617 1354:1786 2050:2144" ht="12.75" customHeight="1" x14ac:dyDescent="0.2">
      <c r="A1086" t="s">
        <v>3616</v>
      </c>
      <c r="B1086" t="s">
        <v>6870</v>
      </c>
      <c r="C1086">
        <v>2030.54</v>
      </c>
      <c r="D1086" s="23">
        <v>9.4700000000000006</v>
      </c>
      <c r="BZV1086" t="s">
        <v>6870</v>
      </c>
    </row>
    <row r="1087" spans="1:617 1354:1786 2050:2144" ht="12.75" customHeight="1" x14ac:dyDescent="0.2">
      <c r="A1087" t="s">
        <v>3616</v>
      </c>
      <c r="B1087" t="s">
        <v>6871</v>
      </c>
      <c r="C1087">
        <v>2097.16</v>
      </c>
      <c r="D1087" s="23">
        <v>36.78</v>
      </c>
      <c r="CDL1087" t="s">
        <v>6871</v>
      </c>
    </row>
    <row r="1088" spans="1:617 1354:1786 2050:2144" ht="12.75" customHeight="1" x14ac:dyDescent="0.2">
      <c r="A1088" t="s">
        <v>3616</v>
      </c>
      <c r="B1088" t="s">
        <v>3594</v>
      </c>
      <c r="C1088">
        <v>2104.1799999999998</v>
      </c>
      <c r="D1088" s="23">
        <v>13.79</v>
      </c>
      <c r="CCV1088" t="s">
        <v>3594</v>
      </c>
    </row>
    <row r="1089" spans="1:4 2458:2726 3130:3807" ht="12.75" customHeight="1" x14ac:dyDescent="0.2">
      <c r="A1089" t="s">
        <v>3616</v>
      </c>
      <c r="B1089" t="s">
        <v>3595</v>
      </c>
      <c r="C1089">
        <v>2438.8000000000002</v>
      </c>
      <c r="D1089" s="23">
        <v>9.1999999999999993</v>
      </c>
      <c r="CPN1089" t="s">
        <v>3595</v>
      </c>
    </row>
    <row r="1090" spans="1:4 2458:2726 3130:3807" ht="12.75" customHeight="1" x14ac:dyDescent="0.2">
      <c r="A1090" t="s">
        <v>3616</v>
      </c>
      <c r="B1090" t="s">
        <v>6872</v>
      </c>
      <c r="C1090">
        <v>2669.37</v>
      </c>
      <c r="D1090" s="23">
        <v>47.13</v>
      </c>
      <c r="CZV1090" t="s">
        <v>6872</v>
      </c>
    </row>
    <row r="1091" spans="1:4 2458:2726 3130:3807" ht="12.75" customHeight="1" x14ac:dyDescent="0.2">
      <c r="A1091" t="s">
        <v>3616</v>
      </c>
      <c r="B1091" t="s">
        <v>5702</v>
      </c>
      <c r="C1091">
        <v>3097.01</v>
      </c>
      <c r="D1091" s="23">
        <v>22.99</v>
      </c>
      <c r="DPJ1091" t="s">
        <v>5702</v>
      </c>
    </row>
    <row r="1092" spans="1:4 2458:2726 3130:3807" ht="12.75" customHeight="1" x14ac:dyDescent="0.2">
      <c r="A1092" t="s">
        <v>3616</v>
      </c>
      <c r="B1092" t="s">
        <v>5703</v>
      </c>
      <c r="C1092">
        <v>3691.4</v>
      </c>
      <c r="D1092" s="23">
        <v>4.5999999999999996</v>
      </c>
      <c r="ELN1092" t="s">
        <v>5703</v>
      </c>
    </row>
    <row r="1093" spans="1:4 2458:2726 3130:3807" ht="12.75" customHeight="1" x14ac:dyDescent="0.2">
      <c r="A1093" t="s">
        <v>3616</v>
      </c>
      <c r="B1093" t="s">
        <v>6873</v>
      </c>
      <c r="C1093">
        <v>3750</v>
      </c>
      <c r="D1093" s="23">
        <v>47.1</v>
      </c>
      <c r="EPK1093" t="s">
        <v>6873</v>
      </c>
    </row>
    <row r="1094" spans="1:4 2458:2726 3130:3807" ht="12.75" customHeight="1" x14ac:dyDescent="0.2">
      <c r="A1094" t="s">
        <v>3617</v>
      </c>
      <c r="B1094" t="s">
        <v>5704</v>
      </c>
      <c r="C1094">
        <v>-48</v>
      </c>
      <c r="D1094" s="23">
        <v>6.61</v>
      </c>
    </row>
    <row r="1095" spans="1:4 2458:2726 3130:3807" ht="12.75" customHeight="1" x14ac:dyDescent="0.2">
      <c r="A1095" t="s">
        <v>3617</v>
      </c>
      <c r="B1095" t="s">
        <v>5705</v>
      </c>
      <c r="C1095">
        <v>0</v>
      </c>
      <c r="D1095" s="23">
        <v>6.61</v>
      </c>
    </row>
    <row r="1096" spans="1:4 2458:2726 3130:3807" ht="12.75" customHeight="1" x14ac:dyDescent="0.2">
      <c r="A1096" t="s">
        <v>3617</v>
      </c>
      <c r="B1096" t="s">
        <v>5707</v>
      </c>
      <c r="C1096">
        <v>96</v>
      </c>
      <c r="D1096" s="23">
        <v>6.96</v>
      </c>
    </row>
    <row r="1097" spans="1:4 2458:2726 3130:3807" ht="12.75" customHeight="1" x14ac:dyDescent="0.2">
      <c r="A1097" t="s">
        <v>3617</v>
      </c>
      <c r="B1097" t="s">
        <v>5708</v>
      </c>
      <c r="C1097">
        <v>180</v>
      </c>
      <c r="D1097" s="23">
        <v>7.83</v>
      </c>
    </row>
    <row r="1098" spans="1:4 2458:2726 3130:3807" ht="12.75" customHeight="1" x14ac:dyDescent="0.2">
      <c r="A1098" t="s">
        <v>3617</v>
      </c>
      <c r="B1098" t="s">
        <v>5709</v>
      </c>
      <c r="C1098">
        <v>242</v>
      </c>
      <c r="D1098" s="23">
        <v>7.66</v>
      </c>
    </row>
    <row r="1099" spans="1:4 2458:2726 3130:3807" ht="12.75" customHeight="1" x14ac:dyDescent="0.2">
      <c r="A1099" t="s">
        <v>3617</v>
      </c>
      <c r="B1099" t="s">
        <v>5710</v>
      </c>
      <c r="C1099">
        <v>394</v>
      </c>
      <c r="D1099" s="23">
        <v>7.66</v>
      </c>
    </row>
    <row r="1100" spans="1:4 2458:2726 3130:3807" ht="12.75" customHeight="1" x14ac:dyDescent="0.2">
      <c r="A1100" t="s">
        <v>3617</v>
      </c>
      <c r="B1100" t="s">
        <v>5711</v>
      </c>
      <c r="C1100">
        <v>434</v>
      </c>
      <c r="D1100" s="23">
        <v>7.66</v>
      </c>
    </row>
    <row r="1101" spans="1:4 2458:2726 3130:3807" ht="12.75" customHeight="1" x14ac:dyDescent="0.2">
      <c r="A1101" t="s">
        <v>3617</v>
      </c>
      <c r="B1101" t="s">
        <v>5712</v>
      </c>
      <c r="C1101">
        <v>462</v>
      </c>
      <c r="D1101" s="23">
        <v>7.66</v>
      </c>
    </row>
    <row r="1102" spans="1:4 2458:2726 3130:3807" ht="12.75" customHeight="1" x14ac:dyDescent="0.2">
      <c r="A1102" t="s">
        <v>3617</v>
      </c>
      <c r="B1102" t="s">
        <v>5713</v>
      </c>
      <c r="C1102">
        <v>498</v>
      </c>
      <c r="D1102" s="23">
        <v>7.66</v>
      </c>
    </row>
    <row r="1103" spans="1:4 2458:2726 3130:3807" ht="12.75" customHeight="1" x14ac:dyDescent="0.2">
      <c r="A1103" t="s">
        <v>3617</v>
      </c>
      <c r="B1103" t="s">
        <v>5714</v>
      </c>
      <c r="C1103">
        <v>534</v>
      </c>
      <c r="D1103" s="23">
        <v>5.22</v>
      </c>
    </row>
    <row r="1104" spans="1:4 2458:2726 3130:3807" ht="12.75" customHeight="1" x14ac:dyDescent="0.2">
      <c r="A1104" t="s">
        <v>3617</v>
      </c>
      <c r="B1104" t="s">
        <v>5715</v>
      </c>
      <c r="C1104">
        <v>570</v>
      </c>
      <c r="D1104" s="23">
        <v>10.44</v>
      </c>
    </row>
    <row r="1105" spans="1:4 1432:1432" ht="12.75" customHeight="1" x14ac:dyDescent="0.2">
      <c r="A1105" t="s">
        <v>3617</v>
      </c>
      <c r="B1105" t="s">
        <v>5716</v>
      </c>
      <c r="C1105">
        <v>602</v>
      </c>
      <c r="D1105" s="23">
        <v>5.22</v>
      </c>
    </row>
    <row r="1106" spans="1:4 1432:1432" ht="12.75" customHeight="1" x14ac:dyDescent="0.2">
      <c r="A1106" t="s">
        <v>3617</v>
      </c>
      <c r="B1106" t="s">
        <v>5706</v>
      </c>
      <c r="C1106">
        <v>1418.29</v>
      </c>
      <c r="D1106" s="23">
        <v>3.29</v>
      </c>
      <c r="BCB1106" t="s">
        <v>5706</v>
      </c>
    </row>
  </sheetData>
  <mergeCells count="29">
    <mergeCell ref="ARM2:ATH2"/>
    <mergeCell ref="ATI2:AVD2"/>
    <mergeCell ref="AVE2:AWZ2"/>
    <mergeCell ref="AXA2:AYV2"/>
    <mergeCell ref="AYW2:BAR2"/>
    <mergeCell ref="APQ2:ARL2"/>
    <mergeCell ref="VI2:XD2"/>
    <mergeCell ref="XE2:YZ2"/>
    <mergeCell ref="ZA2:AAV2"/>
    <mergeCell ref="AAW2:ACR2"/>
    <mergeCell ref="ACS2:AEN2"/>
    <mergeCell ref="AEO2:AGJ2"/>
    <mergeCell ref="AGK2:AIF2"/>
    <mergeCell ref="AIG2:AKB2"/>
    <mergeCell ref="AKC2:ALX2"/>
    <mergeCell ref="ALY2:ANT2"/>
    <mergeCell ref="ANU2:APP2"/>
    <mergeCell ref="TM2:VH2"/>
    <mergeCell ref="E2:AZ2"/>
    <mergeCell ref="BA2:CV2"/>
    <mergeCell ref="CW2:ER2"/>
    <mergeCell ref="ES2:GN2"/>
    <mergeCell ref="GO2:IJ2"/>
    <mergeCell ref="IK2:KF2"/>
    <mergeCell ref="KG2:MB2"/>
    <mergeCell ref="MC2:NX2"/>
    <mergeCell ref="NY2:PT2"/>
    <mergeCell ref="PU2:RP2"/>
    <mergeCell ref="RQ2:TL2"/>
  </mergeCells>
  <phoneticPr fontId="6" type="noConversion"/>
  <conditionalFormatting sqref="A3:XFD5400">
    <cfRule type="expression" dxfId="5" priority="6" stopIfTrue="1">
      <formula>RunningHours</formula>
    </cfRule>
    <cfRule type="expression" dxfId="0" priority="1">
      <formula>$A3&lt;&gt;$A4</formula>
    </cfRule>
  </conditionalFormatting>
  <pageMargins left="0.7" right="0.7" top="0.75" bottom="0.75" header="0.3" footer="0.3"/>
  <pageSetup paperSize="9" orientation="portrait" r:id="rId1"/>
  <headerFooter>
    <oddHeader>&amp;L&amp;"SABIC Typeface Headline Light"&amp;10 Classification: Internal Use&amp;1#</oddHead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stopIfTrue="1" id="{2D0B3F76-CDE8-4063-B1E0-3DD96D7189DA}">
            <xm:f>AND(A$1&gt;$C3,A$1&lt;=($C3+$D3),Data!$K2=10)</xm:f>
            <x14:dxf>
              <fill>
                <patternFill>
                  <bgColor rgb="FFFF0000"/>
                </patternFill>
              </fill>
              <border>
                <left/>
                <right/>
              </border>
            </x14:dxf>
          </x14:cfRule>
          <x14:cfRule type="expression" priority="4" stopIfTrue="1" id="{0691D28E-9546-4709-8AA8-AD176E80EBBB}">
            <xm:f>AND(A$1&gt;$C3,A$1&lt;=($C3+$D3),Data!$K2=25)</xm:f>
            <x14:dxf>
              <fill>
                <patternFill>
                  <bgColor theme="0" tint="-0.34998626667073579"/>
                </patternFill>
              </fill>
              <border>
                <left/>
                <right/>
              </border>
            </x14:dxf>
          </x14:cfRule>
          <x14:cfRule type="expression" priority="3" stopIfTrue="1" id="{9CF3D751-9C00-4CD2-8776-88B6813399EA}">
            <xm:f>AND(A$1&gt;$C3,A$1&lt;=($C3+$D3),Data!$X2=0)</xm:f>
            <x14:dxf>
              <fill>
                <patternFill>
                  <bgColor rgb="FFFF9900"/>
                </patternFill>
              </fill>
              <border>
                <left/>
                <right/>
              </border>
            </x14:dxf>
          </x14:cfRule>
          <x14:cfRule type="expression" priority="2" stopIfTrue="1" id="{4AC73ABD-6DC5-41A9-A6CE-CC112A8FA973}">
            <xm:f>AND(A$1&gt;($C3+$D3),A$1&lt;=($C3+$D3+Data!$AH2))</xm:f>
            <x14:dxf>
              <fill>
                <patternFill patternType="darkDown">
                  <bgColor rgb="FFC00000"/>
                </patternFill>
              </fill>
              <border>
                <left/>
                <right/>
              </border>
            </x14:dxf>
          </x14:cfRule>
          <xm:sqref>A3:XFD5400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26"/>
  <sheetViews>
    <sheetView workbookViewId="0">
      <selection activeCell="C14" sqref="C14"/>
    </sheetView>
  </sheetViews>
  <sheetFormatPr defaultRowHeight="14.25" x14ac:dyDescent="0.2"/>
  <cols>
    <col min="1" max="1" width="24" bestFit="1" customWidth="1"/>
    <col min="2" max="2" width="32.25" bestFit="1" customWidth="1"/>
    <col min="3" max="3" width="52.125" bestFit="1" customWidth="1"/>
    <col min="4" max="4" width="51.625" customWidth="1"/>
    <col min="5" max="5" width="14.125" bestFit="1" customWidth="1"/>
    <col min="6" max="6" width="9.875" bestFit="1" customWidth="1"/>
    <col min="7" max="7" width="13.125" bestFit="1" customWidth="1"/>
    <col min="8" max="8" width="15.875" bestFit="1" customWidth="1"/>
  </cols>
  <sheetData>
    <row r="1" spans="1:8" s="2" customForma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s="2" customFormat="1" x14ac:dyDescent="0.2">
      <c r="A2" s="3" t="s">
        <v>8</v>
      </c>
      <c r="B2" s="4">
        <f ca="1">TODAY()</f>
        <v>43290</v>
      </c>
      <c r="C2" s="4">
        <f t="shared" ref="C2:E2" ca="1" si="0">TODAY()</f>
        <v>43290</v>
      </c>
      <c r="D2" s="4">
        <f t="shared" ca="1" si="0"/>
        <v>43290</v>
      </c>
      <c r="E2" s="4">
        <f t="shared" ca="1" si="0"/>
        <v>43290</v>
      </c>
    </row>
    <row r="3" spans="1:8" s="2" customFormat="1" x14ac:dyDescent="0.2">
      <c r="A3" s="3" t="s">
        <v>9</v>
      </c>
      <c r="B3" s="5">
        <v>0</v>
      </c>
      <c r="C3" s="6">
        <v>0</v>
      </c>
      <c r="D3" s="6">
        <v>0.33333333333333331</v>
      </c>
      <c r="E3" s="6">
        <v>0.33333333333333331</v>
      </c>
      <c r="F3" s="6"/>
      <c r="G3" s="6"/>
      <c r="H3" s="6"/>
    </row>
    <row r="4" spans="1:8" s="2" customFormat="1" x14ac:dyDescent="0.2">
      <c r="A4" s="3" t="s">
        <v>10</v>
      </c>
      <c r="B4" s="7">
        <v>-1</v>
      </c>
      <c r="C4" s="2">
        <v>-1</v>
      </c>
      <c r="D4" s="2">
        <v>0</v>
      </c>
      <c r="E4" s="2">
        <v>0</v>
      </c>
    </row>
    <row r="5" spans="1:8" s="2" customFormat="1" x14ac:dyDescent="0.2">
      <c r="A5" s="3" t="s">
        <v>11</v>
      </c>
      <c r="B5" s="7">
        <v>28</v>
      </c>
      <c r="C5" s="7">
        <v>5</v>
      </c>
      <c r="D5" s="2">
        <v>7</v>
      </c>
      <c r="E5" s="2">
        <v>4</v>
      </c>
    </row>
    <row r="6" spans="1:8" s="2" customFormat="1" x14ac:dyDescent="0.2">
      <c r="A6" s="3" t="s">
        <v>12</v>
      </c>
      <c r="B6" s="2" t="s">
        <v>13</v>
      </c>
      <c r="C6" t="str">
        <f ca="1">TEXT(TODAY(),"yyyymmdd")&amp;"PC51ProdSchedule.xlsb"</f>
        <v>20180709PC51ProdSchedule.xlsb</v>
      </c>
      <c r="D6" s="2" t="str">
        <f ca="1">TEXT(TODAY(),"yyyymmdd")&amp;"PC51ForPP_Review.xlsx"</f>
        <v>20180709PC51ForPP_Review.xlsx</v>
      </c>
    </row>
    <row r="7" spans="1:8" s="2" customFormat="1" x14ac:dyDescent="0.2">
      <c r="A7" s="3" t="s">
        <v>14</v>
      </c>
      <c r="B7" s="8"/>
      <c r="D7" s="9" t="s">
        <v>15</v>
      </c>
    </row>
    <row r="8" spans="1:8" s="2" customFormat="1" x14ac:dyDescent="0.2">
      <c r="A8" s="3" t="s">
        <v>16</v>
      </c>
      <c r="C8" s="7"/>
      <c r="D8" s="7"/>
      <c r="E8" s="7"/>
      <c r="F8" s="7"/>
      <c r="G8" s="7"/>
      <c r="H8" s="7"/>
    </row>
    <row r="9" spans="1:8" s="2" customFormat="1" x14ac:dyDescent="0.2">
      <c r="A9" s="3" t="s">
        <v>17</v>
      </c>
      <c r="B9" s="7" t="s">
        <v>18</v>
      </c>
      <c r="C9" s="7"/>
      <c r="D9" s="7"/>
      <c r="E9" s="7"/>
      <c r="F9" s="7"/>
      <c r="G9" s="7"/>
      <c r="H9" s="7"/>
    </row>
    <row r="10" spans="1:8" s="2" customFormat="1" x14ac:dyDescent="0.2">
      <c r="A10" s="3" t="s">
        <v>19</v>
      </c>
      <c r="B10" s="7"/>
      <c r="C10" s="7" t="str">
        <f ca="1">"Shanghai Production schedule updated on " &amp; TEXT(NOW(),"yyyy-mm-dd HH:mm")</f>
        <v>Shanghai Production schedule updated on 2018-07-09 21:59</v>
      </c>
      <c r="D10" s="7" t="str">
        <f ca="1">C10</f>
        <v>Shanghai Production schedule updated on 2018-07-09 21:59</v>
      </c>
      <c r="E10" s="7"/>
      <c r="F10" s="7"/>
      <c r="G10" s="7"/>
      <c r="H10" s="7"/>
    </row>
    <row r="11" spans="1:8" s="2" customFormat="1" x14ac:dyDescent="0.2">
      <c r="A11" s="3" t="s">
        <v>20</v>
      </c>
      <c r="B11" s="7" t="s">
        <v>4200</v>
      </c>
      <c r="C11" s="7"/>
      <c r="D11" s="7"/>
      <c r="E11" s="7"/>
      <c r="F11" s="7"/>
      <c r="G11" s="7"/>
      <c r="H11" s="7"/>
    </row>
    <row r="12" spans="1:8" s="2" customFormat="1" x14ac:dyDescent="0.2">
      <c r="A12" s="3" t="s">
        <v>21</v>
      </c>
      <c r="B12" s="7" t="str">
        <f ca="1">TEXT(TODAY(),"yyyymmdd")&amp;".xlsx"</f>
        <v>20180709.xlsx</v>
      </c>
      <c r="C12" s="7"/>
      <c r="D12" s="7"/>
      <c r="E12" s="7"/>
      <c r="F12" s="7"/>
      <c r="G12" s="7"/>
      <c r="H12" s="7"/>
    </row>
    <row r="13" spans="1:8" s="2" customFormat="1" x14ac:dyDescent="0.2">
      <c r="A13" s="3" t="s">
        <v>22</v>
      </c>
      <c r="B13" s="7" t="s">
        <v>23</v>
      </c>
      <c r="C13" s="7"/>
      <c r="D13" s="7"/>
      <c r="E13" s="7"/>
      <c r="F13" s="7"/>
      <c r="G13" s="7"/>
      <c r="H13" s="7"/>
    </row>
    <row r="14" spans="1:8" s="2" customFormat="1" x14ac:dyDescent="0.2">
      <c r="A14" s="3" t="s">
        <v>24</v>
      </c>
      <c r="B14" s="7" t="str">
        <f ca="1">TEXT(TODAY(),"yyyymmdd")&amp;".xlsx"</f>
        <v>20180709.xlsx</v>
      </c>
      <c r="C14" s="7"/>
      <c r="D14" s="7"/>
      <c r="E14" s="7"/>
      <c r="F14" s="7"/>
      <c r="G14" s="7"/>
      <c r="H14" s="7"/>
    </row>
    <row r="15" spans="1:8" s="2" customFormat="1" x14ac:dyDescent="0.2">
      <c r="A15" s="3" t="s">
        <v>3618</v>
      </c>
      <c r="B15" s="7" t="s">
        <v>4080</v>
      </c>
      <c r="C15" s="7"/>
      <c r="D15" s="7"/>
      <c r="E15" s="7"/>
      <c r="F15" s="7"/>
      <c r="G15" s="7"/>
      <c r="H15" s="7"/>
    </row>
    <row r="16" spans="1:8" s="2" customFormat="1" x14ac:dyDescent="0.2">
      <c r="A16" s="2" t="s">
        <v>25</v>
      </c>
      <c r="B16" s="7" t="s">
        <v>26</v>
      </c>
    </row>
    <row r="17" spans="1:8" s="2" customFormat="1" x14ac:dyDescent="0.2">
      <c r="A17" s="7" t="s">
        <v>27</v>
      </c>
      <c r="B17" s="7" t="s">
        <v>28</v>
      </c>
    </row>
    <row r="18" spans="1:8" s="2" customFormat="1" x14ac:dyDescent="0.2">
      <c r="A18" s="2" t="s">
        <v>29</v>
      </c>
      <c r="B18" s="7"/>
      <c r="C18" s="7" t="s">
        <v>30</v>
      </c>
      <c r="D18" s="7"/>
      <c r="F18" s="7" t="s">
        <v>31</v>
      </c>
      <c r="G18" s="7" t="s">
        <v>4201</v>
      </c>
      <c r="H18" s="7" t="s">
        <v>4201</v>
      </c>
    </row>
    <row r="19" spans="1:8" s="2" customFormat="1" x14ac:dyDescent="0.2"/>
    <row r="20" spans="1:8" s="2" customFormat="1" x14ac:dyDescent="0.2"/>
    <row r="21" spans="1:8" s="2" customFormat="1" x14ac:dyDescent="0.2"/>
    <row r="22" spans="1:8" s="2" customFormat="1" x14ac:dyDescent="0.2">
      <c r="B22" s="7"/>
      <c r="C22" s="9"/>
    </row>
    <row r="23" spans="1:8" s="2" customFormat="1" x14ac:dyDescent="0.2"/>
    <row r="24" spans="1:8" s="2" customFormat="1" x14ac:dyDescent="0.2">
      <c r="E24" s="7"/>
    </row>
    <row r="25" spans="1:8" s="2" customFormat="1" x14ac:dyDescent="0.2">
      <c r="D25" s="10"/>
    </row>
    <row r="26" spans="1:8" s="2" customFormat="1" x14ac:dyDescent="0.2"/>
  </sheetData>
  <phoneticPr fontId="6" type="noConversion"/>
  <dataValidations count="1">
    <dataValidation type="whole" showInputMessage="1" showErrorMessage="1" sqref="B4:E5" xr:uid="{00000000-0002-0000-0200-000000000000}">
      <formula1>-15</formula1>
      <formula2>180</formula2>
    </dataValidation>
  </dataValidations>
  <hyperlinks>
    <hyperlink ref="D7" r:id="rId1" xr:uid="{00000000-0004-0000-0200-000000000000}"/>
  </hyperlinks>
  <pageMargins left="0.7" right="0.7" top="0.75" bottom="0.75" header="0.3" footer="0.3"/>
  <pageSetup paperSize="9" orientation="portrait" r:id="rId2"/>
  <headerFooter>
    <oddHeader>&amp;L&amp;"SABIC Typeface Headline Light"&amp;10 Classification: Internal Use&amp;1#</oddHeader>
  </headerFooter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Data</vt:lpstr>
      <vt:lpstr>GanttChart</vt:lpstr>
      <vt:lpstr>Para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jhy101</cp:lastModifiedBy>
  <dcterms:created xsi:type="dcterms:W3CDTF">2015-06-05T18:17:20Z</dcterms:created>
  <dcterms:modified xsi:type="dcterms:W3CDTF">2018-07-09T14:06:07Z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7d50848-5462-4933-a6ae-3f5aa423884b_Enabled">
    <vt:lpwstr>True</vt:lpwstr>
  </property>
  <property fmtid="{D5CDD505-2E9C-101B-9397-08002B2CF9AE}" pid="3" name="MSIP_Label_a7d50848-5462-4933-a6ae-3f5aa423884b_SiteId">
    <vt:lpwstr>a77c517c-e95e-435b-bbb4-cb17e462491f</vt:lpwstr>
  </property>
  <property fmtid="{D5CDD505-2E9C-101B-9397-08002B2CF9AE}" pid="4" name="MSIP_Label_a7d50848-5462-4933-a6ae-3f5aa423884b_Owner">
    <vt:lpwstr>301000666@SABICCORP.SABIC.COM</vt:lpwstr>
  </property>
  <property fmtid="{D5CDD505-2E9C-101B-9397-08002B2CF9AE}" pid="5" name="MSIP_Label_a7d50848-5462-4933-a6ae-3f5aa423884b_SetDate">
    <vt:lpwstr>2018-06-29T04:14:01.0263238Z</vt:lpwstr>
  </property>
  <property fmtid="{D5CDD505-2E9C-101B-9397-08002B2CF9AE}" pid="6" name="MSIP_Label_a7d50848-5462-4933-a6ae-3f5aa423884b_Name">
    <vt:lpwstr>Internal Use</vt:lpwstr>
  </property>
  <property fmtid="{D5CDD505-2E9C-101B-9397-08002B2CF9AE}" pid="7" name="MSIP_Label_a7d50848-5462-4933-a6ae-3f5aa423884b_Application">
    <vt:lpwstr>Microsoft Azure Information Protection</vt:lpwstr>
  </property>
  <property fmtid="{D5CDD505-2E9C-101B-9397-08002B2CF9AE}" pid="8" name="MSIP_Label_a7d50848-5462-4933-a6ae-3f5aa423884b_Extended_MSFT_Method">
    <vt:lpwstr>Automatic</vt:lpwstr>
  </property>
  <property fmtid="{D5CDD505-2E9C-101B-9397-08002B2CF9AE}" pid="9" name="Sensitivity">
    <vt:lpwstr>Internal Use</vt:lpwstr>
  </property>
</Properties>
</file>