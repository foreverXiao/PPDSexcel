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Objects="none"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301000666\Documents\Backup\ToDO\2018-03-19-eScheduling-Migration-To-ppds\2018-04-28-InterfaceWithMFG\PC51_SHANGHAI\"/>
    </mc:Choice>
  </mc:AlternateContent>
  <bookViews>
    <workbookView xWindow="0" yWindow="0" windowWidth="20490" windowHeight="8460" tabRatio="597" activeTab="1"/>
  </bookViews>
  <sheets>
    <sheet name="Data" sheetId="1" r:id="rId1"/>
    <sheet name="GanttChart" sheetId="2" r:id="rId2"/>
    <sheet name="Para" sheetId="5" r:id="rId3"/>
  </sheets>
  <functionGroups builtInGroupCount="18"/>
  <definedNames>
    <definedName name="_xlnm._FilterDatabase" localSheetId="0" hidden="1">Data!$A$1:$AL$1029</definedName>
    <definedName name="_xlnm._FilterDatabase" localSheetId="1" hidden="1">GanttChart!$A$1:$AOR$5402</definedName>
    <definedName name="RunningHours" localSheetId="1">AND(GanttChart!A$1&gt;=GanttChart!$C1,GanttChart!A$1&lt;=(GanttChart!$C1+GanttChart!$D1))</definedName>
  </definedNames>
  <calcPr calcId="162913"/>
</workbook>
</file>

<file path=xl/calcChain.xml><?xml version="1.0" encoding="utf-8"?>
<calcChain xmlns="http://schemas.openxmlformats.org/spreadsheetml/2006/main">
  <c r="C10" i="5" l="1"/>
  <c r="D10" i="5" s="1"/>
  <c r="D20" i="5"/>
  <c r="C6" i="5" l="1"/>
  <c r="D6" i="5"/>
  <c r="C2" i="5" l="1"/>
  <c r="D2" i="5"/>
  <c r="E2" i="5"/>
  <c r="B2" i="5"/>
</calcChain>
</file>

<file path=xl/comments1.xml><?xml version="1.0" encoding="utf-8"?>
<comments xmlns="http://schemas.openxmlformats.org/spreadsheetml/2006/main">
  <authors>
    <author>Xiao, Jiuchang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ShortCut to refresh this view: Ctrl+Shift+R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Xiao, Jiuchang</author>
  </authors>
  <commentList>
    <comment ref="A7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</commentList>
</comments>
</file>

<file path=xl/sharedStrings.xml><?xml version="1.0" encoding="utf-8"?>
<sst xmlns="http://schemas.openxmlformats.org/spreadsheetml/2006/main" count="24866" uniqueCount="8606">
  <si>
    <t>KG</t>
  </si>
  <si>
    <t/>
  </si>
  <si>
    <t>No</t>
  </si>
  <si>
    <t>False</t>
  </si>
  <si>
    <t>PrcOrd (R)</t>
  </si>
  <si>
    <t>LEX2DO</t>
  </si>
  <si>
    <t>LEXGDO</t>
  </si>
  <si>
    <t>LEX7O</t>
  </si>
  <si>
    <t>LEXFR7O</t>
  </si>
  <si>
    <t>COYFR7O</t>
  </si>
  <si>
    <t>COYGDO</t>
  </si>
  <si>
    <t>COYFRGLO</t>
  </si>
  <si>
    <t>LEXX7O</t>
  </si>
  <si>
    <t>MISC99</t>
  </si>
  <si>
    <t>COYFRGDO</t>
  </si>
  <si>
    <t>COYFR8O</t>
  </si>
  <si>
    <t>LEXX8O</t>
  </si>
  <si>
    <t>PrcOrd (C)</t>
  </si>
  <si>
    <t>22039729</t>
  </si>
  <si>
    <t>EXL1414T-7A1D040-BAG-00-00-00</t>
  </si>
  <si>
    <t>LEXFRGDO</t>
  </si>
  <si>
    <t>PC7O</t>
  </si>
  <si>
    <t>LEX8O</t>
  </si>
  <si>
    <t>LEX4T</t>
  </si>
  <si>
    <t>COYFR2DO</t>
  </si>
  <si>
    <t>LEXX1T</t>
  </si>
  <si>
    <t>LEX3DO</t>
  </si>
  <si>
    <t>LEXFGDO</t>
  </si>
  <si>
    <t>LEXF7O</t>
  </si>
  <si>
    <t>PlOrd. (F)</t>
  </si>
  <si>
    <t>PlOrd.</t>
  </si>
  <si>
    <t>VALFGDO</t>
  </si>
  <si>
    <t>LEXF4O</t>
  </si>
  <si>
    <t>COY7O</t>
  </si>
  <si>
    <t>Resource</t>
  </si>
  <si>
    <t>Order Number</t>
  </si>
  <si>
    <t>Product Number</t>
  </si>
  <si>
    <t>Product Short Description</t>
  </si>
  <si>
    <t>Total Quantity</t>
  </si>
  <si>
    <t>Original Quantity</t>
  </si>
  <si>
    <t>Start Date</t>
  </si>
  <si>
    <t>Start Time</t>
  </si>
  <si>
    <t>End Date</t>
  </si>
  <si>
    <t>End Time</t>
  </si>
  <si>
    <t>Priority</t>
  </si>
  <si>
    <t>Base Unit of Measure</t>
  </si>
  <si>
    <t>Order End Date</t>
  </si>
  <si>
    <t>Requirement Date</t>
  </si>
  <si>
    <t>Pegged Requirement Order Number</t>
  </si>
  <si>
    <t>Setup Group</t>
  </si>
  <si>
    <t>Suboperation Number</t>
  </si>
  <si>
    <t>Receipt Quantity / Requirements Quantity</t>
  </si>
  <si>
    <t>Base Quantity</t>
  </si>
  <si>
    <t>Deallocated</t>
  </si>
  <si>
    <t>Fixed</t>
  </si>
  <si>
    <t>Category Short Text</t>
  </si>
  <si>
    <t>000200498139  CX7240U-7T8D823-BAG-00-00-00 500  KG  22085535</t>
  </si>
  <si>
    <t>000200537747  HF1110-7A1D291-BAG-00-00-00 1000  KG  22043938</t>
  </si>
  <si>
    <t>000200536170  CX7240U-7M1D051-BAG-00-00-00 1000  KG  22022738</t>
  </si>
  <si>
    <t>000200539945  123R-GN5G017-BAG-00-00-00 1000  KG  22044538</t>
  </si>
  <si>
    <t>000200537984  EXL9330-WH8E554-BAG-00-00-00 500  KG  22039935</t>
  </si>
  <si>
    <t>000200532668  C2950HF-BL2082-BAG-00-00-00 500  KG  22039549</t>
  </si>
  <si>
    <t>000200520092  C6600-GY3A381-BAG-00-00-00 800  KG  22028152</t>
  </si>
  <si>
    <t>000200524671  915R-GY5G115-BAG-00-00-00 1000  KG  22038986</t>
  </si>
  <si>
    <t>000200540688  C6600-GY5943-BAG-00-00-00 500  KG  22038954</t>
  </si>
  <si>
    <t>000200537131  XCY620-GY7G608-BAG-00-00-00 1000  KG  22045866</t>
  </si>
  <si>
    <t>000200535935  CM6240-701-BAG-00-00-00 1000  KG  22022433</t>
  </si>
  <si>
    <t>000200533679  925U-BK1B205-BAG-00-00-00 1000  KG  22034107</t>
  </si>
  <si>
    <t>000200528516  C6600-7M3D029-BAG-00-00-00 500  KG  22031791</t>
  </si>
  <si>
    <t>000200510586  CY6414-76701-BAG-00-00-00 550  KG  22030267</t>
  </si>
  <si>
    <t>000200537647  EXL9330-GY2E289-BAG-00-00-00 1000  KG  22030407</t>
  </si>
  <si>
    <t>000200538492  CX7240-GY7D134-BAG-00-00-00 1000  KG  22032086</t>
  </si>
  <si>
    <t>000200507064  ML6411-BL11040-BAG-00-00-00 650  KG  22036800</t>
  </si>
  <si>
    <t>000200537041  C6600-GY2A547-BAG-00-00-00 1000  KG  22038939</t>
  </si>
  <si>
    <t>000200539038  C6600-GY7A365-BAG-00-00-00 1000  KG  22031707</t>
  </si>
  <si>
    <t>000200532614  C2950HF-GY1291-BAG-00-00-00 1000  KG  22031568</t>
  </si>
  <si>
    <t>000200537774  920-GY1818-BAG-00-00-00 1000  KG  22022153</t>
  </si>
  <si>
    <t>000200537143  C2950HF-BL2082-BAG-00-00-00 500  KG  22039549</t>
  </si>
  <si>
    <t>000200537058  C2950HF-GY1291-BAG-00-00-00 1000  KG  22031568</t>
  </si>
  <si>
    <t>000200537129  C2950HF-GY1291-BAG-00-00-00 1000  KG  22031568</t>
  </si>
  <si>
    <t>000200537147  C2950HF-GY1291-BAG-00-00-00 1000  KG  22031568</t>
  </si>
  <si>
    <t>000200524763  CX7240-7T5D172-BAG-00-00-00 1000  KG  22085534</t>
  </si>
  <si>
    <t>000200504557  RB008-NC-FBG-00-00-00 2000  KG  22018899</t>
  </si>
  <si>
    <t>000200530696  UF0067W-BK1B661-SBG-00-00-00 1000  KG  22102550</t>
  </si>
  <si>
    <t>000200500430  DD0009PC-BKNAT-BAG-00-00-00 1000  KG  22035801</t>
  </si>
  <si>
    <t>0093761135  KD000-BKNAT-BAG-00-00-00 5000  KG  22036843</t>
  </si>
  <si>
    <t>000200491028  A3000-BK8115-BAG-00-00-00 1000  KG  22034318</t>
  </si>
  <si>
    <t>000200531785  MFB82I-BK1B459-BAG-00-00-00 2500  KG  22036698</t>
  </si>
  <si>
    <t>000200540978  NX07344-BK1E257-BAG-00-00-00 300  KG  22036891</t>
  </si>
  <si>
    <t>000200525845  V1000-BK1A905-FBG-00-00-00 1000  KG  22024807</t>
  </si>
  <si>
    <t>000200531650  KL004A-BK1A733-BAG-00-00-00 500  KG  22036555</t>
  </si>
  <si>
    <t>000200540025  KL004AXD-NC-BAG-00-00-00 500  KG  22029369</t>
  </si>
  <si>
    <t>000200537644  RFL36S-BK1A842-SBG-00-00-00 1000  KG  22028388</t>
  </si>
  <si>
    <t>000200525417  UF0067V-BKNAT-FBG-00-00-00 575  KG  22104373</t>
  </si>
  <si>
    <t>0092464767  DE0029E-GY3A643-SBG-00-00-00 300  KG  22031872</t>
  </si>
  <si>
    <t>000200524533  UF0067W-BK1B661-SBG-00-00-00 960  KG  22102550</t>
  </si>
  <si>
    <t>000200500465  K2000-GYMDNAT-BAG-00-00-00 5000  KG  22036840</t>
  </si>
  <si>
    <t>000200537862  UF0067V-BKNAT-FBG-00-00-00 330  KG  22104373</t>
  </si>
  <si>
    <t>000200537864  UF0067V-BKNAT-FBG-00-00-00 330  KG  22104373</t>
  </si>
  <si>
    <t>000200537768  UF0067V-BKNAT-FBG-00-00-00 330  KG  22104373</t>
  </si>
  <si>
    <t>000200537863  UF0067V-BKNAT-FBG-00-00-00 330  KG  22104373</t>
  </si>
  <si>
    <t>000200537800  UF0067V-BKNAT-FBG-00-00-00 330  KG  22104373</t>
  </si>
  <si>
    <t>000200537801  UF0067V-BKNAT-FBG-00-00-00 330  KG  22104373</t>
  </si>
  <si>
    <t>000200516576  RFL36S-BK1A842-SBG-00-00-00 5000  KG  22028388</t>
  </si>
  <si>
    <t>000200503093  500R-GY3G080-BAG-00-00-00 2000  KG  22038734</t>
  </si>
  <si>
    <t>000200497136  R2000-GYMDNAT-SBG-00-00-00 1000  KG  22041327</t>
  </si>
  <si>
    <t>000200536226  DD0009PC-BKNAT-BAG-00-00-00 1000  KG  22035801</t>
  </si>
  <si>
    <t>000200522255  KD000EI-BKNAT-BAG-00-00-00 1000  KG  22032511</t>
  </si>
  <si>
    <t>000200528606  RL004-GYMDNAT-SBG-00-00-00 2000  KG  22037043</t>
  </si>
  <si>
    <t>000200508439  RFL36-BK1B602-SBG-00-00-00 2000  KG  22029457</t>
  </si>
  <si>
    <t>000200536058  D151-7M4D046-BAG-00-00-00 1000  KG  22046330</t>
  </si>
  <si>
    <t>000200537023  500ECR-YW6E070-BAG-00-00-00 575  KG  22038715</t>
  </si>
  <si>
    <t>000200537595  WF006N-7A1A0666-SBG-00-00-00 1000  KG  22098412</t>
  </si>
  <si>
    <t>000200537622  WF006N-4A6A3914 1000  KG  299904430</t>
  </si>
  <si>
    <t>LEX1T</t>
  </si>
  <si>
    <t>22022020</t>
  </si>
  <si>
    <t>940A-116-BAG-00-00-00</t>
  </si>
  <si>
    <t>LEXFR1T</t>
  </si>
  <si>
    <t>22023563</t>
  </si>
  <si>
    <t>HF1130-111-BAG-00-00-00</t>
  </si>
  <si>
    <t>COYFR4O</t>
  </si>
  <si>
    <t>22022070</t>
  </si>
  <si>
    <t>945-NC-BAG-00-00-00</t>
  </si>
  <si>
    <t>22022574</t>
  </si>
  <si>
    <t>C6600-8M9D029-BAG-00-00-00</t>
  </si>
  <si>
    <t>22017080</t>
  </si>
  <si>
    <t>943A-116-BAG-00-00-00</t>
  </si>
  <si>
    <t>COYFR5DO</t>
  </si>
  <si>
    <t>22039232</t>
  </si>
  <si>
    <t>CX7240-7T1D193-BAG-00-00-00</t>
  </si>
  <si>
    <t>22022271</t>
  </si>
  <si>
    <t>C2950-701-BAG-00-00-00</t>
  </si>
  <si>
    <t>LEX8X</t>
  </si>
  <si>
    <t>XEN8O</t>
  </si>
  <si>
    <t>22034407</t>
  </si>
  <si>
    <t>925-GY1G168-BAG-00-00-00</t>
  </si>
  <si>
    <t>LEX7T</t>
  </si>
  <si>
    <t>22018361</t>
  </si>
  <si>
    <t>C6600-111-BAG-00-00-00</t>
  </si>
  <si>
    <t>22022249</t>
  </si>
  <si>
    <t>C2800-111-BAG-00-00-00</t>
  </si>
  <si>
    <t>22022222</t>
  </si>
  <si>
    <t>C1200HF-701-BAG-00-00-00</t>
  </si>
  <si>
    <t>22021418</t>
  </si>
  <si>
    <t>144R-111FC-BAG-00-00-00</t>
  </si>
  <si>
    <t>22021359</t>
  </si>
  <si>
    <t>141R-701-BAG-00-00-00</t>
  </si>
  <si>
    <t>LEXGDT</t>
  </si>
  <si>
    <t>22018730</t>
  </si>
  <si>
    <t>LS2-6162-BAG-00-00-00</t>
  </si>
  <si>
    <t>LEX6DT</t>
  </si>
  <si>
    <t>22029126</t>
  </si>
  <si>
    <t>141R-BR4A174-BAG-00-00-00</t>
  </si>
  <si>
    <t>LEXF8O</t>
  </si>
  <si>
    <t>22029383</t>
  </si>
  <si>
    <t>EXL1434-WH9G202-BAG-00-00-00</t>
  </si>
  <si>
    <t>22017663</t>
  </si>
  <si>
    <t>BFL4000U-WH3150-BAG-00-00-00</t>
  </si>
  <si>
    <t>LEXF1X</t>
  </si>
  <si>
    <t>22019581</t>
  </si>
  <si>
    <t>945-701-BAG-00-00-00</t>
  </si>
  <si>
    <t>22017144</t>
  </si>
  <si>
    <t>3412ECR-739-BAG-00-00-00</t>
  </si>
  <si>
    <t>22021728</t>
  </si>
  <si>
    <t>3412R-131-BAG-00-00-00</t>
  </si>
  <si>
    <t>22037868</t>
  </si>
  <si>
    <t>3412ECR-WH8E395-BAG-00-00-00</t>
  </si>
  <si>
    <t>VALF7O</t>
  </si>
  <si>
    <t>22019549</t>
  </si>
  <si>
    <t>940-701-BAG-00-00-00</t>
  </si>
  <si>
    <t>22017351</t>
  </si>
  <si>
    <t>CX7240-701-BAG-00-00-00</t>
  </si>
  <si>
    <t>22038377</t>
  </si>
  <si>
    <t>945-7M1D115-BAG-00-00-00</t>
  </si>
  <si>
    <t>22022725</t>
  </si>
  <si>
    <t>CX7240-7M1D051-BAG-00-00-00</t>
  </si>
  <si>
    <t>22039947</t>
  </si>
  <si>
    <t>EXL9414T-NA8E034T-BAG-00-00-00</t>
  </si>
  <si>
    <t>LEXX7T</t>
  </si>
  <si>
    <t>22023863</t>
  </si>
  <si>
    <t>MC8002-701-BAG-00-00-00</t>
  </si>
  <si>
    <t>LEXFRGDT</t>
  </si>
  <si>
    <t>000200546667  LUX9230T-11204-BAG-00-00-00 20000  KG  22036941</t>
  </si>
  <si>
    <t>000200545244  141-111-BAG-00-00-00 2000  KG  22027982</t>
  </si>
  <si>
    <t>0093984325  945-8T9D231-BAG-00-00-00 20000  KG  22043924</t>
  </si>
  <si>
    <t>000200522212  244RF-111FC-BAG-00-00-00 20000  KG  22028402</t>
  </si>
  <si>
    <t>000200529142  244RF-111FC-BAG-00-00-00 10000  KG  22028402</t>
  </si>
  <si>
    <t>000200534687  244RF-111FC-BAG-00-00-00 10300  KG  22028402</t>
  </si>
  <si>
    <t>000200522273  201R-111-BAG-00-00-00 20000  KG  22017278</t>
  </si>
  <si>
    <t>000200522272  201R-111-BAG-00-00-00 20000  KG  22017278</t>
  </si>
  <si>
    <t>0093984326  945-8T9D231-BAG-00-00-00 20000  KG  22043924</t>
  </si>
  <si>
    <t>000200523474  HF1130-111-BAG-00-00-00 20000  KG  22023563</t>
  </si>
  <si>
    <t>000200523475  HF1130-111-BAG-00-00-00 20000  KG  22023563</t>
  </si>
  <si>
    <t>0093984327  945-8T9D231-BAG-00-00-00 20000  KG  22043924</t>
  </si>
  <si>
    <t>0093984328  945-8T9D231-BAG-00-00-00 20000  KG  22043924</t>
  </si>
  <si>
    <t>000200465970  124R-111FC-BAG-00-00-00 20000  KG  22021312</t>
  </si>
  <si>
    <t>000200548380  C2950-WH8G018-BAG-00-00-00 5000  KG  22031555</t>
  </si>
  <si>
    <t>000200548369  C2950-GY8E432-BAG-00-00-00 5000  KG  22029950</t>
  </si>
  <si>
    <t>000200541702  XTPMFR10-WH9F029-BAG-00-00-00 20600  KG  22037804</t>
  </si>
  <si>
    <t>000200498128  LUX2289-WH9G012-BAG-00-00-00 10000  KG  22023833</t>
  </si>
  <si>
    <t>0094762137  943A-116-BAG-00-00-00 20000  KG  22017080</t>
  </si>
  <si>
    <t>000200538664  C2950-8T8D247-BAG-00-00-00 10000  KG  22046215</t>
  </si>
  <si>
    <t>000200549457  XHT2141-GY8D046-BAG-00-00-00 5000  KG  22025085</t>
  </si>
  <si>
    <t>000200547370  241R-YW8C033-BAG-00-00-00 5000  KG  22031082</t>
  </si>
  <si>
    <t>000200547393  241R-GY8C122-BAG-00-00-00 5000  KG  22033484</t>
  </si>
  <si>
    <t>000200498164  LUX2289-WH9G012-BAG-00-00-00 10000  KG  22023833</t>
  </si>
  <si>
    <t>000200393615  CY6414-8G8A2728 20000  KG  299903043</t>
  </si>
  <si>
    <t>000200548511  CX7240U-7T7D246-BAG-00-00-00 10000  KG  22032098</t>
  </si>
  <si>
    <t>000200546484  LUX2289-WH9G012-BAG-00-00-00 2000  KG  22023833</t>
  </si>
  <si>
    <t>000200546406  CX7240-2M2D027-BAG-00-00-00 5000  KG  22065061</t>
  </si>
  <si>
    <t>000200533826  C6600-8M9D029-BAG-00-00-00 5000  KG  22022574</t>
  </si>
  <si>
    <t>000200498154  LUX2289-WH9G012-BAG-00-00-00 10000  KG  22023833</t>
  </si>
  <si>
    <t>000200548772  CY6025-WH8G710-BAG-00-00-00 10000  KG  22030264</t>
  </si>
  <si>
    <t>000200549508  XHT2141-GY8D046-BAG-00-00-00 5000  KG  22025085</t>
  </si>
  <si>
    <t>000200520048  CX7240-8T7D033-BAG-00-00-00 10000  KG  22030084</t>
  </si>
  <si>
    <t>000200498129  LUX2289-WH9G012-BAG-00-00-00 10000  KG  22023833</t>
  </si>
  <si>
    <t>000200549473  XHT4141-GY8D046-BAG-00-00-00 8000  KG  22021049</t>
  </si>
  <si>
    <t>000200548434  C2950-8T8D247-BAG-00-00-00 10000  KG  22046215</t>
  </si>
  <si>
    <t>000200498132  LUX2289-WH9G012-BAG-00-00-00 10000  KG  22023833</t>
  </si>
  <si>
    <t>000200498114  LUX2289-WH9G012-BAG-00-00-00 10000  KG  22023833</t>
  </si>
  <si>
    <t>000200544340  EXL9330-5T7D005-BAG-00-00-00 5000  KG  22029397</t>
  </si>
  <si>
    <t>000200551140  C6600-8M9D029-BAG-00-00-00 5000  KG  22022574</t>
  </si>
  <si>
    <t>000200548773  CY6025-WH8G710-BAG-00-00-00 10000  KG  22030264</t>
  </si>
  <si>
    <t>0086435844  XCY620S-100-BAG-00-00-00 22000  KG  22025073</t>
  </si>
  <si>
    <t>0086435845  XCY620S-100-BAG-00-00-00 10000  KG  22025073</t>
  </si>
  <si>
    <t>000200549509  XHT4141-GY8D046-BAG-00-00-00 8000  KG  22021049</t>
  </si>
  <si>
    <t>000200498133  LUX2289-WH9G012-BAG-00-00-00 10000  KG  22023833</t>
  </si>
  <si>
    <t>000200304498  C2950-WH8G018-BAG-00-00-00 5000  KG  22031555</t>
  </si>
  <si>
    <t>000200542091  XTPMFR10-BK1G005-BAG-00-00-00 3000  KG  22044494</t>
  </si>
  <si>
    <t>000200498168  XHT2141-GY5G190-BAG-00-00-00 10000  KG  22041167</t>
  </si>
  <si>
    <t>000200543722  C6600-BR2E056-BAG-00-00-00 3000  KG  22035299</t>
  </si>
  <si>
    <t>000200545170  C2950-GY8E438-BAG-00-00-00 5000  KG  22039523</t>
  </si>
  <si>
    <t>000200500370  C6600-2B2D022-BAG-00-00-00 15000  KG  22044467</t>
  </si>
  <si>
    <t>0093945016  EXL9330-BK1A068-BAG-00-00-00 20000  KG  22018508</t>
  </si>
  <si>
    <t>0094585942  144-111N-BBG-00-00-00 20000  KG  22088203</t>
  </si>
  <si>
    <t>0094586129  144-111N-BBG-00-00-00 20000  KG  22088203</t>
  </si>
  <si>
    <t>000200548394  CX7240-7T1D434-BAG-00-00-00 2000  KG  22067443</t>
  </si>
  <si>
    <t>000200547386  C6600-BK1D834-BAG-00-00-00 3000  KG  22031674</t>
  </si>
  <si>
    <t>0082933310  XCY620S-100-BAG-00-00-00 20000  KG  22025073</t>
  </si>
  <si>
    <t>000200532396  CY6025-2B2D023-BAG-00-00-00 20600  KG  22044231</t>
  </si>
  <si>
    <t>000200542714  MC8002-100-BAG-00-00-00 2000  KG  22018740</t>
  </si>
  <si>
    <t>0092846785  EXL9330-BK1A068-BAG-00-00-00 20000  KG  22018508</t>
  </si>
  <si>
    <t>000200547362  EXL8483-7A1D262-BAG-00-00-00 3000  KG  22040537</t>
  </si>
  <si>
    <t>000200544332  C1200HF-GY2D234-BAG-00-00-00 2000  KG  22031629</t>
  </si>
  <si>
    <t>000200519091  CX7240-BK1C340-BAG-00-00-00 10000  KG  22039249</t>
  </si>
  <si>
    <t>000200547544  ML6411-7T1D043-BAG-00-00-00 2000  KG  22036796</t>
  </si>
  <si>
    <t>000200549284  C2950-GY8E438-BAG-00-00-00 2000  KG  22039523</t>
  </si>
  <si>
    <t>000200535091  CX7240U-7T1D359-BAG-00-00-00 20000  KG  22035659</t>
  </si>
  <si>
    <t>000200510569  123R-GY2G204-BBG-00-00-00 10000  KG  22098752</t>
  </si>
  <si>
    <t>000200550000  CX7240-7T1A0602 5325  KG  299900516</t>
  </si>
  <si>
    <t>000200543497  C1200HF-701-SSS-00-00-00 20000  KG  22039382</t>
  </si>
  <si>
    <t>0082933313  XCY620S-100-BAG-00-00-00 20000  KG  22025073</t>
  </si>
  <si>
    <t>000200539064  ML6411-7T4D041L-BAG-00-00-00 10000  KG  22036797</t>
  </si>
  <si>
    <t>000200548470  950-BK1334 5000  KG  299900857</t>
  </si>
  <si>
    <t>0090053025  XCY620S-100-BAG-00-00-00 10000  KG  22025073</t>
  </si>
  <si>
    <t>000200536265  CY6012-7M1D238-BAG-00-00-00 10000  KG  22089280</t>
  </si>
  <si>
    <t>000200549180  C3650-701-BAG-00-00-00 2000  KG  22022511</t>
  </si>
  <si>
    <t>0094692503  EXL1414-BK1A068-BAG-00-00-00 20000  KG  22022857</t>
  </si>
  <si>
    <t>000200536212  EXL9330-7T1D102-BAG-00-00-00 5000  KG  22036321</t>
  </si>
  <si>
    <t>0092846407  EXL9330P-BK1E649-BAG-00-00-00 20000  KG  22035991</t>
  </si>
  <si>
    <t>0094493855  CFR7431-NA8E061T-BAG-00-00-00 1000  KG  22018381</t>
  </si>
  <si>
    <t>000200546349  943A-WH6A042X-BAG-00-00-00 300  KG  22028005</t>
  </si>
  <si>
    <t>000200548317  HF1130R-BK1A184T-BAG-00-00-00 1000  KG  22046457</t>
  </si>
  <si>
    <t>000200551018  915R-GY5515-BAG-00-00-00 1000  KG  22043816</t>
  </si>
  <si>
    <t>000200550099  CX7240U-8T9A4268 325  KG  299905127</t>
  </si>
  <si>
    <t>000200548339  C2950HF-7T2D326-BAG-00-00-00 500  KG  22085309</t>
  </si>
  <si>
    <t>000200549100  223R-RD8G025-BAG-00-00-00 500  KG  22037765</t>
  </si>
  <si>
    <t>000200524763  CX7240-7T5D172-BAG-00-00-00 675  KG  22085534</t>
  </si>
  <si>
    <t>000200513088  C2800-701-BAG-00-00-00 1000  KG  22017334</t>
  </si>
  <si>
    <t>000200537813  XCY620-GY7G608-BAG-00-00-00 1000  KG  22045866</t>
  </si>
  <si>
    <t>000200545169  C2950-GY8E432-BAG-00-00-00 5000  KG  22029950</t>
  </si>
  <si>
    <t>0094495299  C6600-111-BAG-00-00-00 20000  KG  22018361</t>
  </si>
  <si>
    <t>000200547554  241R-111N-BAG-00-00-00 5000  KG  22038436</t>
  </si>
  <si>
    <t>000200543701  123-701-BAG-00-00-00 10000  KG  22021277</t>
  </si>
  <si>
    <t>000200488975  C1200HF-100-BAG-00-00-00 10000  KG  22019660</t>
  </si>
  <si>
    <t>0090033776  C1200HF-701-BAG-00-00-00 20000  KG  22022222</t>
  </si>
  <si>
    <t>000200544278  104R-111FC-BAG-00-00-00 5000  KG  22021222</t>
  </si>
  <si>
    <t>000200485196  241R-701-BAG-00-00-00 10000  KG  22021559</t>
  </si>
  <si>
    <t>000200533839  C1200HF-7001-BAG-00-00-00 10000  KG  22034851</t>
  </si>
  <si>
    <t>000200538947  241R-WH6D069-BAG-00-00-00 20000  KG  22030876</t>
  </si>
  <si>
    <t>0090033777  C1200HF-701-BAG-00-00-00 20000  KG  22022222</t>
  </si>
  <si>
    <t>000200530236  C1200HF-BK2G024-BAG-00-00-00 20000  KG  22034874</t>
  </si>
  <si>
    <t>000200547417  241R-WH2C006-BAG-00-00-00 10000  KG  22038458</t>
  </si>
  <si>
    <t>000200547415  143R-701-BAG-00-00-00 10000  KG  22021393</t>
  </si>
  <si>
    <t>000200530327  C1200HF-BK2G024-BAG-00-00-00 20000  KG  22034874</t>
  </si>
  <si>
    <t>0088398244  C1200HF-100-BAG-00-00-00 20000  KG  22019660</t>
  </si>
  <si>
    <t>000200546332  CY6012-6M4D043-BAG-00-00-00 5000  KG  22066416</t>
  </si>
  <si>
    <t>000200541157  C1100HF-701-BAG-00-00-00 5000  KG  22039357</t>
  </si>
  <si>
    <t>000200540749  C1200HF-GY1D473-BAG-00-00-00 3000  KG  22039416</t>
  </si>
  <si>
    <t>000200530237  C1200HF-BK2G024-BAG-00-00-00 20000  KG  22034874</t>
  </si>
  <si>
    <t>000200494126  C1100HF-701-BAG-00-00-00 10000  KG  22039357</t>
  </si>
  <si>
    <t>000200536187  C1200HF-BK2G024-BAG-00-00-00 20000  KG  22034874</t>
  </si>
  <si>
    <t>000200470140  C1200HF-BK2E082-BAG-00-00-00 5000  KG  22019663</t>
  </si>
  <si>
    <t>000200543766  C1200HF-7001-BAG-00-00-00 10000  KG  22034851</t>
  </si>
  <si>
    <t>000200466005  124R-111FC-BAG-00-00-00 20000  KG  22021312</t>
  </si>
  <si>
    <t>0094020252  SLX2271T-BK1G296-BAG-00-00-00 20000  KG  22020921</t>
  </si>
  <si>
    <t>0094727003  C2950-701-BAG-00-00-00 20000  KG  22022271</t>
  </si>
  <si>
    <t>0081871816  XCY620-BK1005-BAG-00-00-00 20000  KG  22025061</t>
  </si>
  <si>
    <t>000200503072  C6600-8B8D004-BAG-00-00-00 6000  KG  22035246</t>
  </si>
  <si>
    <t>000200542985  C6600-GY6D379-BAG-00-00-00 6000  KG  22034902</t>
  </si>
  <si>
    <t>000200497039  C1200HF-BK1G484U-BBG-00-00-00 20000  KG  22031613</t>
  </si>
  <si>
    <t>0094020253  SLX2271T-BK1G296-BAG-00-00-00 20000  KG  22020921</t>
  </si>
  <si>
    <t>000200494096  C1100HF-701-BAG-00-00-00 10000  KG  22039357</t>
  </si>
  <si>
    <t>0094691987  SLX2271T-BK1G296-BAG-00-00-00 20000  KG  22020921</t>
  </si>
  <si>
    <t>0094676108  C1200HF-701-BAG-00-00-00 20000  KG  22022222</t>
  </si>
  <si>
    <t>0094676109  C1200HF-701-BAG-00-00-00 20000  KG  22022222</t>
  </si>
  <si>
    <t>0094676110  C1200HF-701-BAG-00-00-00 20000  KG  22022222</t>
  </si>
  <si>
    <t>000200543428  CY6414-701-BAG-00-00-00 5000  KG  22035338</t>
  </si>
  <si>
    <t>000200494097  C1100HF-701-BAG-00-00-00 10000  KG  22039357</t>
  </si>
  <si>
    <t>000200497040  C1200HF-BK1G484U-BBG-00-00-00 20000  KG  22031613</t>
  </si>
  <si>
    <t>000200533869  LS2-414-BAG-00-00-00 5000  KG  22018729</t>
  </si>
  <si>
    <t>000200547700  ENH2901RC-7A1D332-BAG-00-00-00 1000  KG  22084251</t>
  </si>
  <si>
    <t>000200550310  943-GN2G015-BAG-00-00-00 3200  KG  22031427</t>
  </si>
  <si>
    <t>000200538639  C1200HF-BL1D183-BAG-00-00-00 5000  KG  22029048</t>
  </si>
  <si>
    <t>000200549059  LS2-414-BAG-00-00-00 5000  KG  22018729</t>
  </si>
  <si>
    <t>000200528522  EXL1414T-7A1D194-BAG-00-00-00 1000  KG  22039730</t>
  </si>
  <si>
    <t>000200545310  121R-BK1G122-BAG-00-00-00 1000  KG  22037469</t>
  </si>
  <si>
    <t>000200541761  C2950HF-6T2D025-BAG-00-00-00 500  KG  22034628</t>
  </si>
  <si>
    <t>000200548391  C6600-7T1D434-BAG-00-00-00 1500  KG  22085413</t>
  </si>
  <si>
    <t>000200547890  LS2-6162-BAG-00-00-00 3000  KG  22018730</t>
  </si>
  <si>
    <t>000200547875  LS2-414-BAG-00-00-00 2000  KG  22018729</t>
  </si>
  <si>
    <t>000200547421  121R-21092-BAG-00-00-00 3000  KG  22028394</t>
  </si>
  <si>
    <t>000200540989  C6600-GY3A381-BAG-00-00-00 1100  KG  22028152</t>
  </si>
  <si>
    <t>000200549174  141R-BR4A174-BAG-00-00-00 5000  KG  22029126</t>
  </si>
  <si>
    <t>000200526544  923A-OR5E115-BAG-00-00-00 1000  KG  22038249</t>
  </si>
  <si>
    <t>000200549141  943-RD5G044-BAG-00-00-00 1000  KG  22029974</t>
  </si>
  <si>
    <t>000200549104  LS2-414-BAG-00-00-00 3000  KG  22018729</t>
  </si>
  <si>
    <t>000200535984  HF1130R-BK1A184T-BAG-00-00-00 1000  KG  22046457</t>
  </si>
  <si>
    <t>000200535943  C6200-BL11040-BAG-00-00-00 1000  KG  22067402</t>
  </si>
  <si>
    <t>000200548667  241R-OR8B007-BAG-00-00-00 2000  KG  22038456</t>
  </si>
  <si>
    <t>000200541599  121R-21092-BAG-00-00-00 1000  KG  22028394</t>
  </si>
  <si>
    <t>000200550432  ML6411-96536-BAG-00-00-00 2000  KG  22030573</t>
  </si>
  <si>
    <t>000200537688  SLX2471T-RD1H002-BAG-00-00-00 10000  KG  22093031</t>
  </si>
  <si>
    <t>0092466148  EXL9112-BK1A068-BAG-00-00-00 1000  KG  22035891</t>
  </si>
  <si>
    <t>000200480859  121R-VT6A015T-BAG-00-00-00 1000  KG  22033298</t>
  </si>
  <si>
    <t>000200526321  EXL9330-WH6E276-BAG-00-00-00 2000  KG  22039934</t>
  </si>
  <si>
    <t>000200536952  241R-BR6G173-BAG-00-00-00 1000  KG  22046023</t>
  </si>
  <si>
    <t>000200527302  EXL9134-7A8D006-BAG-00-00-00 1000  KG  22023110</t>
  </si>
  <si>
    <t>000200544606  MG47-NA1000-BAG-00-00-00 2000  KG  22024011</t>
  </si>
  <si>
    <t>000200548634  EXL9330-YW8D008-BAG-00-00-00 5000  KG  22032208</t>
  </si>
  <si>
    <t>0093764833  945-WH9D687-BAG-00-00-00 1000  KG  22034271</t>
  </si>
  <si>
    <t>0092845294  LUX7169-WH8G733-BAG-00-00-00 2000  KG  22041058</t>
  </si>
  <si>
    <t>000200513875  123R-WH6D257-BAG-00-00-00 2000  KG  22033097</t>
  </si>
  <si>
    <t>000200549184  FXD121R-WH6E008X-BAG-00-00-00 2000  KG  22036130</t>
  </si>
  <si>
    <t>000200529057  243R-WH9A238-BAG-00-00-00 2000  KG  22033838</t>
  </si>
  <si>
    <t>000200549052  EXL9330-8T7D131-BAG-00-00-00 800  KG  22083954</t>
  </si>
  <si>
    <t>000200539650  221R-WH8D107-BAG-00-00-00 5000  KG  22019258</t>
  </si>
  <si>
    <t>000200550025  EXL9330-8T7D101 1500  KG  299902015</t>
  </si>
  <si>
    <t>000200513876  123R-WH6D257-BAG-00-00-00 2100  KG  22033097</t>
  </si>
  <si>
    <t>000200538637  C1200HF-96622-BAG-00-00-00 4000  KG  22034863</t>
  </si>
  <si>
    <t>000200498192  C6600-GY7C059-BAG-00-00-00 2000  KG  22029291</t>
  </si>
  <si>
    <t>000200549057  BFL4000U-WH3150-BAG-00-00-00 1000  KG  22017663</t>
  </si>
  <si>
    <t>000200521332  V1000-NA7D007-FBG-00-00-00 5472.5  KG  22082541</t>
  </si>
  <si>
    <t>0094674075  V4760-100-BAG-00-00-00 1000  KG  22064645</t>
  </si>
  <si>
    <t>000200551243  DFP36-BK1A672-SBG-00-00-00 1500  KG  22040199</t>
  </si>
  <si>
    <t>0094716356  UFL36S-BKNAT-SBG-00-00-00 1000  KG  22041363</t>
  </si>
  <si>
    <t>000200497136  R2000-GYMDNAT-SBG-00-00-00 2000  KG  22041327</t>
  </si>
  <si>
    <t>000200548537  RL004-GYMDNAT-SBG-00-00-00 6000  KG  22037043</t>
  </si>
  <si>
    <t>000200528588  RL004-GYMDNAT-SBG-00-00-00 2000  KG  22037043</t>
  </si>
  <si>
    <t>000200546344  RFL36-BK1B602-SBG-00-00-00 3000  KG  22029457</t>
  </si>
  <si>
    <t>000200549387  500-131-BAG-00-00-00 2000  KG  22021688</t>
  </si>
  <si>
    <t>000200542705  MFB82I-BK1B459-BAG-00-00-00 2500  KG  22036698</t>
  </si>
  <si>
    <t>0092464768  DE0029E-GY3A643-SBG-00-00-00 300  KG  22031872</t>
  </si>
  <si>
    <t>0087881252  DX89406-BKNAT-BPK-00-00-00 10000  KG  22039467</t>
  </si>
  <si>
    <t>000200542031  DX89406-BKNAT-BPK-00-00-00 10500  KG  22039467</t>
  </si>
  <si>
    <t>0090094674  DX89406-BKNAT-BPK-00-00-00 10000  KG  22039467</t>
  </si>
  <si>
    <t>0094494895  945-701-BAG-00-00-00 20000  KG  22019581</t>
  </si>
  <si>
    <t>0092466154  DX89406-BKNAT-BPK-00-00-00 10000  KG  22039467</t>
  </si>
  <si>
    <t>000200547664  DX89406-BKNAT-BPK-00-00-00 10000  KG  22039467</t>
  </si>
  <si>
    <t>0094494896  945-701-BAG-00-00-00 20000  KG  22019581</t>
  </si>
  <si>
    <t>0092466155  DX89406-BKNAT-BPK-00-00-00 10000  KG  22039467</t>
  </si>
  <si>
    <t>0092466156  DX89406-BKNAT-BPK-00-00-00 10000  KG  22039467</t>
  </si>
  <si>
    <t>0092466157  DX89406-BKNAT-BPK-00-00-00 10000  KG  22039467</t>
  </si>
  <si>
    <t>0092466158  DX89406-BKNAT-BPK-00-00-00 10000  KG  22039467</t>
  </si>
  <si>
    <t>0092466159  DX89406-BKNAT-BPK-00-00-00 10000  KG  22039467</t>
  </si>
  <si>
    <t>0094765393  945-701-BAG-00-00-00 20000  KG  22019581</t>
  </si>
  <si>
    <t>0092466160  DX89406-BKNAT-BPK-00-00-00 10000  KG  22039467</t>
  </si>
  <si>
    <t>0092466161  DX89406-BKNAT-BPK-00-00-00 10000  KG  22039467</t>
  </si>
  <si>
    <t>0092466162  DX89406-BKNAT-BPK-00-00-00 10000  KG  22039467</t>
  </si>
  <si>
    <t>0092466163  DX89406-BKNAT-BPK-00-00-00 10000  KG  22039467</t>
  </si>
  <si>
    <t>0092466164  DX89406-BKNAT-BPK-00-00-00 10000  KG  22039467</t>
  </si>
  <si>
    <t>000200491976  DX11328-NC-BPK-00-00-00 15000  KG  22035937</t>
  </si>
  <si>
    <t>0092302303  DX89406-BKNAT-BPK-00-00-00 10000  KG  22039467</t>
  </si>
  <si>
    <t>0092302304  DX89406-BKNAT-BPK-00-00-00 10000  KG  22039467</t>
  </si>
  <si>
    <t>0094765394  945-701-BAG-00-00-00 20000  KG  22019581</t>
  </si>
  <si>
    <t>000200544598  141R-701-BAG-00-00-00 5000  KG  22021359</t>
  </si>
  <si>
    <t>0092466165  DX89406-BKNAT-BPK-00-00-00 10000  KG  22039467</t>
  </si>
  <si>
    <t>0092302301  DX89406-BKNAT-BPK-00-00-00 10000  KG  22039467</t>
  </si>
  <si>
    <t>0092302302  DX89406-BKNAT-BPK-00-00-00 10000  KG  22039467</t>
  </si>
  <si>
    <t>0092302298  DX89406-BKNAT-BPK-00-00-00 10000  KG  22039467</t>
  </si>
  <si>
    <t>0092302299  DX89406-BKNAT-BPK-00-00-00 10000  KG  22039467</t>
  </si>
  <si>
    <t>0092302300  DX89406-BKNAT-BPK-00-00-00 10000  KG  22039467</t>
  </si>
  <si>
    <t>0092302296  DX89406-BKNAT-BPK-00-00-00 10000  KG  22039467</t>
  </si>
  <si>
    <t>0092302297  DX89406-BKNAT-BPK-00-00-00 10000  KG  22039467</t>
  </si>
  <si>
    <t>000200491997  DX11328-NC-BPK-00-00-00 15000  KG  22035937</t>
  </si>
  <si>
    <t>0093943947  945-NC-BAG-00-00-00 20000  KG  22022070</t>
  </si>
  <si>
    <t>000200545549  3412R-131-BAG-00-00-00 10000  KG  22021728</t>
  </si>
  <si>
    <t>000200502901  3412ECR-WH8E395-BAG-00-00-00 5000  KG  22037868</t>
  </si>
  <si>
    <t>0093780670  420SE0-BK1066-BAG-00-00-00 20000  KG  22019379</t>
  </si>
  <si>
    <t>0094018565  420SE0-BK1066-BAG-00-00-00 20000  KG  22019379</t>
  </si>
  <si>
    <t>0094768364  3412ECR-739-BAG-00-00-00 20000  KG  22017144</t>
  </si>
  <si>
    <t>0094692502  EXL1414-BK1A068-BAG-00-00-00 20000  KG  22022857</t>
  </si>
  <si>
    <t>0094769041  420SE0-BK1066-BAG-00-00-00 20000  KG  22019379</t>
  </si>
  <si>
    <t>0094494532  3412ECR-739-BAG-00-00-00 20000  KG  22017144</t>
  </si>
  <si>
    <t>0094769042  420SE0-BK1066-BAG-00-00-00 20000  KG  22019379</t>
  </si>
  <si>
    <t>000200546328  420SE0J-7001-BAG-00-00-00 10000  KG  22031201</t>
  </si>
  <si>
    <t>000200533514  EXL5689-7T3D061L-BAG-00-00-00 20000  KG  22022893</t>
  </si>
  <si>
    <t>000200539068  HFD4472-7N1D050-BAG-00-00-00 4500  KG  22036414</t>
  </si>
  <si>
    <t>000200497197  XCM830-76701-BAG-00-00-00 10000  KG  22033024</t>
  </si>
  <si>
    <t>0093295934  ML9696-701-SSS-00-00-00 20000  KG  22036814</t>
  </si>
  <si>
    <t>0094714324  XCY620-BK1005-BAG-00-00-00 10000  KG  22025061</t>
  </si>
  <si>
    <t>0093290780  ML9696-701-SSS-00-00-00 20000  KG  22036814</t>
  </si>
  <si>
    <t>0094691986  SLX2271T-BK1G296-BAG-00-00-00 20000  KG  22020921</t>
  </si>
  <si>
    <t>0094727004  C2950-701-BAG-00-00-00 20000  KG  22022271</t>
  </si>
  <si>
    <t>000200550103  925U-BK1B205-BAG-00-00-00 2000  KG  22034107</t>
  </si>
  <si>
    <t>0093290781  ML9696-701-SSS-00-00-00 20000  KG  22036814</t>
  </si>
  <si>
    <t>0093290782  ML9696-701-SSS-00-00-00 20000  KG  22036814</t>
  </si>
  <si>
    <t>000200497208  XCM830-76701-BAG-00-00-00 10000  KG  22033024</t>
  </si>
  <si>
    <t>0082957930  XCY620S-76701-BAG-00-00-00 20000  KG  22037308</t>
  </si>
  <si>
    <t>0082962854  XCY620S-76701-BAG-00-00-00 20000  KG  22037308</t>
  </si>
  <si>
    <t>000200546324  HFD4472-7N1D050-BAG-00-00-00 5000  KG  22036414</t>
  </si>
  <si>
    <t>0085806441  XCY620S-76701-BAG-00-00-00 20000  KG  22037308</t>
  </si>
  <si>
    <t>0082962837  XCY620S-76701-BAG-00-00-00 20000  KG  22037308</t>
  </si>
  <si>
    <t>0082962838  XCY620S-76701-BAG-00-00-00 20000  KG  22037308</t>
  </si>
  <si>
    <t>0082962870  XCY620S-76701-BAG-00-00-00 20000  KG  22037308</t>
  </si>
  <si>
    <t>000200497262  XCM830-76701-BAG-00-00-00 10000  KG  22033024</t>
  </si>
  <si>
    <t>000200508722  CP8320-76701-BAG-00-00-00 10000  KG  22056197</t>
  </si>
  <si>
    <t>000200497209  XCM830-76701-BAG-00-00-00 10000  KG  22033024</t>
  </si>
  <si>
    <t>0094765392  945-701-BAG-00-00-00 20000  KG  22019581</t>
  </si>
  <si>
    <t>0094691473  955-701-BAG-00-00-00 10000  KG  22022095</t>
  </si>
  <si>
    <t>0094714322  XCY620-BK1005-BAG-00-00-00 20000  KG  22025061</t>
  </si>
  <si>
    <t>0094714323  XCY620-BK1005-BAG-00-00-00 20000  KG  22025061</t>
  </si>
  <si>
    <t>0094692421  CX7240-7T1D193-BAG-00-00-00 20000  KG  22039232</t>
  </si>
  <si>
    <t>0094692475  EXL1132T-7T1D468-BAG-00-00-00 10000  KG  22089041</t>
  </si>
  <si>
    <t>0086447230  XCY620-BK1005-BAG-00-00-00 20000  KG  22025061</t>
  </si>
  <si>
    <t>000200497126  RCY6214-7M1D182-BAG-00-00-00 20000  KG  22040925</t>
  </si>
  <si>
    <t>0086447231  XCY620-BK1005-BAG-00-00-00 10000  KG  22025061</t>
  </si>
  <si>
    <t>0071618759  XCY620S-76701-BAG-00-00-00 20000  KG  22037308</t>
  </si>
  <si>
    <t>0075314818  XCY620S-76701-BAG-00-00-00 20000  KG  22037308</t>
  </si>
  <si>
    <t>0071618758  XCY620S-76701-BAG-00-00-00 20000  KG  22037308</t>
  </si>
  <si>
    <t>0082962864  XCY620S-76701-BAG-00-00-00 20000  KG  22037308</t>
  </si>
  <si>
    <t>0082962875  XCY620S-76701-BAG-00-00-00 20000  KG  22037308</t>
  </si>
  <si>
    <t>0082962848  XCY620S-76701-BAG-00-00-00 20000  KG  22037308</t>
  </si>
  <si>
    <t>0082962849  XCY620S-76701-BAG-00-00-00 20000  KG  22037308</t>
  </si>
  <si>
    <t>0082962859  XCY620S-76701-BAG-00-00-00 20000  KG  22037308</t>
  </si>
  <si>
    <t>000200537177  945-7T2D216-BAG-00-00-00 7000  KG  22029986</t>
  </si>
  <si>
    <t>0082962853  XCY620S-76701-BAG-00-00-00 20000  KG  22037308</t>
  </si>
  <si>
    <t>0082962852  XCY620S-76701-BAG-00-00-00 20000  KG  22037308</t>
  </si>
  <si>
    <t>0082962851  XCY620S-76701-BAG-00-00-00 20000  KG  22037308</t>
  </si>
  <si>
    <t>0082962850  XCY620S-76701-BAG-00-00-00 20000  KG  22037308</t>
  </si>
  <si>
    <t>0071618761  XCY620S-76701-BAG-00-00-00 20000  KG  22037308</t>
  </si>
  <si>
    <t>0082957941  XCY620S-76701-BAG-00-00-00 20000  KG  22037308</t>
  </si>
  <si>
    <t>0082957942  XCY620S-76701-BAG-00-00-00 20000  KG  22037308</t>
  </si>
  <si>
    <t>0090054452  XCY620-BK1005-BAG-00-00-00 20000  KG  22025061</t>
  </si>
  <si>
    <t>000200537202  945-7T2D216-BAG-00-00-00 5000  KG  22029986</t>
  </si>
  <si>
    <t>000200497370  945U-NC-BAG-00-00-00 10197  KG  22039271</t>
  </si>
  <si>
    <t>0094492809  945-8T9D231-BAG-00-00-00 20000  KG  22043924</t>
  </si>
  <si>
    <t>0094768366  940-NC-BAG-00-00-00 20000  KG  22022017</t>
  </si>
  <si>
    <t>0094726999  945-8T7D087-BAG-00-00-00 20000  KG  22031466</t>
  </si>
  <si>
    <t>000200540933  C6600-GY6A480-BAG-00-00-00 2200  KG  22027944</t>
  </si>
  <si>
    <t>000200529111  C2100-86159-BAG-00-00-00 2000  KG  22029924</t>
  </si>
  <si>
    <t>0093290248  357TF-1001-SSS-00-00-00 20000  KG  22088360</t>
  </si>
  <si>
    <t>000200527627  945-7T9A0590-BAG-00-00-00 10000  KG  22098535</t>
  </si>
  <si>
    <t>000200446072  945-8T8A1183 8000  KG  299901533</t>
  </si>
  <si>
    <t>000200500299  HF1110-7G7A0963T 20000  KG  299901071</t>
  </si>
  <si>
    <t>0094691979  940A-116-BAG-00-00-00 20000  KG  22022020</t>
  </si>
  <si>
    <t>0094691980  940A-116-BAG-00-00-00 20000  KG  22022020</t>
  </si>
  <si>
    <t>000200497123  GLX143-GN4G119T-BAG-00-00-00 10000  KG  22067691</t>
  </si>
  <si>
    <t>000200545240  143R-WH7D381X-BAG-00-00-00 2000  KG  22017275</t>
  </si>
  <si>
    <t>000200531578  LS2-414-BAG-00-00-00 20000  KG  22018729</t>
  </si>
  <si>
    <t>000200533476  123R-WH7D277X-BAG-00-00-00 10000  KG  22021303</t>
  </si>
  <si>
    <t>000200531580  LS2-4135-BAG-00-00-00 20000  KG  22028049</t>
  </si>
  <si>
    <t>0094727000  945-NC-BAG-00-00-00 20000  KG  22022070</t>
  </si>
  <si>
    <t>000200548766  241R-GN8B014T-BAG-00-00-00 2000  KG  22030867</t>
  </si>
  <si>
    <t>000200497052  GLX143-GN4G119T-BAG-00-00-00 10000  KG  22067691</t>
  </si>
  <si>
    <t>000200497053  GLX143-GN4G119T-BAG-00-00-00 10000  KG  22067691</t>
  </si>
  <si>
    <t>000200540940  FXD121R-WH6E008X-BAG-00-00-00 2000  KG  22036130</t>
  </si>
  <si>
    <t>000200497104  GLX143-GN4G119T-BAG-00-00-00 10000  KG  22067691</t>
  </si>
  <si>
    <t>000200551096  LUX2114G-WH8G625X-BAG-00-00-00 875  KG  22032676</t>
  </si>
  <si>
    <t>0094699044  MC1300-100-BAG-00-00-00 20000  KG  22018739</t>
  </si>
  <si>
    <t>0094700205  XCY620S-100-BAG-00-00-00 20000  KG  22025073</t>
  </si>
  <si>
    <t>0094700206  XCY620S-100-BAG-00-00-00 20000  KG  22025073</t>
  </si>
  <si>
    <t>0094699045  MC1300-100-BAG-00-00-00 20000  KG  22018739</t>
  </si>
  <si>
    <t>0094699046  MC1300-100-BAG-00-00-00 20000  KG  22018739</t>
  </si>
  <si>
    <t>000200526353  LUX2114G-WH4G039X-BAG-00-00-00 15000  KG  22030544</t>
  </si>
  <si>
    <t>0082948898  MC1300-100-BAG-00-00-00 20000  KG  22018739</t>
  </si>
  <si>
    <t>0082948899  MC1300-100-BAG-00-00-00 20000  KG  22018739</t>
  </si>
  <si>
    <t>000200526354  LUX2114G-WH8B508X-BAG-00-00-00 15000  KG  22020466</t>
  </si>
  <si>
    <t>000200526409  LUX2114G-WH5B140X-BAG-00-00-00 15000  KG  22023831</t>
  </si>
  <si>
    <t>000200537101  HF1130-111-BAG-00-00-00 10000  KG  22023563</t>
  </si>
  <si>
    <t>000200549506  LUX2114G-WH5B140X-BAG-00-00-00 1000  KG  22023831</t>
  </si>
  <si>
    <t>000200497069  LG9000-100-BAG-00-00-00 20000  KG  22023994</t>
  </si>
  <si>
    <t>0082948900  MC1300-100-BAG-00-00-00 20000  KG  22018739</t>
  </si>
  <si>
    <t>0094699040  MC1300-100-BAG-00-00-00 20000  KG  22018739</t>
  </si>
  <si>
    <t>0094699041  MC1300-100-BAG-00-00-00 20000  KG  22018739</t>
  </si>
  <si>
    <t>000200526408  LUX2114G-WH8B508X-BAG-00-00-00 15000  KG  22020466</t>
  </si>
  <si>
    <t>000200526256  LUX2114G-WH4G039X-BAG-00-00-00 14000  KG  22030544</t>
  </si>
  <si>
    <t>000200526425  LUX2114G-WH5B140X-BAG-00-00-00 15000  KG  22023831</t>
  </si>
  <si>
    <t>000200549460  LUX2114G-WH8G625X-BAG-00-00-00 5000  KG  22032676</t>
  </si>
  <si>
    <t>0094678264  MC1300-100-BAG-00-00-00 20000  KG  22018739</t>
  </si>
  <si>
    <t>0094678265  MC1300-100-BAG-00-00-00 20000  KG  22018739</t>
  </si>
  <si>
    <t>0094678266  MC1300-100-BAG-00-00-00 20000  KG  22018739</t>
  </si>
  <si>
    <t>000200549461  LUX2114G-WH8G625X-BAG-00-00-00 3000  KG  22032676</t>
  </si>
  <si>
    <t>000200497070  LG9000-100-BAG-00-00-00 20000  KG  22023994</t>
  </si>
  <si>
    <t>0088398245  C1200HF-100-BAG-00-00-00 20000  KG  22019660</t>
  </si>
  <si>
    <t>0094700527  MC1300-100-BAG-00-00-00 20000  KG  22018739</t>
  </si>
  <si>
    <t>0094700528  MC1300-100-BAG-00-00-00 20000  KG  22018739</t>
  </si>
  <si>
    <t>0094700529  MC1300-100-BAG-00-00-00 20000  KG  22018739</t>
  </si>
  <si>
    <t>0094700530  MC1300-100-BAG-00-00-00 20000  KG  22018739</t>
  </si>
  <si>
    <t>0094700531  MC1300-100-BAG-00-00-00 20000  KG  22018739</t>
  </si>
  <si>
    <t>000200546728  LUX9230T-11204-BAG-00-00-00 20000  KG  22036941</t>
  </si>
  <si>
    <t>000200546668  LUX9230T-11204-BAG-00-00-00 20000  KG  22036941</t>
  </si>
  <si>
    <t>000200510608  141R-GY6A427-SSS-00-00-00 15000  KG  22038198</t>
  </si>
  <si>
    <t>000200503118  121R-7R7D031-SSS-00-00-00 20000  KG  22037463</t>
  </si>
  <si>
    <t>000200525722  244RF-GY7G193F-BAG-00-00-00 10000  KG  22033846</t>
  </si>
  <si>
    <t>000200505772  121R-7R7D031-SSS-00-00-00 20000  KG  22037463</t>
  </si>
  <si>
    <t>000200478881  141R-80711-BAG-00-00-00 9000  KG  22038171</t>
  </si>
  <si>
    <t>000200538948  241R-WH6D069-BAG-00-00-00 10000  KG  22030876</t>
  </si>
  <si>
    <t>0094691981  945-NC-BAG-00-00-00 20000  KG  22022070</t>
  </si>
  <si>
    <t>0094691982  945-NC-BAG-00-00-00 20000  KG  22022070</t>
  </si>
  <si>
    <t>000200545534  CX7240-7T1D434-BAG-00-00-00 5000  KG  22067443</t>
  </si>
  <si>
    <t>000200539042  241R-BR7D001-BAG-00-00-00 10000  KG  22033469</t>
  </si>
  <si>
    <t>0086436886  144R-111FC-BAG-00-00-00 20000  KG  22021418</t>
  </si>
  <si>
    <t>0094727001  945-NC-BAG-00-00-00 20000  KG  22022070</t>
  </si>
  <si>
    <t>0094727002  945-NC-BAG-00-00-00 20000  KG  22022070</t>
  </si>
  <si>
    <t>000200550423  241R-WH6D069-BAG-00-00-00 10000  KG  22030876</t>
  </si>
  <si>
    <t>000200550422  241R-WH6D069-BAG-00-00-00 20000  KG  22030876</t>
  </si>
  <si>
    <t>000200502927  EXL9330-5T7D005-BAG-00-00-00 5000  KG  22029397</t>
  </si>
  <si>
    <t>000200531796  241R-WH6D069-BAG-00-00-00 20000  KG  22030876</t>
  </si>
  <si>
    <t>0092477893  LUX9612-WH8E508X-BAG-00-00-00 3000  KG  22017108</t>
  </si>
  <si>
    <t>000200470141  123R-WH5G107-BAG-00-00-00 2000  KG  22044544</t>
  </si>
  <si>
    <t>0085647844  MC1300-100-BAG-00-00-00 20000  KG  22018739</t>
  </si>
  <si>
    <t>000200524337  EXL1414-GY8B195-BAG-00-00-00 5000  KG  22040454</t>
  </si>
  <si>
    <t>000200529089  121R-7R7D031-SSS-00-00-00 20000  KG  22037463</t>
  </si>
  <si>
    <t>000200509387  141R-80711-BAG-00-00-00 9000  KG  22038171</t>
  </si>
  <si>
    <t>000200464870  C3650-111-BAG-00-00-00 16000  KG  22019705</t>
  </si>
  <si>
    <t>000200546710  LUX9230T-11204-BAG-00-00-00 20000  KG  22036941</t>
  </si>
  <si>
    <t>000200547293  945-8T9D231-BAG-00-00-00 20600  KG  22043924</t>
  </si>
  <si>
    <t>000200547619  945-8T9D148-BAG-00-00-00 20000  KG  22038397</t>
  </si>
  <si>
    <t>000200548382  EXL9330-7T7D185-BAG-00-00-00 6000  KG  22040593</t>
  </si>
  <si>
    <t>0094699039  MC1300-100-BAG-00-00-00 20000  KG  22018739</t>
  </si>
  <si>
    <t>0094700207  XCY620S-100-BAG-00-00-00 20000  KG  22025073</t>
  </si>
  <si>
    <t>000200544370  EXL1414-BK1A329-BAG-00-00-00 2000  KG  22039632</t>
  </si>
  <si>
    <t>000200504666  MC1300-100-SSS-00-00-00 20000  KG  22036948</t>
  </si>
  <si>
    <t>0085647849  MC1300-100-BAG-00-00-00 20000  KG  22018739</t>
  </si>
  <si>
    <t>000200386739  MC1300-100-BAG-00-00-00 20600  KG  22018739</t>
  </si>
  <si>
    <t>0082948897  MC1300-100-BAG-00-00-00 20000  KG  22018739</t>
  </si>
  <si>
    <t>0094699042  MC1300-100-BAG-00-00-00 20000  KG  22018739</t>
  </si>
  <si>
    <t>0094699043  MC1300-100-BAG-00-00-00 20000  KG  22018739</t>
  </si>
  <si>
    <t>0082962841  XCY620S-76701-BAG-00-00-00 20000  KG  22037308</t>
  </si>
  <si>
    <t>0082962869  XCY620S-76701-BAG-00-00-00 20000  KG  22037308</t>
  </si>
  <si>
    <t>0082962862  XCY620S-76701-BAG-00-00-00 20000  KG  22037308</t>
  </si>
  <si>
    <t>0082962860  XCY620S-76701-BAG-00-00-00 20000  KG  22037308</t>
  </si>
  <si>
    <t>0082962858  XCY620S-76701-BAG-00-00-00 20000  KG  22037308</t>
  </si>
  <si>
    <t>0082962857  XCY620S-76701-BAG-00-00-00 20000  KG  22037308</t>
  </si>
  <si>
    <t>000200504690  MC1300-100-SSS-00-00-00 20000  KG  22036948</t>
  </si>
  <si>
    <t>0094678267  MC1300-100-BAG-00-00-00 20000  KG  22018739</t>
  </si>
  <si>
    <t>0082962847  XCY620S-76701-BAG-00-00-00 20000  KG  22037308</t>
  </si>
  <si>
    <t>0082962846  XCY620S-76701-BAG-00-00-00 20000  KG  22037308</t>
  </si>
  <si>
    <t>0082962845  XCY620S-76701-BAG-00-00-00 20000  KG  22037308</t>
  </si>
  <si>
    <t>0082962835  XCY620S-76701-BAG-00-00-00 20000  KG  22037308</t>
  </si>
  <si>
    <t>0082962836  XCY620S-76701-BAG-00-00-00 20000  KG  22037308</t>
  </si>
  <si>
    <t>0094678268  MC1300-100-BAG-00-00-00 20000  KG  22018739</t>
  </si>
  <si>
    <t>0094678269  MC1300-100-BAG-00-00-00 20000  KG  22018739</t>
  </si>
  <si>
    <t>0094678270  MC1300-100-BAG-00-00-00 20000  KG  22018739</t>
  </si>
  <si>
    <t>0094678271  MC1300-100-BAG-00-00-00 20000  KG  22018739</t>
  </si>
  <si>
    <t>0094700208  XCY620S-100-BAG-00-00-00 20000  KG  22025073</t>
  </si>
  <si>
    <t>0094678272  MC1300-100-BAG-00-00-00 20000  KG  22018739</t>
  </si>
  <si>
    <t>0094678273  MC1300-100-BAG-00-00-00 20000  KG  22018739</t>
  </si>
  <si>
    <t>000200504766  MC1300-100-SSS-00-00-00 20000  KG  22036948</t>
  </si>
  <si>
    <t>000200423650  LS1-701-BAG-00-00-00 20600  KG  22041018</t>
  </si>
  <si>
    <t>000200470305  C1200HF-7001-BBG-00-00-00 15450  KG  22028879</t>
  </si>
  <si>
    <t>000200534693  143-BK1111-BAG-00-00-00 10000  KG  22030766</t>
  </si>
  <si>
    <t>000200496373  XCY620-BK1G372-BAG-00-00-00 15000  KG  22041153</t>
  </si>
  <si>
    <t>000200496233  XCY620-BK1G372-BAG-00-00-00 10000  KG  22041153</t>
  </si>
  <si>
    <t>0094692685  XP4034-BK1041-BAG-00-00-00 10000  KG  22019027</t>
  </si>
  <si>
    <t>0094692686  XP4034-BK1041-BAG-00-00-00 10000  KG  22019027</t>
  </si>
  <si>
    <t>0094692687  XP4034-BK1041-BAG-00-00-00 10000  KG  22019027</t>
  </si>
  <si>
    <t>000200488858  XCY620-BK1G372-BAG-00-00-00 10000  KG  22041153</t>
  </si>
  <si>
    <t>000200545298  XCY620-BK1G372-BAG-00-00-00 6000  KG  22041153</t>
  </si>
  <si>
    <t>0090656596  XP4034-BK1041-BAG-00-00-00 15000  KG  22019027</t>
  </si>
  <si>
    <t>000200538791  NXCY620-BKNAT-BAG-00-00-00 13000  KG  22036896</t>
  </si>
  <si>
    <t>0090033778  C1200HF-701-BAG-00-00-00 15000  KG  22022222</t>
  </si>
  <si>
    <t>000200548508  141R-701-BAG-00-00-00 10000  KG  22021359</t>
  </si>
  <si>
    <t>000200502316  LG9000-BK1044-BAG-00-00-00 20000  KG  22018724</t>
  </si>
  <si>
    <t>000200550037  141R-701-BAG-00-00-00 6375  KG  22021359</t>
  </si>
  <si>
    <t>000200547735  XP4034-GY1E811-BAG-00-00-00 10000  KG  22019030</t>
  </si>
  <si>
    <t>000200497056  LG9000-701-BAG-00-00-00 20000  KG  22017215</t>
  </si>
  <si>
    <t>0094714320  XCY620-BK1005-BAG-00-00-00 20000  KG  22025061</t>
  </si>
  <si>
    <t>000200528390  MC1300-701-BAG-00-00-00 9475  KG  22023858</t>
  </si>
  <si>
    <t>000200545450  LG9000-7G1A3595 5000  KG  299904096</t>
  </si>
  <si>
    <t>000200496387  LG9000-BK1044MX-BAG-00-00-00 10500  KG  22036575</t>
  </si>
  <si>
    <t>000200508782  XP4034-GY1E349-BAG-00-00-00 10000  KG  22041179</t>
  </si>
  <si>
    <t>0082959378  C1200HF-701-BAG-00-00-00 20000  KG  22022222</t>
  </si>
  <si>
    <t>0090033779  C1200HF-701-BAG-00-00-00 20000  KG  22022222</t>
  </si>
  <si>
    <t>0090656597  XP4034-BK1041-BAG-00-00-00 20000  KG  22019027</t>
  </si>
  <si>
    <t>000200537204  C1200HF-GY1460-BAG-00-00-00 5000  KG  22039413</t>
  </si>
  <si>
    <t>0094692688  XP4034-BK1041-BAG-00-00-00 10000  KG  22019027</t>
  </si>
  <si>
    <t>000200549493  LS1-701-BAG-00-00-00 20000  KG  22041018</t>
  </si>
  <si>
    <t>000200521960  C1200HF-GY1460-BAG-00-00-00 10000  KG  22039413</t>
  </si>
  <si>
    <t>000200551142  C1200HF-BK2G024-BAG-00-00-00 20000  KG  22034874</t>
  </si>
  <si>
    <t>000200551079  C1200HF-BK2G024-BAG-00-00-00 20000  KG  22034874</t>
  </si>
  <si>
    <t>000200549471  LS1-701-BAG-00-00-00 20000  KG  22041018</t>
  </si>
  <si>
    <t>0094692789  XP4034-BK1041-BAG-00-00-00 10000  KG  22019027</t>
  </si>
  <si>
    <t>0094692790  XP4034-BK1041-BAG-00-00-00 15000  KG  22019027</t>
  </si>
  <si>
    <t>000200549400  LS1-701-BAG-00-00-00 20000  KG  22041018</t>
  </si>
  <si>
    <t>000200496374  XCY620-BK1G372-BAG-00-00-00 16000  KG  22041153</t>
  </si>
  <si>
    <t>000200549507  LS1-701-BAG-00-00-00 20000  KG  22041018</t>
  </si>
  <si>
    <t>000200551123  C1200HF-BK2G024-BAG-00-00-00 20000  KG  22034874</t>
  </si>
  <si>
    <t>000200549528  LS1-701-BAG-00-00-00 20000  KG  22041018</t>
  </si>
  <si>
    <t>000200508695  XP4034-GY1E349-BAG-00-00-00 10000  KG  22041179</t>
  </si>
  <si>
    <t>000200497125  LG9000-701-BAG-00-00-00 20000  KG  22017215</t>
  </si>
  <si>
    <t>000200551017  C1200HF-BK2G024-BAG-00-00-00 20000  KG  22034874</t>
  </si>
  <si>
    <t>0094714325  XCY620-BK1005-BAG-00-00-00 20000  KG  22025061</t>
  </si>
  <si>
    <t>000200549459  LS1-701-BAG-00-00-00 20000  KG  22041018</t>
  </si>
  <si>
    <t>000200540824  LG9000-GY1C306-BAG-00-00-00 13000  KG  22018726</t>
  </si>
  <si>
    <t>000200539808  C1200HF-GY1460-BAG-00-00-00 5000  KG  22039413</t>
  </si>
  <si>
    <t>000200537703  C1200HF-GY1460-BAG-00-00-00 10000  KG  22039413</t>
  </si>
  <si>
    <t>000200537625  XCY620-BK1G372-BAG-00-00-00 10000  KG  22041153</t>
  </si>
  <si>
    <t>000200535117  XCY620-BK1G372-BAG-00-00-00 10000  KG  22041153</t>
  </si>
  <si>
    <t>000200421463  LUX9130T-NAT-BAG-00-00-00 10000  KG  22036940</t>
  </si>
  <si>
    <t>000200546700  LUX9230T-11204-BAG-00-00-00 20000  KG  22036941</t>
  </si>
  <si>
    <t>000200550250  EXL9134-7A8D006-BAG-00-00-00 1000  KG  22023110</t>
  </si>
  <si>
    <t>000200540632  9925A-NA1A0036-BAG-00-00-00 2000  KG  22034701</t>
  </si>
  <si>
    <t>000200488972  HF1130-111-BAG-00-00-00 2000  KG  22023563</t>
  </si>
  <si>
    <t>000200543655  923A-116-BAG-00-00-00 1000  KG  22022183</t>
  </si>
  <si>
    <t>000200530593  LUX2114G-WH5B140X-BAG-00-00-00 1000  KG  22023831</t>
  </si>
  <si>
    <t>000200534747  LUX2114G-WH8G625X-BAG-00-00-00 5000  KG  22032676</t>
  </si>
  <si>
    <t>000200538718  121R-1A9D007T-BAG-00-00-00 500  KG  22037448</t>
  </si>
  <si>
    <t>000200528316  143R-WH7D381X-BAG-00-00-00 3000  KG  22017275</t>
  </si>
  <si>
    <t>000200550336  FXD171R-WH7D264X-BAG-00-00-00 500  KG  22040730</t>
  </si>
  <si>
    <t>000200421445  LUX9130T-NAT-BAG-00-00-00 10000  KG  22036940</t>
  </si>
  <si>
    <t>000200536980  950A-116-BAG-00-00-00 1000  KG  22018296</t>
  </si>
  <si>
    <t>000200509337  LUX2114G-WH8B508X-BAG-00-00-00 2000  KG  22020466</t>
  </si>
  <si>
    <t>000200543585  121R-1A9D007T-BAG-00-00-00 1200  KG  22037448</t>
  </si>
  <si>
    <t>000200506912  FXD121R-WH6D266X-BAG-00-00-00 2000  KG  22040027</t>
  </si>
  <si>
    <t>000200534777  953A-116-BAG-00-00-00 1000  KG  22022088</t>
  </si>
  <si>
    <t>0075164447  XCY620S-100-BAG-00-00-00 20000  KG  22025073</t>
  </si>
  <si>
    <t>000200548737  LUX9610-111N-BAG-00-00-00 1675  KG  22041065</t>
  </si>
  <si>
    <t>000200523571  103-111-BAG-00-00-00 5000  KG  22028578</t>
  </si>
  <si>
    <t>000200514393  FXD141R-NA1D001X-BAG-00-00-00 2000  KG  22030318</t>
  </si>
  <si>
    <t>000200549117  9925A-NA1A0036-BAG-00-00-00 2000  KG  22034701</t>
  </si>
  <si>
    <t>000200496048  FXD121R-WH6E008X-BAG-00-00-00 2000  KG  22036130</t>
  </si>
  <si>
    <t>000200426612  LUX2114G-WH4G020X-BAG-00-00-00 3000  KG  22036929</t>
  </si>
  <si>
    <t>000200530651  LUX2114G-WH5B140X-BAG-00-00-00 2000  KG  22023831</t>
  </si>
  <si>
    <t>000200496047  FXD121R-NA2D006X-BAG-00-00-00 2000  KG  22036125</t>
  </si>
  <si>
    <t>000200495973  164H-111FC-BAG-00-00-00 2000  KG  22031018</t>
  </si>
  <si>
    <t>0086435842  XCY620S-100-BAG-00-00-00 10000  KG  22025073</t>
  </si>
  <si>
    <t>000200506819  FXD121R-WH6D266X-BAG-00-00-00 2000  KG  22040027</t>
  </si>
  <si>
    <t>000200421444  LUX9130T-NAT-BAG-00-00-00 10000  KG  22036940</t>
  </si>
  <si>
    <t>000200496049  FXD121R-WH6E008X-BAG-00-00-00 2000  KG  22036130</t>
  </si>
  <si>
    <t>000200538716  945-7A1A2480 1500  KG  299902726</t>
  </si>
  <si>
    <t>000200549991  ML6411-GY1G200-BAG-00-00-00 5000  KG  22030574</t>
  </si>
  <si>
    <t>000200515682  EXL9134-7T2D205-BAG-00-00-00 2000  KG  22029393</t>
  </si>
  <si>
    <t>000200528634  4701R-700001-BAG-00-00-00 2000  KG  22019391</t>
  </si>
  <si>
    <t>000200499056  945U-7T2A2362 2000  KG  299902755</t>
  </si>
  <si>
    <t>0094722438  945-7M1D249-BAG-00-00-00 2000  KG  22099268</t>
  </si>
  <si>
    <t>000200550356  EXL9330-BK1A361-BAG-00-00-00 500  KG  22017754</t>
  </si>
  <si>
    <t>000200547603  C6600-7T1D193-BAG-00-00-00 10000  KG  22039700</t>
  </si>
  <si>
    <t>000200520325  XP4034-BK1E477-BAG-00-00-00 2000  KG  22032854</t>
  </si>
  <si>
    <t>000200516769  XP4034-GY1E811-BAG-00-00-00 5000  KG  22019030</t>
  </si>
  <si>
    <t>000200549232  943-GY1B340-BAG-00-00-00 2000  KG  22029971</t>
  </si>
  <si>
    <t>000200543608  945-7A1A2480 2000  KG  299902726</t>
  </si>
  <si>
    <t>000200548672  C6200-7T1D306-BAG-00-00-00 10000  KG  22035116</t>
  </si>
  <si>
    <t>000200550342  C6600-BR2E056-BAG-00-00-00 5000  KG  22035299</t>
  </si>
  <si>
    <t>000200541759  C6600-GY2A547-BAG-00-00-00 1000  KG  22038939</t>
  </si>
  <si>
    <t>000200532750  CX7241-7R1D180-BAG-00-00-00 2000  KG  22072855</t>
  </si>
  <si>
    <t>000200479758  LG9000-BK1044-BAG-00-00-00 1000  KG  22018724</t>
  </si>
  <si>
    <t>000200537925  XCY620-BK1G372-BAG-00-00-00 3000  KG  22041153</t>
  </si>
  <si>
    <t>000200529075  953-701-BAG-00-00-00 5000  KG  22019593</t>
  </si>
  <si>
    <t>000200531622  EXL9330-BK1A233-BAG-00-00-00 10000  KG  22020017</t>
  </si>
  <si>
    <t>000200550070  D251RC-7A1D379-BAG-00-00-00 18000  KG  22097758</t>
  </si>
  <si>
    <t>0094691477  CH6410-701-BAG-00-00-00 20000  KG  22035048</t>
  </si>
  <si>
    <t>0093763724  DX11355-BKNAT-FBG-00-00-00 20000  KG  22082385</t>
  </si>
  <si>
    <t>000200531614  EXL9330-BK1A233-BAG-00-00-00 20000  KG  22020017</t>
  </si>
  <si>
    <t>0092846408  EXL9330P-BK1E649-BAG-00-00-00 20000  KG  22035991</t>
  </si>
  <si>
    <t>000200531516  EXL9330-BK1A233-BAG-00-00-00 20000  KG  22020017</t>
  </si>
  <si>
    <t>000200547546  C4220-76701-BAG-00-00-00 5000  KG  22030087</t>
  </si>
  <si>
    <t>000200547239  D251-701-BAG-00-00-00 500  KG  22044245</t>
  </si>
  <si>
    <t>0092477789  RCP36-BK1A862-SBG-00-00-00 2400  KG  22040918</t>
  </si>
  <si>
    <t>000200544259  HFD4472-7N1D050-BAG-00-00-00 500  KG  22036414</t>
  </si>
  <si>
    <t>000200549228  WF006N-7A1A0666-SBG-00-00-00 1000  KG  22098412</t>
  </si>
  <si>
    <t>000200548651  HFD4472-7N1D050-BAG-00-00-00 1500  KG  22036414</t>
  </si>
  <si>
    <t>0094491517  DX11355-BKNAT-FBG-00-00-00 20000  KG  22082385</t>
  </si>
  <si>
    <t>0094678238  D551RC-701-SBG-00-00-00 20000  KG  22086246</t>
  </si>
  <si>
    <t>0092477790  RCP36-BK1A862-SBG-00-00-00 2400  KG  22040918</t>
  </si>
  <si>
    <t>0092477547  RFL36XXY-BK1A843-SBG-00-00-00 2400  KG  22029458</t>
  </si>
  <si>
    <t>000200550412  DX10311-7B1D125-SBG-00-00-00 5000  KG  22029221</t>
  </si>
  <si>
    <t>000200548730  WF006N-7A1A0666-SBG-00-00-00 1000  KG  22098412</t>
  </si>
  <si>
    <t>0092477791  RCP36-BK1A862-SBG-00-00-00 2400  KG  22040918</t>
  </si>
  <si>
    <t>000200546323  HFD4472-7N1D050-BAG-00-00-00 1100  KG  22036414</t>
  </si>
  <si>
    <t>0094691478  DX11355-BKNAT-FBG-00-00-00 20000  KG  22082385</t>
  </si>
  <si>
    <t>0092477792  RCP36-BK1A862-SBG-00-00-00 3200  KG  22040918</t>
  </si>
  <si>
    <t>000200541939  A3000-BK8115-BAG-00-00-00 1000  KG  22034318</t>
  </si>
  <si>
    <t>000200544217  EXL9330-BL4D142-BAG-00-00-00 2000  KG  22039900</t>
  </si>
  <si>
    <t>000200545243  UFL36S-BKNAT-SBG-00-00-00 300  KG  22041363</t>
  </si>
  <si>
    <t>000200546646  AE0039-BK8115 315  KG  299905510</t>
  </si>
  <si>
    <t>000200546258  WF006N-4A8A3915 1000  KG  299904429</t>
  </si>
  <si>
    <t>000200549055  MC5220-7001-BAG-00-00-00 2000  KG  22030554</t>
  </si>
  <si>
    <t>000200548396  WF006N-4A6A3914 1000  KG  299904430</t>
  </si>
  <si>
    <t>000200545178  DX11355-BKNAT-FBG-00-00-00 20000  KG  22082385</t>
  </si>
  <si>
    <t>000200548500  DC0041PR-7M1D145-BAG-00-00-00 515  KG  22084188</t>
  </si>
  <si>
    <t>000200547276  BX7241-7A1D330-BAG-00-00-00 2000  KG  22072651</t>
  </si>
  <si>
    <t>0094117104  DX11355-BKNAT-FBG-00-00-00 20000  KG  22082385</t>
  </si>
  <si>
    <t>000200544627  BX7241-7A1D330-BAG-00-00-00 500  KG  22072651</t>
  </si>
  <si>
    <t>0094117105  DX11355-BKNAT-FBG-00-00-00 20000  KG  22082385</t>
  </si>
  <si>
    <t>0094674079  DX11355-BKNAT-FBG-00-00-00 20000  KG  22082385</t>
  </si>
  <si>
    <t>0085966981  RFP36-BK1A856-SBG-00-00-00 1000  KG  22040935</t>
  </si>
  <si>
    <t>000200545606  EXL9134-7A8D006-BAG-00-00-00 1000  KG  22023110</t>
  </si>
  <si>
    <t>000200549114  WF006N-6A4A3348-SBG-00-00-00 1000  KG  22104377</t>
  </si>
  <si>
    <t>0094493586  UFL36AS-YWLTNAT-SBG-00-00-00 2000  KG  22037570</t>
  </si>
  <si>
    <t>000200543491  915R-GY5G115-BAG-00-00-00 1000  KG  22038986</t>
  </si>
  <si>
    <t>0086521991  UFL36S-BKNAT-SBG-00-00-00 1000  KG  22041363</t>
  </si>
  <si>
    <t>0092134647  BPL1000-GY6E054-BAG-00-00-00 1000  KG  22038531</t>
  </si>
  <si>
    <t>000200498112  141R-701-BAG-00-00-00 20000  KG  22021359</t>
  </si>
  <si>
    <t>000200547389  EXL1434-BK1A068-BAG-00-00-00 1000  KG  22039766</t>
  </si>
  <si>
    <t>0093763139  DX11355-BKNAT-FBG-00-00-00 20000  KG  22082385</t>
  </si>
  <si>
    <t>000200471481  LS1-701-BAG-00-00-00 15000  KG  22041018</t>
  </si>
  <si>
    <t>000200539706  121R-701-BAG-00-00-00 10000  KG  22021257</t>
  </si>
  <si>
    <t>000200470367  LS1-701-BAG-00-00-00 10000  KG  22041018</t>
  </si>
  <si>
    <t>000200516703  LS1-701-BAG-00-00-00 20000  KG  22041018</t>
  </si>
  <si>
    <t>000200464898  LS1-701-BAG-00-00-00 10000  KG  22041018</t>
  </si>
  <si>
    <t>000200513616  123-701-BAG-00-00-00 20000  KG  22021277</t>
  </si>
  <si>
    <t>000200471705  LS1-701-BAG-00-00-00 10000  KG  22041018</t>
  </si>
  <si>
    <t>000200516704  LS1-701-BAG-00-00-00 20000  KG  22041018</t>
  </si>
  <si>
    <t>000200516577  LS1-701-BAG-00-00-00 20000  KG  22041018</t>
  </si>
  <si>
    <t>000200516705  LS1-701-BAG-00-00-00 20000  KG  22041018</t>
  </si>
  <si>
    <t>000200470442  LS1-701-BAG-00-00-00 10000  KG  22041018</t>
  </si>
  <si>
    <t>000200516678  LS1-701-BAG-00-00-00 20000  KG  22041018</t>
  </si>
  <si>
    <t>000200516636  LS1-701-BAG-00-00-00 20000  KG  22041018</t>
  </si>
  <si>
    <t>0092302282  DX89406-BKNAT-BPK-00-00-00 10000  KG  22039467</t>
  </si>
  <si>
    <t>0092302280  DX89406-BKNAT-BPK-00-00-00 10000  KG  22039467</t>
  </si>
  <si>
    <t>0092302277  DX89406-BKNAT-BPK-00-00-00 10000  KG  22039467</t>
  </si>
  <si>
    <t>000200542662  123R-GY1E837T-BAG-00-00-00 50  KG  22030939</t>
  </si>
  <si>
    <t>000200537938  CFR9111-7M1D228T-BAG-00-00-00 200  KG  22083871</t>
  </si>
  <si>
    <t>000200488967  FXD171R-8B8D022X-BAG-00-00-00 150  KG  22029426</t>
  </si>
  <si>
    <t>000200550366  CX7240-GY8E013 100  KG  299905543</t>
  </si>
  <si>
    <t>000200551150  EXL1433T-NA8A005T-BAG-00-00-00 100  KG  22019987</t>
  </si>
  <si>
    <t>000200548570  SLX2271T-NA9E166T-BAG-00-00-00 100  KG  22024947</t>
  </si>
  <si>
    <t>000200551225  C7210A-GY7G398-BAG-00-00-00 500  KG  22031946</t>
  </si>
  <si>
    <t>000200516671  EXL9134-7A7D083-BAG-00-00-00 250  KG  22035904</t>
  </si>
  <si>
    <t>000200548727  223R-BR2G132-BAG-00-00-00 500  KG  22044053</t>
  </si>
  <si>
    <t>0091762082  ENH2900-WH6G038-BAG-00-00-00 25  KG  22040325</t>
  </si>
  <si>
    <t>000200538643  C6200-RD3A411-BAG-00-00-00 100  KG  22031764</t>
  </si>
  <si>
    <t>000200540937  920A-WH1C032X-BAG-00-00-00 100  KG  22022177</t>
  </si>
  <si>
    <t>000200541667  915R-8R9D110-BAG-00-00-00 70  KG  22033973</t>
  </si>
  <si>
    <t>000200542925  9915A-112-BAG-00-00-00 100  KG  22031397</t>
  </si>
  <si>
    <t>000200541978  C2950-BL4008-BAG-00-00-00 225  KG  22019690</t>
  </si>
  <si>
    <t>000200544352  BX7241-7A1D330-BAG-00-00-00 100  KG  22072651</t>
  </si>
  <si>
    <t>000200520262  C6200-7T6D075-BAG-00-00-00 300  KG  22031744</t>
  </si>
  <si>
    <t>000200548479  EXL1414T-7N1A3204 100  KG  299903534</t>
  </si>
  <si>
    <t>000200534803  C2800-GY6B278-BAG-00-00-00 50  KG  22038683</t>
  </si>
  <si>
    <t>000200545571  CX7259-7A1D057-BAG-00-00-00 100  KG  22022747</t>
  </si>
  <si>
    <t>000200547734  C6600-8M9D029-BAG-00-00-00 100  KG  22022574</t>
  </si>
  <si>
    <t>000200547340  C2800-GY5A333-BAG-00-00-00 100  KG  22035001</t>
  </si>
  <si>
    <t>000200550049  C2800-GY5A333-BAG-00-00-00 200  KG  22035001</t>
  </si>
  <si>
    <t>000200548426  C6200-BK1E140-BAG-00-00-00 75  KG  22031752</t>
  </si>
  <si>
    <t>000200550530  241R-7R6D018T-BAG-00-00-00 300  KG  22028674</t>
  </si>
  <si>
    <t>000200544628  EXL9330-7T3D128-BAG-00-00-00 100  KG  22036326</t>
  </si>
  <si>
    <t>000200547469  C2950HF-BK1D834-BAG-00-00-00 100  KG  22034639</t>
  </si>
  <si>
    <t>000200533883  500ECR-739-BAG-00-00-00 140  KG  22021696</t>
  </si>
  <si>
    <t>000200542596  ER8285-701 35  KG  299904387</t>
  </si>
  <si>
    <t>000200543742  DX14354X-WH9G545-FBG-00-00-00 140  KG  22080357</t>
  </si>
  <si>
    <t>000200542871  DEL34E-NC-SBG-00-00-00 280  KG  22039343</t>
  </si>
  <si>
    <t>000200547414  D251-701-BAG-00-00-00 35  KG  22044245</t>
  </si>
  <si>
    <t>000200541728  D151-701-BAG-00-00-00 35  KG  22044002</t>
  </si>
  <si>
    <t>000200541754  WF006N-4A8A3915 56  KG  299904429</t>
  </si>
  <si>
    <t>000200541729  EXL5689-6G3A3933 140  KG  299904595</t>
  </si>
  <si>
    <t>000200548768  500R-73911-BAG-00-00-00 140  KG  22057837</t>
  </si>
  <si>
    <t>000200548368  HFD4472-WH9G632-BAG-00-00-00 35  KG  22036419</t>
  </si>
  <si>
    <t>000200548327  D251-WH9G732-BAG-00-00-00 35  KG  22045054</t>
  </si>
  <si>
    <t>000200541742  FXE4472L-WH6G144-BAG-00-00-00 210  KG  22029438</t>
  </si>
  <si>
    <t>000200548349  ER007527-8G9A1843-BAG-00-00-00 35  KG  22102087</t>
  </si>
  <si>
    <t>000200549176  D551-701-SBG-00-00-00 280  KG  22032152</t>
  </si>
  <si>
    <t>000200548444  HFD4472-RD5G058-BAG-00-00-00 140  KG  22046476</t>
  </si>
  <si>
    <t>000200548708  3412R-7G2A4554 35  KG  299905631</t>
  </si>
  <si>
    <t>000200548978  EXCY0325-NA9G167T-BAG-00-00-00 35  KG  22032258</t>
  </si>
  <si>
    <t>000200547673  HFD4472-2G3A4526 105  KG  299905403</t>
  </si>
  <si>
    <t>000200540963  EXL5689-739-BAG-00-00-00 140  KG  22022892</t>
  </si>
  <si>
    <t>000200548612  D151-701-BAG-00-00-00 25  KG  22044002</t>
  </si>
  <si>
    <t>000200549017  DX10311-701-SBG-00-00-00 35  KG  22035924</t>
  </si>
  <si>
    <t>000200549527  D251RC-701-BAG-00-00-00 35  KG  22102816</t>
  </si>
  <si>
    <t>000200549125  HFD4472-2G2A4701 70  KG  299905633</t>
  </si>
  <si>
    <t>000200457677  R2000-BK1A831-SBG-00-00-00 140  KG  22037395</t>
  </si>
  <si>
    <t>000200550248  HFD4472-2G2A4701 35  KG  299905633</t>
  </si>
  <si>
    <t>000200551152  D551-7M1D203-SBG-00-00-00 80  KG  22072091</t>
  </si>
  <si>
    <t>000200551246  D251RC-701-BAG-00-00-00 75  KG  22102816</t>
  </si>
  <si>
    <t>000200550345  WF006N-2A5A3909 40  KG  299904428</t>
  </si>
  <si>
    <t>000200550240  WF006N-4A8A3915 40  KG  299904429</t>
  </si>
  <si>
    <t>000200536116  D151-2M2A1666 200  KG  299901855</t>
  </si>
  <si>
    <t>000200536163  D151-6M2A1665 150  KG  299901854</t>
  </si>
  <si>
    <t>000200550411  DX14354X-WH9G545-FBG-00-00-00 100  KG  22080357</t>
  </si>
  <si>
    <t>000200550072  DF002FV-701-FBG-00-00-00 100  KG  22095888</t>
  </si>
  <si>
    <t>000200546580  420SE0-4G6A4193 50  KG  299904876</t>
  </si>
  <si>
    <t>000200541102  RFP36-GYMDNAT-SBG-00-00-00 100  KG  22037040</t>
  </si>
  <si>
    <t>000200546544  420HP-1001-BAG-00-00-00 35  KG  22033663</t>
  </si>
  <si>
    <t>000200550036  UFL36S-BKNAT-SBG-00-00-00 300  KG  22041363</t>
  </si>
  <si>
    <t>000200536084  A3000T-CLEAR-BAG-00-00-00 25  KG  22028137</t>
  </si>
  <si>
    <t>000200550465  3412R-7G2A4554 100  KG  299905631</t>
  </si>
  <si>
    <t>000200548526  DX10311-701-SBG-00-00-00 80  KG  22035924</t>
  </si>
  <si>
    <t>000200551214  C6200-7T4D018-BAG-00-00-00 300  KG  22038790</t>
  </si>
  <si>
    <t>000200550045  DFL22-BK8115-BAG-00-00-00 100  KG  22031886</t>
  </si>
  <si>
    <t>MAD date</t>
  </si>
  <si>
    <t>000200551407  DD0009PC-BKNAT-BAG-00-00-00 1000  KG  22035801</t>
  </si>
  <si>
    <t>000200551474  DX89406-BKNAT-BPK-00-00-00 10000  KG  22039467</t>
  </si>
  <si>
    <t>000200551478  DX89406-BKNAT-BPK-00-00-00 10000  KG  22039467</t>
  </si>
  <si>
    <t>000200551272  945-8T9D231-BAG-00-00-00 20600  KG  22043924</t>
  </si>
  <si>
    <t>000200551271  FXD171R-WH7E306X-BAG-00-00-00 500  KG  22017394</t>
  </si>
  <si>
    <t>000200551356  EXL9134-7T2D205-BAG-00-00-00 2000  KG  22029393</t>
  </si>
  <si>
    <t>000200549206  NX07344-BK1E565-BAG-00-00-00 925  KG  22041265</t>
  </si>
  <si>
    <t>000200551157  EXL9132-7T4D240 50  KG  299905622</t>
  </si>
  <si>
    <t>000200551496  RCX7233-7A1D142-BAG-00-00-00 75  KG  22024710</t>
  </si>
  <si>
    <t>000200549333  945-2A3A2868 100  KG  299903253</t>
  </si>
  <si>
    <t>000200551647  FXD1414T-8N7D004X-BAG-00-00-00 100  KG  22040041</t>
  </si>
  <si>
    <t>0094805081  WF006N-7A1A3484-SBG-00-00-00 80  KG  22106557</t>
  </si>
  <si>
    <t>000200551563  CX7240-7T5D172-BAG-00-00-00 75  KG  22085534</t>
  </si>
  <si>
    <t>000200551590  HFD4472-2G2A4701 50  KG  299905633</t>
  </si>
  <si>
    <t>000200551420  NX11302-GY6F035-BAG-00-00-00 25  KG  22041267</t>
  </si>
  <si>
    <t>Item Number</t>
  </si>
  <si>
    <t>0000</t>
  </si>
  <si>
    <t>000010</t>
  </si>
  <si>
    <t>1</t>
  </si>
  <si>
    <t>000020</t>
  </si>
  <si>
    <t>000030</t>
  </si>
  <si>
    <t>900001</t>
  </si>
  <si>
    <t>000200551445  CX7240-7T1D193-BAG-00-00-00 20600  KG  22039232</t>
  </si>
  <si>
    <t>000200552280  UF0067V-BKNAT-FBG-00-00-00 300  KG  22104373</t>
  </si>
  <si>
    <t>000200552313  RB008-NC-FBG-00-00-00 4500  KG  22018899</t>
  </si>
  <si>
    <t>0082962876  XCY620S-76701-BAG-00-00-00 20000  KG  22037308</t>
  </si>
  <si>
    <t>000200546310  EXL1112T-BK1A184T-BAG-00-00-00 140  KG  22045446</t>
  </si>
  <si>
    <t>000200552295  945-8T6D109-BAG-00-00-00 100  KG  22044408</t>
  </si>
  <si>
    <t>000200552343  945-8T9D296-BAG-00-00-00 100  KG  22044860</t>
  </si>
  <si>
    <t>000200550526  WF006N-7A1A0666-SBG-00-00-00 84  KG  22098412</t>
  </si>
  <si>
    <t>000200552311  D251RC-7A1D379-BAG-00-00-00 105  KG  22097758</t>
  </si>
  <si>
    <t>000200551492  6370C-7A2A3567-BAG-00-00-00 105  KG  22106551</t>
  </si>
  <si>
    <t>000200551416  EXL5689-739-BAG-00-00-00 140  KG  22022892</t>
  </si>
  <si>
    <t>000200550386  EXL4419-WH9D245-BAG-00-00-00 35  KG  22039803</t>
  </si>
  <si>
    <t>000200549999  DF002FV-701-FBG-00-00-00 28  KG  22095888</t>
  </si>
  <si>
    <t>000200550308  HFD4271-2G1A4611 70  KG  299905504</t>
  </si>
  <si>
    <t>000200550877  WF006N-7A7A4183 280  KG  299904812</t>
  </si>
  <si>
    <t>000200552367  HFD4472-7N1D050-BAG-00-00-00 50  KG  22036414</t>
  </si>
  <si>
    <t>000200552254  ER008383-BR6G131 100  KG  299905145</t>
  </si>
  <si>
    <t>000200552252  NX10302-BKNAT-FBG-00-00-00 50  KG  22082480</t>
  </si>
  <si>
    <t>000200552287  R2000-BK1A831-SBG-00-00-00 100  KG  22037395</t>
  </si>
  <si>
    <t>0093845711  945-8T9D231-BAG-00-00-00 20000  KG  22043924</t>
    <phoneticPr fontId="4" type="noConversion"/>
  </si>
  <si>
    <t>000200545244  141-111-BAG-00-00-00 2000  KG  22027982</t>
    <phoneticPr fontId="4" type="noConversion"/>
  </si>
  <si>
    <t>0093984325  945-8T9D231-BAG-00-00-00 20000  KG  22043924</t>
    <phoneticPr fontId="4" type="noConversion"/>
  </si>
  <si>
    <t>000200522212  244RF-111FC-BAG-00-00-00 20000  KG  22028402</t>
    <phoneticPr fontId="4" type="noConversion"/>
  </si>
  <si>
    <t>000200529142  244RF-111FC-BAG-00-00-00 10000  KG  22028402</t>
    <phoneticPr fontId="4" type="noConversion"/>
  </si>
  <si>
    <t>000200534687  244RF-111FC-BAG-00-00-00 10300  KG  22028402</t>
    <phoneticPr fontId="4" type="noConversion"/>
  </si>
  <si>
    <t>000200522273  201R-111-BAG-00-00-00 20000  KG  22017278</t>
    <phoneticPr fontId="4" type="noConversion"/>
  </si>
  <si>
    <t>000200522272  201R-111-BAG-00-00-00 20000  KG  22017278</t>
    <phoneticPr fontId="4" type="noConversion"/>
  </si>
  <si>
    <t>0093984326  945-8T9D231-BAG-00-00-00 20000  KG  22043924</t>
    <phoneticPr fontId="4" type="noConversion"/>
  </si>
  <si>
    <t>000200523474  HF1130-111-BAG-00-00-00 20000  KG  22023563</t>
    <phoneticPr fontId="4" type="noConversion"/>
  </si>
  <si>
    <t>000200523475  HF1130-111-BAG-00-00-00 20000  KG  22023563</t>
    <phoneticPr fontId="4" type="noConversion"/>
  </si>
  <si>
    <t>0093984327  945-8T9D231-BAG-00-00-00 20000  KG  22043924</t>
    <phoneticPr fontId="4" type="noConversion"/>
  </si>
  <si>
    <t>0093984328  945-8T9D231-BAG-00-00-00 20000  KG  22043924</t>
    <phoneticPr fontId="4" type="noConversion"/>
  </si>
  <si>
    <t>000200541702  XTPMFR10-WH9F029-BAG-00-00-00 20600  KG  22037804</t>
    <phoneticPr fontId="4" type="noConversion"/>
  </si>
  <si>
    <t>000200498128  LUX2289-WH9G012-BAG-00-00-00 10000  KG  22023833</t>
    <phoneticPr fontId="4" type="noConversion"/>
  </si>
  <si>
    <t>0094762137  943A-116-BAG-00-00-00 20000  KG  22017080</t>
    <phoneticPr fontId="4" type="noConversion"/>
  </si>
  <si>
    <t>000200538664  C2950-8T8D247-BAG-00-00-00 10000  KG  22046215</t>
    <phoneticPr fontId="4" type="noConversion"/>
  </si>
  <si>
    <t>000200549457  XHT2141-GY8D046-BAG-00-00-00 5000  KG  22025085</t>
    <phoneticPr fontId="4" type="noConversion"/>
  </si>
  <si>
    <t>000200547370  241R-YW8C033-BAG-00-00-00 5000  KG  22031082</t>
    <phoneticPr fontId="4" type="noConversion"/>
  </si>
  <si>
    <t>000200547393  241R-GY8C122-BAG-00-00-00 5000  KG  22033484</t>
    <phoneticPr fontId="4" type="noConversion"/>
  </si>
  <si>
    <t>000200498164  LUX2289-WH9G012-BAG-00-00-00 10000  KG  22023833</t>
    <phoneticPr fontId="4" type="noConversion"/>
  </si>
  <si>
    <t>000200393615  CY6414-8G8A2728 20000  KG  299903043</t>
    <phoneticPr fontId="4" type="noConversion"/>
  </si>
  <si>
    <t>000200548511  CX7240U-7T7D246-BAG-00-00-00 10000  KG  22032098</t>
    <phoneticPr fontId="4" type="noConversion"/>
  </si>
  <si>
    <t>000200546484  LUX2289-WH9G012-BAG-00-00-00 2000  KG  22023833</t>
    <phoneticPr fontId="4" type="noConversion"/>
  </si>
  <si>
    <t>000200546406  CX7240-2M2D027-BAG-00-00-00 5000  KG  22065061</t>
    <phoneticPr fontId="4" type="noConversion"/>
  </si>
  <si>
    <t>000200533826  C6600-8M9D029-BAG-00-00-00 5000  KG  22022574</t>
    <phoneticPr fontId="4" type="noConversion"/>
  </si>
  <si>
    <t>000200498154  LUX2289-WH9G012-BAG-00-00-00 10000  KG  22023833</t>
    <phoneticPr fontId="4" type="noConversion"/>
  </si>
  <si>
    <t>000200548772  CY6025-WH8G710-BAG-00-00-00 10000  KG  22030264</t>
    <phoneticPr fontId="4" type="noConversion"/>
  </si>
  <si>
    <t>000200549508  XHT2141-GY8D046-BAG-00-00-00 5000  KG  22025085</t>
    <phoneticPr fontId="4" type="noConversion"/>
  </si>
  <si>
    <t>000200520048  CX7240-8T7D033-BAG-00-00-00 10000  KG  22030084</t>
    <phoneticPr fontId="4" type="noConversion"/>
  </si>
  <si>
    <t>000200498129  LUX2289-WH9G012-BAG-00-00-00 10000  KG  22023833</t>
    <phoneticPr fontId="4" type="noConversion"/>
  </si>
  <si>
    <t>000200549473  XHT4141-GY8D046-BAG-00-00-00 8000  KG  22021049</t>
    <phoneticPr fontId="4" type="noConversion"/>
  </si>
  <si>
    <t>000200548434  C2950-8T8D247-BAG-00-00-00 10000  KG  22046215</t>
    <phoneticPr fontId="4" type="noConversion"/>
  </si>
  <si>
    <t>000200498132  LUX2289-WH9G012-BAG-00-00-00 10000  KG  22023833</t>
    <phoneticPr fontId="4" type="noConversion"/>
  </si>
  <si>
    <t>000200498114  LUX2289-WH9G012-BAG-00-00-00 10000  KG  22023833</t>
    <phoneticPr fontId="4" type="noConversion"/>
  </si>
  <si>
    <t>000200544340  EXL9330-5T7D005-BAG-00-00-00 5000  KG  22029397</t>
    <phoneticPr fontId="4" type="noConversion"/>
  </si>
  <si>
    <t>000200551140  C6600-8M9D029-BAG-00-00-00 5000  KG  22022574</t>
    <phoneticPr fontId="4" type="noConversion"/>
  </si>
  <si>
    <t>000200548773  CY6025-WH8G710-BAG-00-00-00 10000  KG  22030264</t>
    <phoneticPr fontId="4" type="noConversion"/>
  </si>
  <si>
    <t>0086435844  XCY620S-100-BAG-00-00-00 22000  KG  22025073</t>
    <phoneticPr fontId="4" type="noConversion"/>
  </si>
  <si>
    <t>0086435845  XCY620S-100-BAG-00-00-00 10000  KG  22025073</t>
    <phoneticPr fontId="4" type="noConversion"/>
  </si>
  <si>
    <t>000200549509  XHT4141-GY8D046-BAG-00-00-00 8000  KG  22021049</t>
    <phoneticPr fontId="4" type="noConversion"/>
  </si>
  <si>
    <t>000200498133  LUX2289-WH9G012-BAG-00-00-00 10000  KG  22023833</t>
    <phoneticPr fontId="4" type="noConversion"/>
  </si>
  <si>
    <t>000200304498  C2950-WH8G018-BAG-00-00-00 5000  KG  22031555</t>
    <phoneticPr fontId="4" type="noConversion"/>
  </si>
  <si>
    <t>000200542091  XTPMFR10-BK1G005-BAG-00-00-00 3000  KG  22044494</t>
    <phoneticPr fontId="4" type="noConversion"/>
  </si>
  <si>
    <t>000200498168  XHT2141-GY5G190-BAG-00-00-00 10000  KG  22041167</t>
    <phoneticPr fontId="4" type="noConversion"/>
  </si>
  <si>
    <t>000200500370  C6600-2B2D022-BAG-00-00-00 15000  KG  22044467</t>
    <phoneticPr fontId="4" type="noConversion"/>
  </si>
  <si>
    <t>0093945016  EXL9330-BK1A068-BAG-00-00-00 20000  KG  22018508</t>
    <phoneticPr fontId="4" type="noConversion"/>
  </si>
  <si>
    <t>0094585942  144-111N-BBG-00-00-00 20000  KG  22088203</t>
    <phoneticPr fontId="4" type="noConversion"/>
  </si>
  <si>
    <t>0094586129  144-111N-BBG-00-00-00 20000  KG  22088203</t>
    <phoneticPr fontId="4" type="noConversion"/>
  </si>
  <si>
    <t>000200548394  CX7240-7T1D434-BAG-00-00-00 2000  KG  22067443</t>
    <phoneticPr fontId="4" type="noConversion"/>
  </si>
  <si>
    <t>000200547386  C6600-BK1D834-BAG-00-00-00 3000  KG  22031674</t>
    <phoneticPr fontId="4" type="noConversion"/>
  </si>
  <si>
    <t>0082933310  XCY620S-100-BAG-00-00-00 20000  KG  22025073</t>
    <phoneticPr fontId="4" type="noConversion"/>
  </si>
  <si>
    <t>000200532396  CY6025-2B2D023-BAG-00-00-00 20600  KG  22044231</t>
    <phoneticPr fontId="4" type="noConversion"/>
  </si>
  <si>
    <t>000200542714  MC8002-100-BAG-00-00-00 2000  KG  22018740</t>
    <phoneticPr fontId="4" type="noConversion"/>
  </si>
  <si>
    <t>000200551445  CX7240-7T1D193-BAG-00-00-00 20600  KG  22039232</t>
    <phoneticPr fontId="4" type="noConversion"/>
  </si>
  <si>
    <t>0092846785  EXL9330-BK1A068-BAG-00-00-00 20000  KG  22018508</t>
    <phoneticPr fontId="4" type="noConversion"/>
  </si>
  <si>
    <t>000200547362  EXL8483-7A1D262-BAG-00-00-00 3000  KG  22040537</t>
    <phoneticPr fontId="4" type="noConversion"/>
  </si>
  <si>
    <t>000200544332  C1200HF-GY2D234-BAG-00-00-00 2000  KG  22031629</t>
    <phoneticPr fontId="4" type="noConversion"/>
  </si>
  <si>
    <t>000200519091  CX7240-BK1C340-BAG-00-00-00 10000  KG  22039249</t>
    <phoneticPr fontId="4" type="noConversion"/>
  </si>
  <si>
    <t>000200547544  ML6411-7T1D043-BAG-00-00-00 2000  KG  22036796</t>
    <phoneticPr fontId="4" type="noConversion"/>
  </si>
  <si>
    <t>000200549284  C2950-GY8E438-BAG-00-00-00 2000  KG  22039523</t>
    <phoneticPr fontId="4" type="noConversion"/>
  </si>
  <si>
    <t>000200535091  CX7240U-7T1D359-BAG-00-00-00 20000  KG  22035659</t>
    <phoneticPr fontId="4" type="noConversion"/>
  </si>
  <si>
    <t>000200510569  123R-GY2G204-BBG-00-00-00 10000  KG  22098752</t>
    <phoneticPr fontId="4" type="noConversion"/>
  </si>
  <si>
    <t>000200550000  CX7240-7T1A0602 5325  KG  299900516</t>
    <phoneticPr fontId="4" type="noConversion"/>
  </si>
  <si>
    <t>000200543497  C1200HF-701-SSS-00-00-00 20000  KG  22039382</t>
    <phoneticPr fontId="4" type="noConversion"/>
  </si>
  <si>
    <t>0082933313  XCY620S-100-BAG-00-00-00 20000  KG  22025073</t>
    <phoneticPr fontId="4" type="noConversion"/>
  </si>
  <si>
    <t>000200539064  ML6411-7T4D041L-BAG-00-00-00 10000  KG  22036797</t>
    <phoneticPr fontId="4" type="noConversion"/>
  </si>
  <si>
    <t>000200548470  950-BK1334 5000  KG  299900857</t>
    <phoneticPr fontId="4" type="noConversion"/>
  </si>
  <si>
    <t>000200549180  C3650-701-BAG-00-00-00 2000  KG  22022511</t>
    <phoneticPr fontId="4" type="noConversion"/>
  </si>
  <si>
    <t>0094692503  EXL1414-BK1A068-BAG-00-00-00 20000  KG  22022857</t>
    <phoneticPr fontId="4" type="noConversion"/>
  </si>
  <si>
    <t>000200536212  EXL9330-7T1D102-BAG-00-00-00 5000  KG  22036321</t>
    <phoneticPr fontId="4" type="noConversion"/>
  </si>
  <si>
    <t>000200538492  CX7240-GY7D134-BAG-00-00-00 1000  KG  22032086</t>
    <phoneticPr fontId="4" type="noConversion"/>
  </si>
  <si>
    <t>0094493855  CFR7431-NA8E061T-BAG-00-00-00 1000  KG  22018381</t>
    <phoneticPr fontId="4" type="noConversion"/>
  </si>
  <si>
    <t>000200532614  C2950HF-GY1291-BAG-00-00-00 1000  KG  22031568</t>
    <phoneticPr fontId="4" type="noConversion"/>
  </si>
  <si>
    <t>000200546349  943A-WH6A042X-BAG-00-00-00 300  KG  22028005</t>
    <phoneticPr fontId="4" type="noConversion"/>
  </si>
  <si>
    <t>000200548317  HF1130R-BK1A184T-BAG-00-00-00 1000  KG  22046457</t>
    <phoneticPr fontId="4" type="noConversion"/>
  </si>
  <si>
    <t>000200537774  920-GY1818-BAG-00-00-00 1000  KG  22022153</t>
    <phoneticPr fontId="4" type="noConversion"/>
  </si>
  <si>
    <t>000200537143  C2950HF-BL2082-BAG-00-00-00 500  KG  22039549</t>
    <phoneticPr fontId="4" type="noConversion"/>
  </si>
  <si>
    <t>000200551018  915R-GY5515-BAG-00-00-00 1000  KG  22043816</t>
    <phoneticPr fontId="4" type="noConversion"/>
  </si>
  <si>
    <t>000200550099  CX7240U-8T9A4268 325  KG  299905127</t>
    <phoneticPr fontId="4" type="noConversion"/>
  </si>
  <si>
    <t>000200537041  C6600-GY2A547-BAG-00-00-00 1000  KG  22038939</t>
    <phoneticPr fontId="4" type="noConversion"/>
  </si>
  <si>
    <t>000200537058  C2950HF-GY1291-BAG-00-00-00 1000  KG  22031568</t>
    <phoneticPr fontId="4" type="noConversion"/>
  </si>
  <si>
    <t>000200537129  C2950HF-GY1291-BAG-00-00-00 1000  KG  22031568</t>
    <phoneticPr fontId="4" type="noConversion"/>
  </si>
  <si>
    <t>000200548339  C2950HF-7T2D326-BAG-00-00-00 500  KG  22085309</t>
    <phoneticPr fontId="4" type="noConversion"/>
  </si>
  <si>
    <t>000200537147  C2950HF-GY1291-BAG-00-00-00 1000  KG  22031568</t>
    <phoneticPr fontId="4" type="noConversion"/>
  </si>
  <si>
    <t>000200549100  223R-RD8G025-BAG-00-00-00 500  KG  22037765</t>
    <phoneticPr fontId="4" type="noConversion"/>
  </si>
  <si>
    <t>000200524763  CX7240-7T5D172-BAG-00-00-00 675  KG  22085534</t>
    <phoneticPr fontId="4" type="noConversion"/>
  </si>
  <si>
    <t>000200513088  C2800-701-BAG-00-00-00 1000  KG  22017334</t>
    <phoneticPr fontId="4" type="noConversion"/>
  </si>
  <si>
    <t>0094495299  C6600-111-BAG-00-00-00 20000  KG  22018361</t>
    <phoneticPr fontId="4" type="noConversion"/>
  </si>
  <si>
    <t>000200547554  241R-111N-BAG-00-00-00 5000  KG  22038436</t>
    <phoneticPr fontId="4" type="noConversion"/>
  </si>
  <si>
    <t>000200543701  123-701-BAG-00-00-00 10000  KG  22021277</t>
    <phoneticPr fontId="4" type="noConversion"/>
  </si>
  <si>
    <t>000200488975  C1200HF-100-BAG-00-00-00 10000  KG  22019660</t>
    <phoneticPr fontId="4" type="noConversion"/>
  </si>
  <si>
    <t>0090033776  C1200HF-701-BAG-00-00-00 20000  KG  22022222</t>
    <phoneticPr fontId="4" type="noConversion"/>
  </si>
  <si>
    <t>000200544278  104R-111FC-BAG-00-00-00 5000  KG  22021222</t>
    <phoneticPr fontId="4" type="noConversion"/>
  </si>
  <si>
    <t>000200485196  241R-701-BAG-00-00-00 10000  KG  22021559</t>
    <phoneticPr fontId="4" type="noConversion"/>
  </si>
  <si>
    <t>000200533839  C1200HF-7001-BAG-00-00-00 10000  KG  22034851</t>
    <phoneticPr fontId="4" type="noConversion"/>
  </si>
  <si>
    <t>000200538947  241R-WH6D069-BAG-00-00-00 20000  KG  22030876</t>
    <phoneticPr fontId="4" type="noConversion"/>
  </si>
  <si>
    <t>0090033777  C1200HF-701-BAG-00-00-00 20000  KG  22022222</t>
    <phoneticPr fontId="4" type="noConversion"/>
  </si>
  <si>
    <t>000200530236  C1200HF-BK2G024-BAG-00-00-00 20000  KG  22034874</t>
    <phoneticPr fontId="4" type="noConversion"/>
  </si>
  <si>
    <t>000200547417  241R-WH2C006-BAG-00-00-00 10000  KG  22038458</t>
    <phoneticPr fontId="4" type="noConversion"/>
  </si>
  <si>
    <t>000200547415  143R-701-BAG-00-00-00 10000  KG  22021393</t>
    <phoneticPr fontId="4" type="noConversion"/>
  </si>
  <si>
    <t>000200530327  C1200HF-BK2G024-BAG-00-00-00 20000  KG  22034874</t>
    <phoneticPr fontId="4" type="noConversion"/>
  </si>
  <si>
    <t>0088398244  C1200HF-100-BAG-00-00-00 20000  KG  22019660</t>
    <phoneticPr fontId="4" type="noConversion"/>
  </si>
  <si>
    <t>000200546332  CY6012-6M4D043-BAG-00-00-00 5000  KG  22066416</t>
    <phoneticPr fontId="4" type="noConversion"/>
  </si>
  <si>
    <t>000200541157  C1100HF-701-BAG-00-00-00 5000  KG  22039357</t>
    <phoneticPr fontId="4" type="noConversion"/>
  </si>
  <si>
    <t>000200540749  C1200HF-GY1D473-BAG-00-00-00 3000  KG  22039416</t>
    <phoneticPr fontId="4" type="noConversion"/>
  </si>
  <si>
    <t>000200530237  C1200HF-BK2G024-BAG-00-00-00 20000  KG  22034874</t>
    <phoneticPr fontId="4" type="noConversion"/>
  </si>
  <si>
    <t>000200494126  C1100HF-701-BAG-00-00-00 10000  KG  22039357</t>
    <phoneticPr fontId="4" type="noConversion"/>
  </si>
  <si>
    <t>000200536187  C1200HF-BK2G024-BAG-00-00-00 20000  KG  22034874</t>
    <phoneticPr fontId="4" type="noConversion"/>
  </si>
  <si>
    <t>000200470140  C1200HF-BK2E082-BAG-00-00-00 5000  KG  22019663</t>
    <phoneticPr fontId="4" type="noConversion"/>
  </si>
  <si>
    <t>000200543766  C1200HF-7001-BAG-00-00-00 10000  KG  22034851</t>
    <phoneticPr fontId="4" type="noConversion"/>
  </si>
  <si>
    <t>000200466005  124R-111FC-BAG-00-00-00 20000  KG  22021312</t>
    <phoneticPr fontId="4" type="noConversion"/>
  </si>
  <si>
    <t>0094020252  SLX2271T-BK1G296-BAG-00-00-00 20000  KG  22020921</t>
    <phoneticPr fontId="4" type="noConversion"/>
  </si>
  <si>
    <t>0094727003  C2950-701-BAG-00-00-00 20000  KG  22022271</t>
    <phoneticPr fontId="4" type="noConversion"/>
  </si>
  <si>
    <t>0081871816  XCY620-BK1005-BAG-00-00-00 20000  KG  22025061</t>
    <phoneticPr fontId="4" type="noConversion"/>
  </si>
  <si>
    <t>000200503072  C6600-8B8D004-BAG-00-00-00 6000  KG  22035246</t>
    <phoneticPr fontId="4" type="noConversion"/>
  </si>
  <si>
    <t>000200542985  C6600-GY6D379-BAG-00-00-00 6000  KG  22034902</t>
    <phoneticPr fontId="4" type="noConversion"/>
  </si>
  <si>
    <t>000200497039  C1200HF-BK1G484U-BBG-00-00-00 20000  KG  22031613</t>
    <phoneticPr fontId="4" type="noConversion"/>
  </si>
  <si>
    <t>0094020253  SLX2271T-BK1G296-BAG-00-00-00 20000  KG  22020921</t>
    <phoneticPr fontId="4" type="noConversion"/>
  </si>
  <si>
    <t>000200494096  C1100HF-701-BAG-00-00-00 10000  KG  22039357</t>
    <phoneticPr fontId="4" type="noConversion"/>
  </si>
  <si>
    <t>0094691987  SLX2271T-BK1G296-BAG-00-00-00 20000  KG  22020921</t>
    <phoneticPr fontId="4" type="noConversion"/>
  </si>
  <si>
    <t>0094676108  C1200HF-701-BAG-00-00-00 20000  KG  22022222</t>
    <phoneticPr fontId="4" type="noConversion"/>
  </si>
  <si>
    <t>0094676109  C1200HF-701-BAG-00-00-00 20000  KG  22022222</t>
    <phoneticPr fontId="4" type="noConversion"/>
  </si>
  <si>
    <t>0094676110  C1200HF-701-BAG-00-00-00 20000  KG  22022222</t>
    <phoneticPr fontId="4" type="noConversion"/>
  </si>
  <si>
    <t>000200543428  CY6414-701-BAG-00-00-00 5000  KG  22035338</t>
    <phoneticPr fontId="4" type="noConversion"/>
  </si>
  <si>
    <t>000200494097  C1100HF-701-BAG-00-00-00 10000  KG  22039357</t>
    <phoneticPr fontId="4" type="noConversion"/>
  </si>
  <si>
    <t>000200547700  ENH2901RC-7A1D332-BAG-00-00-00 1000  KG  22084251</t>
    <phoneticPr fontId="4" type="noConversion"/>
  </si>
  <si>
    <t>000200550310  943-GN2G015-BAG-00-00-00 3200  KG  22031427</t>
    <phoneticPr fontId="4" type="noConversion"/>
  </si>
  <si>
    <t>000200538639  C1200HF-BL1D183-BAG-00-00-00 5000  KG  22029048</t>
    <phoneticPr fontId="4" type="noConversion"/>
  </si>
  <si>
    <t>000200549059  LS2-414-BAG-00-00-00 5000  KG  22018729</t>
    <phoneticPr fontId="4" type="noConversion"/>
  </si>
  <si>
    <t>000200528522  EXL1414T-7A1D194-BAG-00-00-00 1000  KG  22039730</t>
    <phoneticPr fontId="4" type="noConversion"/>
  </si>
  <si>
    <t>000200545310  121R-BK1G122-BAG-00-00-00 1000  KG  22037469</t>
    <phoneticPr fontId="4" type="noConversion"/>
  </si>
  <si>
    <t>000200541761  C2950HF-6T2D025-BAG-00-00-00 500  KG  22034628</t>
    <phoneticPr fontId="4" type="noConversion"/>
  </si>
  <si>
    <t>000200548391  C6600-7T1D434-BAG-00-00-00 1500  KG  22085413</t>
    <phoneticPr fontId="4" type="noConversion"/>
  </si>
  <si>
    <t>000200547890  LS2-6162-BAG-00-00-00 3000  KG  22018730</t>
    <phoneticPr fontId="4" type="noConversion"/>
  </si>
  <si>
    <t>000200547875  LS2-414-BAG-00-00-00 2000  KG  22018729</t>
    <phoneticPr fontId="4" type="noConversion"/>
  </si>
  <si>
    <t>000200547421  121R-21092-BAG-00-00-00 3000  KG  22028394</t>
    <phoneticPr fontId="4" type="noConversion"/>
  </si>
  <si>
    <t>000200540989  C6600-GY3A381-BAG-00-00-00 1100  KG  22028152</t>
    <phoneticPr fontId="4" type="noConversion"/>
  </si>
  <si>
    <t>000200549174  141R-BR4A174-BAG-00-00-00 5000  KG  22029126</t>
    <phoneticPr fontId="4" type="noConversion"/>
  </si>
  <si>
    <t>000200526544  923A-OR5E115-BAG-00-00-00 1000  KG  22038249</t>
    <phoneticPr fontId="4" type="noConversion"/>
  </si>
  <si>
    <t>000200549141  943-RD5G044-BAG-00-00-00 1000  KG  22029974</t>
    <phoneticPr fontId="4" type="noConversion"/>
  </si>
  <si>
    <t>000200549104  LS2-414-BAG-00-00-00 3000  KG  22018729</t>
    <phoneticPr fontId="4" type="noConversion"/>
  </si>
  <si>
    <t>000200535984  HF1130R-BK1A184T-BAG-00-00-00 1000  KG  22046457</t>
    <phoneticPr fontId="4" type="noConversion"/>
  </si>
  <si>
    <t>000200535943  C6200-BL11040-BAG-00-00-00 1000  KG  22067402</t>
    <phoneticPr fontId="4" type="noConversion"/>
  </si>
  <si>
    <t>000200548667  241R-OR8B007-BAG-00-00-00 2000  KG  22038456</t>
    <phoneticPr fontId="4" type="noConversion"/>
  </si>
  <si>
    <t>000200541599  121R-21092-BAG-00-00-00 1000  KG  22028394</t>
    <phoneticPr fontId="4" type="noConversion"/>
  </si>
  <si>
    <t>000200550432  ML6411-96536-BAG-00-00-00 2000  KG  22030573</t>
    <phoneticPr fontId="4" type="noConversion"/>
  </si>
  <si>
    <t>000200537688  SLX2471T-RD1H002-BAG-00-00-00 10000  KG  22093031</t>
    <phoneticPr fontId="4" type="noConversion"/>
  </si>
  <si>
    <t>0092466148  EXL9112-BK1A068-BAG-00-00-00 1000  KG  22035891</t>
    <phoneticPr fontId="4" type="noConversion"/>
  </si>
  <si>
    <t>000200544606  MG47-NA1000-BAG-00-00-00 2000  KG  22024011</t>
    <phoneticPr fontId="4" type="noConversion"/>
  </si>
  <si>
    <t>000200548634  EXL9330-YW8D008-BAG-00-00-00 5000  KG  22032208</t>
    <phoneticPr fontId="4" type="noConversion"/>
  </si>
  <si>
    <t>0093764833  945-WH9D687-BAG-00-00-00 1000  KG  22034271</t>
    <phoneticPr fontId="4" type="noConversion"/>
  </si>
  <si>
    <t>0092845294  LUX7169-WH8G733-BAG-00-00-00 2000  KG  22041058</t>
    <phoneticPr fontId="4" type="noConversion"/>
  </si>
  <si>
    <t>000200513875  123R-WH6D257-BAG-00-00-00 2000  KG  22033097</t>
    <phoneticPr fontId="4" type="noConversion"/>
  </si>
  <si>
    <t>000200549184  FXD121R-WH6E008X-BAG-00-00-00 2000  KG  22036130</t>
    <phoneticPr fontId="4" type="noConversion"/>
  </si>
  <si>
    <t>000200529057  243R-WH9A238-BAG-00-00-00 2000  KG  22033838</t>
    <phoneticPr fontId="4" type="noConversion"/>
  </si>
  <si>
    <t>000200549052  EXL9330-8T7D131-BAG-00-00-00 800  KG  22083954</t>
    <phoneticPr fontId="4" type="noConversion"/>
  </si>
  <si>
    <t>000200539650  221R-WH8D107-BAG-00-00-00 5000  KG  22019258</t>
    <phoneticPr fontId="4" type="noConversion"/>
  </si>
  <si>
    <t>000200550025  EXL9330-8T7D101 1500  KG  299902015</t>
    <phoneticPr fontId="4" type="noConversion"/>
  </si>
  <si>
    <t>000200513876  123R-WH6D257-BAG-00-00-00 2100  KG  22033097</t>
    <phoneticPr fontId="4" type="noConversion"/>
  </si>
  <si>
    <t>000200538637  C1200HF-96622-BAG-00-00-00 4000  KG  22034863</t>
    <phoneticPr fontId="4" type="noConversion"/>
  </si>
  <si>
    <t>000200498192  C6600-GY7C059-BAG-00-00-00 2000  KG  22029291</t>
    <phoneticPr fontId="4" type="noConversion"/>
  </si>
  <si>
    <t>000200521332  V1000-NA7D007-FBG-00-00-00 5472.5  KG  22082541</t>
    <phoneticPr fontId="4" type="noConversion"/>
  </si>
  <si>
    <t>0094674075  V4760-100-BAG-00-00-00 1000  KG  22064645</t>
    <phoneticPr fontId="4" type="noConversion"/>
  </si>
  <si>
    <t>000200537644  RFL36S-BK1A842-SBG-00-00-00 1000  KG  22028388</t>
    <phoneticPr fontId="4" type="noConversion"/>
  </si>
  <si>
    <t>000200525417  UF0067V-BKNAT-FBG-00-00-00 575  KG  22104373</t>
    <phoneticPr fontId="4" type="noConversion"/>
  </si>
  <si>
    <t>000200551243  DFP36-BK1A672-SBG-00-00-00 1500  KG  22040199</t>
    <phoneticPr fontId="4" type="noConversion"/>
  </si>
  <si>
    <t>0092464767  DE0029E-GY3A643-SBG-00-00-00 300  KG  22031872</t>
    <phoneticPr fontId="4" type="noConversion"/>
  </si>
  <si>
    <t>000200500465  K2000-GYMDNAT-BAG-00-00-00 5000  KG  22036840</t>
    <phoneticPr fontId="4" type="noConversion"/>
  </si>
  <si>
    <t>000200537862  UF0067V-BKNAT-FBG-00-00-00 330  KG  22104373</t>
    <phoneticPr fontId="4" type="noConversion"/>
  </si>
  <si>
    <t>000200537864  UF0067V-BKNAT-FBG-00-00-00 330  KG  22104373</t>
    <phoneticPr fontId="4" type="noConversion"/>
  </si>
  <si>
    <t>000200537768  UF0067V-BKNAT-FBG-00-00-00 330  KG  22104373</t>
    <phoneticPr fontId="4" type="noConversion"/>
  </si>
  <si>
    <t>000200537863  UF0067V-BKNAT-FBG-00-00-00 330  KG  22104373</t>
    <phoneticPr fontId="4" type="noConversion"/>
  </si>
  <si>
    <t>000200537800  UF0067V-BKNAT-FBG-00-00-00 330  KG  22104373</t>
    <phoneticPr fontId="4" type="noConversion"/>
  </si>
  <si>
    <t>000200537801  UF0067V-BKNAT-FBG-00-00-00 330  KG  22104373</t>
    <phoneticPr fontId="4" type="noConversion"/>
  </si>
  <si>
    <t>000200516576  RFL36S-BK1A842-SBG-00-00-00 5000  KG  22028388</t>
    <phoneticPr fontId="4" type="noConversion"/>
  </si>
  <si>
    <t>000200504557  RB008-NC-FBG-00-00-00 2000  KG  22018899</t>
    <phoneticPr fontId="4" type="noConversion"/>
  </si>
  <si>
    <t>000200503093  500R-GY3G080-BAG-00-00-00 2000  KG  22038734</t>
    <phoneticPr fontId="4" type="noConversion"/>
  </si>
  <si>
    <t>0094716356  UFL36S-BKNAT-SBG-00-00-00 1000  KG  22041363</t>
    <phoneticPr fontId="4" type="noConversion"/>
  </si>
  <si>
    <t>000200497136  R2000-GYMDNAT-SBG-00-00-00 2000  KG  22041327</t>
    <phoneticPr fontId="4" type="noConversion"/>
  </si>
  <si>
    <t>000200548537  RL004-GYMDNAT-SBG-00-00-00 6000  KG  22037043</t>
    <phoneticPr fontId="4" type="noConversion"/>
  </si>
  <si>
    <t>000200528588  RL004-GYMDNAT-SBG-00-00-00 2000  KG  22037043</t>
    <phoneticPr fontId="4" type="noConversion"/>
  </si>
  <si>
    <t>000200536226  DD0009PC-BKNAT-BAG-00-00-00 1000  KG  22035801</t>
    <phoneticPr fontId="4" type="noConversion"/>
  </si>
  <si>
    <t>000200546344  RFL36-BK1B602-SBG-00-00-00 3000  KG  22029457</t>
    <phoneticPr fontId="4" type="noConversion"/>
  </si>
  <si>
    <t>000200552313  RB008-NC-FBG-00-00-00 4500  KG  22018899</t>
    <phoneticPr fontId="4" type="noConversion"/>
  </si>
  <si>
    <t>000200549387  500-131-BAG-00-00-00 2000  KG  22021688</t>
    <phoneticPr fontId="4" type="noConversion"/>
  </si>
  <si>
    <t>000200522255  KD000EI-BKNAT-BAG-00-00-00 1000  KG  22032511</t>
    <phoneticPr fontId="4" type="noConversion"/>
  </si>
  <si>
    <t>000200508439  RFL36-BK1B602-SBG-00-00-00 2000  KG  22029457</t>
    <phoneticPr fontId="4" type="noConversion"/>
  </si>
  <si>
    <t>000200542705  MFB82I-BK1B459-BAG-00-00-00 2500  KG  22036698</t>
    <phoneticPr fontId="4" type="noConversion"/>
  </si>
  <si>
    <t>000200551407  DD0009PC-BKNAT-BAG-00-00-00 1000  KG  22035801</t>
    <phoneticPr fontId="4" type="noConversion"/>
  </si>
  <si>
    <t>000200551474  DX89406-BKNAT-BPK-00-00-00 10000  KG  22039467</t>
    <phoneticPr fontId="4" type="noConversion"/>
  </si>
  <si>
    <t>000200542031  DX89406-BKNAT-BPK-00-00-00 10500  KG  22039467</t>
    <phoneticPr fontId="4" type="noConversion"/>
  </si>
  <si>
    <t>000200551478  DX89406-BKNAT-BPK-00-00-00 10000  KG  22039467</t>
    <phoneticPr fontId="4" type="noConversion"/>
  </si>
  <si>
    <t>0094494895  945-701-BAG-00-00-00 20000  KG  22019581</t>
    <phoneticPr fontId="4" type="noConversion"/>
  </si>
  <si>
    <t>0092466154  DX89406-BKNAT-BPK-00-00-00 10000  KG  22039467</t>
    <phoneticPr fontId="4" type="noConversion"/>
  </si>
  <si>
    <t>000200547664  DX89406-BKNAT-BPK-00-00-00 10000  KG  22039467</t>
    <phoneticPr fontId="4" type="noConversion"/>
  </si>
  <si>
    <t>0094494896  945-701-BAG-00-00-00 20000  KG  22019581</t>
    <phoneticPr fontId="4" type="noConversion"/>
  </si>
  <si>
    <t>0092466155  DX89406-BKNAT-BPK-00-00-00 10000  KG  22039467</t>
    <phoneticPr fontId="4" type="noConversion"/>
  </si>
  <si>
    <t>0092466156  DX89406-BKNAT-BPK-00-00-00 10000  KG  22039467</t>
    <phoneticPr fontId="4" type="noConversion"/>
  </si>
  <si>
    <t>0092466157  DX89406-BKNAT-BPK-00-00-00 10000  KG  22039467</t>
    <phoneticPr fontId="4" type="noConversion"/>
  </si>
  <si>
    <t>0092466158  DX89406-BKNAT-BPK-00-00-00 10000  KG  22039467</t>
    <phoneticPr fontId="4" type="noConversion"/>
  </si>
  <si>
    <t>0092466159  DX89406-BKNAT-BPK-00-00-00 10000  KG  22039467</t>
    <phoneticPr fontId="4" type="noConversion"/>
  </si>
  <si>
    <t>0094765393  945-701-BAG-00-00-00 20000  KG  22019581</t>
    <phoneticPr fontId="4" type="noConversion"/>
  </si>
  <si>
    <t>0092466160  DX89406-BKNAT-BPK-00-00-00 10000  KG  22039467</t>
    <phoneticPr fontId="4" type="noConversion"/>
  </si>
  <si>
    <t>0092466161  DX89406-BKNAT-BPK-00-00-00 10000  KG  22039467</t>
    <phoneticPr fontId="4" type="noConversion"/>
  </si>
  <si>
    <t>0092466162  DX89406-BKNAT-BPK-00-00-00 10000  KG  22039467</t>
    <phoneticPr fontId="4" type="noConversion"/>
  </si>
  <si>
    <t>0092466163  DX89406-BKNAT-BPK-00-00-00 10000  KG  22039467</t>
    <phoneticPr fontId="4" type="noConversion"/>
  </si>
  <si>
    <t>0092466164  DX89406-BKNAT-BPK-00-00-00 10000  KG  22039467</t>
    <phoneticPr fontId="4" type="noConversion"/>
  </si>
  <si>
    <t>000200491976  DX11328-NC-BPK-00-00-00 15000  KG  22035937</t>
    <phoneticPr fontId="4" type="noConversion"/>
  </si>
  <si>
    <t>0092302303  DX89406-BKNAT-BPK-00-00-00 10000  KG  22039467</t>
    <phoneticPr fontId="4" type="noConversion"/>
  </si>
  <si>
    <t>0092302304  DX89406-BKNAT-BPK-00-00-00 10000  KG  22039467</t>
    <phoneticPr fontId="4" type="noConversion"/>
  </si>
  <si>
    <t>0094765394  945-701-BAG-00-00-00 20000  KG  22019581</t>
    <phoneticPr fontId="4" type="noConversion"/>
  </si>
  <si>
    <t>000200544598  141R-701-BAG-00-00-00 5000  KG  22021359</t>
    <phoneticPr fontId="4" type="noConversion"/>
  </si>
  <si>
    <t>0092466165  DX89406-BKNAT-BPK-00-00-00 10000  KG  22039467</t>
    <phoneticPr fontId="4" type="noConversion"/>
  </si>
  <si>
    <t>0092302301  DX89406-BKNAT-BPK-00-00-00 10000  KG  22039467</t>
    <phoneticPr fontId="4" type="noConversion"/>
  </si>
  <si>
    <t>0092302302  DX89406-BKNAT-BPK-00-00-00 10000  KG  22039467</t>
    <phoneticPr fontId="4" type="noConversion"/>
  </si>
  <si>
    <t>0092302298  DX89406-BKNAT-BPK-00-00-00 10000  KG  22039467</t>
    <phoneticPr fontId="4" type="noConversion"/>
  </si>
  <si>
    <t>0092302299  DX89406-BKNAT-BPK-00-00-00 10000  KG  22039467</t>
    <phoneticPr fontId="4" type="noConversion"/>
  </si>
  <si>
    <t>0092302300  DX89406-BKNAT-BPK-00-00-00 10000  KG  22039467</t>
    <phoneticPr fontId="4" type="noConversion"/>
  </si>
  <si>
    <t>0092302296  DX89406-BKNAT-BPK-00-00-00 10000  KG  22039467</t>
    <phoneticPr fontId="4" type="noConversion"/>
  </si>
  <si>
    <t>0092302297  DX89406-BKNAT-BPK-00-00-00 10000  KG  22039467</t>
    <phoneticPr fontId="4" type="noConversion"/>
  </si>
  <si>
    <t>000200548411  3412ECR-131-BAG-00-00-00 7000  KG  22021723</t>
    <phoneticPr fontId="4" type="noConversion"/>
  </si>
  <si>
    <t>000200545549  3412R-131-BAG-00-00-00 10000  KG  22021728</t>
    <phoneticPr fontId="4" type="noConversion"/>
  </si>
  <si>
    <t>0094768364  3412ECR-739-BAG-00-00-00 20000  KG  22017144</t>
    <phoneticPr fontId="4" type="noConversion"/>
  </si>
  <si>
    <t>0094769041  420SE0-BK1066-BAG-00-00-00 20000  KG  22019379</t>
    <phoneticPr fontId="4" type="noConversion"/>
  </si>
  <si>
    <t>0094494532  3412ECR-739-BAG-00-00-00 20000  KG  22017144</t>
    <phoneticPr fontId="4" type="noConversion"/>
  </si>
  <si>
    <t>0094769042  420SE0-BK1066-BAG-00-00-00 20000  KG  22019379</t>
    <phoneticPr fontId="4" type="noConversion"/>
  </si>
  <si>
    <t>000200546328  420SE0J-7001-BAG-00-00-00 10000  KG  22031201</t>
    <phoneticPr fontId="4" type="noConversion"/>
  </si>
  <si>
    <t>000200539754  RCM6224-7M1D181-BAG-00-00-00 20600  KG  22084110</t>
    <phoneticPr fontId="4" type="noConversion"/>
  </si>
  <si>
    <t>0093295934  ML9696-701-SSS-00-00-00 20000  KG  22036814</t>
    <phoneticPr fontId="4" type="noConversion"/>
  </si>
  <si>
    <t>0094714324  XCY620-BK1005-BAG-00-00-00 10000  KG  22025061</t>
    <phoneticPr fontId="4" type="noConversion"/>
  </si>
  <si>
    <t>0093290780  ML9696-701-SSS-00-00-00 20000  KG  22036814</t>
    <phoneticPr fontId="4" type="noConversion"/>
  </si>
  <si>
    <t>0094691986  SLX2271T-BK1G296-BAG-00-00-00 20000  KG  22020921</t>
    <phoneticPr fontId="4" type="noConversion"/>
  </si>
  <si>
    <t>0094727004  C2950-701-BAG-00-00-00 20000  KG  22022271</t>
    <phoneticPr fontId="4" type="noConversion"/>
  </si>
  <si>
    <t>000200550103  925U-BK1B205-BAG-00-00-00 2000  KG  22034107</t>
    <phoneticPr fontId="4" type="noConversion"/>
  </si>
  <si>
    <t>0093290781  ML9696-701-SSS-00-00-00 20000  KG  22036814</t>
    <phoneticPr fontId="4" type="noConversion"/>
  </si>
  <si>
    <t>0093290782  ML9696-701-SSS-00-00-00 20000  KG  22036814</t>
    <phoneticPr fontId="4" type="noConversion"/>
  </si>
  <si>
    <t>000200497208  XCM830-76701-BAG-00-00-00 10000  KG  22033024</t>
    <phoneticPr fontId="4" type="noConversion"/>
  </si>
  <si>
    <t>0082957930  XCY620S-76701-BAG-00-00-00 20000  KG  22037308</t>
    <phoneticPr fontId="4" type="noConversion"/>
  </si>
  <si>
    <t>0082962854  XCY620S-76701-BAG-00-00-00 20000  KG  22037308</t>
    <phoneticPr fontId="4" type="noConversion"/>
  </si>
  <si>
    <t>000200546324  HFD4472-7N1D050-BAG-00-00-00 5000  KG  22036414</t>
    <phoneticPr fontId="4" type="noConversion"/>
  </si>
  <si>
    <t>0085806441  XCY620S-76701-BAG-00-00-00 20000  KG  22037308</t>
    <phoneticPr fontId="4" type="noConversion"/>
  </si>
  <si>
    <t>0082962837  XCY620S-76701-BAG-00-00-00 20000  KG  22037308</t>
    <phoneticPr fontId="4" type="noConversion"/>
  </si>
  <si>
    <t>0082962838  XCY620S-76701-BAG-00-00-00 20000  KG  22037308</t>
    <phoneticPr fontId="4" type="noConversion"/>
  </si>
  <si>
    <t>0082962870  XCY620S-76701-BAG-00-00-00 20000  KG  22037308</t>
    <phoneticPr fontId="4" type="noConversion"/>
  </si>
  <si>
    <t>000200497262  XCM830-76701-BAG-00-00-00 10000  KG  22033024</t>
    <phoneticPr fontId="4" type="noConversion"/>
  </si>
  <si>
    <t>000200508722  CP8320-76701-BAG-00-00-00 10000  KG  22056197</t>
    <phoneticPr fontId="4" type="noConversion"/>
  </si>
  <si>
    <t>0094691473  955-701-BAG-00-00-00 10000  KG  22022095</t>
    <phoneticPr fontId="4" type="noConversion"/>
  </si>
  <si>
    <t>0094714322  XCY620-BK1005-BAG-00-00-00 20000  KG  22025061</t>
    <phoneticPr fontId="4" type="noConversion"/>
  </si>
  <si>
    <t>0094714323  XCY620-BK1005-BAG-00-00-00 20000  KG  22025061</t>
    <phoneticPr fontId="4" type="noConversion"/>
  </si>
  <si>
    <t>0094692421  CX7240-7T1D193-BAG-00-00-00 20000  KG  22039232</t>
    <phoneticPr fontId="4" type="noConversion"/>
  </si>
  <si>
    <t>0094692475  EXL1132T-7T1D468-BAG-00-00-00 10000  KG  22089041</t>
    <phoneticPr fontId="4" type="noConversion"/>
  </si>
  <si>
    <t>0086447230  XCY620-BK1005-BAG-00-00-00 20000  KG  22025061</t>
    <phoneticPr fontId="4" type="noConversion"/>
  </si>
  <si>
    <t>000200497126  RCY6214-7M1D182-BAG-00-00-00 20000  KG  22040925</t>
    <phoneticPr fontId="4" type="noConversion"/>
  </si>
  <si>
    <t>0086447231  XCY620-BK1005-BAG-00-00-00 10000  KG  22025061</t>
    <phoneticPr fontId="4" type="noConversion"/>
  </si>
  <si>
    <t>0071618759  XCY620S-76701-BAG-00-00-00 20000  KG  22037308</t>
    <phoneticPr fontId="4" type="noConversion"/>
  </si>
  <si>
    <t>0075314818  XCY620S-76701-BAG-00-00-00 20000  KG  22037308</t>
    <phoneticPr fontId="4" type="noConversion"/>
  </si>
  <si>
    <t>0071618758  XCY620S-76701-BAG-00-00-00 20000  KG  22037308</t>
    <phoneticPr fontId="4" type="noConversion"/>
  </si>
  <si>
    <t>0082962864  XCY620S-76701-BAG-00-00-00 20000  KG  22037308</t>
    <phoneticPr fontId="4" type="noConversion"/>
  </si>
  <si>
    <t>0082962875  XCY620S-76701-BAG-00-00-00 20000  KG  22037308</t>
    <phoneticPr fontId="4" type="noConversion"/>
  </si>
  <si>
    <t>0082962848  XCY620S-76701-BAG-00-00-00 20000  KG  22037308</t>
    <phoneticPr fontId="4" type="noConversion"/>
  </si>
  <si>
    <t>0082962849  XCY620S-76701-BAG-00-00-00 20000  KG  22037308</t>
    <phoneticPr fontId="4" type="noConversion"/>
  </si>
  <si>
    <t>0082962859  XCY620S-76701-BAG-00-00-00 20000  KG  22037308</t>
    <phoneticPr fontId="4" type="noConversion"/>
  </si>
  <si>
    <t>000200537177  945-7T2D216-BAG-00-00-00 7000  KG  22029986</t>
    <phoneticPr fontId="4" type="noConversion"/>
  </si>
  <si>
    <t>0082962853  XCY620S-76701-BAG-00-00-00 20000  KG  22037308</t>
    <phoneticPr fontId="4" type="noConversion"/>
  </si>
  <si>
    <t>0082962852  XCY620S-76701-BAG-00-00-00 20000  KG  22037308</t>
    <phoneticPr fontId="4" type="noConversion"/>
  </si>
  <si>
    <t>0082962851  XCY620S-76701-BAG-00-00-00 20000  KG  22037308</t>
    <phoneticPr fontId="4" type="noConversion"/>
  </si>
  <si>
    <t>0082962850  XCY620S-76701-BAG-00-00-00 20000  KG  22037308</t>
    <phoneticPr fontId="4" type="noConversion"/>
  </si>
  <si>
    <t>0071618761  XCY620S-76701-BAG-00-00-00 20000  KG  22037308</t>
    <phoneticPr fontId="4" type="noConversion"/>
  </si>
  <si>
    <t>0082957941  XCY620S-76701-BAG-00-00-00 20000  KG  22037308</t>
    <phoneticPr fontId="4" type="noConversion"/>
  </si>
  <si>
    <t>0082957942  XCY620S-76701-BAG-00-00-00 20000  KG  22037308</t>
    <phoneticPr fontId="4" type="noConversion"/>
  </si>
  <si>
    <t>0090054452  XCY620-BK1005-BAG-00-00-00 20000  KG  22025061</t>
    <phoneticPr fontId="4" type="noConversion"/>
  </si>
  <si>
    <t>000200537202  945-7T2D216-BAG-00-00-00 5000  KG  22029986</t>
    <phoneticPr fontId="4" type="noConversion"/>
  </si>
  <si>
    <t>0094492809  945-8T9D231-BAG-00-00-00 20000  KG  22043924</t>
    <phoneticPr fontId="4" type="noConversion"/>
  </si>
  <si>
    <t>0094768366  940-NC-BAG-00-00-00 20000  KG  22022017</t>
    <phoneticPr fontId="4" type="noConversion"/>
  </si>
  <si>
    <t>0094726999  945-8T7D087-BAG-00-00-00 20000  KG  22031466</t>
    <phoneticPr fontId="4" type="noConversion"/>
  </si>
  <si>
    <t>000200540933  C6600-GY6A480-BAG-00-00-00 2200  KG  22027944</t>
    <phoneticPr fontId="4" type="noConversion"/>
  </si>
  <si>
    <t>000200529111  C2100-86159-BAG-00-00-00 2000  KG  22029924</t>
    <phoneticPr fontId="4" type="noConversion"/>
  </si>
  <si>
    <t>0093290248  357TF-1001-SSS-00-00-00 20000  KG  22088360</t>
    <phoneticPr fontId="4" type="noConversion"/>
  </si>
  <si>
    <t>000200527627  945-7T9A0590-BAG-00-00-00 10000  KG  22098535</t>
    <phoneticPr fontId="4" type="noConversion"/>
  </si>
  <si>
    <t>000200500299  HF1110-7G7A0963T 20000  KG  299901071</t>
    <phoneticPr fontId="4" type="noConversion"/>
  </si>
  <si>
    <t>0094691979  940A-116-BAG-00-00-00 20000  KG  22022020</t>
    <phoneticPr fontId="4" type="noConversion"/>
  </si>
  <si>
    <t>0094691980  940A-116-BAG-00-00-00 20000  KG  22022020</t>
    <phoneticPr fontId="4" type="noConversion"/>
  </si>
  <si>
    <t>000200497123  GLX143-GN4G119T-BAG-00-00-00 10000  KG  22067691</t>
    <phoneticPr fontId="4" type="noConversion"/>
  </si>
  <si>
    <t>000200545240  143R-WH7D381X-BAG-00-00-00 2000  KG  22017275</t>
    <phoneticPr fontId="4" type="noConversion"/>
  </si>
  <si>
    <t>000200531578  LS2-414-BAG-00-00-00 20000  KG  22018729</t>
    <phoneticPr fontId="4" type="noConversion"/>
  </si>
  <si>
    <t>000200533476  123R-WH7D277X-BAG-00-00-00 10000  KG  22021303</t>
    <phoneticPr fontId="4" type="noConversion"/>
  </si>
  <si>
    <t>000200531580  LS2-4135-BAG-00-00-00 20000  KG  22028049</t>
    <phoneticPr fontId="4" type="noConversion"/>
  </si>
  <si>
    <t>0094727000  945-NC-BAG-00-00-00 20000  KG  22022070</t>
    <phoneticPr fontId="4" type="noConversion"/>
  </si>
  <si>
    <t>000200548766  241R-GN8B014T-BAG-00-00-00 2000  KG  22030867</t>
    <phoneticPr fontId="4" type="noConversion"/>
  </si>
  <si>
    <t>000200497052  GLX143-GN4G119T-BAG-00-00-00 10000  KG  22067691</t>
    <phoneticPr fontId="4" type="noConversion"/>
  </si>
  <si>
    <t>000200497053  GLX143-GN4G119T-BAG-00-00-00 10000  KG  22067691</t>
    <phoneticPr fontId="4" type="noConversion"/>
  </si>
  <si>
    <t>000200540940  FXD121R-WH6E008X-BAG-00-00-00 2000  KG  22036130</t>
    <phoneticPr fontId="4" type="noConversion"/>
  </si>
  <si>
    <t>000200551096  LUX2114G-WH8G625X-BAG-00-00-00 875  KG  22032676</t>
    <phoneticPr fontId="4" type="noConversion"/>
  </si>
  <si>
    <t>0094699044  MC1300-100-BAG-00-00-00 20000  KG  22018739</t>
    <phoneticPr fontId="4" type="noConversion"/>
  </si>
  <si>
    <t>0094700205  XCY620S-100-BAG-00-00-00 20000  KG  22025073</t>
    <phoneticPr fontId="4" type="noConversion"/>
  </si>
  <si>
    <t>0094700206  XCY620S-100-BAG-00-00-00 20000  KG  22025073</t>
    <phoneticPr fontId="4" type="noConversion"/>
  </si>
  <si>
    <t>0094699045  MC1300-100-BAG-00-00-00 20000  KG  22018739</t>
    <phoneticPr fontId="4" type="noConversion"/>
  </si>
  <si>
    <t>0094699046  MC1300-100-BAG-00-00-00 20000  KG  22018739</t>
    <phoneticPr fontId="4" type="noConversion"/>
  </si>
  <si>
    <t>000200526353  LUX2114G-WH4G039X-BAG-00-00-00 15000  KG  22030544</t>
    <phoneticPr fontId="4" type="noConversion"/>
  </si>
  <si>
    <t>0082948898  MC1300-100-BAG-00-00-00 20000  KG  22018739</t>
    <phoneticPr fontId="4" type="noConversion"/>
  </si>
  <si>
    <t>0082948899  MC1300-100-BAG-00-00-00 20000  KG  22018739</t>
    <phoneticPr fontId="4" type="noConversion"/>
  </si>
  <si>
    <t>000200526354  LUX2114G-WH8B508X-BAG-00-00-00 15000  KG  22020466</t>
    <phoneticPr fontId="4" type="noConversion"/>
  </si>
  <si>
    <t>000200526409  LUX2114G-WH5B140X-BAG-00-00-00 15000  KG  22023831</t>
    <phoneticPr fontId="4" type="noConversion"/>
  </si>
  <si>
    <t>000200537101  HF1130-111-BAG-00-00-00 10000  KG  22023563</t>
    <phoneticPr fontId="4" type="noConversion"/>
  </si>
  <si>
    <t>000200549506  LUX2114G-WH5B140X-BAG-00-00-00 1000  KG  22023831</t>
    <phoneticPr fontId="4" type="noConversion"/>
  </si>
  <si>
    <t>000200497069  LG9000-100-BAG-00-00-00 20000  KG  22023994</t>
    <phoneticPr fontId="4" type="noConversion"/>
  </si>
  <si>
    <t>0082948900  MC1300-100-BAG-00-00-00 20000  KG  22018739</t>
    <phoneticPr fontId="4" type="noConversion"/>
  </si>
  <si>
    <t>0094699040  MC1300-100-BAG-00-00-00 20000  KG  22018739</t>
    <phoneticPr fontId="4" type="noConversion"/>
  </si>
  <si>
    <t>0094699041  MC1300-100-BAG-00-00-00 20000  KG  22018739</t>
    <phoneticPr fontId="4" type="noConversion"/>
  </si>
  <si>
    <t>000200526408  LUX2114G-WH8B508X-BAG-00-00-00 15000  KG  22020466</t>
    <phoneticPr fontId="4" type="noConversion"/>
  </si>
  <si>
    <t>000200526256  LUX2114G-WH4G039X-BAG-00-00-00 14000  KG  22030544</t>
    <phoneticPr fontId="4" type="noConversion"/>
  </si>
  <si>
    <t>000200526425  LUX2114G-WH5B140X-BAG-00-00-00 15000  KG  22023831</t>
    <phoneticPr fontId="4" type="noConversion"/>
  </si>
  <si>
    <t>000200549460  LUX2114G-WH8G625X-BAG-00-00-00 5000  KG  22032676</t>
    <phoneticPr fontId="4" type="noConversion"/>
  </si>
  <si>
    <t>0094678264  MC1300-100-BAG-00-00-00 20000  KG  22018739</t>
    <phoneticPr fontId="4" type="noConversion"/>
  </si>
  <si>
    <t>0094678265  MC1300-100-BAG-00-00-00 20000  KG  22018739</t>
    <phoneticPr fontId="4" type="noConversion"/>
  </si>
  <si>
    <t>0094678266  MC1300-100-BAG-00-00-00 20000  KG  22018739</t>
    <phoneticPr fontId="4" type="noConversion"/>
  </si>
  <si>
    <t>000200549461  LUX2114G-WH8G625X-BAG-00-00-00 3000  KG  22032676</t>
    <phoneticPr fontId="4" type="noConversion"/>
  </si>
  <si>
    <t>000200497070  LG9000-100-BAG-00-00-00 20000  KG  22023994</t>
    <phoneticPr fontId="4" type="noConversion"/>
  </si>
  <si>
    <t>0088398245  C1200HF-100-BAG-00-00-00 20000  KG  22019660</t>
    <phoneticPr fontId="4" type="noConversion"/>
  </si>
  <si>
    <t>0094700527  MC1300-100-BAG-00-00-00 20000  KG  22018739</t>
    <phoneticPr fontId="4" type="noConversion"/>
  </si>
  <si>
    <t>0094700528  MC1300-100-BAG-00-00-00 20000  KG  22018739</t>
    <phoneticPr fontId="4" type="noConversion"/>
  </si>
  <si>
    <t>0094700529  MC1300-100-BAG-00-00-00 20000  KG  22018739</t>
    <phoneticPr fontId="4" type="noConversion"/>
  </si>
  <si>
    <t>0094700530  MC1300-100-BAG-00-00-00 20000  KG  22018739</t>
    <phoneticPr fontId="4" type="noConversion"/>
  </si>
  <si>
    <t>000200510608  141R-GY6A427-SSS-00-00-00 15000  KG  22038198</t>
    <phoneticPr fontId="4" type="noConversion"/>
  </si>
  <si>
    <t>000200503118  121R-7R7D031-SSS-00-00-00 20000  KG  22037463</t>
    <phoneticPr fontId="4" type="noConversion"/>
  </si>
  <si>
    <t>000200525722  244RF-GY7G193F-BAG-00-00-00 10000  KG  22033846</t>
    <phoneticPr fontId="4" type="noConversion"/>
  </si>
  <si>
    <t>000200505772  121R-7R7D031-SSS-00-00-00 20000  KG  22037463</t>
    <phoneticPr fontId="4" type="noConversion"/>
  </si>
  <si>
    <t>000200478881  141R-80711-BAG-00-00-00 9000  KG  22038171</t>
    <phoneticPr fontId="4" type="noConversion"/>
  </si>
  <si>
    <t>000200538948  241R-WH6D069-BAG-00-00-00 10000  KG  22030876</t>
    <phoneticPr fontId="4" type="noConversion"/>
  </si>
  <si>
    <t>0094691982  945-NC-BAG-00-00-00 20000  KG  22022070</t>
    <phoneticPr fontId="4" type="noConversion"/>
  </si>
  <si>
    <t>000200545534  CX7240-7T1D434-BAG-00-00-00 5000  KG  22067443</t>
    <phoneticPr fontId="4" type="noConversion"/>
  </si>
  <si>
    <t>000200539042  241R-BR7D001-BAG-00-00-00 10000  KG  22033469</t>
    <phoneticPr fontId="4" type="noConversion"/>
  </si>
  <si>
    <t>0086436886  144R-111FC-BAG-00-00-00 20000  KG  22021418</t>
    <phoneticPr fontId="4" type="noConversion"/>
  </si>
  <si>
    <t>0094727001  945-NC-BAG-00-00-00 20000  KG  22022070</t>
    <phoneticPr fontId="4" type="noConversion"/>
  </si>
  <si>
    <t>0094727002  945-NC-BAG-00-00-00 20000  KG  22022070</t>
    <phoneticPr fontId="4" type="noConversion"/>
  </si>
  <si>
    <t>000200550423  241R-WH6D069-BAG-00-00-00 10000  KG  22030876</t>
    <phoneticPr fontId="4" type="noConversion"/>
  </si>
  <si>
    <t>000200550422  241R-WH6D069-BAG-00-00-00 20000  KG  22030876</t>
    <phoneticPr fontId="4" type="noConversion"/>
  </si>
  <si>
    <t>000200502927  EXL9330-5T7D005-BAG-00-00-00 5000  KG  22029397</t>
    <phoneticPr fontId="4" type="noConversion"/>
  </si>
  <si>
    <t>000200531796  241R-WH6D069-BAG-00-00-00 20000  KG  22030876</t>
    <phoneticPr fontId="4" type="noConversion"/>
  </si>
  <si>
    <t>0092477893  LUX9612-WH8E508X-BAG-00-00-00 3000  KG  22017108</t>
    <phoneticPr fontId="4" type="noConversion"/>
  </si>
  <si>
    <t>000200470141  123R-WH5G107-BAG-00-00-00 2000  KG  22044544</t>
    <phoneticPr fontId="4" type="noConversion"/>
  </si>
  <si>
    <t>0085647844  MC1300-100-BAG-00-00-00 20000  KG  22018739</t>
    <phoneticPr fontId="4" type="noConversion"/>
  </si>
  <si>
    <t>000200524337  EXL1414-GY8B195-BAG-00-00-00 5000  KG  22040454</t>
    <phoneticPr fontId="4" type="noConversion"/>
  </si>
  <si>
    <t>000200529089  121R-7R7D031-SSS-00-00-00 20000  KG  22037463</t>
    <phoneticPr fontId="4" type="noConversion"/>
  </si>
  <si>
    <t>000200551272  945-8T9D231-BAG-00-00-00 20600  KG  22043924</t>
    <phoneticPr fontId="4" type="noConversion"/>
  </si>
  <si>
    <t>000200547619  945-8T9D148-BAG-00-00-00 20000  KG  22038397</t>
    <phoneticPr fontId="4" type="noConversion"/>
  </si>
  <si>
    <t>000200548382  EXL9330-7T7D185-BAG-00-00-00 6000  KG  22040593</t>
    <phoneticPr fontId="4" type="noConversion"/>
  </si>
  <si>
    <t>0094699039  MC1300-100-BAG-00-00-00 20000  KG  22018739</t>
    <phoneticPr fontId="4" type="noConversion"/>
  </si>
  <si>
    <t>0094700207  XCY620S-100-BAG-00-00-00 20000  KG  22025073</t>
    <phoneticPr fontId="4" type="noConversion"/>
  </si>
  <si>
    <t>000200544370  EXL1414-BK1A329-BAG-00-00-00 2000  KG  22039632</t>
    <phoneticPr fontId="4" type="noConversion"/>
  </si>
  <si>
    <t>000200504666  MC1300-100-SSS-00-00-00 20000  KG  22036948</t>
    <phoneticPr fontId="4" type="noConversion"/>
  </si>
  <si>
    <t>0085647849  MC1300-100-BAG-00-00-00 20000  KG  22018739</t>
    <phoneticPr fontId="4" type="noConversion"/>
  </si>
  <si>
    <t>000200386739  MC1300-100-BAG-00-00-00 20600  KG  22018739</t>
    <phoneticPr fontId="4" type="noConversion"/>
  </si>
  <si>
    <t>0082948897  MC1300-100-BAG-00-00-00 20000  KG  22018739</t>
    <phoneticPr fontId="4" type="noConversion"/>
  </si>
  <si>
    <t>0094699042  MC1300-100-BAG-00-00-00 20000  KG  22018739</t>
    <phoneticPr fontId="4" type="noConversion"/>
  </si>
  <si>
    <t>0094699043  MC1300-100-BAG-00-00-00 20000  KG  22018739</t>
    <phoneticPr fontId="4" type="noConversion"/>
  </si>
  <si>
    <t>0082962841  XCY620S-76701-BAG-00-00-00 20000  KG  22037308</t>
    <phoneticPr fontId="4" type="noConversion"/>
  </si>
  <si>
    <t>0082962869  XCY620S-76701-BAG-00-00-00 20000  KG  22037308</t>
    <phoneticPr fontId="4" type="noConversion"/>
  </si>
  <si>
    <t>0082962862  XCY620S-76701-BAG-00-00-00 20000  KG  22037308</t>
    <phoneticPr fontId="4" type="noConversion"/>
  </si>
  <si>
    <t>0082962860  XCY620S-76701-BAG-00-00-00 20000  KG  22037308</t>
    <phoneticPr fontId="4" type="noConversion"/>
  </si>
  <si>
    <t>0082962858  XCY620S-76701-BAG-00-00-00 20000  KG  22037308</t>
    <phoneticPr fontId="4" type="noConversion"/>
  </si>
  <si>
    <t>0082962857  XCY620S-76701-BAG-00-00-00 20000  KG  22037308</t>
    <phoneticPr fontId="4" type="noConversion"/>
  </si>
  <si>
    <t>000200504690  MC1300-100-SSS-00-00-00 20000  KG  22036948</t>
    <phoneticPr fontId="4" type="noConversion"/>
  </si>
  <si>
    <t>0094678267  MC1300-100-BAG-00-00-00 20000  KG  22018739</t>
    <phoneticPr fontId="4" type="noConversion"/>
  </si>
  <si>
    <t>0082962847  XCY620S-76701-BAG-00-00-00 20000  KG  22037308</t>
    <phoneticPr fontId="4" type="noConversion"/>
  </si>
  <si>
    <t>0082962846  XCY620S-76701-BAG-00-00-00 20000  KG  22037308</t>
    <phoneticPr fontId="4" type="noConversion"/>
  </si>
  <si>
    <t>0082962845  XCY620S-76701-BAG-00-00-00 20000  KG  22037308</t>
    <phoneticPr fontId="4" type="noConversion"/>
  </si>
  <si>
    <t>0082962835  XCY620S-76701-BAG-00-00-00 20000  KG  22037308</t>
    <phoneticPr fontId="4" type="noConversion"/>
  </si>
  <si>
    <t>0082962836  XCY620S-76701-BAG-00-00-00 20000  KG  22037308</t>
    <phoneticPr fontId="4" type="noConversion"/>
  </si>
  <si>
    <t>0094678268  MC1300-100-BAG-00-00-00 20000  KG  22018739</t>
    <phoneticPr fontId="4" type="noConversion"/>
  </si>
  <si>
    <t>0094678269  MC1300-100-BAG-00-00-00 20000  KG  22018739</t>
    <phoneticPr fontId="4" type="noConversion"/>
  </si>
  <si>
    <t>0094678270  MC1300-100-BAG-00-00-00 20000  KG  22018739</t>
    <phoneticPr fontId="4" type="noConversion"/>
  </si>
  <si>
    <t>0094678271  MC1300-100-BAG-00-00-00 20000  KG  22018739</t>
    <phoneticPr fontId="4" type="noConversion"/>
  </si>
  <si>
    <t>0094700208  XCY620S-100-BAG-00-00-00 20000  KG  22025073</t>
    <phoneticPr fontId="4" type="noConversion"/>
  </si>
  <si>
    <t>0094678272  MC1300-100-BAG-00-00-00 20000  KG  22018739</t>
    <phoneticPr fontId="4" type="noConversion"/>
  </si>
  <si>
    <t>0094678273  MC1300-100-BAG-00-00-00 20000  KG  22018739</t>
    <phoneticPr fontId="4" type="noConversion"/>
  </si>
  <si>
    <t>000200423650  LS1-701-BAG-00-00-00 20600  KG  22041018</t>
    <phoneticPr fontId="4" type="noConversion"/>
  </si>
  <si>
    <t>000200470305  C1200HF-7001-BBG-00-00-00 15450  KG  22028879</t>
    <phoneticPr fontId="4" type="noConversion"/>
  </si>
  <si>
    <t>000200534693  143-BK1111-BAG-00-00-00 10000  KG  22030766</t>
    <phoneticPr fontId="4" type="noConversion"/>
  </si>
  <si>
    <t>000200496373  XCY620-BK1G372-BAG-00-00-00 15000  KG  22041153</t>
    <phoneticPr fontId="4" type="noConversion"/>
  </si>
  <si>
    <t>000200496233  XCY620-BK1G372-BAG-00-00-00 10000  KG  22041153</t>
    <phoneticPr fontId="4" type="noConversion"/>
  </si>
  <si>
    <t>0094692685  XP4034-BK1041-BAG-00-00-00 10000  KG  22019027</t>
    <phoneticPr fontId="4" type="noConversion"/>
  </si>
  <si>
    <t>0094692686  XP4034-BK1041-BAG-00-00-00 10000  KG  22019027</t>
    <phoneticPr fontId="4" type="noConversion"/>
  </si>
  <si>
    <t>0094692687  XP4034-BK1041-BAG-00-00-00 10000  KG  22019027</t>
    <phoneticPr fontId="4" type="noConversion"/>
  </si>
  <si>
    <t>000200488858  XCY620-BK1G372-BAG-00-00-00 10000  KG  22041153</t>
    <phoneticPr fontId="4" type="noConversion"/>
  </si>
  <si>
    <t>000200545298  XCY620-BK1G372-BAG-00-00-00 6000  KG  22041153</t>
    <phoneticPr fontId="4" type="noConversion"/>
  </si>
  <si>
    <t>0090656596  XP4034-BK1041-BAG-00-00-00 15000  KG  22019027</t>
    <phoneticPr fontId="4" type="noConversion"/>
  </si>
  <si>
    <t>000200538791  NXCY620-BKNAT-BAG-00-00-00 13000  KG  22036896</t>
    <phoneticPr fontId="4" type="noConversion"/>
  </si>
  <si>
    <t>0090033778  C1200HF-701-BAG-00-00-00 15000  KG  22022222</t>
    <phoneticPr fontId="4" type="noConversion"/>
  </si>
  <si>
    <t>000200548508  141R-701-BAG-00-00-00 10000  KG  22021359</t>
    <phoneticPr fontId="4" type="noConversion"/>
  </si>
  <si>
    <t>000200502316  LG9000-BK1044-BAG-00-00-00 20000  KG  22018724</t>
    <phoneticPr fontId="4" type="noConversion"/>
  </si>
  <si>
    <t>000200550037  141R-701-BAG-00-00-00 6375  KG  22021359</t>
    <phoneticPr fontId="4" type="noConversion"/>
  </si>
  <si>
    <t>000200547735  XP4034-GY1E811-BAG-00-00-00 10000  KG  22019030</t>
    <phoneticPr fontId="4" type="noConversion"/>
  </si>
  <si>
    <t>000200497056  LG9000-701-BAG-00-00-00 20000  KG  22017215</t>
    <phoneticPr fontId="4" type="noConversion"/>
  </si>
  <si>
    <t>0094714320  XCY620-BK1005-BAG-00-00-00 20000  KG  22025061</t>
    <phoneticPr fontId="4" type="noConversion"/>
  </si>
  <si>
    <t>000200528390  MC1300-701-BAG-00-00-00 9475  KG  22023858</t>
    <phoneticPr fontId="4" type="noConversion"/>
  </si>
  <si>
    <t>000200545450  LG9000-7G1A3595 5000  KG  299904096</t>
    <phoneticPr fontId="4" type="noConversion"/>
  </si>
  <si>
    <t>000200496387  LG9000-BK1044MX-BAG-00-00-00 10500  KG  22036575</t>
    <phoneticPr fontId="4" type="noConversion"/>
  </si>
  <si>
    <t>000200508782  XP4034-GY1E349-BAG-00-00-00 10000  KG  22041179</t>
    <phoneticPr fontId="4" type="noConversion"/>
  </si>
  <si>
    <t>0082959378  C1200HF-701-BAG-00-00-00 20000  KG  22022222</t>
    <phoneticPr fontId="4" type="noConversion"/>
  </si>
  <si>
    <t>0090033779  C1200HF-701-BAG-00-00-00 20000  KG  22022222</t>
    <phoneticPr fontId="4" type="noConversion"/>
  </si>
  <si>
    <t>0090656597  XP4034-BK1041-BAG-00-00-00 20000  KG  22019027</t>
    <phoneticPr fontId="4" type="noConversion"/>
  </si>
  <si>
    <t>000200537204  C1200HF-GY1460-BAG-00-00-00 5000  KG  22039413</t>
    <phoneticPr fontId="4" type="noConversion"/>
  </si>
  <si>
    <t>0094692688  XP4034-BK1041-BAG-00-00-00 10000  KG  22019027</t>
    <phoneticPr fontId="4" type="noConversion"/>
  </si>
  <si>
    <t>000200549493  LS1-701-BAG-00-00-00 20000  KG  22041018</t>
    <phoneticPr fontId="4" type="noConversion"/>
  </si>
  <si>
    <t>000200521960  C1200HF-GY1460-BAG-00-00-00 10000  KG  22039413</t>
    <phoneticPr fontId="4" type="noConversion"/>
  </si>
  <si>
    <t>000200551142  C1200HF-BK2G024-BAG-00-00-00 20000  KG  22034874</t>
    <phoneticPr fontId="4" type="noConversion"/>
  </si>
  <si>
    <t>000200551079  C1200HF-BK2G024-BAG-00-00-00 20000  KG  22034874</t>
    <phoneticPr fontId="4" type="noConversion"/>
  </si>
  <si>
    <t>000200549471  LS1-701-BAG-00-00-00 20000  KG  22041018</t>
    <phoneticPr fontId="4" type="noConversion"/>
  </si>
  <si>
    <t>0094692789  XP4034-BK1041-BAG-00-00-00 10000  KG  22019027</t>
    <phoneticPr fontId="4" type="noConversion"/>
  </si>
  <si>
    <t>0094692790  XP4034-BK1041-BAG-00-00-00 15000  KG  22019027</t>
    <phoneticPr fontId="4" type="noConversion"/>
  </si>
  <si>
    <t>000200549400  LS1-701-BAG-00-00-00 20000  KG  22041018</t>
    <phoneticPr fontId="4" type="noConversion"/>
  </si>
  <si>
    <t>000200496374  XCY620-BK1G372-BAG-00-00-00 16000  KG  22041153</t>
    <phoneticPr fontId="4" type="noConversion"/>
  </si>
  <si>
    <t>000200549507  LS1-701-BAG-00-00-00 20000  KG  22041018</t>
    <phoneticPr fontId="4" type="noConversion"/>
  </si>
  <si>
    <t>000200551123  C1200HF-BK2G024-BAG-00-00-00 20000  KG  22034874</t>
    <phoneticPr fontId="4" type="noConversion"/>
  </si>
  <si>
    <t>000200549528  LS1-701-BAG-00-00-00 20000  KG  22041018</t>
    <phoneticPr fontId="4" type="noConversion"/>
  </si>
  <si>
    <t>000200508695  XP4034-GY1E349-BAG-00-00-00 10000  KG  22041179</t>
    <phoneticPr fontId="4" type="noConversion"/>
  </si>
  <si>
    <t>000200497125  LG9000-701-BAG-00-00-00 20000  KG  22017215</t>
    <phoneticPr fontId="4" type="noConversion"/>
  </si>
  <si>
    <t>000200551017  C1200HF-BK2G024-BAG-00-00-00 20000  KG  22034874</t>
    <phoneticPr fontId="4" type="noConversion"/>
  </si>
  <si>
    <t>0094714325  XCY620-BK1005-BAG-00-00-00 20000  KG  22025061</t>
    <phoneticPr fontId="4" type="noConversion"/>
  </si>
  <si>
    <t>000200549459  LS1-701-BAG-00-00-00 20000  KG  22041018</t>
    <phoneticPr fontId="4" type="noConversion"/>
  </si>
  <si>
    <t>000200540824  LG9000-GY1C306-BAG-00-00-00 13000  KG  22018726</t>
    <phoneticPr fontId="4" type="noConversion"/>
  </si>
  <si>
    <t>000200539808  C1200HF-GY1460-BAG-00-00-00 5000  KG  22039413</t>
    <phoneticPr fontId="4" type="noConversion"/>
  </si>
  <si>
    <t>000200537703  C1200HF-GY1460-BAG-00-00-00 10000  KG  22039413</t>
    <phoneticPr fontId="4" type="noConversion"/>
  </si>
  <si>
    <t>000200537625  XCY620-BK1G372-BAG-00-00-00 10000  KG  22041153</t>
    <phoneticPr fontId="4" type="noConversion"/>
  </si>
  <si>
    <t>000200550250  EXL9134-7A8D006-BAG-00-00-00 1000  KG  22023110</t>
    <phoneticPr fontId="4" type="noConversion"/>
  </si>
  <si>
    <t>000200540632  9925A-NA1A0036-BAG-00-00-00 2000  KG  22034701</t>
    <phoneticPr fontId="4" type="noConversion"/>
  </si>
  <si>
    <t>000200488972  HF1130-111-BAG-00-00-00 2000  KG  22023563</t>
    <phoneticPr fontId="4" type="noConversion"/>
  </si>
  <si>
    <t>000200543655  923A-116-BAG-00-00-00 1000  KG  22022183</t>
    <phoneticPr fontId="4" type="noConversion"/>
  </si>
  <si>
    <t>000200530593  LUX2114G-WH5B140X-BAG-00-00-00 1000  KG  22023831</t>
    <phoneticPr fontId="4" type="noConversion"/>
  </si>
  <si>
    <t>000200534747  LUX2114G-WH8G625X-BAG-00-00-00 5000  KG  22032676</t>
    <phoneticPr fontId="4" type="noConversion"/>
  </si>
  <si>
    <t>000200538718  121R-1A9D007T-BAG-00-00-00 500  KG  22037448</t>
    <phoneticPr fontId="4" type="noConversion"/>
  </si>
  <si>
    <t>000200421463  LUX9130T-NAT-BAG-00-00-00 10000  KG  22036940</t>
    <phoneticPr fontId="4" type="noConversion"/>
  </si>
  <si>
    <t>000200528316  143R-WH7D381X-BAG-00-00-00 3000  KG  22017275</t>
    <phoneticPr fontId="4" type="noConversion"/>
  </si>
  <si>
    <t>000200550336  FXD171R-WH7D264X-BAG-00-00-00 500  KG  22040730</t>
    <phoneticPr fontId="4" type="noConversion"/>
  </si>
  <si>
    <t>000200421445  LUX9130T-NAT-BAG-00-00-00 10000  KG  22036940</t>
    <phoneticPr fontId="4" type="noConversion"/>
  </si>
  <si>
    <t>000200536980  950A-116-BAG-00-00-00 1000  KG  22018296</t>
    <phoneticPr fontId="4" type="noConversion"/>
  </si>
  <si>
    <t>000200509337  LUX2114G-WH8B508X-BAG-00-00-00 2000  KG  22020466</t>
    <phoneticPr fontId="4" type="noConversion"/>
  </si>
  <si>
    <t>000200543585  121R-1A9D007T-BAG-00-00-00 1200  KG  22037448</t>
    <phoneticPr fontId="4" type="noConversion"/>
  </si>
  <si>
    <t>000200506912  FXD121R-WH6D266X-BAG-00-00-00 2000  KG  22040027</t>
    <phoneticPr fontId="4" type="noConversion"/>
  </si>
  <si>
    <t>000200534777  953A-116-BAG-00-00-00 1000  KG  22022088</t>
    <phoneticPr fontId="4" type="noConversion"/>
  </si>
  <si>
    <t>0075164447  XCY620S-100-BAG-00-00-00 20000  KG  22025073</t>
    <phoneticPr fontId="4" type="noConversion"/>
  </si>
  <si>
    <t>000200548737  LUX9610-111N-BAG-00-00-00 1675  KG  22041065</t>
    <phoneticPr fontId="4" type="noConversion"/>
  </si>
  <si>
    <t>000200551271  FXD171R-WH7E306X-BAG-00-00-00 500  KG  22017394</t>
    <phoneticPr fontId="4" type="noConversion"/>
  </si>
  <si>
    <t>000200523571  103-111-BAG-00-00-00 5000  KG  22028578</t>
    <phoneticPr fontId="4" type="noConversion"/>
  </si>
  <si>
    <t>000200514393  FXD141R-NA1D001X-BAG-00-00-00 2000  KG  22030318</t>
    <phoneticPr fontId="4" type="noConversion"/>
  </si>
  <si>
    <t>000200549117  9925A-NA1A0036-BAG-00-00-00 2000  KG  22034701</t>
    <phoneticPr fontId="4" type="noConversion"/>
  </si>
  <si>
    <t>000200496048  FXD121R-WH6E008X-BAG-00-00-00 2000  KG  22036130</t>
    <phoneticPr fontId="4" type="noConversion"/>
  </si>
  <si>
    <t>000200426612  LUX2114G-WH4G020X-BAG-00-00-00 3000  KG  22036929</t>
    <phoneticPr fontId="4" type="noConversion"/>
  </si>
  <si>
    <t>000200530651  LUX2114G-WH5B140X-BAG-00-00-00 2000  KG  22023831</t>
    <phoneticPr fontId="4" type="noConversion"/>
  </si>
  <si>
    <t>000200496047  FXD121R-NA2D006X-BAG-00-00-00 2000  KG  22036125</t>
    <phoneticPr fontId="4" type="noConversion"/>
  </si>
  <si>
    <t>000200495973  164H-111FC-BAG-00-00-00 2000  KG  22031018</t>
    <phoneticPr fontId="4" type="noConversion"/>
  </si>
  <si>
    <t>0086435842  XCY620S-100-BAG-00-00-00 10000  KG  22025073</t>
    <phoneticPr fontId="4" type="noConversion"/>
  </si>
  <si>
    <t>000200506819  FXD121R-WH6D266X-BAG-00-00-00 2000  KG  22040027</t>
    <phoneticPr fontId="4" type="noConversion"/>
  </si>
  <si>
    <t>000200421444  LUX9130T-NAT-BAG-00-00-00 10000  KG  22036940</t>
    <phoneticPr fontId="4" type="noConversion"/>
  </si>
  <si>
    <t>000200538716  945-7A1A2480 1500  KG  299902726</t>
    <phoneticPr fontId="4" type="noConversion"/>
  </si>
  <si>
    <t>000200549991  ML6411-GY1G200-BAG-00-00-00 5000  KG  22030574</t>
    <phoneticPr fontId="4" type="noConversion"/>
  </si>
  <si>
    <t>000200515682  EXL9134-7T2D205-BAG-00-00-00 2000  KG  22029393</t>
    <phoneticPr fontId="4" type="noConversion"/>
  </si>
  <si>
    <t>000200528634  4701R-700001-BAG-00-00-00 2000  KG  22019391</t>
    <phoneticPr fontId="4" type="noConversion"/>
  </si>
  <si>
    <t>000200499056  945U-7T2A2362 2000  KG  299902755</t>
    <phoneticPr fontId="4" type="noConversion"/>
  </si>
  <si>
    <t>000200550356  EXL9330-BK1A361-BAG-00-00-00 500  KG  22017754</t>
    <phoneticPr fontId="4" type="noConversion"/>
  </si>
  <si>
    <t>000200547603  C6600-7T1D193-BAG-00-00-00 10000  KG  22039700</t>
    <phoneticPr fontId="4" type="noConversion"/>
  </si>
  <si>
    <t>000200520325  XP4034-BK1E477-BAG-00-00-00 2000  KG  22032854</t>
    <phoneticPr fontId="4" type="noConversion"/>
  </si>
  <si>
    <t>000200516769  XP4034-GY1E811-BAG-00-00-00 5000  KG  22019030</t>
    <phoneticPr fontId="4" type="noConversion"/>
  </si>
  <si>
    <t>000200549232  943-GY1B340-BAG-00-00-00 2000  KG  22029971</t>
    <phoneticPr fontId="4" type="noConversion"/>
  </si>
  <si>
    <t>000200543608  945-7A1A2480 2000  KG  299902726</t>
    <phoneticPr fontId="4" type="noConversion"/>
  </si>
  <si>
    <t>000200548672  C6200-7T1D306-BAG-00-00-00 10000  KG  22035116</t>
    <phoneticPr fontId="4" type="noConversion"/>
  </si>
  <si>
    <t>000200550342  C6600-BR2E056-BAG-00-00-00 5000  KG  22035299</t>
    <phoneticPr fontId="4" type="noConversion"/>
  </si>
  <si>
    <t>000200541759  C6600-GY2A547-BAG-00-00-00 1000  KG  22038939</t>
    <phoneticPr fontId="4" type="noConversion"/>
  </si>
  <si>
    <t>000200532750  CX7241-7R1D180-BAG-00-00-00 2000  KG  22072855</t>
    <phoneticPr fontId="4" type="noConversion"/>
  </si>
  <si>
    <t>000200479758  LG9000-BK1044-BAG-00-00-00 1000  KG  22018724</t>
    <phoneticPr fontId="4" type="noConversion"/>
  </si>
  <si>
    <t>000200551356  EXL9134-7T2D205-BAG-00-00-00 2000  KG  22029393</t>
    <phoneticPr fontId="4" type="noConversion"/>
  </si>
  <si>
    <t>000200537925  XCY620-BK1G372-BAG-00-00-00 3000  KG  22041153</t>
    <phoneticPr fontId="4" type="noConversion"/>
  </si>
  <si>
    <t>000200531622  EXL9330-BK1A233-BAG-00-00-00 10000  KG  22020017</t>
    <phoneticPr fontId="4" type="noConversion"/>
  </si>
  <si>
    <t>000200550070  D251RC-7A1D379-BAG-00-00-00 18000  KG  22097758</t>
    <phoneticPr fontId="4" type="noConversion"/>
  </si>
  <si>
    <t>0094691477  CH6410-701-BAG-00-00-00 20000  KG  22035048</t>
    <phoneticPr fontId="4" type="noConversion"/>
  </si>
  <si>
    <t>0093763724  DX11355-BKNAT-FBG-00-00-00 20000  KG  22082385</t>
    <phoneticPr fontId="4" type="noConversion"/>
  </si>
  <si>
    <t>000200531614  EXL9330-BK1A233-BAG-00-00-00 20000  KG  22020017</t>
    <phoneticPr fontId="4" type="noConversion"/>
  </si>
  <si>
    <t>0092846408  EXL9330P-BK1E649-BAG-00-00-00 20000  KG  22035991</t>
    <phoneticPr fontId="4" type="noConversion"/>
  </si>
  <si>
    <t>000200531516  EXL9330-BK1A233-BAG-00-00-00 20000  KG  22020017</t>
    <phoneticPr fontId="4" type="noConversion"/>
  </si>
  <si>
    <t>0092477789  RCP36-BK1A862-SBG-00-00-00 2400  KG  22040918</t>
    <phoneticPr fontId="4" type="noConversion"/>
  </si>
  <si>
    <t>000200544259  HFD4472-7N1D050-BAG-00-00-00 500  KG  22036414</t>
    <phoneticPr fontId="4" type="noConversion"/>
  </si>
  <si>
    <t>000200549228  WF006N-7A1A0666-SBG-00-00-00 1000  KG  22098412</t>
    <phoneticPr fontId="4" type="noConversion"/>
  </si>
  <si>
    <t>000200548651  HFD4472-7N1D050-BAG-00-00-00 1500  KG  22036414</t>
    <phoneticPr fontId="4" type="noConversion"/>
  </si>
  <si>
    <t>0094491517  DX11355-BKNAT-FBG-00-00-00 20000  KG  22082385</t>
    <phoneticPr fontId="4" type="noConversion"/>
  </si>
  <si>
    <t>0094678238  D551RC-701-SBG-00-00-00 20000  KG  22086246</t>
    <phoneticPr fontId="4" type="noConversion"/>
  </si>
  <si>
    <t>0092477790  RCP36-BK1A862-SBG-00-00-00 2400  KG  22040918</t>
    <phoneticPr fontId="4" type="noConversion"/>
  </si>
  <si>
    <t>0092477547  RFL36XXY-BK1A843-SBG-00-00-00 2400  KG  22029458</t>
    <phoneticPr fontId="4" type="noConversion"/>
  </si>
  <si>
    <t>000200550412  DX10311-7B1D125-SBG-00-00-00 5000  KG  22029221</t>
    <phoneticPr fontId="4" type="noConversion"/>
  </si>
  <si>
    <t>000200548730  WF006N-7A1A0666-SBG-00-00-00 1000  KG  22098412</t>
    <phoneticPr fontId="4" type="noConversion"/>
  </si>
  <si>
    <t>0092477791  RCP36-BK1A862-SBG-00-00-00 2400  KG  22040918</t>
    <phoneticPr fontId="4" type="noConversion"/>
  </si>
  <si>
    <t>000200546323  HFD4472-7N1D050-BAG-00-00-00 1100  KG  22036414</t>
    <phoneticPr fontId="4" type="noConversion"/>
  </si>
  <si>
    <t>0094691478  DX11355-BKNAT-FBG-00-00-00 20000  KG  22082385</t>
    <phoneticPr fontId="4" type="noConversion"/>
  </si>
  <si>
    <t>0092477792  RCP36-BK1A862-SBG-00-00-00 3200  KG  22040918</t>
    <phoneticPr fontId="4" type="noConversion"/>
  </si>
  <si>
    <t>000200544217  EXL9330-BL4D142-BAG-00-00-00 2000  KG  22039900</t>
    <phoneticPr fontId="4" type="noConversion"/>
  </si>
  <si>
    <t>000200545243  UFL36S-BKNAT-SBG-00-00-00 300  KG  22041363</t>
    <phoneticPr fontId="4" type="noConversion"/>
  </si>
  <si>
    <t>000200546646  AE0039-BK8115 315  KG  299905510</t>
    <phoneticPr fontId="4" type="noConversion"/>
  </si>
  <si>
    <t>000200546258  WF006N-4A8A3915 1000  KG  299904429</t>
    <phoneticPr fontId="4" type="noConversion"/>
  </si>
  <si>
    <t>000200549055  MC5220-7001-BAG-00-00-00 2000  KG  22030554</t>
    <phoneticPr fontId="4" type="noConversion"/>
  </si>
  <si>
    <t>000200545178  DX11355-BKNAT-FBG-00-00-00 20000  KG  22082385</t>
    <phoneticPr fontId="4" type="noConversion"/>
  </si>
  <si>
    <t>000200547276  BX7241-7A1D330-BAG-00-00-00 2000  KG  22072651</t>
    <phoneticPr fontId="4" type="noConversion"/>
  </si>
  <si>
    <t>000200544627  BX7241-7A1D330-BAG-00-00-00 500  KG  22072651</t>
    <phoneticPr fontId="4" type="noConversion"/>
  </si>
  <si>
    <t>0094117105  DX11355-BKNAT-FBG-00-00-00 20000  KG  22082385</t>
    <phoneticPr fontId="4" type="noConversion"/>
  </si>
  <si>
    <t>0094674079  DX11355-BKNAT-FBG-00-00-00 20000  KG  22082385</t>
    <phoneticPr fontId="4" type="noConversion"/>
  </si>
  <si>
    <t>000200545606  EXL9134-7A8D006-BAG-00-00-00 1000  KG  22023110</t>
    <phoneticPr fontId="4" type="noConversion"/>
  </si>
  <si>
    <t>000200549114  WF006N-6A4A3348-SBG-00-00-00 1000  KG  22104377</t>
    <phoneticPr fontId="4" type="noConversion"/>
  </si>
  <si>
    <t>0094493586  UFL36AS-YWLTNAT-SBG-00-00-00 2000  KG  22037570</t>
    <phoneticPr fontId="4" type="noConversion"/>
  </si>
  <si>
    <t>000200543491  915R-GY5G115-BAG-00-00-00 1000  KG  22038986</t>
    <phoneticPr fontId="4" type="noConversion"/>
  </si>
  <si>
    <t>0086521991  UFL36S-BKNAT-SBG-00-00-00 1000  KG  22041363</t>
    <phoneticPr fontId="4" type="noConversion"/>
  </si>
  <si>
    <t>000200498112  141R-701-BAG-00-00-00 20000  KG  22021359</t>
    <phoneticPr fontId="4" type="noConversion"/>
  </si>
  <si>
    <t>000200547389  EXL1434-BK1A068-BAG-00-00-00 1000  KG  22039766</t>
    <phoneticPr fontId="4" type="noConversion"/>
  </si>
  <si>
    <t>0093763139  DX11355-BKNAT-FBG-00-00-00 20000  KG  22082385</t>
    <phoneticPr fontId="4" type="noConversion"/>
  </si>
  <si>
    <t>000200471481  LS1-701-BAG-00-00-00 15000  KG  22041018</t>
    <phoneticPr fontId="4" type="noConversion"/>
  </si>
  <si>
    <t>000200539706  121R-701-BAG-00-00-00 10000  KG  22021257</t>
    <phoneticPr fontId="4" type="noConversion"/>
  </si>
  <si>
    <t>000200470367  LS1-701-BAG-00-00-00 10000  KG  22041018</t>
    <phoneticPr fontId="4" type="noConversion"/>
  </si>
  <si>
    <t>000200516703  LS1-701-BAG-00-00-00 20000  KG  22041018</t>
    <phoneticPr fontId="4" type="noConversion"/>
  </si>
  <si>
    <t>000200464898  LS1-701-BAG-00-00-00 10000  KG  22041018</t>
    <phoneticPr fontId="4" type="noConversion"/>
  </si>
  <si>
    <t>000200513616  123-701-BAG-00-00-00 20000  KG  22021277</t>
    <phoneticPr fontId="4" type="noConversion"/>
  </si>
  <si>
    <t>000200471705  LS1-701-BAG-00-00-00 10000  KG  22041018</t>
    <phoneticPr fontId="4" type="noConversion"/>
  </si>
  <si>
    <t>000200516704  LS1-701-BAG-00-00-00 20000  KG  22041018</t>
    <phoneticPr fontId="4" type="noConversion"/>
  </si>
  <si>
    <t>000200516577  LS1-701-BAG-00-00-00 20000  KG  22041018</t>
    <phoneticPr fontId="4" type="noConversion"/>
  </si>
  <si>
    <t>000200516705  LS1-701-BAG-00-00-00 20000  KG  22041018</t>
    <phoneticPr fontId="4" type="noConversion"/>
  </si>
  <si>
    <t>000200470442  LS1-701-BAG-00-00-00 10000  KG  22041018</t>
    <phoneticPr fontId="4" type="noConversion"/>
  </si>
  <si>
    <t>000200516678  LS1-701-BAG-00-00-00 20000  KG  22041018</t>
    <phoneticPr fontId="4" type="noConversion"/>
  </si>
  <si>
    <t>000200516636  LS1-701-BAG-00-00-00 20000  KG  22041018</t>
    <phoneticPr fontId="4" type="noConversion"/>
  </si>
  <si>
    <t>0092302282  DX89406-BKNAT-BPK-00-00-00 10000  KG  22039467</t>
    <phoneticPr fontId="4" type="noConversion"/>
  </si>
  <si>
    <t>0092302280  DX89406-BKNAT-BPK-00-00-00 10000  KG  22039467</t>
    <phoneticPr fontId="4" type="noConversion"/>
  </si>
  <si>
    <t>000200542662  123R-GY1E837T-BAG-00-00-00 50  KG  22030939</t>
    <phoneticPr fontId="4" type="noConversion"/>
  </si>
  <si>
    <t>000200537938  CFR9111-7M1D228T-BAG-00-00-00 200  KG  22083871</t>
    <phoneticPr fontId="4" type="noConversion"/>
  </si>
  <si>
    <t>000200488967  FXD171R-8B8D022X-BAG-00-00-00 150  KG  22029426</t>
    <phoneticPr fontId="4" type="noConversion"/>
  </si>
  <si>
    <t>000200550366  CX7240-GY8E013 100  KG  299905543</t>
    <phoneticPr fontId="4" type="noConversion"/>
  </si>
  <si>
    <t>000200551150  EXL1433T-NA8A005T-BAG-00-00-00 100  KG  22019987</t>
    <phoneticPr fontId="4" type="noConversion"/>
  </si>
  <si>
    <t>000200551225  C7210A-GY7G398-BAG-00-00-00 500  KG  22031946</t>
    <phoneticPr fontId="4" type="noConversion"/>
  </si>
  <si>
    <t>000200516671  EXL9134-7A7D083-BAG-00-00-00 250  KG  22035904</t>
    <phoneticPr fontId="4" type="noConversion"/>
  </si>
  <si>
    <t>000200548727  223R-BR2G132-BAG-00-00-00 500  KG  22044053</t>
    <phoneticPr fontId="4" type="noConversion"/>
  </si>
  <si>
    <t>000200552343  945-8T9D296-BAG-00-00-00 100  KG  22044860</t>
    <phoneticPr fontId="4" type="noConversion"/>
  </si>
  <si>
    <t>000200548426  C6200-BK1E140-BAG-00-00-00 75  KG  22031752</t>
    <phoneticPr fontId="4" type="noConversion"/>
  </si>
  <si>
    <t>000200550530  241R-7R6D018T-BAG-00-00-00 300  KG  22028674</t>
    <phoneticPr fontId="4" type="noConversion"/>
  </si>
  <si>
    <t>000200544628  EXL9330-7T3D128-BAG-00-00-00 100  KG  22036326</t>
    <phoneticPr fontId="4" type="noConversion"/>
  </si>
  <si>
    <t>000200546544  420HP-1001-BAG-00-00-00 35  KG  22033663</t>
    <phoneticPr fontId="4" type="noConversion"/>
  </si>
  <si>
    <t>000200552252  NX10302-BKNAT-FBG-00-00-00 50  KG  22082480</t>
    <phoneticPr fontId="4" type="noConversion"/>
  </si>
  <si>
    <t>000200536084  A3000T-CLEAR-BAG-00-00-00 25  KG  22028137</t>
    <phoneticPr fontId="4" type="noConversion"/>
  </si>
  <si>
    <t>000200550465  3412R-7G2A4554 100  KG  299905631</t>
    <phoneticPr fontId="4" type="noConversion"/>
  </si>
  <si>
    <t>000200548526  DX10311-701-SBG-00-00-00 80  KG  22035924</t>
    <phoneticPr fontId="4" type="noConversion"/>
  </si>
  <si>
    <t>000200551214  C6200-7T4D018-BAG-00-00-00 300  KG  22038790</t>
    <phoneticPr fontId="4" type="noConversion"/>
  </si>
  <si>
    <t>000200550045  DFL22-BK8115-BAG-00-00-00 100  KG  22031886</t>
    <phoneticPr fontId="4" type="noConversion"/>
  </si>
  <si>
    <t>000200465970  124R-111FC-BAG-00-00-00 20000  KG  22021312</t>
    <phoneticPr fontId="4" type="noConversion"/>
  </si>
  <si>
    <t>000200543722  C6600-BR2E056-BAG-00-00-00 3000  KG  22035299</t>
    <phoneticPr fontId="4" type="noConversion"/>
  </si>
  <si>
    <t>0090053025  XCY620S-100-BAG-00-00-00 10000  KG  22025073</t>
    <phoneticPr fontId="4" type="noConversion"/>
  </si>
  <si>
    <t>0092846407  EXL9330P-BK1E649-BAG-00-00-00 20000  KG  22035991</t>
    <phoneticPr fontId="4" type="noConversion"/>
  </si>
  <si>
    <t>000200537813  XCY620-GY7G608-BAG-00-00-00 1000  KG  22045866</t>
    <phoneticPr fontId="4" type="noConversion"/>
  </si>
  <si>
    <t>000200497040  C1200HF-BK1G484U-BBG-00-00-00 20000  KG  22031613</t>
    <phoneticPr fontId="4" type="noConversion"/>
  </si>
  <si>
    <t>000200480859  121R-VT6A015T-BAG-00-00-00 1000  KG  22033298</t>
    <phoneticPr fontId="4" type="noConversion"/>
  </si>
  <si>
    <t>000200549057  BFL4000U-WH3150-BAG-00-00-00 1000  KG  22017663</t>
    <phoneticPr fontId="4" type="noConversion"/>
  </si>
  <si>
    <t>0092464768  DE0029E-GY3A643-SBG-00-00-00 300  KG  22031872</t>
    <phoneticPr fontId="4" type="noConversion"/>
  </si>
  <si>
    <t>000200491997  DX11328-NC-BPK-00-00-00 15000  KG  22035937</t>
    <phoneticPr fontId="4" type="noConversion"/>
  </si>
  <si>
    <t>000200502901  3412ECR-WH8E395-BAG-00-00-00 5000  KG  22037868</t>
    <phoneticPr fontId="4" type="noConversion"/>
  </si>
  <si>
    <t>000200539068  HFD4472-7N1D050-BAG-00-00-00 4500  KG  22036414</t>
    <phoneticPr fontId="4" type="noConversion"/>
  </si>
  <si>
    <t>000200497209  XCM830-76701-BAG-00-00-00 10000  KG  22033024</t>
    <phoneticPr fontId="4" type="noConversion"/>
  </si>
  <si>
    <t>0082962876  XCY620S-76701-BAG-00-00-00 20000  KG  22037308</t>
    <phoneticPr fontId="4" type="noConversion"/>
  </si>
  <si>
    <t>000200446072  945-8T8A1183 8000  KG  299901533</t>
    <phoneticPr fontId="4" type="noConversion"/>
  </si>
  <si>
    <t>000200497104  GLX143-GN4G119T-BAG-00-00-00 10000  KG  22067691</t>
    <phoneticPr fontId="4" type="noConversion"/>
  </si>
  <si>
    <t>0094700531  MC1300-100-BAG-00-00-00 20000  KG  22018739</t>
    <phoneticPr fontId="4" type="noConversion"/>
  </si>
  <si>
    <t>000200509387  141R-80711-BAG-00-00-00 9000  KG  22038171</t>
    <phoneticPr fontId="4" type="noConversion"/>
  </si>
  <si>
    <t>000200504766  MC1300-100-SSS-00-00-00 20000  KG  22036948</t>
    <phoneticPr fontId="4" type="noConversion"/>
  </si>
  <si>
    <t>000200535117  XCY620-BK1G372-BAG-00-00-00 10000  KG  22041153</t>
    <phoneticPr fontId="4" type="noConversion"/>
  </si>
  <si>
    <t>000200496049  FXD121R-WH6E008X-BAG-00-00-00 2000  KG  22036130</t>
    <phoneticPr fontId="4" type="noConversion"/>
  </si>
  <si>
    <t>000200529075  953-701-BAG-00-00-00 5000  KG  22019593</t>
    <phoneticPr fontId="4" type="noConversion"/>
  </si>
  <si>
    <t>000200547546  C4220-76701-BAG-00-00-00 5000  KG  22030087</t>
    <phoneticPr fontId="4" type="noConversion"/>
  </si>
  <si>
    <t>000200541939  A3000-BK8115-BAG-00-00-00 1000  KG  22034318</t>
    <phoneticPr fontId="4" type="noConversion"/>
  </si>
  <si>
    <t>000200548396  WF006N-4A6A3914 1000  KG  299904430</t>
    <phoneticPr fontId="4" type="noConversion"/>
  </si>
  <si>
    <t>0085966981  RFP36-BK1A856-SBG-00-00-00 1000  KG  22040935</t>
    <phoneticPr fontId="4" type="noConversion"/>
  </si>
  <si>
    <t>0092134647  BPL1000-GY6E054-BAG-00-00-00 1000  KG  22038531</t>
    <phoneticPr fontId="4" type="noConversion"/>
  </si>
  <si>
    <t>0092302277  DX89406-BKNAT-BPK-00-00-00 10000  KG  22039467</t>
    <phoneticPr fontId="4" type="noConversion"/>
  </si>
  <si>
    <t>000200548570  SLX2271T-NA9E166T-BAG-00-00-00 100  KG  22024947</t>
    <phoneticPr fontId="4" type="noConversion"/>
  </si>
  <si>
    <t>0091762082  ENH2900-WH6G038-BAG-00-00-00 25  KG  22040325</t>
    <phoneticPr fontId="4" type="noConversion"/>
  </si>
  <si>
    <t>000200547469  C2950HF-BK1D834-BAG-00-00-00 100  KG  22034639</t>
    <phoneticPr fontId="4" type="noConversion"/>
  </si>
  <si>
    <t>000200552287  R2000-BK1A831-SBG-00-00-00 100  KG  22037395</t>
    <phoneticPr fontId="4" type="noConversion"/>
  </si>
  <si>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</si>
  <si>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</si>
  <si>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</si>
  <si>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</si>
  <si>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</si>
  <si>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</si>
  <si>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</si>
  <si>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</si>
  <si>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</si>
  <si>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</si>
  <si>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</si>
  <si>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L21</t>
  </si>
  <si>
    <t>L22</t>
  </si>
  <si>
    <t>L23</t>
  </si>
  <si>
    <t>L24</t>
  </si>
  <si>
    <t>L31</t>
  </si>
  <si>
    <t>L32</t>
  </si>
  <si>
    <t>22022286</t>
  </si>
  <si>
    <t>C2950-YW8295S-BAG-00-00-00</t>
  </si>
  <si>
    <t>LEXXGDT</t>
  </si>
  <si>
    <t>22019816</t>
  </si>
  <si>
    <t>CX7240-BK1D420-BAG-00-00-00</t>
  </si>
  <si>
    <t>22038419</t>
  </si>
  <si>
    <t>945-WH5185-BAG-00-00-00</t>
  </si>
  <si>
    <t>000200552699  141-111-BAG-00-00-00 2000  KG  22027982</t>
  </si>
  <si>
    <t>000200553466  123-111N-BAG-00-00-00 2000  KG  22038090</t>
  </si>
  <si>
    <t>000200553505  CY6012-7M8D042-BAG-00-00-00 16875  KG  22045378</t>
  </si>
  <si>
    <t>000200553334  XHT3141-GY8D046-BAG-00-00-00 2000  KG  22025093</t>
  </si>
  <si>
    <t>000200553622  CY6012-7M8D042-BAG-00-00-00 15650  KG  22045378</t>
  </si>
  <si>
    <t>000200553623  CY6012-7M8D042-BAG-00-00-00 10000  KG  22045378</t>
  </si>
  <si>
    <t>000200498059  LUX2289-WH9G012-BAG-00-00-00 10000  KG  22023833</t>
  </si>
  <si>
    <t>000200550097  C2950-YW8001S-BAG-00-00-00 20000  KG  22039533</t>
  </si>
  <si>
    <t>000200553563  EXL1414-BK1A329-BAG-00-00-00 2000  KG  22039632</t>
  </si>
  <si>
    <t>000200552468  EXL9330-YW8B015-BAG-00-00-00 250  KG  22039940</t>
  </si>
  <si>
    <t>000200552334  EXL1414T-GY2G184T-BAG-00-00-00 500  KG  22036207</t>
  </si>
  <si>
    <t>000200553320  LG9000-100-BAG-00-00-00 1000  KG  22023994</t>
  </si>
  <si>
    <t>000200494078  C1100HF-701-BAG-00-00-00 10000  KG  22039357</t>
  </si>
  <si>
    <t>0094679206  C1200HF-100-BAG-00-00-00 20000  KG  22019660</t>
  </si>
  <si>
    <t>000200538817  C6200-GY7C059-BAG-00-00-00 2000  KG  22022537</t>
  </si>
  <si>
    <t>000200552399  RB008-NC-FBG-00-00-00 2000  KG  22018899</t>
  </si>
  <si>
    <t>0092302295  DX89406-BKNAT-BPK-00-00-00 10000  KG  22039467</t>
  </si>
  <si>
    <t>000200545549  3412R-131-BAG-00-00-00 5100  KG  22021728</t>
  </si>
  <si>
    <t>000200553500  923-BK1261-BAG-00-00-00 20000  KG  22038237</t>
  </si>
  <si>
    <t>000200553562  923-BK1261-BAG-00-00-00 20000  KG  22038237</t>
  </si>
  <si>
    <t>0082962877  XCY620S-76701-BAG-00-00-00 20000  KG  22037308</t>
  </si>
  <si>
    <t>0082962878  XCY620S-76701-BAG-00-00-00 20000  KG  22037308</t>
  </si>
  <si>
    <t>0082962879  XCY620S-76701-BAG-00-00-00 20000  KG  22037308</t>
  </si>
  <si>
    <t>000200537264  945-7T2D216-BAG-00-00-00 8000  KG  22029986</t>
  </si>
  <si>
    <t>0082962880  XCY620S-76701-BAG-00-00-00 20000  KG  22037308</t>
  </si>
  <si>
    <t>000200497054  GLX143-GN4G119T-BAG-00-00-00 10000  KG  22067691</t>
  </si>
  <si>
    <t>0094699063  MC1300-100-BAG-00-00-00 20000  KG  22018739</t>
  </si>
  <si>
    <t>000200553646  141R-GY6A427-SSS-00-00-00 10000  KG  22038198</t>
  </si>
  <si>
    <t>000200552603  XP4034-BK1B374-BAG-00-00-00 2000  KG  22041176</t>
  </si>
  <si>
    <t>0082957931  XCY620S-76701-BAG-00-00-00 20000  KG  22037308</t>
  </si>
  <si>
    <t>0082962884  XCY620S-76701-BAG-00-00-00 20000  KG  22037308</t>
  </si>
  <si>
    <t>0094700209  XCY620S-100-BAG-00-00-00 20000  KG  22025073</t>
  </si>
  <si>
    <t>0094699062  MC1300-100-BAG-00-00-00 20000  KG  22018739</t>
  </si>
  <si>
    <t>0094699061  MC1300-100-BAG-00-00-00 20000  KG  22018739</t>
  </si>
  <si>
    <t>000200553373  LG9000-BK1044-BAG-00-00-00 5000  KG  22018724</t>
  </si>
  <si>
    <t>000200553469  LG9000-701-BAG-00-00-00 5000  KG  22017215</t>
  </si>
  <si>
    <t>0094692791  XP4034-BK1041-BAG-00-00-00 20000  KG  22019027</t>
  </si>
  <si>
    <t>0090033780  C1200HF-701-BAG-00-00-00 20000  KG  22022222</t>
  </si>
  <si>
    <t>0094714326  XCY620-BK1005-BAG-00-00-00 20000  KG  22025061</t>
  </si>
  <si>
    <t>000200552548  923A-116-BAG-00-00-00 1000  KG  22022183</t>
  </si>
  <si>
    <t>000200552671  HF1110R-7M1D104-BAG-00-00-00 1000  KG  22030472</t>
  </si>
  <si>
    <t>000200553703  EXL9330-BK2E002-BAG-00-00-00 1000  KG  22036348</t>
  </si>
  <si>
    <t>0095299977  C1200HF-76701-BAG-00-00-00 10000  KG  22028141</t>
  </si>
  <si>
    <t>0092302273  DX89406-BKNAT-BPK-00-00-00 10000  KG  22039467</t>
  </si>
  <si>
    <t>0092302275  DX89406-BKNAT-BPK-00-00-00 10000  KG  22039467</t>
  </si>
  <si>
    <t>000200552458  FXD123R-WH6E008X-BAG-00-00-00 100  KG  22045258</t>
  </si>
  <si>
    <t>000200552540  EXL1433T-NA8A005T-BAG-00-00-00 100  KG  22019987</t>
  </si>
  <si>
    <t>000200553741  945-WH5185-BAG-00-00-00 25  KG  22038419</t>
  </si>
  <si>
    <t>000200553903  DX10311-701-SBG-00-00-00 40  KG  22035924</t>
  </si>
  <si>
    <t>000200553832  DX10311-701-SBG-00-00-00 40  KG  22035924</t>
  </si>
  <si>
    <t>22035230</t>
  </si>
  <si>
    <t>CX7240-8B6D009-BAG-00-00-00</t>
  </si>
  <si>
    <t>22032142</t>
  </si>
  <si>
    <t>D20001-BK1A647-BAG-00-00-00</t>
  </si>
  <si>
    <t>0095369668  SLX2271T-BK1G296-BAG-00-00-00 20000  KG  22020921</t>
  </si>
  <si>
    <t>0095369669  SLX2271T-BK1G296-BAG-00-00-00 20000  KG  22020921</t>
  </si>
  <si>
    <t>0095369670  SLX2271T-BK1G296-BAG-00-00-00 20000  KG  22020921</t>
  </si>
  <si>
    <t>000200554759  CX7240U-7M1D051-BAG-00-00-00 1000  KG  22022738</t>
  </si>
  <si>
    <t>000200554547  945U-701-BAG-00-00-00 1000  KG  22022075</t>
  </si>
  <si>
    <t>0095368776  C6600-111-BAG-00-00-00 20000  KG  22018361</t>
  </si>
  <si>
    <t>0095368188  SLX2271T-BK1E540-BAG-00-00-00 10000  KG  22018960</t>
  </si>
  <si>
    <t>000200554800  RFL36-BK1B602-SBG-00-00-00 1000  KG  22029457</t>
  </si>
  <si>
    <t>000200554584  D351-701-SBG-00-00-00 500  KG  22032147</t>
  </si>
  <si>
    <t>0095313218  420SE0-1001-BAG-00-00-00 20000  KG  22021649</t>
  </si>
  <si>
    <t>0095342795  420SE0-BK1066-BAG-00-00-00 20000  KG  22019379</t>
  </si>
  <si>
    <t>0095348707  3412ECR-739-BAG-00-00-00 20000  KG  22017144</t>
  </si>
  <si>
    <t>0095347939  940-NC-BAG-00-00-00 20000  KG  22022017</t>
  </si>
  <si>
    <t>0095347940  940-NC-BAG-00-00-00 20000  KG  22022017</t>
  </si>
  <si>
    <t>0095347941  940-NC-BAG-00-00-00 20000  KG  22022017</t>
  </si>
  <si>
    <t>0095347943  940-NC-BAG-00-00-00 20000  KG  22022017</t>
  </si>
  <si>
    <t>0095347936  940-NC-BAG-00-00-00 20000  KG  22022017</t>
  </si>
  <si>
    <t>000200554780  EXL1414T-NA8A005T-BAG-00-00-00 20000  KG  22022874</t>
  </si>
  <si>
    <t>0095347935  940-NC-BAG-00-00-00 20000  KG  22022017</t>
  </si>
  <si>
    <t>0095347934  940-NC-BAG-00-00-00 20000  KG  22022017</t>
  </si>
  <si>
    <t>000200554849  EXL1414T-NA8A005T-BAG-00-00-00 20000  KG  22022874</t>
  </si>
  <si>
    <t>000200554781  EXL1414T-NA8A005T-BAG-00-00-00 20000  KG  22022874</t>
  </si>
  <si>
    <t>000200554850  EXL1414T-NA8A005T-BAG-00-00-00 20000  KG  22022874</t>
  </si>
  <si>
    <t>000200554842  EXL1414T-NA8A005T-BAG-00-00-00 20000  KG  22022874</t>
  </si>
  <si>
    <t>000200554851  EXL1414T-NA8A005T-BAG-00-00-00 20000  KG  22022874</t>
  </si>
  <si>
    <t>000200554843  EXL1414T-NA8A005T-BAG-00-00-00 20000  KG  22022874</t>
  </si>
  <si>
    <t>0095348817  940-NC-BAG-00-00-00 20000  KG  22022017</t>
  </si>
  <si>
    <t>000200554844  EXL1414T-NA8A005T-BAG-00-00-00 20000  KG  22022874</t>
  </si>
  <si>
    <t>000200554853  EXL1414T-NA8A005T-BAG-00-00-00 20000  KG  22022874</t>
  </si>
  <si>
    <t>000200554845  EXL1414T-NA8A005T-BAG-00-00-00 20000  KG  22022874</t>
  </si>
  <si>
    <t>000200554846  EXL1414T-NA8A005T-BAG-00-00-00 20000  KG  22022874</t>
  </si>
  <si>
    <t>000200554854  EXL1414T-NA8A005T-BAG-00-00-00 20000  KG  22022874</t>
  </si>
  <si>
    <t>000200554847  EXL1414T-NA8A005T-BAG-00-00-00 20000  KG  22022874</t>
  </si>
  <si>
    <t>000200554856  EXL1414T-NA8A005T-BAG-00-00-00 20000  KG  22022874</t>
  </si>
  <si>
    <t>000200554860  EXL1414T-NA8A005T-BAG-00-00-00 20000  KG  22022874</t>
  </si>
  <si>
    <t>000200554862  EXL1414T-NA8A005T-BAG-00-00-00 20000  KG  22022874</t>
  </si>
  <si>
    <t>000200554863  EXL1414T-NA8A005T-BAG-00-00-00 20000  KG  22022874</t>
  </si>
  <si>
    <t>000200554695  EXL1414-BR6D066-BAG-00-00-00 3800  KG  22035739</t>
  </si>
  <si>
    <t>000200554902  SLX2471T-NA9E166T-BAG-00-00-00 1000  KG  22024953</t>
  </si>
  <si>
    <t>000200554900  945U-NC-BAG-00-00-00 10000  KG  22039271</t>
  </si>
  <si>
    <t>0095387310  201R-701-BAG-00-00-00 3000  KG  22033695</t>
  </si>
  <si>
    <t>000200554982  EXL1414T-7A1D194-BAG-00-00-00 1000  KG  22039730</t>
  </si>
  <si>
    <t>0095359437  EXL9330-BK1A233-BAG-00-00-00 20000  KG  22020017</t>
  </si>
  <si>
    <t>0095368791  DX11355-BKNAT-FBG-00-00-00 20000  KG  22082385</t>
  </si>
  <si>
    <t>000200554481  BPL1000-BK1C294-BAG-00-00-00 5000  KG  22038527</t>
  </si>
  <si>
    <t>000200554522  C1200HF-GY1G005-BAG-00-00-00 6000  KG  22044899</t>
  </si>
  <si>
    <t>ITEM</t>
  </si>
  <si>
    <t>Start</t>
  </si>
  <si>
    <t xml:space="preserve">000200522212  244RF-111FC-BAG-00-00-00 20000  KG  22028402  G-C-Remark  G-Remark  </t>
    <phoneticPr fontId="4" type="noConversion"/>
  </si>
  <si>
    <t xml:space="preserve">000200529142  244RF-111FC-BAG-00-00-00 10000  KG  22028402  G-C-Remark  G-Remark  </t>
    <phoneticPr fontId="4" type="noConversion"/>
  </si>
  <si>
    <t xml:space="preserve">000200522273  201R-111-BAG-00-00-00 20000  KG  22017278  G-C-Remark  G-Remark  </t>
    <phoneticPr fontId="4" type="noConversion"/>
  </si>
  <si>
    <t xml:space="preserve">000200534687  244RF-111FC-BAG-00-00-00 10300  KG  22028402  G-C-Remark  G-Remark  </t>
    <phoneticPr fontId="4" type="noConversion"/>
  </si>
  <si>
    <t xml:space="preserve">000200522272  201R-111-BAG-00-00-00 20000  KG  22017278  G-C-Remark  G-Remark  </t>
    <phoneticPr fontId="4" type="noConversion"/>
  </si>
  <si>
    <t xml:space="preserve">0093984326  945-8T9D231-BAG-00-00-00 20000  KG  22043924  G-C-Remark  G-Remark  </t>
    <phoneticPr fontId="4" type="noConversion"/>
  </si>
  <si>
    <t xml:space="preserve">000200552699  141-111-BAG-00-00-00 2000  KG  22027982  G-C-Remark  G-Remark  </t>
    <phoneticPr fontId="4" type="noConversion"/>
  </si>
  <si>
    <t xml:space="preserve">000200523474  HF1130-111-BAG-00-00-00 20000  KG  22023563  G-C-Remark  G-Remark  </t>
    <phoneticPr fontId="4" type="noConversion"/>
  </si>
  <si>
    <t xml:space="preserve">000200523475  HF1130-111-BAG-00-00-00 20000  KG  22023563  G-C-Remark  G-Remark  </t>
    <phoneticPr fontId="4" type="noConversion"/>
  </si>
  <si>
    <t xml:space="preserve">000200553466  123-111N-BAG-00-00-00 2000  KG  22038090  G-C-Remark  G-Remark  </t>
    <phoneticPr fontId="4" type="noConversion"/>
  </si>
  <si>
    <t xml:space="preserve">0093984327  945-8T9D231-BAG-00-00-00 20000  KG  22043924  G-C-Remark  G-Remark  </t>
    <phoneticPr fontId="4" type="noConversion"/>
  </si>
  <si>
    <t xml:space="preserve">000200546667  LUX9230T-11204-BAG-00-00-00 20000  KG  22036941  G-C-Remark  G-Remark  </t>
    <phoneticPr fontId="4" type="noConversion"/>
  </si>
  <si>
    <t xml:space="preserve">0093984328  945-8T9D231-BAG-00-00-00 20000  KG  22043924  G-C-Remark  G-Remark  </t>
    <phoneticPr fontId="4" type="noConversion"/>
  </si>
  <si>
    <t xml:space="preserve">000200465970  124R-111FC-BAG-00-00-00 20000  KG  22021312  G-C-Remark  G-Remark  </t>
    <phoneticPr fontId="4" type="noConversion"/>
  </si>
  <si>
    <t xml:space="preserve">000200498164  LUX2289-WH9G012-BAG-00-00-00 10000  KG  22023833  G-C-Remark  G-Remark  </t>
    <phoneticPr fontId="4" type="noConversion"/>
  </si>
  <si>
    <t xml:space="preserve">000200393615  CY6414-8G8A2728 20000  KG  299903043  G-C-Remark  G-Remark  </t>
    <phoneticPr fontId="4" type="noConversion"/>
  </si>
  <si>
    <t xml:space="preserve">000200553623  CY6012-7M8D042-BAG-00-00-00 10000  KG  22045378  G-C-Remark  G-Remark  </t>
    <phoneticPr fontId="4" type="noConversion"/>
  </si>
  <si>
    <t xml:space="preserve">000200548511  CX7240U-7T7D246-BAG-00-00-00 10000  KG  22032098  G-C-Remark  G-Remark  </t>
    <phoneticPr fontId="4" type="noConversion"/>
  </si>
  <si>
    <t xml:space="preserve">000200546484  LUX2289-WH9G012-BAG-00-00-00 2000  KG  22023833  G-C-Remark  G-Remark  </t>
    <phoneticPr fontId="4" type="noConversion"/>
  </si>
  <si>
    <t xml:space="preserve">000200546406  CX7240-2M2D027-BAG-00-00-00 5000  KG  22065061  G-C-Remark  G-Remark  </t>
    <phoneticPr fontId="4" type="noConversion"/>
  </si>
  <si>
    <t xml:space="preserve">000200533826  C6600-8M9D029-BAG-00-00-00 5000  KG  22022574  G-C-Remark  G-Remark  </t>
    <phoneticPr fontId="4" type="noConversion"/>
  </si>
  <si>
    <t xml:space="preserve">000200498154  LUX2289-WH9G012-BAG-00-00-00 10000  KG  22023833  G-C-Remark  G-Remark  </t>
    <phoneticPr fontId="4" type="noConversion"/>
  </si>
  <si>
    <t xml:space="preserve">000200548772  CY6025-WH8G710-BAG-00-00-00 10000  KG  22030264  G-C-Remark  G-Remark  </t>
    <phoneticPr fontId="4" type="noConversion"/>
  </si>
  <si>
    <t xml:space="preserve">000200549508  XHT2141-GY8D046-BAG-00-00-00 5000  KG  22025085  G-C-Remark  G-Remark  </t>
    <phoneticPr fontId="4" type="noConversion"/>
  </si>
  <si>
    <t xml:space="preserve">000200520048  CX7240-8T7D033-BAG-00-00-00 10000  KG  22030084  G-C-Remark  G-Remark  </t>
    <phoneticPr fontId="4" type="noConversion"/>
  </si>
  <si>
    <t xml:space="preserve">000200498129  LUX2289-WH9G012-BAG-00-00-00 10000  KG  22023833  G-C-Remark  G-Remark  </t>
    <phoneticPr fontId="4" type="noConversion"/>
  </si>
  <si>
    <t xml:space="preserve">000200549473  XHT4141-GY8D046-BAG-00-00-00 8000  KG  22021049  G-C-Remark  G-Remark  </t>
    <phoneticPr fontId="4" type="noConversion"/>
  </si>
  <si>
    <t xml:space="preserve">000200548434  C2950-8T8D247-BAG-00-00-00 10000  KG  22046215  G-C-Remark  G-Remark  </t>
    <phoneticPr fontId="4" type="noConversion"/>
  </si>
  <si>
    <t xml:space="preserve">000200498132  LUX2289-WH9G012-BAG-00-00-00 10000  KG  22023833  G-C-Remark  G-Remark  </t>
    <phoneticPr fontId="4" type="noConversion"/>
  </si>
  <si>
    <t xml:space="preserve">000200498114  LUX2289-WH9G012-BAG-00-00-00 10000  KG  22023833  G-C-Remark  G-Remark  </t>
    <phoneticPr fontId="4" type="noConversion"/>
  </si>
  <si>
    <t xml:space="preserve">000200544340  EXL9330-5T7D005-BAG-00-00-00 5000  KG  22029397  G-C-Remark  G-Remark  </t>
    <phoneticPr fontId="4" type="noConversion"/>
  </si>
  <si>
    <t xml:space="preserve">000200551140  C6600-8M9D029-BAG-00-00-00 5000  KG  22022574  G-C-Remark  G-Remark  </t>
    <phoneticPr fontId="4" type="noConversion"/>
  </si>
  <si>
    <t xml:space="preserve">000200548773  CY6025-WH8G710-BAG-00-00-00 10000  KG  22030264  G-C-Remark  G-Remark  </t>
    <phoneticPr fontId="4" type="noConversion"/>
  </si>
  <si>
    <t xml:space="preserve">0086435844  XCY620S-100-BAG-00-00-00 22000  KG  22025073  G-C-Remark  G-Remark  </t>
    <phoneticPr fontId="4" type="noConversion"/>
  </si>
  <si>
    <t xml:space="preserve">0086435845  XCY620S-100-BAG-00-00-00 10000  KG  22025073  G-C-Remark  G-Remark  </t>
    <phoneticPr fontId="4" type="noConversion"/>
  </si>
  <si>
    <t xml:space="preserve">000200549509  XHT4141-GY8D046-BAG-00-00-00 8000  KG  22021049  G-C-Remark  G-Remark  </t>
    <phoneticPr fontId="4" type="noConversion"/>
  </si>
  <si>
    <t xml:space="preserve">000200498133  LUX2289-WH9G012-BAG-00-00-00 10000  KG  22023833  G-C-Remark  G-Remark  </t>
    <phoneticPr fontId="4" type="noConversion"/>
  </si>
  <si>
    <t xml:space="preserve">000200548369  C2950-GY8E432-BAG-00-00-00 5000  KG  22029950  G-C-Remark  G-Remark  </t>
    <phoneticPr fontId="4" type="noConversion"/>
  </si>
  <si>
    <t xml:space="preserve">000200548380  C2950-WH8G018-BAG-00-00-00 5000  KG  22031555  G-C-Remark  G-Remark  </t>
    <phoneticPr fontId="4" type="noConversion"/>
  </si>
  <si>
    <t xml:space="preserve">000200304498  C2950-WH8G018-BAG-00-00-00 5000  KG  22031555  G-C-Remark  G-Remark  </t>
    <phoneticPr fontId="4" type="noConversion"/>
  </si>
  <si>
    <t xml:space="preserve">000200542091  XTPMFR10-BK1G005-BAG-00-00-00 3000  KG  22044494  G-C-Remark  G-Remark  </t>
    <phoneticPr fontId="4" type="noConversion"/>
  </si>
  <si>
    <t xml:space="preserve">000200498168  XHT2141-GY5G190-BAG-00-00-00 10000  KG  22041167  G-C-Remark  G-Remark  </t>
    <phoneticPr fontId="4" type="noConversion"/>
  </si>
  <si>
    <t xml:space="preserve">000200543722  C6600-BR2E056-BAG-00-00-00 3000  KG  22035299  G-C-Remark  G-Remark  </t>
    <phoneticPr fontId="4" type="noConversion"/>
  </si>
  <si>
    <t xml:space="preserve">000200498059  LUX2289-WH9G012-BAG-00-00-00 10000  KG  22023833  G-C-Remark  G-Remark  </t>
    <phoneticPr fontId="4" type="noConversion"/>
  </si>
  <si>
    <t xml:space="preserve">000200550097  C2950-YW8001S-BAG-00-00-00 20000  KG  22039533  G-C-Remark  G-Remark  </t>
    <phoneticPr fontId="4" type="noConversion"/>
  </si>
  <si>
    <t xml:space="preserve">000200547544  ML6411-7T1D043-BAG-00-00-00 2000  KG  22036796  G-C-Remark  G-Remark  </t>
    <phoneticPr fontId="4" type="noConversion"/>
  </si>
  <si>
    <t xml:space="preserve">000200549284  C2950-GY8E438-BAG-00-00-00 2000  KG  22039523  G-C-Remark  G-Remark  </t>
    <phoneticPr fontId="4" type="noConversion"/>
  </si>
  <si>
    <t xml:space="preserve">000200510569  123R-GY2G204-BBG-00-00-00 10000  KG  22098752  G-C-Remark  G-Remark  </t>
    <phoneticPr fontId="4" type="noConversion"/>
  </si>
  <si>
    <t xml:space="preserve">000200550000  CX7240-7T1A0602 5325  KG  299900516  G-C-Remark  G-Remark  </t>
    <phoneticPr fontId="4" type="noConversion"/>
  </si>
  <si>
    <t xml:space="preserve">000200543497  C1200HF-701-SSS-00-00-00 20000  KG  22039382  G-C-Remark  G-Remark  </t>
    <phoneticPr fontId="4" type="noConversion"/>
  </si>
  <si>
    <t xml:space="preserve">0082933313  XCY620S-100-BAG-00-00-00 20000  KG  22025073  G-C-Remark  G-Remark  </t>
    <phoneticPr fontId="4" type="noConversion"/>
  </si>
  <si>
    <t xml:space="preserve">000200539064  ML6411-7T4D041L-BAG-00-00-00 10000  KG  22036797  G-C-Remark  G-Remark  </t>
    <phoneticPr fontId="4" type="noConversion"/>
  </si>
  <si>
    <t xml:space="preserve">000200548470  950-BK1334 5000  KG  299900857  G-C-Remark  G-Remark  </t>
    <phoneticPr fontId="4" type="noConversion"/>
  </si>
  <si>
    <t xml:space="preserve">000200545170  C2950-GY8E438-BAG-00-00-00 5000  KG  22039523  G-C-Remark  G-Remark  </t>
    <phoneticPr fontId="4" type="noConversion"/>
  </si>
  <si>
    <t xml:space="preserve">0090053025  XCY620S-100-BAG-00-00-00 10000  KG  22025073  G-C-Remark  G-Remark  </t>
    <phoneticPr fontId="4" type="noConversion"/>
  </si>
  <si>
    <t xml:space="preserve">000200536212  EXL9330-7T1D102-BAG-00-00-00 5000  KG  22036321  G-C-Remark  G-Remark  </t>
    <phoneticPr fontId="4" type="noConversion"/>
  </si>
  <si>
    <t xml:space="preserve">0092846407  EXL9330P-BK1E649-BAG-00-00-00 20000  KG  22035991  G-C-Remark  G-Remark  </t>
    <phoneticPr fontId="4" type="noConversion"/>
  </si>
  <si>
    <t xml:space="preserve">0095369669  SLX2271T-BK1G296-BAG-00-00-00 20000  KG  22020921  G-C-Remark  G-Remark  </t>
    <phoneticPr fontId="4" type="noConversion"/>
  </si>
  <si>
    <t xml:space="preserve">0095369670  SLX2271T-BK1G296-BAG-00-00-00 20000  KG  22020921  G-C-Remark  G-Remark  </t>
    <phoneticPr fontId="4" type="noConversion"/>
  </si>
  <si>
    <t xml:space="preserve">000200551018  915R-GY5515-BAG-00-00-00 1000  KG  22043816  G-C-Remark  G-Remark  </t>
    <phoneticPr fontId="4" type="noConversion"/>
  </si>
  <si>
    <t xml:space="preserve">000200537041  C6600-GY2A547-BAG-00-00-00 1000  KG  22038939  G-C-Remark  G-Remark  </t>
    <phoneticPr fontId="4" type="noConversion"/>
  </si>
  <si>
    <t xml:space="preserve">000200537058  C2950HF-GY1291-BAG-00-00-00 1000  KG  22031568  G-C-Remark  G-Remark  </t>
    <phoneticPr fontId="4" type="noConversion"/>
  </si>
  <si>
    <t xml:space="preserve">000200537129  C2950HF-GY1291-BAG-00-00-00 1000  KG  22031568  G-C-Remark  G-Remark  </t>
    <phoneticPr fontId="4" type="noConversion"/>
  </si>
  <si>
    <t xml:space="preserve">000200548339  C2950HF-7T2D326-BAG-00-00-00 500  KG  22085309  G-C-Remark  G-Remark  </t>
    <phoneticPr fontId="4" type="noConversion"/>
  </si>
  <si>
    <t xml:space="preserve">000200537147  C2950HF-GY1291-BAG-00-00-00 1000  KG  22031568  G-C-Remark  G-Remark  </t>
    <phoneticPr fontId="4" type="noConversion"/>
  </si>
  <si>
    <t xml:space="preserve">000200554759  CX7240U-7M1D051-BAG-00-00-00 1000  KG  22022738  G-C-Remark  G-Remark  </t>
    <phoneticPr fontId="4" type="noConversion"/>
  </si>
  <si>
    <t xml:space="preserve">000200552334  EXL1414T-GY2G184T-BAG-00-00-00 500  KG  22036207  G-C-Remark  G-Remark  </t>
    <phoneticPr fontId="4" type="noConversion"/>
  </si>
  <si>
    <t xml:space="preserve">000200549100  223R-RD8G025-BAG-00-00-00 500  KG  22037765  G-C-Remark  G-Remark  </t>
    <phoneticPr fontId="4" type="noConversion"/>
  </si>
  <si>
    <t xml:space="preserve">000200524763  CX7240-7T5D172-BAG-00-00-00 1000  KG  22085534  G-C-Remark  G-Remark  </t>
    <phoneticPr fontId="4" type="noConversion"/>
  </si>
  <si>
    <t xml:space="preserve">000200554547  945U-701-BAG-00-00-00 1000  KG  22022075  G-C-Remark  G-Remark  </t>
    <phoneticPr fontId="4" type="noConversion"/>
  </si>
  <si>
    <t xml:space="preserve">000200513088  C2800-701-BAG-00-00-00 1000  KG  22017334  G-C-Remark  G-Remark  </t>
    <phoneticPr fontId="4" type="noConversion"/>
  </si>
  <si>
    <t xml:space="preserve">000200553320  LG9000-100-BAG-00-00-00 1000  KG  22023994  G-C-Remark  G-Remark  </t>
    <phoneticPr fontId="4" type="noConversion"/>
  </si>
  <si>
    <t xml:space="preserve">000200537813  XCY620-GY7G608-BAG-00-00-00 1000  KG  22045866  G-C-Remark  G-Remark  </t>
    <phoneticPr fontId="4" type="noConversion"/>
  </si>
  <si>
    <t xml:space="preserve">0088398244  C1200HF-100-BAG-00-00-00 20000  KG  22019660  G-C-Remark  G-Remark  </t>
    <phoneticPr fontId="4" type="noConversion"/>
  </si>
  <si>
    <t xml:space="preserve">000200546332  CY6012-6M4D043-BAG-00-00-00 5000  KG  22066416  G-C-Remark  G-Remark  </t>
    <phoneticPr fontId="4" type="noConversion"/>
  </si>
  <si>
    <t xml:space="preserve">000200541157  C1100HF-701-BAG-00-00-00 5000  KG  22039357  G-C-Remark  G-Remark  </t>
    <phoneticPr fontId="4" type="noConversion"/>
  </si>
  <si>
    <t xml:space="preserve">000200540749  C1200HF-GY1D473-BAG-00-00-00 3000  KG  22039416  G-C-Remark  G-Remark  </t>
    <phoneticPr fontId="4" type="noConversion"/>
  </si>
  <si>
    <t xml:space="preserve">000200530237  C1200HF-BK2G024-BAG-00-00-00 20000  KG  22034874  G-C-Remark  G-Remark  </t>
    <phoneticPr fontId="4" type="noConversion"/>
  </si>
  <si>
    <t xml:space="preserve">000200494126  C1100HF-701-BAG-00-00-00 10000  KG  22039357  G-C-Remark  G-Remark  </t>
    <phoneticPr fontId="4" type="noConversion"/>
  </si>
  <si>
    <t xml:space="preserve">000200536187  C1200HF-BK2G024-BAG-00-00-00 20000  KG  22034874  G-C-Remark  G-Remark  </t>
    <phoneticPr fontId="4" type="noConversion"/>
  </si>
  <si>
    <t xml:space="preserve">000200470140  C1200HF-BK2E082-BAG-00-00-00 5000  KG  22019663  G-C-Remark  G-Remark  </t>
    <phoneticPr fontId="4" type="noConversion"/>
  </si>
  <si>
    <t xml:space="preserve">000200545169  C2950-GY8E432-BAG-00-00-00 5000  KG  22029950  G-C-Remark  G-Remark  </t>
    <phoneticPr fontId="4" type="noConversion"/>
  </si>
  <si>
    <t xml:space="preserve">000200543766  C1200HF-7001-BAG-00-00-00 10000  KG  22034851  G-C-Remark  G-Remark  </t>
    <phoneticPr fontId="4" type="noConversion"/>
  </si>
  <si>
    <t xml:space="preserve">000200466005  124R-111FC-BAG-00-00-00 20000  KG  22021312  G-C-Remark  G-Remark  </t>
    <phoneticPr fontId="4" type="noConversion"/>
  </si>
  <si>
    <t xml:space="preserve">0094020252  SLX2271T-BK1G296-BAG-00-00-00 20000  KG  22020921  G-C-Remark  G-Remark  </t>
    <phoneticPr fontId="4" type="noConversion"/>
  </si>
  <si>
    <t xml:space="preserve">0094727003  C2950-701-BAG-00-00-00 20000  KG  22022271  G-C-Remark  G-Remark  </t>
    <phoneticPr fontId="4" type="noConversion"/>
  </si>
  <si>
    <t xml:space="preserve">0081871816  XCY620-BK1005-BAG-00-00-00 20000  KG  22025061  G-C-Remark  G-Remark  </t>
    <phoneticPr fontId="4" type="noConversion"/>
  </si>
  <si>
    <t xml:space="preserve">000200503072  C6600-8B8D004-BAG-00-00-00 6000  KG  22035246  G-C-Remark  G-Remark  </t>
    <phoneticPr fontId="4" type="noConversion"/>
  </si>
  <si>
    <t xml:space="preserve">000200542985  C6600-GY6D379-BAG-00-00-00 6000  KG  22034902  G-C-Remark  G-Remark  </t>
    <phoneticPr fontId="4" type="noConversion"/>
  </si>
  <si>
    <t xml:space="preserve">000200497039  C1200HF-BK1G484U-BBG-00-00-00 20000  KG  22031613  G-C-Remark  G-Remark  </t>
    <phoneticPr fontId="4" type="noConversion"/>
  </si>
  <si>
    <t xml:space="preserve">0094020253  SLX2271T-BK1G296-BAG-00-00-00 20000  KG  22020921  G-C-Remark  G-Remark  </t>
    <phoneticPr fontId="4" type="noConversion"/>
  </si>
  <si>
    <t xml:space="preserve">000200494096  C1100HF-701-BAG-00-00-00 10000  KG  22039357  G-C-Remark  G-Remark  </t>
    <phoneticPr fontId="4" type="noConversion"/>
  </si>
  <si>
    <t xml:space="preserve">0094691987  SLX2271T-BK1G296-BAG-00-00-00 20000  KG  22020921  G-C-Remark  G-Remark  </t>
    <phoneticPr fontId="4" type="noConversion"/>
  </si>
  <si>
    <t xml:space="preserve">0094676108  C1200HF-701-BAG-00-00-00 20000  KG  22022222  G-C-Remark  G-Remark  </t>
    <phoneticPr fontId="4" type="noConversion"/>
  </si>
  <si>
    <t xml:space="preserve">0094676109  C1200HF-701-BAG-00-00-00 20000  KG  22022222  G-C-Remark  G-Remark  </t>
    <phoneticPr fontId="4" type="noConversion"/>
  </si>
  <si>
    <t xml:space="preserve">0094676110  C1200HF-701-BAG-00-00-00 20000  KG  22022222  G-C-Remark  G-Remark  </t>
    <phoneticPr fontId="4" type="noConversion"/>
  </si>
  <si>
    <t xml:space="preserve">000200494097  C1100HF-701-BAG-00-00-00 10000  KG  22039357  G-C-Remark  G-Remark  </t>
    <phoneticPr fontId="4" type="noConversion"/>
  </si>
  <si>
    <t xml:space="preserve">000200497040  C1200HF-BK1G484U-BBG-00-00-00 20000  KG  22031613  G-C-Remark  G-Remark  </t>
    <phoneticPr fontId="4" type="noConversion"/>
  </si>
  <si>
    <t xml:space="preserve">000200494078  C1100HF-701-BAG-00-00-00 10000  KG  22039357  G-C-Remark  G-Remark  </t>
    <phoneticPr fontId="4" type="noConversion"/>
  </si>
  <si>
    <t xml:space="preserve">0094679206  C1200HF-100-BAG-00-00-00 20000  KG  22019660  G-C-Remark  G-Remark  </t>
    <phoneticPr fontId="4" type="noConversion"/>
  </si>
  <si>
    <t xml:space="preserve">000200549141  943-RD5G044-BAG-00-00-00 1000  KG  22029974  G-C-Remark  G-Remark  </t>
    <phoneticPr fontId="4" type="noConversion"/>
  </si>
  <si>
    <t xml:space="preserve">000200549104  LS2-414-BAG-00-00-00 3000  KG  22018729  G-C-Remark  G-Remark  </t>
    <phoneticPr fontId="4" type="noConversion"/>
  </si>
  <si>
    <t xml:space="preserve">000200535984  HF1130R-BK1A184T-BAG-00-00-00 1000  KG  22046457  G-C-Remark  G-Remark  </t>
    <phoneticPr fontId="4" type="noConversion"/>
  </si>
  <si>
    <t xml:space="preserve">000200533869  LS2-414-BAG-00-00-00 5000  KG  22018729  G-C-Remark  G-Remark  </t>
    <phoneticPr fontId="4" type="noConversion"/>
  </si>
  <si>
    <t xml:space="preserve">0095368188  SLX2271T-BK1E540-BAG-00-00-00 10000  KG  22018960  G-C-Remark  G-Remark  </t>
    <phoneticPr fontId="4" type="noConversion"/>
  </si>
  <si>
    <t xml:space="preserve">000200535943  C6200-BL11040-BAG-00-00-00 1000  KG  22067402  G-C-Remark  G-Remark  </t>
    <phoneticPr fontId="4" type="noConversion"/>
  </si>
  <si>
    <t xml:space="preserve">000200548667  241R-OR8B007-BAG-00-00-00 2000  KG  22038456  G-C-Remark  G-Remark  </t>
    <phoneticPr fontId="4" type="noConversion"/>
  </si>
  <si>
    <t xml:space="preserve">000200541599  121R-21092-BAG-00-00-00 1000  KG  22028394  G-C-Remark  G-Remark  </t>
    <phoneticPr fontId="4" type="noConversion"/>
  </si>
  <si>
    <t xml:space="preserve">000200550432  ML6411-96536-BAG-00-00-00 2000  KG  22030573  G-C-Remark  G-Remark  </t>
    <phoneticPr fontId="4" type="noConversion"/>
  </si>
  <si>
    <t xml:space="preserve">000200537688  SLX2471T-RD1H002-BAG-00-00-00 10000  KG  22093031  G-C-Remark  G-Remark  </t>
    <phoneticPr fontId="4" type="noConversion"/>
  </si>
  <si>
    <t xml:space="preserve">0092466148  EXL9112-BK1A068-BAG-00-00-00 1000  KG  22035891  G-C-Remark  G-Remark  </t>
    <phoneticPr fontId="4" type="noConversion"/>
  </si>
  <si>
    <t xml:space="preserve">000200480859  121R-VT6A015T-BAG-00-00-00 1000  KG  22033298  G-C-Remark  G-Remark  </t>
    <phoneticPr fontId="4" type="noConversion"/>
  </si>
  <si>
    <t xml:space="preserve">000200529057  243R-WH9A238-BAG-00-00-00 2000  KG  22033838  G-C-Remark  G-Remark  </t>
    <phoneticPr fontId="4" type="noConversion"/>
  </si>
  <si>
    <t xml:space="preserve">000200549052  EXL9330-8T7D131-BAG-00-00-00 800  KG  22083954  G-C-Remark  G-Remark  </t>
    <phoneticPr fontId="4" type="noConversion"/>
  </si>
  <si>
    <t xml:space="preserve">000200539650  221R-WH8D107-BAG-00-00-00 5000  KG  22019258  G-C-Remark  G-Remark  </t>
    <phoneticPr fontId="4" type="noConversion"/>
  </si>
  <si>
    <t xml:space="preserve">000200550025  EXL9330-8T7D101 1500  KG  299902015  G-C-Remark  G-Remark  </t>
    <phoneticPr fontId="4" type="noConversion"/>
  </si>
  <si>
    <t xml:space="preserve">000200513876  123R-WH6D257-BAG-00-00-00 2100  KG  22033097  G-C-Remark  G-Remark  </t>
    <phoneticPr fontId="4" type="noConversion"/>
  </si>
  <si>
    <t xml:space="preserve">000200538637  C1200HF-96622-BAG-00-00-00 4000  KG  22034863  G-C-Remark  G-Remark  </t>
    <phoneticPr fontId="4" type="noConversion"/>
  </si>
  <si>
    <t xml:space="preserve">000200498192  C6600-GY7C059-BAG-00-00-00 2000  KG  22029291  G-C-Remark  G-Remark  </t>
    <phoneticPr fontId="4" type="noConversion"/>
  </si>
  <si>
    <t xml:space="preserve">000200526321  EXL9330-WH6E276-BAG-00-00-00 2000  KG  22039934  G-C-Remark  G-Remark  </t>
    <phoneticPr fontId="4" type="noConversion"/>
  </si>
  <si>
    <t xml:space="preserve">000200549057  BFL4000U-WH3150-BAG-00-00-00 1000  KG  22017663  G-C-Remark  G-Remark  </t>
    <phoneticPr fontId="4" type="noConversion"/>
  </si>
  <si>
    <t xml:space="preserve">000200538817  C6200-GY7C059-BAG-00-00-00 2000  KG  22022537  G-C-Remark  G-Remark  </t>
    <phoneticPr fontId="4" type="noConversion"/>
  </si>
  <si>
    <t xml:space="preserve">000200516576  RFL36S-BK1A842-SBG-00-00-00 5000  KG  22028388  G-C-Remark  G-Remark  </t>
    <phoneticPr fontId="4" type="noConversion"/>
  </si>
  <si>
    <t xml:space="preserve">000200504557  RB008-NC-FBG-00-00-00 2000  KG  22018899  G-C-Remark  G-Remark  </t>
    <phoneticPr fontId="4" type="noConversion"/>
  </si>
  <si>
    <t xml:space="preserve">000200503093  500R-GY3G080-BAG-00-00-00 2000  KG  22038734  G-C-Remark  G-Remark  </t>
    <phoneticPr fontId="4" type="noConversion"/>
  </si>
  <si>
    <t xml:space="preserve">0094716356  UFL36S-BKNAT-SBG-00-00-00 1000  KG  22041363  G-C-Remark  G-Remark  </t>
    <phoneticPr fontId="4" type="noConversion"/>
  </si>
  <si>
    <t xml:space="preserve">000200548537  RL004-GYMDNAT-SBG-00-00-00 6000  KG  22037043  G-C-Remark  G-Remark  </t>
    <phoneticPr fontId="4" type="noConversion"/>
  </si>
  <si>
    <t xml:space="preserve">000200528588  RL004-GYMDNAT-SBG-00-00-00 2000  KG  22037043  G-C-Remark  G-Remark  </t>
    <phoneticPr fontId="4" type="noConversion"/>
  </si>
  <si>
    <t xml:space="preserve">000200554800  RFL36-BK1B602-SBG-00-00-00 1000  KG  22029457  G-C-Remark  G-Remark  </t>
    <phoneticPr fontId="4" type="noConversion"/>
  </si>
  <si>
    <t xml:space="preserve">000200546344  RFL36-BK1B602-SBG-00-00-00 3000  KG  22029457  G-C-Remark  G-Remark  </t>
    <phoneticPr fontId="4" type="noConversion"/>
  </si>
  <si>
    <t xml:space="preserve">000200497136  R2000-GYMDNAT-SBG-00-00-00 2000  KG  22041327  G-C-Remark  G-Remark  </t>
    <phoneticPr fontId="4" type="noConversion"/>
  </si>
  <si>
    <t xml:space="preserve">000200554584  D351-701-SBG-00-00-00 500  KG  22032147  G-C-Remark  G-Remark  </t>
    <phoneticPr fontId="4" type="noConversion"/>
  </si>
  <si>
    <t xml:space="preserve">000200552313  RB008-NC-FBG-00-00-00 4500  KG  22018899  G-C-Remark  G-Remark  </t>
    <phoneticPr fontId="4" type="noConversion"/>
  </si>
  <si>
    <t xml:space="preserve">000200549387  500-131-BAG-00-00-00 2000  KG  22021688  G-C-Remark  G-Remark  </t>
    <phoneticPr fontId="4" type="noConversion"/>
  </si>
  <si>
    <t xml:space="preserve">000200552399  RB008-NC-FBG-00-00-00 2000  KG  22018899  G-C-Remark  G-Remark  </t>
    <phoneticPr fontId="4" type="noConversion"/>
  </si>
  <si>
    <t xml:space="preserve">000200508439  RFL36-BK1B602-SBG-00-00-00 2000  KG  22029457  G-C-Remark  G-Remark  </t>
    <phoneticPr fontId="4" type="noConversion"/>
  </si>
  <si>
    <t xml:space="preserve">000200542705  MFB82I-BK1B459-BAG-00-00-00 2500  KG  22036698  G-C-Remark  G-Remark  </t>
    <phoneticPr fontId="4" type="noConversion"/>
  </si>
  <si>
    <t xml:space="preserve">000200540978  NX07344-BK1E257-BAG-00-00-00 300  KG  22036891  G-C-Remark  G-Remark  </t>
    <phoneticPr fontId="4" type="noConversion"/>
  </si>
  <si>
    <t xml:space="preserve">000200551407  DD0009PC-BKNAT-BAG-00-00-00 1000  KG  22035801  G-C-Remark  G-Remark  </t>
    <phoneticPr fontId="4" type="noConversion"/>
  </si>
  <si>
    <t xml:space="preserve">0092464768  DE0029E-GY3A643-SBG-00-00-00 300  KG  22031872  G-C-Remark  G-Remark  </t>
    <phoneticPr fontId="4" type="noConversion"/>
  </si>
  <si>
    <t xml:space="preserve">0094494896  945-701-BAG-00-00-00 20000  KG  22019581  G-C-Remark  G-Remark  </t>
    <phoneticPr fontId="4" type="noConversion"/>
  </si>
  <si>
    <t xml:space="preserve">0092466155  DX89406-BKNAT-BPK-00-00-00 10000  KG  22039467  G-C-Remark  G-Remark  </t>
    <phoneticPr fontId="4" type="noConversion"/>
  </si>
  <si>
    <t xml:space="preserve">0092466156  DX89406-BKNAT-BPK-00-00-00 10000  KG  22039467  G-C-Remark  G-Remark  </t>
    <phoneticPr fontId="4" type="noConversion"/>
  </si>
  <si>
    <t xml:space="preserve">0092466157  DX89406-BKNAT-BPK-00-00-00 10000  KG  22039467  G-C-Remark  G-Remark  </t>
    <phoneticPr fontId="4" type="noConversion"/>
  </si>
  <si>
    <t xml:space="preserve">0092466158  DX89406-BKNAT-BPK-00-00-00 10000  KG  22039467  G-C-Remark  G-Remark  </t>
    <phoneticPr fontId="4" type="noConversion"/>
  </si>
  <si>
    <t xml:space="preserve">0092466159  DX89406-BKNAT-BPK-00-00-00 10000  KG  22039467  G-C-Remark  G-Remark  </t>
    <phoneticPr fontId="4" type="noConversion"/>
  </si>
  <si>
    <t xml:space="preserve">0092466161  DX89406-BKNAT-BPK-00-00-00 10000  KG  22039467  G-C-Remark  G-Remark  </t>
    <phoneticPr fontId="4" type="noConversion"/>
  </si>
  <si>
    <t xml:space="preserve">0092466162  DX89406-BKNAT-BPK-00-00-00 10000  KG  22039467  G-C-Remark  G-Remark  </t>
    <phoneticPr fontId="4" type="noConversion"/>
  </si>
  <si>
    <t xml:space="preserve">0092466163  DX89406-BKNAT-BPK-00-00-00 10000  KG  22039467  G-C-Remark  G-Remark  </t>
    <phoneticPr fontId="4" type="noConversion"/>
  </si>
  <si>
    <t xml:space="preserve">0092466164  DX89406-BKNAT-BPK-00-00-00 10000  KG  22039467  G-C-Remark  G-Remark  </t>
    <phoneticPr fontId="4" type="noConversion"/>
  </si>
  <si>
    <t xml:space="preserve">000200491976  DX11328-NC-BPK-00-00-00 15000  KG  22035937  G-C-Remark  G-Remark  </t>
    <phoneticPr fontId="4" type="noConversion"/>
  </si>
  <si>
    <t xml:space="preserve">0092302303  DX89406-BKNAT-BPK-00-00-00 10000  KG  22039467  G-C-Remark  G-Remark  </t>
    <phoneticPr fontId="4" type="noConversion"/>
  </si>
  <si>
    <t xml:space="preserve">0092302304  DX89406-BKNAT-BPK-00-00-00 10000  KG  22039467  G-C-Remark  G-Remark  </t>
    <phoneticPr fontId="4" type="noConversion"/>
  </si>
  <si>
    <t xml:space="preserve">0094765394  945-701-BAG-00-00-00 20000  KG  22019581  G-C-Remark  G-Remark  </t>
    <phoneticPr fontId="4" type="noConversion"/>
  </si>
  <si>
    <t xml:space="preserve">000200544598  141R-701-BAG-00-00-00 5000  KG  22021359  G-C-Remark  G-Remark  </t>
    <phoneticPr fontId="4" type="noConversion"/>
  </si>
  <si>
    <t xml:space="preserve">0092466165  DX89406-BKNAT-BPK-00-00-00 10000  KG  22039467  G-C-Remark  G-Remark  </t>
    <phoneticPr fontId="4" type="noConversion"/>
  </si>
  <si>
    <t xml:space="preserve">0092302301  DX89406-BKNAT-BPK-00-00-00 10000  KG  22039467  G-C-Remark  G-Remark  </t>
    <phoneticPr fontId="4" type="noConversion"/>
  </si>
  <si>
    <t xml:space="preserve">0092302302  DX89406-BKNAT-BPK-00-00-00 10000  KG  22039467  G-C-Remark  G-Remark  </t>
    <phoneticPr fontId="4" type="noConversion"/>
  </si>
  <si>
    <t xml:space="preserve">0092302298  DX89406-BKNAT-BPK-00-00-00 10000  KG  22039467  G-C-Remark  G-Remark  </t>
    <phoneticPr fontId="4" type="noConversion"/>
  </si>
  <si>
    <t xml:space="preserve">0092302299  DX89406-BKNAT-BPK-00-00-00 10000  KG  22039467  G-C-Remark  G-Remark  </t>
    <phoneticPr fontId="4" type="noConversion"/>
  </si>
  <si>
    <t xml:space="preserve">0092302300  DX89406-BKNAT-BPK-00-00-00 10000  KG  22039467  G-C-Remark  G-Remark  </t>
    <phoneticPr fontId="4" type="noConversion"/>
  </si>
  <si>
    <t xml:space="preserve">0092302296  DX89406-BKNAT-BPK-00-00-00 10000  KG  22039467  G-C-Remark  G-Remark  </t>
    <phoneticPr fontId="4" type="noConversion"/>
  </si>
  <si>
    <t xml:space="preserve">0092302297  DX89406-BKNAT-BPK-00-00-00 10000  KG  22039467  G-C-Remark  G-Remark  </t>
    <phoneticPr fontId="4" type="noConversion"/>
  </si>
  <si>
    <t xml:space="preserve">000200491997  DX11328-NC-BPK-00-00-00 15000  KG  22035937  G-C-Remark  G-Remark  </t>
    <phoneticPr fontId="4" type="noConversion"/>
  </si>
  <si>
    <t xml:space="preserve">0092302295  DX89406-BKNAT-BPK-00-00-00 10000  KG  22039467  G-C-Remark  G-Remark  </t>
    <phoneticPr fontId="4" type="noConversion"/>
  </si>
  <si>
    <t xml:space="preserve">0095313218  420SE0-1001-BAG-00-00-00 20000  KG  22021649  G-C-Remark  G-Remark  </t>
    <phoneticPr fontId="4" type="noConversion"/>
  </si>
  <si>
    <t xml:space="preserve">000200545549  3412R-131-BAG-00-00-00 5100  KG  22021728  G-C-Remark  G-Remark  </t>
    <phoneticPr fontId="4" type="noConversion"/>
  </si>
  <si>
    <t xml:space="preserve">000200502901  3412ECR-WH8E395-BAG-00-00-00 5000  KG  22037868  G-C-Remark  G-Remark  </t>
    <phoneticPr fontId="4" type="noConversion"/>
  </si>
  <si>
    <t xml:space="preserve">000200546328  420SE0J-7001-BAG-00-00-00 10000  KG  22031201  G-C-Remark  G-Remark  </t>
    <phoneticPr fontId="4" type="noConversion"/>
  </si>
  <si>
    <t xml:space="preserve">000200539068  HFD4472-7N1D050-BAG-00-00-00 4500  KG  22036414  G-C-Remark  G-Remark  </t>
    <phoneticPr fontId="4" type="noConversion"/>
  </si>
  <si>
    <t xml:space="preserve">0095348707  3412ECR-739-BAG-00-00-00 20000  KG  22017144  G-C-Remark  G-Remark  </t>
    <phoneticPr fontId="4" type="noConversion"/>
  </si>
  <si>
    <t xml:space="preserve">0094691986  SLX2271T-BK1G296-BAG-00-00-00 20000  KG  22020921  G-C-Remark  G-Remark  </t>
    <phoneticPr fontId="4" type="noConversion"/>
  </si>
  <si>
    <t xml:space="preserve">0094727004  C2950-701-BAG-00-00-00 20000  KG  22022271  G-C-Remark  G-Remark  </t>
    <phoneticPr fontId="4" type="noConversion"/>
  </si>
  <si>
    <t xml:space="preserve">000200550103  925U-BK1B205-BAG-00-00-00 2000  KG  22034107  G-C-Remark  G-Remark  </t>
    <phoneticPr fontId="4" type="noConversion"/>
  </si>
  <si>
    <t xml:space="preserve">0093290781  ML9696-701-SSS-00-00-00 20000  KG  22036814  G-C-Remark  G-Remark  </t>
    <phoneticPr fontId="4" type="noConversion"/>
  </si>
  <si>
    <t xml:space="preserve">000200497208  XCM830-76701-BAG-00-00-00 10000  KG  22033024  G-C-Remark  G-Remark  </t>
    <phoneticPr fontId="4" type="noConversion"/>
  </si>
  <si>
    <t xml:space="preserve">0082957930  XCY620S-76701-BAG-00-00-00 20000  KG  22037308  G-C-Remark  G-Remark  </t>
    <phoneticPr fontId="4" type="noConversion"/>
  </si>
  <si>
    <t xml:space="preserve">0082962854  XCY620S-76701-BAG-00-00-00 20000  KG  22037308  G-C-Remark  G-Remark  </t>
    <phoneticPr fontId="4" type="noConversion"/>
  </si>
  <si>
    <t xml:space="preserve">000200546324  HFD4472-7N1D050-BAG-00-00-00 5000  KG  22036414  G-C-Remark  G-Remark  </t>
    <phoneticPr fontId="4" type="noConversion"/>
  </si>
  <si>
    <t xml:space="preserve">000200553500  923-BK1261-BAG-00-00-00 20000  KG  22038237  G-C-Remark  G-Remark  </t>
    <phoneticPr fontId="4" type="noConversion"/>
  </si>
  <si>
    <t xml:space="preserve">0085806441  XCY620S-76701-BAG-00-00-00 20000  KG  22037308  G-C-Remark  G-Remark  </t>
    <phoneticPr fontId="4" type="noConversion"/>
  </si>
  <si>
    <t xml:space="preserve">0082962837  XCY620S-76701-BAG-00-00-00 20000  KG  22037308  G-C-Remark  G-Remark  </t>
    <phoneticPr fontId="4" type="noConversion"/>
  </si>
  <si>
    <t xml:space="preserve">0082962838  XCY620S-76701-BAG-00-00-00 20000  KG  22037308  G-C-Remark  G-Remark  </t>
    <phoneticPr fontId="4" type="noConversion"/>
  </si>
  <si>
    <t xml:space="preserve">0082962870  XCY620S-76701-BAG-00-00-00 20000  KG  22037308  G-C-Remark  G-Remark  </t>
    <phoneticPr fontId="4" type="noConversion"/>
  </si>
  <si>
    <t xml:space="preserve">000200497262  XCM830-76701-BAG-00-00-00 10000  KG  22033024  G-C-Remark  G-Remark  </t>
    <phoneticPr fontId="4" type="noConversion"/>
  </si>
  <si>
    <t xml:space="preserve">000200553562  923-BK1261-BAG-00-00-00 20000  KG  22038237  G-C-Remark  G-Remark  </t>
    <phoneticPr fontId="4" type="noConversion"/>
  </si>
  <si>
    <t xml:space="preserve">000200508722  CP8320-76701-BAG-00-00-00 10000  KG  22056197  G-C-Remark  G-Remark  </t>
    <phoneticPr fontId="4" type="noConversion"/>
  </si>
  <si>
    <t xml:space="preserve">000200497209  XCM830-76701-BAG-00-00-00 10000  KG  22033024  G-C-Remark  G-Remark  </t>
    <phoneticPr fontId="4" type="noConversion"/>
  </si>
  <si>
    <t xml:space="preserve">000200497126  RCY6214-7M1D182-BAG-00-00-00 20000  KG  22040925  G-C-Remark  G-Remark  </t>
    <phoneticPr fontId="4" type="noConversion"/>
  </si>
  <si>
    <t xml:space="preserve">0086447231  XCY620-BK1005-BAG-00-00-00 10000  KG  22025061  G-C-Remark  G-Remark  </t>
    <phoneticPr fontId="4" type="noConversion"/>
  </si>
  <si>
    <t xml:space="preserve">0071618759  XCY620S-76701-BAG-00-00-00 20000  KG  22037308  G-C-Remark  G-Remark  </t>
    <phoneticPr fontId="4" type="noConversion"/>
  </si>
  <si>
    <t xml:space="preserve">0075314818  XCY620S-76701-BAG-00-00-00 20000  KG  22037308  G-C-Remark  G-Remark  </t>
    <phoneticPr fontId="4" type="noConversion"/>
  </si>
  <si>
    <t xml:space="preserve">0071618758  XCY620S-76701-BAG-00-00-00 20000  KG  22037308  G-C-Remark  G-Remark  </t>
    <phoneticPr fontId="4" type="noConversion"/>
  </si>
  <si>
    <t xml:space="preserve">0082962864  XCY620S-76701-BAG-00-00-00 20000  KG  22037308  G-C-Remark  G-Remark  </t>
    <phoneticPr fontId="4" type="noConversion"/>
  </si>
  <si>
    <t xml:space="preserve">0082962875  XCY620S-76701-BAG-00-00-00 20000  KG  22037308  G-C-Remark  G-Remark  </t>
    <phoneticPr fontId="4" type="noConversion"/>
  </si>
  <si>
    <t xml:space="preserve">0082962848  XCY620S-76701-BAG-00-00-00 20000  KG  22037308  G-C-Remark  G-Remark  </t>
    <phoneticPr fontId="4" type="noConversion"/>
  </si>
  <si>
    <t xml:space="preserve">0082962849  XCY620S-76701-BAG-00-00-00 20000  KG  22037308  G-C-Remark  G-Remark  </t>
    <phoneticPr fontId="4" type="noConversion"/>
  </si>
  <si>
    <t xml:space="preserve">0082962859  XCY620S-76701-BAG-00-00-00 20000  KG  22037308  G-C-Remark  G-Remark  </t>
    <phoneticPr fontId="4" type="noConversion"/>
  </si>
  <si>
    <t xml:space="preserve">000200537177  945-7T2D216-BAG-00-00-00 7000  KG  22029986  G-C-Remark  G-Remark  </t>
    <phoneticPr fontId="4" type="noConversion"/>
  </si>
  <si>
    <t xml:space="preserve">0082962853  XCY620S-76701-BAG-00-00-00 20000  KG  22037308  G-C-Remark  G-Remark  </t>
    <phoneticPr fontId="4" type="noConversion"/>
  </si>
  <si>
    <t xml:space="preserve">0082962852  XCY620S-76701-BAG-00-00-00 20000  KG  22037308  G-C-Remark  G-Remark  </t>
    <phoneticPr fontId="4" type="noConversion"/>
  </si>
  <si>
    <t xml:space="preserve">0082962851  XCY620S-76701-BAG-00-00-00 20000  KG  22037308  G-C-Remark  G-Remark  </t>
    <phoneticPr fontId="4" type="noConversion"/>
  </si>
  <si>
    <t xml:space="preserve">0082962850  XCY620S-76701-BAG-00-00-00 20000  KG  22037308  G-C-Remark  G-Remark  </t>
    <phoneticPr fontId="4" type="noConversion"/>
  </si>
  <si>
    <t xml:space="preserve">0071618761  XCY620S-76701-BAG-00-00-00 20000  KG  22037308  G-C-Remark  G-Remark  </t>
    <phoneticPr fontId="4" type="noConversion"/>
  </si>
  <si>
    <t xml:space="preserve">0082957941  XCY620S-76701-BAG-00-00-00 20000  KG  22037308  G-C-Remark  G-Remark  </t>
    <phoneticPr fontId="4" type="noConversion"/>
  </si>
  <si>
    <t xml:space="preserve">0082957942  XCY620S-76701-BAG-00-00-00 20000  KG  22037308  G-C-Remark  G-Remark  </t>
    <phoneticPr fontId="4" type="noConversion"/>
  </si>
  <si>
    <t xml:space="preserve">0090054452  XCY620-BK1005-BAG-00-00-00 20000  KG  22025061  G-C-Remark  G-Remark  </t>
    <phoneticPr fontId="4" type="noConversion"/>
  </si>
  <si>
    <t xml:space="preserve">000200537202  945-7T2D216-BAG-00-00-00 5000  KG  22029986  G-C-Remark  G-Remark  </t>
    <phoneticPr fontId="4" type="noConversion"/>
  </si>
  <si>
    <t xml:space="preserve">0082962876  XCY620S-76701-BAG-00-00-00 20000  KG  22037308  G-C-Remark  G-Remark  </t>
    <phoneticPr fontId="4" type="noConversion"/>
  </si>
  <si>
    <t xml:space="preserve">0082962877  XCY620S-76701-BAG-00-00-00 20000  KG  22037308  G-C-Remark  G-Remark  </t>
    <phoneticPr fontId="4" type="noConversion"/>
  </si>
  <si>
    <t xml:space="preserve">0082962878  XCY620S-76701-BAG-00-00-00 20000  KG  22037308  G-C-Remark  G-Remark  </t>
    <phoneticPr fontId="4" type="noConversion"/>
  </si>
  <si>
    <t xml:space="preserve">0082962879  XCY620S-76701-BAG-00-00-00 20000  KG  22037308  G-C-Remark  G-Remark  </t>
    <phoneticPr fontId="4" type="noConversion"/>
  </si>
  <si>
    <t xml:space="preserve">000200537264  945-7T2D216-BAG-00-00-00 8000  KG  22029986  G-C-Remark  G-Remark  </t>
    <phoneticPr fontId="4" type="noConversion"/>
  </si>
  <si>
    <t xml:space="preserve">0082962880  XCY620S-76701-BAG-00-00-00 20000  KG  22037308  G-C-Remark  G-Remark  </t>
    <phoneticPr fontId="4" type="noConversion"/>
  </si>
  <si>
    <t xml:space="preserve">0093290248  357TF-1001-SSS-00-00-00 20000  KG  22088360  G-C-Remark  G-Remark  </t>
    <phoneticPr fontId="4" type="noConversion"/>
  </si>
  <si>
    <t xml:space="preserve">000200527627  945-7T9A0590-BAG-00-00-00 10000  KG  22098535  G-C-Remark  G-Remark  </t>
    <phoneticPr fontId="4" type="noConversion"/>
  </si>
  <si>
    <t xml:space="preserve">000200497370  945U-NC-BAG-00-00-00 10197  KG  22039271  G-C-Remark  G-Remark  </t>
    <phoneticPr fontId="4" type="noConversion"/>
  </si>
  <si>
    <t xml:space="preserve">000200446072  945-8T8A1183 8000  KG  299901533  G-C-Remark  G-Remark  </t>
    <phoneticPr fontId="4" type="noConversion"/>
  </si>
  <si>
    <t xml:space="preserve">000200554849  EXL1414T-NA8A005T-BAG-00-00-00 20000  KG  22022874  G-C-Remark  G-Remark  </t>
    <phoneticPr fontId="4" type="noConversion"/>
  </si>
  <si>
    <t xml:space="preserve">000200554781  EXL1414T-NA8A005T-BAG-00-00-00 20000  KG  22022874  G-C-Remark  G-Remark  </t>
    <phoneticPr fontId="4" type="noConversion"/>
  </si>
  <si>
    <t xml:space="preserve">000200554850  EXL1414T-NA8A005T-BAG-00-00-00 20000  KG  22022874  G-C-Remark  G-Remark  </t>
    <phoneticPr fontId="4" type="noConversion"/>
  </si>
  <si>
    <t xml:space="preserve">0094727000  945-NC-BAG-00-00-00 20000  KG  22022070  G-C-Remark  G-Remark  </t>
    <phoneticPr fontId="4" type="noConversion"/>
  </si>
  <si>
    <t xml:space="preserve">000200554842  EXL1414T-NA8A005T-BAG-00-00-00 20000  KG  22022874  G-C-Remark  G-Remark  </t>
    <phoneticPr fontId="4" type="noConversion"/>
  </si>
  <si>
    <t xml:space="preserve">000200554851  EXL1414T-NA8A005T-BAG-00-00-00 20000  KG  22022874  G-C-Remark  G-Remark  </t>
    <phoneticPr fontId="4" type="noConversion"/>
  </si>
  <si>
    <t xml:space="preserve">000200548766  241R-GN8B014T-BAG-00-00-00 2000  KG  22030867  G-C-Remark  G-Remark  </t>
    <phoneticPr fontId="4" type="noConversion"/>
  </si>
  <si>
    <t xml:space="preserve">000200554843  EXL1414T-NA8A005T-BAG-00-00-00 20000  KG  22022874  G-C-Remark  G-Remark  </t>
    <phoneticPr fontId="4" type="noConversion"/>
  </si>
  <si>
    <t xml:space="preserve">0095348817  940-NC-BAG-00-00-00 20000  KG  22022017  G-C-Remark  G-Remark  </t>
    <phoneticPr fontId="4" type="noConversion"/>
  </si>
  <si>
    <t xml:space="preserve">000200497052  GLX143-GN4G119T-BAG-00-00-00 10000  KG  22067691  G-C-Remark  G-Remark  </t>
    <phoneticPr fontId="4" type="noConversion"/>
  </si>
  <si>
    <t xml:space="preserve">000200554844  EXL1414T-NA8A005T-BAG-00-00-00 20000  KG  22022874  G-C-Remark  G-Remark  </t>
    <phoneticPr fontId="4" type="noConversion"/>
  </si>
  <si>
    <t xml:space="preserve">000200497053  GLX143-GN4G119T-BAG-00-00-00 10000  KG  22067691  G-C-Remark  G-Remark  </t>
    <phoneticPr fontId="4" type="noConversion"/>
  </si>
  <si>
    <t xml:space="preserve">000200554853  EXL1414T-NA8A005T-BAG-00-00-00 20000  KG  22022874  G-C-Remark  G-Remark  </t>
    <phoneticPr fontId="4" type="noConversion"/>
  </si>
  <si>
    <t xml:space="preserve">000200540940  FXD121R-WH6E008X-BAG-00-00-00 2000  KG  22036130  G-C-Remark  G-Remark  </t>
    <phoneticPr fontId="4" type="noConversion"/>
  </si>
  <si>
    <t xml:space="preserve">000200554845  EXL1414T-NA8A005T-BAG-00-00-00 20000  KG  22022874  G-C-Remark  G-Remark  </t>
    <phoneticPr fontId="4" type="noConversion"/>
  </si>
  <si>
    <t xml:space="preserve">000200497104  GLX143-GN4G119T-BAG-00-00-00 10000  KG  22067691  G-C-Remark  G-Remark  </t>
    <phoneticPr fontId="4" type="noConversion"/>
  </si>
  <si>
    <t xml:space="preserve">000200554846  EXL1414T-NA8A005T-BAG-00-00-00 20000  KG  22022874  G-C-Remark  G-Remark  </t>
    <phoneticPr fontId="4" type="noConversion"/>
  </si>
  <si>
    <t xml:space="preserve">000200554854  EXL1414T-NA8A005T-BAG-00-00-00 20000  KG  22022874  G-C-Remark  G-Remark  </t>
    <phoneticPr fontId="4" type="noConversion"/>
  </si>
  <si>
    <t xml:space="preserve">000200554847  EXL1414T-NA8A005T-BAG-00-00-00 20000  KG  22022874  G-C-Remark  G-Remark  </t>
    <phoneticPr fontId="4" type="noConversion"/>
  </si>
  <si>
    <t xml:space="preserve">000200554856  EXL1414T-NA8A005T-BAG-00-00-00 20000  KG  22022874  G-C-Remark  G-Remark  </t>
    <phoneticPr fontId="4" type="noConversion"/>
  </si>
  <si>
    <t xml:space="preserve">000200497054  GLX143-GN4G119T-BAG-00-00-00 10000  KG  22067691  G-C-Remark  G-Remark  </t>
    <phoneticPr fontId="4" type="noConversion"/>
  </si>
  <si>
    <t xml:space="preserve">000200549506  LUX2114G-WH5B140X-BAG-00-00-00 1000  KG  22023831  G-C-Remark  G-Remark  </t>
    <phoneticPr fontId="4" type="noConversion"/>
  </si>
  <si>
    <t xml:space="preserve">000200497069  LG9000-100-BAG-00-00-00 20000  KG  22023994  G-C-Remark  G-Remark  </t>
    <phoneticPr fontId="4" type="noConversion"/>
  </si>
  <si>
    <t xml:space="preserve">0082948900  MC1300-100-BAG-00-00-00 20000  KG  22018739  G-C-Remark  G-Remark  </t>
    <phoneticPr fontId="4" type="noConversion"/>
  </si>
  <si>
    <t xml:space="preserve">0094699040  MC1300-100-BAG-00-00-00 20000  KG  22018739  G-C-Remark  G-Remark  </t>
    <phoneticPr fontId="4" type="noConversion"/>
  </si>
  <si>
    <t xml:space="preserve">0094699041  MC1300-100-BAG-00-00-00 20000  KG  22018739  G-C-Remark  G-Remark  </t>
    <phoneticPr fontId="4" type="noConversion"/>
  </si>
  <si>
    <t xml:space="preserve">000200526256  LUX2114G-WH4G039X-BAG-00-00-00 14000  KG  22030544  G-C-Remark  G-Remark  </t>
    <phoneticPr fontId="4" type="noConversion"/>
  </si>
  <si>
    <t xml:space="preserve">000200526425  LUX2114G-WH5B140X-BAG-00-00-00 15000  KG  22023831  G-C-Remark  G-Remark  </t>
    <phoneticPr fontId="4" type="noConversion"/>
  </si>
  <si>
    <t xml:space="preserve">000200526408  LUX2114G-WH8B508X-BAG-00-00-00 15000  KG  22020466  G-C-Remark  G-Remark  </t>
    <phoneticPr fontId="4" type="noConversion"/>
  </si>
  <si>
    <t xml:space="preserve">000200549460  LUX2114G-WH8G625X-BAG-00-00-00 5000  KG  22032676  G-C-Remark  G-Remark  </t>
    <phoneticPr fontId="4" type="noConversion"/>
  </si>
  <si>
    <t xml:space="preserve">0094678264  MC1300-100-BAG-00-00-00 20000  KG  22018739  G-C-Remark  G-Remark  </t>
    <phoneticPr fontId="4" type="noConversion"/>
  </si>
  <si>
    <t xml:space="preserve">0094678265  MC1300-100-BAG-00-00-00 20000  KG  22018739  G-C-Remark  G-Remark  </t>
    <phoneticPr fontId="4" type="noConversion"/>
  </si>
  <si>
    <t xml:space="preserve">0094678266  MC1300-100-BAG-00-00-00 20000  KG  22018739  G-C-Remark  G-Remark  </t>
    <phoneticPr fontId="4" type="noConversion"/>
  </si>
  <si>
    <t xml:space="preserve">000200554860  EXL1414T-NA8A005T-BAG-00-00-00 20000  KG  22022874  G-C-Remark  G-Remark  </t>
    <phoneticPr fontId="4" type="noConversion"/>
  </si>
  <si>
    <t xml:space="preserve">000200554862  EXL1414T-NA8A005T-BAG-00-00-00 20000  KG  22022874  G-C-Remark  G-Remark  </t>
    <phoneticPr fontId="4" type="noConversion"/>
  </si>
  <si>
    <t xml:space="preserve">000200549461  LUX2114G-WH8G625X-BAG-00-00-00 3000  KG  22032676  G-C-Remark  G-Remark  </t>
    <phoneticPr fontId="4" type="noConversion"/>
  </si>
  <si>
    <t xml:space="preserve">000200497070  LG9000-100-BAG-00-00-00 20000  KG  22023994  G-C-Remark  G-Remark  </t>
    <phoneticPr fontId="4" type="noConversion"/>
  </si>
  <si>
    <t xml:space="preserve">0088398245  C1200HF-100-BAG-00-00-00 20000  KG  22019660  G-C-Remark  G-Remark  </t>
    <phoneticPr fontId="4" type="noConversion"/>
  </si>
  <si>
    <t xml:space="preserve">0094700527  MC1300-100-BAG-00-00-00 20000  KG  22018739  G-C-Remark  G-Remark  </t>
    <phoneticPr fontId="4" type="noConversion"/>
  </si>
  <si>
    <t xml:space="preserve">0094700528  MC1300-100-BAG-00-00-00 20000  KG  22018739  G-C-Remark  G-Remark  </t>
    <phoneticPr fontId="4" type="noConversion"/>
  </si>
  <si>
    <t xml:space="preserve">0094700529  MC1300-100-BAG-00-00-00 20000  KG  22018739  G-C-Remark  G-Remark  </t>
    <phoneticPr fontId="4" type="noConversion"/>
  </si>
  <si>
    <t xml:space="preserve">0094700530  MC1300-100-BAG-00-00-00 20000  KG  22018739  G-C-Remark  G-Remark  </t>
    <phoneticPr fontId="4" type="noConversion"/>
  </si>
  <si>
    <t xml:space="preserve">0094700531  MC1300-100-BAG-00-00-00 20000  KG  22018739  G-C-Remark  G-Remark  </t>
    <phoneticPr fontId="4" type="noConversion"/>
  </si>
  <si>
    <t xml:space="preserve">000200554863  EXL1414T-NA8A005T-BAG-00-00-00 20000  KG  22022874  G-C-Remark  G-Remark  </t>
    <phoneticPr fontId="4" type="noConversion"/>
  </si>
  <si>
    <t xml:space="preserve">0094699063  MC1300-100-BAG-00-00-00 20000  KG  22018739  G-C-Remark  G-Remark  </t>
    <phoneticPr fontId="4" type="noConversion"/>
  </si>
  <si>
    <t xml:space="preserve">0094727001  945-NC-BAG-00-00-00 20000  KG  22022070  G-C-Remark  G-Remark  </t>
    <phoneticPr fontId="4" type="noConversion"/>
  </si>
  <si>
    <t xml:space="preserve">0094727002  945-NC-BAG-00-00-00 20000  KG  22022070  G-C-Remark  G-Remark  </t>
    <phoneticPr fontId="4" type="noConversion"/>
  </si>
  <si>
    <t xml:space="preserve">000200550423  241R-WH6D069-BAG-00-00-00 10000  KG  22030876  G-C-Remark  G-Remark  </t>
    <phoneticPr fontId="4" type="noConversion"/>
  </si>
  <si>
    <t xml:space="preserve">000200550422  241R-WH6D069-BAG-00-00-00 20000  KG  22030876  G-C-Remark  G-Remark  </t>
    <phoneticPr fontId="4" type="noConversion"/>
  </si>
  <si>
    <t xml:space="preserve">000200502927  EXL9330-5T7D005-BAG-00-00-00 5000  KG  22029397  G-C-Remark  G-Remark  </t>
    <phoneticPr fontId="4" type="noConversion"/>
  </si>
  <si>
    <t xml:space="preserve">000200531796  241R-WH6D069-BAG-00-00-00 20000  KG  22030876  G-C-Remark  G-Remark  </t>
    <phoneticPr fontId="4" type="noConversion"/>
  </si>
  <si>
    <t xml:space="preserve">0092477893  LUX9612-WH8E508X-BAG-00-00-00 3000  KG  22017108  G-C-Remark  G-Remark  </t>
    <phoneticPr fontId="4" type="noConversion"/>
  </si>
  <si>
    <t xml:space="preserve">000200470141  123R-WH5G107-BAG-00-00-00 2000  KG  22044544  G-C-Remark  G-Remark  </t>
    <phoneticPr fontId="4" type="noConversion"/>
  </si>
  <si>
    <t xml:space="preserve">0085647844  MC1300-100-BAG-00-00-00 20000  KG  22018739  G-C-Remark  G-Remark  </t>
    <phoneticPr fontId="4" type="noConversion"/>
  </si>
  <si>
    <t xml:space="preserve">000200546668  LUX9230T-11204-BAG-00-00-00 20000  KG  22036941  G-C-Remark  G-Remark  </t>
    <phoneticPr fontId="4" type="noConversion"/>
  </si>
  <si>
    <t xml:space="preserve">000200546728  LUX9230T-11204-BAG-00-00-00 20000  KG  22036941  G-C-Remark  G-Remark  </t>
    <phoneticPr fontId="4" type="noConversion"/>
  </si>
  <si>
    <t xml:space="preserve">000200524337  EXL1414-GY8B195-BAG-00-00-00 5000  KG  22040454  G-C-Remark  G-Remark  </t>
    <phoneticPr fontId="4" type="noConversion"/>
  </si>
  <si>
    <t xml:space="preserve">000200529089  121R-7R7D031-SSS-00-00-00 20000  KG  22037463  G-C-Remark  G-Remark  </t>
    <phoneticPr fontId="4" type="noConversion"/>
  </si>
  <si>
    <t xml:space="preserve">000200509387  141R-80711-BAG-00-00-00 9000  KG  22038171  G-C-Remark  G-Remark  </t>
    <phoneticPr fontId="4" type="noConversion"/>
  </si>
  <si>
    <t xml:space="preserve">000200553646  141R-GY6A427-SSS-00-00-00 10000  KG  22038198  G-C-Remark  G-Remark  </t>
    <phoneticPr fontId="4" type="noConversion"/>
  </si>
  <si>
    <t xml:space="preserve">0094699039  MC1300-100-BAG-00-00-00 20000  KG  22018739  G-C-Remark  G-Remark  </t>
    <phoneticPr fontId="4" type="noConversion"/>
  </si>
  <si>
    <t xml:space="preserve">0094700207  XCY620S-100-BAG-00-00-00 20000  KG  22025073  G-C-Remark  G-Remark  </t>
    <phoneticPr fontId="4" type="noConversion"/>
  </si>
  <si>
    <t xml:space="preserve">000200544370  EXL1414-BK1A329-BAG-00-00-00 2000  KG  22039632  G-C-Remark  G-Remark  </t>
    <phoneticPr fontId="4" type="noConversion"/>
  </si>
  <si>
    <t xml:space="preserve">000200504666  MC1300-100-SSS-00-00-00 20000  KG  22036948  G-C-Remark  G-Remark  </t>
    <phoneticPr fontId="4" type="noConversion"/>
  </si>
  <si>
    <t xml:space="preserve">0085647849  MC1300-100-BAG-00-00-00 20000  KG  22018739  G-C-Remark  G-Remark  </t>
    <phoneticPr fontId="4" type="noConversion"/>
  </si>
  <si>
    <t xml:space="preserve">0082948897  MC1300-100-BAG-00-00-00 20000  KG  22018739  G-C-Remark  G-Remark  </t>
    <phoneticPr fontId="4" type="noConversion"/>
  </si>
  <si>
    <t xml:space="preserve">000200386739  MC1300-100-BAG-00-00-00 20600  KG  22018739  G-C-Remark  G-Remark  </t>
    <phoneticPr fontId="4" type="noConversion"/>
  </si>
  <si>
    <t xml:space="preserve">0094699042  MC1300-100-BAG-00-00-00 20000  KG  22018739  G-C-Remark  G-Remark  </t>
    <phoneticPr fontId="4" type="noConversion"/>
  </si>
  <si>
    <t xml:space="preserve">0094699043  MC1300-100-BAG-00-00-00 20000  KG  22018739  G-C-Remark  G-Remark  </t>
    <phoneticPr fontId="4" type="noConversion"/>
  </si>
  <si>
    <t xml:space="preserve">0082962841  XCY620S-76701-BAG-00-00-00 20000  KG  22037308  G-C-Remark  G-Remark  </t>
    <phoneticPr fontId="4" type="noConversion"/>
  </si>
  <si>
    <t xml:space="preserve">0082962869  XCY620S-76701-BAG-00-00-00 20000  KG  22037308  G-C-Remark  G-Remark  </t>
    <phoneticPr fontId="4" type="noConversion"/>
  </si>
  <si>
    <t xml:space="preserve">0082962862  XCY620S-76701-BAG-00-00-00 20000  KG  22037308  G-C-Remark  G-Remark  </t>
    <phoneticPr fontId="4" type="noConversion"/>
  </si>
  <si>
    <t xml:space="preserve">0082962860  XCY620S-76701-BAG-00-00-00 20000  KG  22037308  G-C-Remark  G-Remark  </t>
    <phoneticPr fontId="4" type="noConversion"/>
  </si>
  <si>
    <t xml:space="preserve">0082962858  XCY620S-76701-BAG-00-00-00 20000  KG  22037308  G-C-Remark  G-Remark  </t>
    <phoneticPr fontId="4" type="noConversion"/>
  </si>
  <si>
    <t xml:space="preserve">0082962857  XCY620S-76701-BAG-00-00-00 20000  KG  22037308  G-C-Remark  G-Remark  </t>
    <phoneticPr fontId="4" type="noConversion"/>
  </si>
  <si>
    <t xml:space="preserve">000200546710  LUX9230T-11204-BAG-00-00-00 20000  KG  22036941  G-C-Remark  G-Remark  </t>
    <phoneticPr fontId="4" type="noConversion"/>
  </si>
  <si>
    <t xml:space="preserve">000200504690  MC1300-100-SSS-00-00-00 20000  KG  22036948  G-C-Remark  G-Remark  </t>
    <phoneticPr fontId="4" type="noConversion"/>
  </si>
  <si>
    <t xml:space="preserve">0094678267  MC1300-100-BAG-00-00-00 20000  KG  22018739  G-C-Remark  G-Remark  </t>
    <phoneticPr fontId="4" type="noConversion"/>
  </si>
  <si>
    <t xml:space="preserve">0082962847  XCY620S-76701-BAG-00-00-00 20000  KG  22037308  G-C-Remark  G-Remark  </t>
    <phoneticPr fontId="4" type="noConversion"/>
  </si>
  <si>
    <t xml:space="preserve">0082962846  XCY620S-76701-BAG-00-00-00 20000  KG  22037308  G-C-Remark  G-Remark  </t>
    <phoneticPr fontId="4" type="noConversion"/>
  </si>
  <si>
    <t xml:space="preserve">0082962845  XCY620S-76701-BAG-00-00-00 20000  KG  22037308  G-C-Remark  G-Remark  </t>
    <phoneticPr fontId="4" type="noConversion"/>
  </si>
  <si>
    <t xml:space="preserve">0082962835  XCY620S-76701-BAG-00-00-00 20000  KG  22037308  G-C-Remark  G-Remark  </t>
    <phoneticPr fontId="4" type="noConversion"/>
  </si>
  <si>
    <t xml:space="preserve">0082962836  XCY620S-76701-BAG-00-00-00 20000  KG  22037308  G-C-Remark  G-Remark  </t>
    <phoneticPr fontId="4" type="noConversion"/>
  </si>
  <si>
    <t xml:space="preserve">0094678268  MC1300-100-BAG-00-00-00 20000  KG  22018739  G-C-Remark  G-Remark  </t>
    <phoneticPr fontId="4" type="noConversion"/>
  </si>
  <si>
    <t xml:space="preserve">0094678269  MC1300-100-BAG-00-00-00 20000  KG  22018739  G-C-Remark  G-Remark  </t>
    <phoneticPr fontId="4" type="noConversion"/>
  </si>
  <si>
    <t xml:space="preserve">0094678270  MC1300-100-BAG-00-00-00 20000  KG  22018739  G-C-Remark  G-Remark  </t>
    <phoneticPr fontId="4" type="noConversion"/>
  </si>
  <si>
    <t xml:space="preserve">0094678271  MC1300-100-BAG-00-00-00 20000  KG  22018739  G-C-Remark  G-Remark  </t>
    <phoneticPr fontId="4" type="noConversion"/>
  </si>
  <si>
    <t xml:space="preserve">0094700208  XCY620S-100-BAG-00-00-00 20000  KG  22025073  G-C-Remark  G-Remark  </t>
    <phoneticPr fontId="4" type="noConversion"/>
  </si>
  <si>
    <t xml:space="preserve">0094678272  MC1300-100-BAG-00-00-00 20000  KG  22018739  G-C-Remark  G-Remark  </t>
    <phoneticPr fontId="4" type="noConversion"/>
  </si>
  <si>
    <t xml:space="preserve">0094678273  MC1300-100-BAG-00-00-00 20000  KG  22018739  G-C-Remark  G-Remark  </t>
    <phoneticPr fontId="4" type="noConversion"/>
  </si>
  <si>
    <t xml:space="preserve">000200464870  C3650-111-BAG-00-00-00 16000  KG  22019705  G-C-Remark  G-Remark  </t>
    <phoneticPr fontId="4" type="noConversion"/>
  </si>
  <si>
    <t xml:space="preserve">000200504766  MC1300-100-SSS-00-00-00 20000  KG  22036948  G-C-Remark  G-Remark  </t>
    <phoneticPr fontId="4" type="noConversion"/>
  </si>
  <si>
    <t xml:space="preserve">0082957931  XCY620S-76701-BAG-00-00-00 20000  KG  22037308  G-C-Remark  G-Remark  </t>
    <phoneticPr fontId="4" type="noConversion"/>
  </si>
  <si>
    <t xml:space="preserve">0082962884  XCY620S-76701-BAG-00-00-00 20000  KG  22037308  G-C-Remark  G-Remark  </t>
    <phoneticPr fontId="4" type="noConversion"/>
  </si>
  <si>
    <t xml:space="preserve">0094700209  XCY620S-100-BAG-00-00-00 20000  KG  22025073  G-C-Remark  G-Remark  </t>
    <phoneticPr fontId="4" type="noConversion"/>
  </si>
  <si>
    <t xml:space="preserve">0094699062  MC1300-100-BAG-00-00-00 20000  KG  22018739  G-C-Remark  G-Remark  </t>
    <phoneticPr fontId="4" type="noConversion"/>
  </si>
  <si>
    <t xml:space="preserve">0094699061  MC1300-100-BAG-00-00-00 20000  KG  22018739  G-C-Remark  G-Remark  </t>
    <phoneticPr fontId="4" type="noConversion"/>
  </si>
  <si>
    <t xml:space="preserve">000200550037  141R-701-BAG-00-00-00 6375  KG  22021359  G-C-Remark  G-Remark  </t>
    <phoneticPr fontId="4" type="noConversion"/>
  </si>
  <si>
    <t xml:space="preserve">000200547735  XP4034-GY1E811-BAG-00-00-00 10000  KG  22019030  G-C-Remark  G-Remark  </t>
    <phoneticPr fontId="4" type="noConversion"/>
  </si>
  <si>
    <t xml:space="preserve">000200553373  LG9000-BK1044-BAG-00-00-00 5000  KG  22018724  G-C-Remark  G-Remark  </t>
    <phoneticPr fontId="4" type="noConversion"/>
  </si>
  <si>
    <t xml:space="preserve">000200497056  LG9000-701-BAG-00-00-00 20000  KG  22017215  G-C-Remark  G-Remark  </t>
    <phoneticPr fontId="4" type="noConversion"/>
  </si>
  <si>
    <t xml:space="preserve">0094714320  XCY620-BK1005-BAG-00-00-00 20000  KG  22025061  G-C-Remark  G-Remark  </t>
    <phoneticPr fontId="4" type="noConversion"/>
  </si>
  <si>
    <t xml:space="preserve">000200545450  LG9000-7G1A3595 5000  KG  299904096  G-C-Remark  G-Remark  </t>
    <phoneticPr fontId="4" type="noConversion"/>
  </si>
  <si>
    <t xml:space="preserve">000200496387  LG9000-BK1044MX-BAG-00-00-00 10500  KG  22036575  G-C-Remark  G-Remark  </t>
    <phoneticPr fontId="4" type="noConversion"/>
  </si>
  <si>
    <t xml:space="preserve">000200508782  XP4034-GY1E349-BAG-00-00-00 10000  KG  22041179  G-C-Remark  G-Remark  </t>
    <phoneticPr fontId="4" type="noConversion"/>
  </si>
  <si>
    <t xml:space="preserve">0082959378  C1200HF-701-BAG-00-00-00 20000  KG  22022222  G-C-Remark  G-Remark  </t>
    <phoneticPr fontId="4" type="noConversion"/>
  </si>
  <si>
    <t xml:space="preserve">000200553469  LG9000-701-BAG-00-00-00 5000  KG  22017215  G-C-Remark  G-Remark  </t>
    <phoneticPr fontId="4" type="noConversion"/>
  </si>
  <si>
    <t xml:space="preserve">0090033779  C1200HF-701-BAG-00-00-00 20000  KG  22022222  G-C-Remark  G-Remark  </t>
    <phoneticPr fontId="4" type="noConversion"/>
  </si>
  <si>
    <t xml:space="preserve">0090656597  XP4034-BK1041-BAG-00-00-00 20000  KG  22019027  G-C-Remark  G-Remark  </t>
    <phoneticPr fontId="4" type="noConversion"/>
  </si>
  <si>
    <t xml:space="preserve">000200537204  C1200HF-GY1460-BAG-00-00-00 5000  KG  22039413  G-C-Remark  G-Remark  </t>
    <phoneticPr fontId="4" type="noConversion"/>
  </si>
  <si>
    <t xml:space="preserve">0094692688  XP4034-BK1041-BAG-00-00-00 10000  KG  22019027  G-C-Remark  G-Remark  </t>
    <phoneticPr fontId="4" type="noConversion"/>
  </si>
  <si>
    <t xml:space="preserve">000200549493  LS1-701-BAG-00-00-00 20000  KG  22041018  G-C-Remark  G-Remark  </t>
    <phoneticPr fontId="4" type="noConversion"/>
  </si>
  <si>
    <t xml:space="preserve">000200521960  C1200HF-GY1460-BAG-00-00-00 10000  KG  22039413  G-C-Remark  G-Remark  </t>
    <phoneticPr fontId="4" type="noConversion"/>
  </si>
  <si>
    <t xml:space="preserve">000200551142  C1200HF-BK2G024-BAG-00-00-00 20000  KG  22034874  G-C-Remark  G-Remark  </t>
    <phoneticPr fontId="4" type="noConversion"/>
  </si>
  <si>
    <t xml:space="preserve">000200551079  C1200HF-BK2G024-BAG-00-00-00 20000  KG  22034874  G-C-Remark  G-Remark  </t>
    <phoneticPr fontId="4" type="noConversion"/>
  </si>
  <si>
    <t xml:space="preserve">000200549471  LS1-701-BAG-00-00-00 20000  KG  22041018  G-C-Remark  G-Remark  </t>
    <phoneticPr fontId="4" type="noConversion"/>
  </si>
  <si>
    <t xml:space="preserve">0094692789  XP4034-BK1041-BAG-00-00-00 10000  KG  22019027  G-C-Remark  G-Remark  </t>
    <phoneticPr fontId="4" type="noConversion"/>
  </si>
  <si>
    <t xml:space="preserve">0094692790  XP4034-BK1041-BAG-00-00-00 15000  KG  22019027  G-C-Remark  G-Remark  </t>
    <phoneticPr fontId="4" type="noConversion"/>
  </si>
  <si>
    <t xml:space="preserve">000200549400  LS1-701-BAG-00-00-00 20000  KG  22041018  G-C-Remark  G-Remark  </t>
    <phoneticPr fontId="4" type="noConversion"/>
  </si>
  <si>
    <t xml:space="preserve">000200496374  XCY620-BK1G372-BAG-00-00-00 16000  KG  22041153  G-C-Remark  G-Remark  </t>
    <phoneticPr fontId="4" type="noConversion"/>
  </si>
  <si>
    <t xml:space="preserve">000200549507  LS1-701-BAG-00-00-00 20000  KG  22041018  G-C-Remark  G-Remark  </t>
    <phoneticPr fontId="4" type="noConversion"/>
  </si>
  <si>
    <t xml:space="preserve">000200551123  C1200HF-BK2G024-BAG-00-00-00 20000  KG  22034874  G-C-Remark  G-Remark  </t>
    <phoneticPr fontId="4" type="noConversion"/>
  </si>
  <si>
    <t xml:space="preserve">000200549528  LS1-701-BAG-00-00-00 20000  KG  22041018  G-C-Remark  G-Remark  </t>
    <phoneticPr fontId="4" type="noConversion"/>
  </si>
  <si>
    <t xml:space="preserve">000200508695  XP4034-GY1E349-BAG-00-00-00 10000  KG  22041179  G-C-Remark  G-Remark  </t>
    <phoneticPr fontId="4" type="noConversion"/>
  </si>
  <si>
    <t xml:space="preserve">000200497125  LG9000-701-BAG-00-00-00 20000  KG  22017215  G-C-Remark  G-Remark  </t>
    <phoneticPr fontId="4" type="noConversion"/>
  </si>
  <si>
    <t xml:space="preserve">000200551017  C1200HF-BK2G024-BAG-00-00-00 20000  KG  22034874  G-C-Remark  G-Remark  </t>
    <phoneticPr fontId="4" type="noConversion"/>
  </si>
  <si>
    <t xml:space="preserve">0094714325  XCY620-BK1005-BAG-00-00-00 20000  KG  22025061  G-C-Remark  G-Remark  </t>
    <phoneticPr fontId="4" type="noConversion"/>
  </si>
  <si>
    <t xml:space="preserve">000200549459  LS1-701-BAG-00-00-00 20000  KG  22041018  G-C-Remark  G-Remark  </t>
    <phoneticPr fontId="4" type="noConversion"/>
  </si>
  <si>
    <t xml:space="preserve">000200540824  LG9000-GY1C306-BAG-00-00-00 13000  KG  22018726  G-C-Remark  G-Remark  </t>
    <phoneticPr fontId="4" type="noConversion"/>
  </si>
  <si>
    <t xml:space="preserve">000200539808  C1200HF-GY1460-BAG-00-00-00 5000  KG  22039413  G-C-Remark  G-Remark  </t>
    <phoneticPr fontId="4" type="noConversion"/>
  </si>
  <si>
    <t xml:space="preserve">000200537703  C1200HF-GY1460-BAG-00-00-00 10000  KG  22039413  G-C-Remark  G-Remark  </t>
    <phoneticPr fontId="4" type="noConversion"/>
  </si>
  <si>
    <t xml:space="preserve">000200537625  XCY620-BK1G372-BAG-00-00-00 10000  KG  22041153  G-C-Remark  G-Remark  </t>
    <phoneticPr fontId="4" type="noConversion"/>
  </si>
  <si>
    <t xml:space="preserve">000200535117  XCY620-BK1G372-BAG-00-00-00 10000  KG  22041153  G-C-Remark  G-Remark  </t>
    <phoneticPr fontId="4" type="noConversion"/>
  </si>
  <si>
    <t xml:space="preserve">0094692791  XP4034-BK1041-BAG-00-00-00 20000  KG  22019027  G-C-Remark  G-Remark  </t>
    <phoneticPr fontId="4" type="noConversion"/>
  </si>
  <si>
    <t xml:space="preserve">0090033780  C1200HF-701-BAG-00-00-00 20000  KG  22022222  G-C-Remark  G-Remark  </t>
    <phoneticPr fontId="4" type="noConversion"/>
  </si>
  <si>
    <t xml:space="preserve">0094714326  XCY620-BK1005-BAG-00-00-00 20000  KG  22025061  G-C-Remark  G-Remark  </t>
    <phoneticPr fontId="4" type="noConversion"/>
  </si>
  <si>
    <t xml:space="preserve">000200421463  LUX9130T-NAT-BAG-00-00-00 10000  KG  22036940  G-C-Remark  G-Remark  </t>
    <phoneticPr fontId="4" type="noConversion"/>
  </si>
  <si>
    <t xml:space="preserve">000200528316  143R-WH7D381X-BAG-00-00-00 3000  KG  22017275  G-C-Remark  G-Remark  </t>
    <phoneticPr fontId="4" type="noConversion"/>
  </si>
  <si>
    <t xml:space="preserve">000200550336  FXD171R-WH7D264X-BAG-00-00-00 500  KG  22040730  G-C-Remark  G-Remark  </t>
    <phoneticPr fontId="4" type="noConversion"/>
  </si>
  <si>
    <t xml:space="preserve">000200536980  950A-116-BAG-00-00-00 1000  KG  22018296  G-C-Remark  G-Remark  </t>
    <phoneticPr fontId="4" type="noConversion"/>
  </si>
  <si>
    <t xml:space="preserve">000200509337  LUX2114G-WH8B508X-BAG-00-00-00 2000  KG  22020466  G-C-Remark  G-Remark  </t>
    <phoneticPr fontId="4" type="noConversion"/>
  </si>
  <si>
    <t xml:space="preserve">000200543585  121R-1A9D007T-BAG-00-00-00 1200  KG  22037448  G-C-Remark  G-Remark  </t>
    <phoneticPr fontId="4" type="noConversion"/>
  </si>
  <si>
    <t xml:space="preserve">000200506912  FXD121R-WH6D266X-BAG-00-00-00 2000  KG  22040027  G-C-Remark  G-Remark  </t>
    <phoneticPr fontId="4" type="noConversion"/>
  </si>
  <si>
    <t xml:space="preserve">000200534777  953A-116-BAG-00-00-00 1000  KG  22022088  G-C-Remark  G-Remark  </t>
    <phoneticPr fontId="4" type="noConversion"/>
  </si>
  <si>
    <t xml:space="preserve">0075164447  XCY620S-100-BAG-00-00-00 20000  KG  22025073  G-C-Remark  G-Remark  </t>
    <phoneticPr fontId="4" type="noConversion"/>
  </si>
  <si>
    <t xml:space="preserve">000200554902  SLX2471T-NA9E166T-BAG-00-00-00 1000  KG  22024953  G-C-Remark  G-Remark  </t>
    <phoneticPr fontId="4" type="noConversion"/>
  </si>
  <si>
    <t xml:space="preserve">000200548737  LUX9610-111N-BAG-00-00-00 1675  KG  22041065  G-C-Remark  G-Remark  </t>
    <phoneticPr fontId="4" type="noConversion"/>
  </si>
  <si>
    <t xml:space="preserve">000200551271  FXD171R-WH7E306X-BAG-00-00-00 500  KG  22017394  G-C-Remark  G-Remark  </t>
    <phoneticPr fontId="4" type="noConversion"/>
  </si>
  <si>
    <t xml:space="preserve">000200523571  103-111-BAG-00-00-00 5000  KG  22028578  G-C-Remark  G-Remark  </t>
    <phoneticPr fontId="4" type="noConversion"/>
  </si>
  <si>
    <t xml:space="preserve">000200554900  945U-NC-BAG-00-00-00 10000  KG  22039271  G-C-Remark  G-Remark  </t>
    <phoneticPr fontId="4" type="noConversion"/>
  </si>
  <si>
    <t xml:space="preserve">000200421445  LUX9130T-NAT-BAG-00-00-00 10000  KG  22036940  G-C-Remark  G-Remark  </t>
    <phoneticPr fontId="4" type="noConversion"/>
  </si>
  <si>
    <t xml:space="preserve">000200514393  FXD141R-NA1D001X-BAG-00-00-00 2000  KG  22030318  G-C-Remark  G-Remark  </t>
    <phoneticPr fontId="4" type="noConversion"/>
  </si>
  <si>
    <t xml:space="preserve">000200546700  LUX9230T-11204-BAG-00-00-00 20000  KG  22036941  G-C-Remark  G-Remark  </t>
    <phoneticPr fontId="4" type="noConversion"/>
  </si>
  <si>
    <t xml:space="preserve">000200549117  9925A-NA1A0036-BAG-00-00-00 2000  KG  22034701  G-C-Remark  G-Remark  </t>
    <phoneticPr fontId="4" type="noConversion"/>
  </si>
  <si>
    <t xml:space="preserve">000200496048  FXD121R-WH6E008X-BAG-00-00-00 2000  KG  22036130  G-C-Remark  G-Remark  </t>
    <phoneticPr fontId="4" type="noConversion"/>
  </si>
  <si>
    <t xml:space="preserve">000200426612  LUX2114G-WH4G020X-BAG-00-00-00 3000  KG  22036929  G-C-Remark  G-Remark  </t>
    <phoneticPr fontId="4" type="noConversion"/>
  </si>
  <si>
    <t xml:space="preserve">000200530651  LUX2114G-WH5B140X-BAG-00-00-00 2000  KG  22023831  G-C-Remark  G-Remark  </t>
    <phoneticPr fontId="4" type="noConversion"/>
  </si>
  <si>
    <t xml:space="preserve">000200496047  FXD121R-NA2D006X-BAG-00-00-00 2000  KG  22036125  G-C-Remark  G-Remark  </t>
    <phoneticPr fontId="4" type="noConversion"/>
  </si>
  <si>
    <t xml:space="preserve">000200495973  164H-111FC-BAG-00-00-00 2000  KG  22031018  G-C-Remark  G-Remark  </t>
    <phoneticPr fontId="4" type="noConversion"/>
  </si>
  <si>
    <t xml:space="preserve">0086435842  XCY620S-100-BAG-00-00-00 10000  KG  22025073  G-C-Remark  G-Remark  </t>
    <phoneticPr fontId="4" type="noConversion"/>
  </si>
  <si>
    <t xml:space="preserve">000200421444  LUX9130T-NAT-BAG-00-00-00 10000  KG  22036940  G-C-Remark  G-Remark  </t>
    <phoneticPr fontId="4" type="noConversion"/>
  </si>
  <si>
    <t xml:space="preserve">000200496049  FXD121R-WH6E008X-BAG-00-00-00 2000  KG  22036130  G-C-Remark  G-Remark  </t>
    <phoneticPr fontId="4" type="noConversion"/>
  </si>
  <si>
    <t xml:space="preserve">000200544627  BX7241-7A1D330-BAG-00-00-00 500  KG  22072651  G-C-Remark  G-Remark  </t>
    <phoneticPr fontId="4" type="noConversion"/>
  </si>
  <si>
    <t xml:space="preserve">000200549232  943-GY1B340-BAG-00-00-00 2000  KG  22029971  G-C-Remark  G-Remark  </t>
    <phoneticPr fontId="4" type="noConversion"/>
  </si>
  <si>
    <t xml:space="preserve">000200543608  945-7A1A2480 2000  KG  299902726  G-C-Remark  G-Remark  </t>
    <phoneticPr fontId="4" type="noConversion"/>
  </si>
  <si>
    <t xml:space="preserve">000200552671  HF1110R-7M1D104-BAG-00-00-00 1000  KG  22030472  G-C-Remark  G-Remark  </t>
    <phoneticPr fontId="4" type="noConversion"/>
  </si>
  <si>
    <t xml:space="preserve">000200553703  EXL9330-BK2E002-BAG-00-00-00 1000  KG  22036348  G-C-Remark  G-Remark  </t>
    <phoneticPr fontId="4" type="noConversion"/>
  </si>
  <si>
    <t xml:space="preserve">000200548672  C6200-7T1D306-BAG-00-00-00 10000  KG  22035116  G-C-Remark  G-Remark  </t>
    <phoneticPr fontId="4" type="noConversion"/>
  </si>
  <si>
    <t xml:space="preserve">000200550342  C6600-BR2E056-BAG-00-00-00 5000  KG  22035299  G-C-Remark  G-Remark  </t>
    <phoneticPr fontId="4" type="noConversion"/>
  </si>
  <si>
    <t xml:space="preserve">000200541759  C6600-GY2A547-BAG-00-00-00 1000  KG  22038939  G-C-Remark  G-Remark  </t>
    <phoneticPr fontId="4" type="noConversion"/>
  </si>
  <si>
    <t xml:space="preserve">000200554982  EXL1414T-7A1D194-BAG-00-00-00 1000  KG  22039730  G-C-Remark  G-Remark  </t>
    <phoneticPr fontId="4" type="noConversion"/>
  </si>
  <si>
    <t xml:space="preserve">000200532750  CX7241-7R1D180-BAG-00-00-00 2000  KG  22072855  G-C-Remark  G-Remark  </t>
    <phoneticPr fontId="4" type="noConversion"/>
  </si>
  <si>
    <t xml:space="preserve">000200479758  LG9000-BK1044-BAG-00-00-00 1000  KG  22018724  G-C-Remark  G-Remark  </t>
    <phoneticPr fontId="4" type="noConversion"/>
  </si>
  <si>
    <t xml:space="preserve">0095299977  C1200HF-76701-BAG-00-00-00 10000  KG  22028141  G-C-Remark  G-Remark  </t>
    <phoneticPr fontId="4" type="noConversion"/>
  </si>
  <si>
    <t xml:space="preserve">000200551356  EXL9134-7T2D205-BAG-00-00-00 2000  KG  22029393  G-C-Remark  G-Remark  </t>
    <phoneticPr fontId="4" type="noConversion"/>
  </si>
  <si>
    <t xml:space="preserve">000200537925  XCY620-BK1G372-BAG-00-00-00 3000  KG  22041153  G-C-Remark  G-Remark  </t>
    <phoneticPr fontId="4" type="noConversion"/>
  </si>
  <si>
    <t xml:space="preserve">000200529075  953-701-BAG-00-00-00 5000  KG  22019593  G-C-Remark  G-Remark  </t>
    <phoneticPr fontId="4" type="noConversion"/>
  </si>
  <si>
    <t xml:space="preserve">0093763724  DX11355-BKNAT-FBG-00-00-00 20000  KG  22082385  G-C-Remark  G-Remark  </t>
    <phoneticPr fontId="4" type="noConversion"/>
  </si>
  <si>
    <t xml:space="preserve">0095359437  EXL9330-BK1A233-BAG-00-00-00 20000  KG  22020017  G-C-Remark  G-Remark  </t>
    <phoneticPr fontId="4" type="noConversion"/>
  </si>
  <si>
    <t xml:space="preserve">0092846408  EXL9330P-BK1E649-BAG-00-00-00 20000  KG  22035991  G-C-Remark  G-Remark  </t>
    <phoneticPr fontId="4" type="noConversion"/>
  </si>
  <si>
    <t xml:space="preserve">000200547546  C4220-76701-BAG-00-00-00 5000  KG  22030087  G-C-Remark  G-Remark  </t>
    <phoneticPr fontId="4" type="noConversion"/>
  </si>
  <si>
    <t xml:space="preserve">0094678238  D551RC-701-SBG-00-00-00 20000  KG  22086246  G-C-Remark  G-Remark  </t>
    <phoneticPr fontId="4" type="noConversion"/>
  </si>
  <si>
    <t xml:space="preserve">0092477790  RCP36-BK1A862-SBG-00-00-00 2400  KG  22040918  G-C-Remark  G-Remark  </t>
    <phoneticPr fontId="4" type="noConversion"/>
  </si>
  <si>
    <t xml:space="preserve">0092477547  RFL36XXY-BK1A843-SBG-00-00-00 2400  KG  22029458  G-C-Remark  G-Remark  </t>
    <phoneticPr fontId="4" type="noConversion"/>
  </si>
  <si>
    <t xml:space="preserve">000200550412  DX10311-7B1D125-SBG-00-00-00 5000  KG  22029221  G-C-Remark  G-Remark  </t>
    <phoneticPr fontId="4" type="noConversion"/>
  </si>
  <si>
    <t xml:space="preserve">0095368791  DX11355-BKNAT-FBG-00-00-00 20000  KG  22082385  G-C-Remark  G-Remark  </t>
    <phoneticPr fontId="4" type="noConversion"/>
  </si>
  <si>
    <t xml:space="preserve">000200548730  WF006N-7A1A0666-SBG-00-00-00 1000  KG  22098412  G-C-Remark  G-Remark  </t>
    <phoneticPr fontId="4" type="noConversion"/>
  </si>
  <si>
    <t xml:space="preserve">0092477791  RCP36-BK1A862-SBG-00-00-00 2400  KG  22040918  G-C-Remark  G-Remark  </t>
    <phoneticPr fontId="4" type="noConversion"/>
  </si>
  <si>
    <t xml:space="preserve">000200546323  HFD4472-7N1D050-BAG-00-00-00 1100  KG  22036414  G-C-Remark  G-Remark  </t>
    <phoneticPr fontId="4" type="noConversion"/>
  </si>
  <si>
    <t xml:space="preserve">0094691478  DX11355-BKNAT-FBG-00-00-00 20000  KG  22082385  G-C-Remark  G-Remark  </t>
    <phoneticPr fontId="4" type="noConversion"/>
  </si>
  <si>
    <t xml:space="preserve">0092477792  RCP36-BK1A862-SBG-00-00-00 3200  KG  22040918  G-C-Remark  G-Remark  </t>
    <phoneticPr fontId="4" type="noConversion"/>
  </si>
  <si>
    <t xml:space="preserve">000200549206  NX07344-BK1E565-BAG-00-00-00 925  KG  22041265  G-C-Remark  G-Remark  </t>
    <phoneticPr fontId="4" type="noConversion"/>
  </si>
  <si>
    <t xml:space="preserve">000200541939  A3000-BK8115-BAG-00-00-00 1000  KG  22034318  G-C-Remark  G-Remark  </t>
    <phoneticPr fontId="4" type="noConversion"/>
  </si>
  <si>
    <t xml:space="preserve">000200554481  BPL1000-BK1C294-BAG-00-00-00 5000  KG  22038527  G-C-Remark  G-Remark  </t>
    <phoneticPr fontId="4" type="noConversion"/>
  </si>
  <si>
    <t xml:space="preserve">000200546646  AE0039-BK8115 315  KG  299905510  G-C-Remark  G-Remark  </t>
    <phoneticPr fontId="4" type="noConversion"/>
  </si>
  <si>
    <t xml:space="preserve">000200554522  C1200HF-GY1G005-BAG-00-00-00 6000  KG  22044899  G-C-Remark  G-Remark  </t>
    <phoneticPr fontId="4" type="noConversion"/>
  </si>
  <si>
    <t xml:space="preserve">000200546258  WF006N-4A8A3915 1000  KG  299904429  G-C-Remark  G-Remark  </t>
    <phoneticPr fontId="4" type="noConversion"/>
  </si>
  <si>
    <t xml:space="preserve">000200549055  MC5220-7001-BAG-00-00-00 2000  KG  22030554  G-C-Remark  G-Remark  </t>
    <phoneticPr fontId="4" type="noConversion"/>
  </si>
  <si>
    <t xml:space="preserve">000200548396  WF006N-4A6A3914 1000  KG  299904430  G-C-Remark  G-Remark  </t>
    <phoneticPr fontId="4" type="noConversion"/>
  </si>
  <si>
    <t xml:space="preserve">0094117105  DX11355-BKNAT-FBG-00-00-00 20000  KG  22082385  G-C-Remark  G-Remark  </t>
    <phoneticPr fontId="4" type="noConversion"/>
  </si>
  <si>
    <t xml:space="preserve">0094674079  DX11355-BKNAT-FBG-00-00-00 20000  KG  22082385  G-C-Remark  G-Remark  </t>
    <phoneticPr fontId="4" type="noConversion"/>
  </si>
  <si>
    <t xml:space="preserve">0085966981  RFP36-BK1A856-SBG-00-00-00 1000  KG  22040935  G-C-Remark  G-Remark  </t>
    <phoneticPr fontId="4" type="noConversion"/>
  </si>
  <si>
    <t xml:space="preserve">0094493586  UFL36AS-YWLTNAT-SBG-00-00-00 2000  KG  22037570  G-C-Remark  G-Remark  </t>
    <phoneticPr fontId="4" type="noConversion"/>
  </si>
  <si>
    <t xml:space="preserve">000200543491  915R-GY5G115-BAG-00-00-00 1000  KG  22038986  G-C-Remark  G-Remark  </t>
    <phoneticPr fontId="4" type="noConversion"/>
  </si>
  <si>
    <t xml:space="preserve">0086521991  UFL36S-BKNAT-SBG-00-00-00 1000  KG  22041363  G-C-Remark  G-Remark  </t>
    <phoneticPr fontId="4" type="noConversion"/>
  </si>
  <si>
    <t xml:space="preserve">0092134647  BPL1000-GY6E054-BAG-00-00-00 1000  KG  22038531  G-C-Remark  G-Remark  </t>
    <phoneticPr fontId="4" type="noConversion"/>
  </si>
  <si>
    <t xml:space="preserve">000200471705  LS1-701-BAG-00-00-00 10000  KG  22041018  G-C-Remark  G-Remark  </t>
    <phoneticPr fontId="4" type="noConversion"/>
  </si>
  <si>
    <t xml:space="preserve">000200516704  LS1-701-BAG-00-00-00 20000  KG  22041018  G-C-Remark  G-Remark  </t>
    <phoneticPr fontId="4" type="noConversion"/>
  </si>
  <si>
    <t xml:space="preserve">000200516577  LS1-701-BAG-00-00-00 20000  KG  22041018  G-C-Remark  G-Remark  </t>
    <phoneticPr fontId="4" type="noConversion"/>
  </si>
  <si>
    <t xml:space="preserve">000200516705  LS1-701-BAG-00-00-00 20000  KG  22041018  G-C-Remark  G-Remark  </t>
    <phoneticPr fontId="4" type="noConversion"/>
  </si>
  <si>
    <t xml:space="preserve">000200470442  LS1-701-BAG-00-00-00 10000  KG  22041018  G-C-Remark  G-Remark  </t>
    <phoneticPr fontId="4" type="noConversion"/>
  </si>
  <si>
    <t xml:space="preserve">000200516678  LS1-701-BAG-00-00-00 20000  KG  22041018  G-C-Remark  G-Remark  </t>
    <phoneticPr fontId="4" type="noConversion"/>
  </si>
  <si>
    <t xml:space="preserve">000200516636  LS1-701-BAG-00-00-00 20000  KG  22041018  G-C-Remark  G-Remark  </t>
    <phoneticPr fontId="4" type="noConversion"/>
  </si>
  <si>
    <t xml:space="preserve">0092302282  DX89406-BKNAT-BPK-00-00-00 10000  KG  22039467  G-C-Remark  G-Remark  </t>
    <phoneticPr fontId="4" type="noConversion"/>
  </si>
  <si>
    <t xml:space="preserve">0092302280  DX89406-BKNAT-BPK-00-00-00 10000  KG  22039467  G-C-Remark  G-Remark  </t>
    <phoneticPr fontId="4" type="noConversion"/>
  </si>
  <si>
    <t xml:space="preserve">0092302277  DX89406-BKNAT-BPK-00-00-00 10000  KG  22039467  G-C-Remark  G-Remark  </t>
    <phoneticPr fontId="4" type="noConversion"/>
  </si>
  <si>
    <t xml:space="preserve">0092302273  DX89406-BKNAT-BPK-00-00-00 10000  KG  22039467  G-C-Remark  G-Remark  </t>
    <phoneticPr fontId="4" type="noConversion"/>
  </si>
  <si>
    <t xml:space="preserve">0092302275  DX89406-BKNAT-BPK-00-00-00 10000  KG  22039467  G-C-Remark  G-Remark  </t>
    <phoneticPr fontId="4" type="noConversion"/>
  </si>
  <si>
    <t xml:space="preserve">000200551150  EXL1433T-NA8A005T-BAG-00-00-00 100  KG  22019987  G-C-Remark  G-Remark  </t>
    <phoneticPr fontId="4" type="noConversion"/>
  </si>
  <si>
    <t xml:space="preserve">000200548570  SLX2271T-NA9E166T-BAG-00-00-00 100  KG  22024947  G-C-Remark  G-Remark  </t>
    <phoneticPr fontId="4" type="noConversion"/>
  </si>
  <si>
    <t xml:space="preserve">000200552540  EXL1433T-NA8A005T-BAG-00-00-00 100  KG  22019987  G-C-Remark  G-Remark  </t>
    <phoneticPr fontId="4" type="noConversion"/>
  </si>
  <si>
    <t xml:space="preserve">000200548727  223R-BR2G132-BAG-00-00-00 500  KG  22044053  G-C-Remark  G-Remark  </t>
    <phoneticPr fontId="4" type="noConversion"/>
  </si>
  <si>
    <t xml:space="preserve">0091762082  ENH2900-WH6G038-BAG-00-00-00 25  KG  22040325  G-C-Remark  G-Remark  </t>
    <phoneticPr fontId="4" type="noConversion"/>
  </si>
  <si>
    <t xml:space="preserve">000200553741  945-WH5185-BAG-00-00-00 25  KG  22038419  G-C-Remark  G-Remark  </t>
    <phoneticPr fontId="4" type="noConversion"/>
  </si>
  <si>
    <t xml:space="preserve">000200544628  EXL9330-7T3D128-BAG-00-00-00 100  KG  22036326  G-C-Remark  G-Remark  </t>
    <phoneticPr fontId="4" type="noConversion"/>
  </si>
  <si>
    <t xml:space="preserve">000200534803  C2800-GY6B278-BAG-00-00-00 50  KG  22038683  G-C-Remark  G-Remark  </t>
    <phoneticPr fontId="4" type="noConversion"/>
  </si>
  <si>
    <t xml:space="preserve">000200547469  C2950HF-BK1D834-BAG-00-00-00 100  KG  22034639  G-C-Remark  G-Remark  </t>
    <phoneticPr fontId="4" type="noConversion"/>
  </si>
  <si>
    <t xml:space="preserve">000200553903  DX10311-701-SBG-00-00-00 40  KG  22035924  G-C-Remark  G-Remark  </t>
    <phoneticPr fontId="4" type="noConversion"/>
  </si>
  <si>
    <t xml:space="preserve">000200553832  DX10311-701-SBG-00-00-00 40  KG  22035924  G-C-Remark  G-Remark  </t>
    <phoneticPr fontId="4" type="noConversion"/>
  </si>
  <si>
    <t xml:space="preserve">000200551214  C6200-7T4D018-BAG-00-00-00 300  KG  22038790  G-C-Remark  G-Remark  </t>
    <phoneticPr fontId="4" type="noConversion"/>
  </si>
  <si>
    <t xml:space="preserve">000200550045  DFL22-BK8115-BAG-00-00-00 100  KG  22031886  G-C-Remark  G-Remark  </t>
    <phoneticPr fontId="4" type="noConversion"/>
  </si>
  <si>
    <t xml:space="preserve">000200552287  R2000-BK1A831-SBG-00-00-00 100  KG  22037395  G-C-Remark  G-Remark  </t>
    <phoneticPr fontId="4" type="noConversion"/>
  </si>
  <si>
    <t>000200522273  201R-111-BAG-00-00-00 20000  KG  22017278  G-C-Remark  G-Remark  PO-Remark</t>
  </si>
  <si>
    <t>000200534687  244RF-111FC-BAG-00-00-00 10300  KG  22028402  G-C-Remark  G-Remark  PO-Remark</t>
  </si>
  <si>
    <t>000200522272  201R-111-BAG-00-00-00 20000  KG  22017278  G-C-Remark  G-Remark  PO-Remark</t>
  </si>
  <si>
    <t>0093984326  945-8T9D231-BAG-00-00-00 20000  KG  22043924  G-C-Remark  G-Remark  PO-Remark</t>
  </si>
  <si>
    <t>000200552699  141-111-BAG-00-00-00 2000  KG  22027982  G-C-Remark  G-Remark  PO-Remark</t>
  </si>
  <si>
    <t>000200523474  HF1130-111-BAG-00-00-00 20000  KG  22023563  G-C-Remark  G-Remark  PO-Remark</t>
  </si>
  <si>
    <t>000200523475  HF1130-111-BAG-00-00-00 20000  KG  22023563  G-C-Remark  G-Remark  PO-Remark</t>
  </si>
  <si>
    <t>000200553466  123-111N-BAG-00-00-00 2000  KG  22038090  G-C-Remark  G-Remark  PO-Remark</t>
  </si>
  <si>
    <t>0093984327  945-8T9D231-BAG-00-00-00 20000  KG  22043924  G-C-Remark  G-Remark  PO-Remark</t>
  </si>
  <si>
    <t>000200546667  LUX9230T-11204-BAG-00-00-00 20000  KG  22036941  G-C-Remark  G-Remark  PO-Remark</t>
  </si>
  <si>
    <t>0093984328  945-8T9D231-BAG-00-00-00 20000  KG  22043924  G-C-Remark  G-Remark  PO-Remark</t>
  </si>
  <si>
    <t>000200465970  124R-111FC-BAG-00-00-00 20000  KG  22021312  G-C-Remark  G-Remark  PO-Remark</t>
  </si>
  <si>
    <t>000200553623  CY6012-7M8D042-BAG-00-00-00 10000  KG  22045378  G-C-Remark  G-Remark  PO-Remark</t>
  </si>
  <si>
    <t>000200548511  CX7240U-7T7D246-BAG-00-00-00 10000  KG  22032098  G-C-Remark  G-Remark  PO-Remark</t>
  </si>
  <si>
    <t>000200546484  LUX2289-WH9G012-BAG-00-00-00 2000  KG  22023833  G-C-Remark  G-Remark  PO-Remark</t>
  </si>
  <si>
    <t>000200546406  CX7240-2M2D027-BAG-00-00-00 5000  KG  22065061  G-C-Remark  G-Remark  PO-Remark</t>
  </si>
  <si>
    <t>000200533826  C6600-8M9D029-BAG-00-00-00 5000  KG  22022574  G-C-Remark  G-Remark  PO-Remark</t>
  </si>
  <si>
    <t>000200498154  LUX2289-WH9G012-BAG-00-00-00 10000  KG  22023833  G-C-Remark  G-Remark  PO-Remark</t>
  </si>
  <si>
    <t>000200548772  CY6025-WH8G710-BAG-00-00-00 10000  KG  22030264  G-C-Remark  G-Remark  PO-Remark</t>
  </si>
  <si>
    <t>000200549508  XHT2141-GY8D046-BAG-00-00-00 5000  KG  22025085  G-C-Remark  G-Remark  PO-Remark</t>
  </si>
  <si>
    <t>000200520048  CX7240-8T7D033-BAG-00-00-00 10000  KG  22030084  G-C-Remark  G-Remark  PO-Remark</t>
  </si>
  <si>
    <t>000200498129  LUX2289-WH9G012-BAG-00-00-00 10000  KG  22023833  G-C-Remark  G-Remark  PO-Remark</t>
  </si>
  <si>
    <t>000200549473  XHT4141-GY8D046-BAG-00-00-00 8000  KG  22021049  G-C-Remark  G-Remark  PO-Remark</t>
  </si>
  <si>
    <t>000200548434  C2950-8T8D247-BAG-00-00-00 10000  KG  22046215  G-C-Remark  G-Remark  PO-Remark</t>
  </si>
  <si>
    <t>000200498132  LUX2289-WH9G012-BAG-00-00-00 10000  KG  22023833  G-C-Remark  G-Remark  PO-Remark</t>
  </si>
  <si>
    <t>000200498114  LUX2289-WH9G012-BAG-00-00-00 10000  KG  22023833  G-C-Remark  G-Remark  PO-Remark</t>
  </si>
  <si>
    <t>000200544340  EXL9330-5T7D005-BAG-00-00-00 5000  KG  22029397  G-C-Remark  G-Remark  PO-Remark</t>
  </si>
  <si>
    <t>000200551140  C6600-8M9D029-BAG-00-00-00 5000  KG  22022574  G-C-Remark  G-Remark  PO-Remark</t>
  </si>
  <si>
    <t>000200548773  CY6025-WH8G710-BAG-00-00-00 10000  KG  22030264  G-C-Remark  G-Remark  PO-Remark</t>
  </si>
  <si>
    <t>0086435844  XCY620S-100-BAG-00-00-00 22000  KG  22025073  G-C-Remark  G-Remark  PO-Remark</t>
  </si>
  <si>
    <t>0086435845  XCY620S-100-BAG-00-00-00 10000  KG  22025073  G-C-Remark  G-Remark  PO-Remark</t>
  </si>
  <si>
    <t>000200549509  XHT4141-GY8D046-BAG-00-00-00 8000  KG  22021049  G-C-Remark  G-Remark  PO-Remark</t>
  </si>
  <si>
    <t>000200498133  LUX2289-WH9G012-BAG-00-00-00 10000  KG  22023833  G-C-Remark  G-Remark  PO-Remark</t>
  </si>
  <si>
    <t>000200548369  C2950-GY8E432-BAG-00-00-00 5000  KG  22029950  G-C-Remark  G-Remark  PO-Remark</t>
  </si>
  <si>
    <t>000200548380  C2950-WH8G018-BAG-00-00-00 5000  KG  22031555  G-C-Remark  G-Remark  PO-Remark</t>
  </si>
  <si>
    <t>000200304498  C2950-WH8G018-BAG-00-00-00 5000  KG  22031555  G-C-Remark  G-Remark  PO-Remark</t>
  </si>
  <si>
    <t>000200542091  XTPMFR10-BK1G005-BAG-00-00-00 3000  KG  22044494  G-C-Remark  G-Remark  PO-Remark</t>
  </si>
  <si>
    <t>000200498168  XHT2141-GY5G190-BAG-00-00-00 10000  KG  22041167  G-C-Remark  G-Remark  PO-Remark</t>
  </si>
  <si>
    <t>000200543722  C6600-BR2E056-BAG-00-00-00 3000  KG  22035299  G-C-Remark  G-Remark  PO-Remark</t>
  </si>
  <si>
    <t>000200498059  LUX2289-WH9G012-BAG-00-00-00 10000  KG  22023833  G-C-Remark  G-Remark  PO-Remark</t>
  </si>
  <si>
    <t>000200550097  C2950-YW8001S-BAG-00-00-00 20000  KG  22039533  G-C-Remark  G-Remark  PO-Remark</t>
  </si>
  <si>
    <t>000200549284  C2950-GY8E438-BAG-00-00-00 2000  KG  22039523  G-C-Remark  G-Remark  PO-Remark</t>
  </si>
  <si>
    <t>000200510569  123R-GY2G204-BBG-00-00-00 10000  KG  22098752  G-C-Remark  G-Remark  PO-Remark</t>
  </si>
  <si>
    <t>000200550000  CX7240-7T1A0602 5325  KG  299900516  G-C-Remark  G-Remark  PO-Remark</t>
  </si>
  <si>
    <t>000200543497  C1200HF-701-SSS-00-00-00 20000  KG  22039382  G-C-Remark  G-Remark  PO-Remark</t>
  </si>
  <si>
    <t>0082933313  XCY620S-100-BAG-00-00-00 20000  KG  22025073  G-C-Remark  G-Remark  PO-Remark</t>
  </si>
  <si>
    <t>000200539064  ML6411-7T4D041L-BAG-00-00-00 10000  KG  22036797  G-C-Remark  G-Remark  PO-Remark</t>
  </si>
  <si>
    <t>000200548470  950-BK1334 5000  KG  299900857  G-C-Remark  G-Remark  PO-Remark</t>
  </si>
  <si>
    <t>000200545170  C2950-GY8E438-BAG-00-00-00 5000  KG  22039523  G-C-Remark  G-Remark  PO-Remark</t>
  </si>
  <si>
    <t>0090053025  XCY620S-100-BAG-00-00-00 10000  KG  22025073  G-C-Remark  G-Remark  PO-Remark</t>
  </si>
  <si>
    <t>000200536212  EXL9330-7T1D102-BAG-00-00-00 5000  KG  22036321  G-C-Remark  G-Remark  PO-Remark</t>
  </si>
  <si>
    <t>0092846407  EXL9330P-BK1E649-BAG-00-00-00 20000  KG  22035991  G-C-Remark  G-Remark  PO-Remark</t>
  </si>
  <si>
    <t>0095369668  SLX2271T-BK1G296-BAG-00-00-00 20000  KG  22020921  G-C-Remark  G-Remark  PO-Remark</t>
  </si>
  <si>
    <t>0095369669  SLX2271T-BK1G296-BAG-00-00-00 20000  KG  22020921  G-C-Remark  G-Remark  PO-Remark</t>
  </si>
  <si>
    <t>0095369670  SLX2271T-BK1G296-BAG-00-00-00 20000  KG  22020921  G-C-Remark  G-Remark  PO-Remark</t>
  </si>
  <si>
    <t>000200537041  C6600-GY2A547-BAG-00-00-00 1000  KG  22038939  G-C-Remark  G-Remark  PO-Remark</t>
  </si>
  <si>
    <t>000200537058  C2950HF-GY1291-BAG-00-00-00 1000  KG  22031568  G-C-Remark  G-Remark  PO-Remark</t>
  </si>
  <si>
    <t>000200537129  C2950HF-GY1291-BAG-00-00-00 1000  KG  22031568  G-C-Remark  G-Remark  PO-Remark</t>
  </si>
  <si>
    <t>000200548339  C2950HF-7T2D326-BAG-00-00-00 500  KG  22085309  G-C-Remark  G-Remark  PO-Remark</t>
  </si>
  <si>
    <t>000200537147  C2950HF-GY1291-BAG-00-00-00 1000  KG  22031568  G-C-Remark  G-Remark  PO-Remark</t>
  </si>
  <si>
    <t>000200554759  CX7240U-7M1D051-BAG-00-00-00 1000  KG  22022738  G-C-Remark  G-Remark  PO-Remark</t>
  </si>
  <si>
    <t>000200552334  EXL1414T-GY2G184T-BAG-00-00-00 500  KG  22036207  G-C-Remark  G-Remark  PO-Remark</t>
  </si>
  <si>
    <t>000200549100  223R-RD8G025-BAG-00-00-00 500  KG  22037765  G-C-Remark  G-Remark  PO-Remark</t>
  </si>
  <si>
    <t>000200524763  CX7240-7T5D172-BAG-00-00-00 1000  KG  22085534  G-C-Remark  G-Remark  PO-Remark</t>
  </si>
  <si>
    <t>000200554547  945U-701-BAG-00-00-00 1000  KG  22022075  G-C-Remark  G-Remark  PO-Remark</t>
  </si>
  <si>
    <t>000200513088  C2800-701-BAG-00-00-00 1000  KG  22017334  G-C-Remark  G-Remark  PO-Remark</t>
  </si>
  <si>
    <t>000200553320  LG9000-100-BAG-00-00-00 1000  KG  22023994  G-C-Remark  G-Remark  PO-Remark</t>
  </si>
  <si>
    <t>000200537813  XCY620-GY7G608-BAG-00-00-00 1000  KG  22045866  G-C-Remark  G-Remark  PO-Remark</t>
  </si>
  <si>
    <t>000200546332  CY6012-6M4D043-BAG-00-00-00 5000  KG  22066416  G-C-Remark  G-Remark  PO-Remark</t>
  </si>
  <si>
    <t>000200541157  C1100HF-701-BAG-00-00-00 5000  KG  22039357  G-C-Remark  G-Remark  PO-Remark</t>
  </si>
  <si>
    <t>000200540749  C1200HF-GY1D473-BAG-00-00-00 3000  KG  22039416  G-C-Remark  G-Remark  PO-Remark</t>
  </si>
  <si>
    <t>000200530237  C1200HF-BK2G024-BAG-00-00-00 20000  KG  22034874  G-C-Remark  G-Remark  PO-Remark</t>
  </si>
  <si>
    <t>000200494126  C1100HF-701-BAG-00-00-00 10000  KG  22039357  G-C-Remark  G-Remark  PO-Remark</t>
  </si>
  <si>
    <t>000200536187  C1200HF-BK2G024-BAG-00-00-00 20000  KG  22034874  G-C-Remark  G-Remark  PO-Remark</t>
  </si>
  <si>
    <t>000200470140  C1200HF-BK2E082-BAG-00-00-00 5000  KG  22019663  G-C-Remark  G-Remark  PO-Remark</t>
  </si>
  <si>
    <t>000200545169  C2950-GY8E432-BAG-00-00-00 5000  KG  22029950  G-C-Remark  G-Remark  PO-Remark</t>
  </si>
  <si>
    <t>000200543766  C1200HF-7001-BAG-00-00-00 10000  KG  22034851  G-C-Remark  G-Remark  PO-Remark</t>
  </si>
  <si>
    <t>000200466005  124R-111FC-BAG-00-00-00 20000  KG  22021312  G-C-Remark  G-Remark  PO-Remark</t>
  </si>
  <si>
    <t>0094020252  SLX2271T-BK1G296-BAG-00-00-00 20000  KG  22020921  G-C-Remark  G-Remark  PO-Remark</t>
  </si>
  <si>
    <t>0094727003  C2950-701-BAG-00-00-00 20000  KG  22022271  G-C-Remark  G-Remark  PO-Remark</t>
  </si>
  <si>
    <t>0081871816  XCY620-BK1005-BAG-00-00-00 20000  KG  22025061  G-C-Remark  G-Remark  PO-Remark</t>
  </si>
  <si>
    <t>000200503072  C6600-8B8D004-BAG-00-00-00 6000  KG  22035246  G-C-Remark  G-Remark  PO-Remark</t>
  </si>
  <si>
    <t>000200542985  C6600-GY6D379-BAG-00-00-00 6000  KG  22034902  G-C-Remark  G-Remark  PO-Remark</t>
  </si>
  <si>
    <t>000200497039  C1200HF-BK1G484U-BBG-00-00-00 20000  KG  22031613  G-C-Remark  G-Remark  PO-Remark</t>
  </si>
  <si>
    <t>0094020253  SLX2271T-BK1G296-BAG-00-00-00 20000  KG  22020921  G-C-Remark  G-Remark  PO-Remark</t>
  </si>
  <si>
    <t>000200494096  C1100HF-701-BAG-00-00-00 10000  KG  22039357  G-C-Remark  G-Remark  PO-Remark</t>
  </si>
  <si>
    <t>0094691987  SLX2271T-BK1G296-BAG-00-00-00 20000  KG  22020921  G-C-Remark  G-Remark  PO-Remark</t>
  </si>
  <si>
    <t>0094676108  C1200HF-701-BAG-00-00-00 20000  KG  22022222  G-C-Remark  G-Remark  PO-Remark</t>
  </si>
  <si>
    <t>0094676109  C1200HF-701-BAG-00-00-00 20000  KG  22022222  G-C-Remark  G-Remark  PO-Remark</t>
  </si>
  <si>
    <t>0094676110  C1200HF-701-BAG-00-00-00 20000  KG  22022222  G-C-Remark  G-Remark  PO-Remark</t>
  </si>
  <si>
    <t>000200494097  C1100HF-701-BAG-00-00-00 10000  KG  22039357  G-C-Remark  G-Remark  PO-Remark</t>
  </si>
  <si>
    <t>000200497040  C1200HF-BK1G484U-BBG-00-00-00 20000  KG  22031613  G-C-Remark  G-Remark  PO-Remark</t>
  </si>
  <si>
    <t>000200494078  C1100HF-701-BAG-00-00-00 10000  KG  22039357  G-C-Remark  G-Remark  PO-Remark</t>
  </si>
  <si>
    <t>0094679206  C1200HF-100-BAG-00-00-00 20000  KG  22019660  G-C-Remark  G-Remark  PO-Remark</t>
  </si>
  <si>
    <t>000200549141  943-RD5G044-BAG-00-00-00 1000  KG  22029974  G-C-Remark  G-Remark  PO-Remark</t>
  </si>
  <si>
    <t>000200549104  LS2-414-BAG-00-00-00 3000  KG  22018729  G-C-Remark  G-Remark  PO-Remark</t>
  </si>
  <si>
    <t>000200535984  HF1130R-BK1A184T-BAG-00-00-00 1000  KG  22046457  G-C-Remark  G-Remark  PO-Remark</t>
  </si>
  <si>
    <t>000200533869  LS2-414-BAG-00-00-00 5000  KG  22018729  G-C-Remark  G-Remark  PO-Remark</t>
  </si>
  <si>
    <t>0095368188  SLX2271T-BK1E540-BAG-00-00-00 10000  KG  22018960  G-C-Remark  G-Remark  PO-Remark</t>
  </si>
  <si>
    <t>000200535943  C6200-BL11040-BAG-00-00-00 1000  KG  22067402  G-C-Remark  G-Remark  PO-Remark</t>
  </si>
  <si>
    <t>000200548667  241R-OR8B007-BAG-00-00-00 2000  KG  22038456  G-C-Remark  G-Remark  PO-Remark</t>
  </si>
  <si>
    <t>000200541599  121R-21092-BAG-00-00-00 1000  KG  22028394  G-C-Remark  G-Remark  PO-Remark</t>
  </si>
  <si>
    <t>000200550432  ML6411-96536-BAG-00-00-00 2000  KG  22030573  G-C-Remark  G-Remark  PO-Remark</t>
  </si>
  <si>
    <t>000200537688  SLX2471T-RD1H002-BAG-00-00-00 10000  KG  22093031  G-C-Remark  G-Remark  PO-Remark</t>
  </si>
  <si>
    <t>0092466148  EXL9112-BK1A068-BAG-00-00-00 1000  KG  22035891  G-C-Remark  G-Remark  PO-Remark</t>
  </si>
  <si>
    <t>000200480859  121R-VT6A015T-BAG-00-00-00 1000  KG  22033298  G-C-Remark  G-Remark  PO-Remark</t>
  </si>
  <si>
    <t>000200549052  EXL9330-8T7D131-BAG-00-00-00 800  KG  22083954  G-C-Remark  G-Remark  PO-Remark</t>
  </si>
  <si>
    <t>000200539650  221R-WH8D107-BAG-00-00-00 5000  KG  22019258  G-C-Remark  G-Remark  PO-Remark</t>
  </si>
  <si>
    <t>000200550025  EXL9330-8T7D101 1500  KG  299902015  G-C-Remark  G-Remark  PO-Remark</t>
  </si>
  <si>
    <t>000200513876  123R-WH6D257-BAG-00-00-00 2100  KG  22033097  G-C-Remark  G-Remark  PO-Remark</t>
  </si>
  <si>
    <t>000200538637  C1200HF-96622-BAG-00-00-00 4000  KG  22034863  G-C-Remark  G-Remark  PO-Remark</t>
  </si>
  <si>
    <t>000200498192  C6600-GY7C059-BAG-00-00-00 2000  KG  22029291  G-C-Remark  G-Remark  PO-Remark</t>
  </si>
  <si>
    <t>000200526321  EXL9330-WH6E276-BAG-00-00-00 2000  KG  22039934  G-C-Remark  G-Remark  PO-Remark</t>
  </si>
  <si>
    <t>000200549057  BFL4000U-WH3150-BAG-00-00-00 1000  KG  22017663  G-C-Remark  G-Remark  PO-Remark</t>
  </si>
  <si>
    <t>000200538817  C6200-GY7C059-BAG-00-00-00 2000  KG  22022537  G-C-Remark  G-Remark  PO-Remark</t>
  </si>
  <si>
    <t>000200516576  RFL36S-BK1A842-SBG-00-00-00 5000  KG  22028388  G-C-Remark  G-Remark  PO-Remark</t>
  </si>
  <si>
    <t>000200504557  RB008-NC-FBG-00-00-00 2000  KG  22018899  G-C-Remark  G-Remark  PO-Remark</t>
  </si>
  <si>
    <t>000200503093  500R-GY3G080-BAG-00-00-00 2000  KG  22038734  G-C-Remark  G-Remark  PO-Remark</t>
  </si>
  <si>
    <t>0094716356  UFL36S-BKNAT-SBG-00-00-00 1000  KG  22041363  G-C-Remark  G-Remark  PO-Remark</t>
  </si>
  <si>
    <t>000200548537  RL004-GYMDNAT-SBG-00-00-00 6000  KG  22037043  G-C-Remark  G-Remark  PO-Remark</t>
  </si>
  <si>
    <t>000200528588  RL004-GYMDNAT-SBG-00-00-00 2000  KG  22037043  G-C-Remark  G-Remark  PO-Remark</t>
  </si>
  <si>
    <t>000200554800  RFL36-BK1B602-SBG-00-00-00 1000  KG  22029457  G-C-Remark  G-Remark  PO-Remark</t>
  </si>
  <si>
    <t>000200546344  RFL36-BK1B602-SBG-00-00-00 3000  KG  22029457  G-C-Remark  G-Remark  PO-Remark</t>
  </si>
  <si>
    <t>000200497136  R2000-GYMDNAT-SBG-00-00-00 2000  KG  22041327  G-C-Remark  G-Remark  PO-Remark</t>
  </si>
  <si>
    <t>000200554584  D351-701-SBG-00-00-00 500  KG  22032147  G-C-Remark  G-Remark  PO-Remark</t>
  </si>
  <si>
    <t>000200552313  RB008-NC-FBG-00-00-00 4500  KG  22018899  G-C-Remark  G-Remark  PO-Remark</t>
  </si>
  <si>
    <t>000200549387  500-131-BAG-00-00-00 2000  KG  22021688  G-C-Remark  G-Remark  PO-Remark</t>
  </si>
  <si>
    <t>000200552399  RB008-NC-FBG-00-00-00 2000  KG  22018899  G-C-Remark  G-Remark  PO-Remark</t>
  </si>
  <si>
    <t>000200508439  RFL36-BK1B602-SBG-00-00-00 2000  KG  22029457  G-C-Remark  G-Remark  PO-Remark</t>
  </si>
  <si>
    <t>000200542705  MFB82I-BK1B459-BAG-00-00-00 2500  KG  22036698  G-C-Remark  G-Remark  PO-Remark</t>
  </si>
  <si>
    <t>000200540978  NX07344-BK1E257-BAG-00-00-00 300  KG  22036891  G-C-Remark  G-Remark  PO-Remark</t>
  </si>
  <si>
    <t>000200551407  DD0009PC-BKNAT-BAG-00-00-00 1000  KG  22035801  G-C-Remark  G-Remark  PO-Remark</t>
  </si>
  <si>
    <t>0092464768  DE0029E-GY3A643-SBG-00-00-00 300  KG  22031872  G-C-Remark  G-Remark  PO-Remark</t>
  </si>
  <si>
    <t>0094494896  945-701-BAG-00-00-00 20000  KG  22019581  G-C-Remark  G-Remark  PO-Remark</t>
  </si>
  <si>
    <t>0092466155  DX89406-BKNAT-BPK-00-00-00 10000  KG  22039467  G-C-Remark  G-Remark  PO-Remark</t>
  </si>
  <si>
    <t>0092466156  DX89406-BKNAT-BPK-00-00-00 10000  KG  22039467  G-C-Remark  G-Remark  PO-Remark</t>
  </si>
  <si>
    <t>0092466157  DX89406-BKNAT-BPK-00-00-00 10000  KG  22039467  G-C-Remark  G-Remark  PO-Remark</t>
  </si>
  <si>
    <t>0092466158  DX89406-BKNAT-BPK-00-00-00 10000  KG  22039467  G-C-Remark  G-Remark  PO-Remark</t>
  </si>
  <si>
    <t>0092466159  DX89406-BKNAT-BPK-00-00-00 10000  KG  22039467  G-C-Remark  G-Remark  PO-Remark</t>
  </si>
  <si>
    <t>0092466160  DX89406-BKNAT-BPK-00-00-00 10000  KG  22039467  G-C-Remark  G-Remark  PO-Remark</t>
  </si>
  <si>
    <t>0092466161  DX89406-BKNAT-BPK-00-00-00 10000  KG  22039467  G-C-Remark  G-Remark  PO-Remark</t>
  </si>
  <si>
    <t>0092466162  DX89406-BKNAT-BPK-00-00-00 10000  KG  22039467  G-C-Remark  G-Remark  PO-Remark</t>
  </si>
  <si>
    <t>0092466163  DX89406-BKNAT-BPK-00-00-00 10000  KG  22039467  G-C-Remark  G-Remark  PO-Remark</t>
  </si>
  <si>
    <t>0092466164  DX89406-BKNAT-BPK-00-00-00 10000  KG  22039467  G-C-Remark  G-Remark  PO-Remark</t>
  </si>
  <si>
    <t>000200491976  DX11328-NC-BPK-00-00-00 15000  KG  22035937  G-C-Remark  G-Remark  PO-Remark</t>
  </si>
  <si>
    <t>0092302303  DX89406-BKNAT-BPK-00-00-00 10000  KG  22039467  G-C-Remark  G-Remark  PO-Remark</t>
  </si>
  <si>
    <t>0092302304  DX89406-BKNAT-BPK-00-00-00 10000  KG  22039467  G-C-Remark  G-Remark  PO-Remark</t>
  </si>
  <si>
    <t>0094765394  945-701-BAG-00-00-00 20000  KG  22019581  G-C-Remark  G-Remark  PO-Remark</t>
  </si>
  <si>
    <t>000200544598  141R-701-BAG-00-00-00 5000  KG  22021359  G-C-Remark  G-Remark  PO-Remark</t>
  </si>
  <si>
    <t>0092466165  DX89406-BKNAT-BPK-00-00-00 10000  KG  22039467  G-C-Remark  G-Remark  PO-Remark</t>
  </si>
  <si>
    <t>0092302301  DX89406-BKNAT-BPK-00-00-00 10000  KG  22039467  G-C-Remark  G-Remark  PO-Remark</t>
  </si>
  <si>
    <t>0092302302  DX89406-BKNAT-BPK-00-00-00 10000  KG  22039467  G-C-Remark  G-Remark  PO-Remark</t>
  </si>
  <si>
    <t>0092302298  DX89406-BKNAT-BPK-00-00-00 10000  KG  22039467  G-C-Remark  G-Remark  PO-Remark</t>
  </si>
  <si>
    <t>0092302299  DX89406-BKNAT-BPK-00-00-00 10000  KG  22039467  G-C-Remark  G-Remark  PO-Remark</t>
  </si>
  <si>
    <t>0092302300  DX89406-BKNAT-BPK-00-00-00 10000  KG  22039467  G-C-Remark  G-Remark  PO-Remark</t>
  </si>
  <si>
    <t>0092302296  DX89406-BKNAT-BPK-00-00-00 10000  KG  22039467  G-C-Remark  G-Remark  PO-Remark</t>
  </si>
  <si>
    <t>0092302297  DX89406-BKNAT-BPK-00-00-00 10000  KG  22039467  G-C-Remark  G-Remark  PO-Remark</t>
  </si>
  <si>
    <t>000200491997  DX11328-NC-BPK-00-00-00 15000  KG  22035937  G-C-Remark  G-Remark  PO-Remark</t>
  </si>
  <si>
    <t>0092302295  DX89406-BKNAT-BPK-00-00-00 10000  KG  22039467  G-C-Remark  G-Remark  PO-Remark</t>
  </si>
  <si>
    <t>000200545549  3412R-131-BAG-00-00-00 5100  KG  22021728  G-C-Remark  G-Remark  PO-Remark</t>
  </si>
  <si>
    <t>000200502901  3412ECR-WH8E395-BAG-00-00-00 5000  KG  22037868  G-C-Remark  G-Remark  PO-Remark</t>
  </si>
  <si>
    <t>000200546328  420SE0J-7001-BAG-00-00-00 10000  KG  22031201  G-C-Remark  G-Remark  PO-Remark</t>
  </si>
  <si>
    <t>000200539068  HFD4472-7N1D050-BAG-00-00-00 4500  KG  22036414  G-C-Remark  G-Remark  PO-Remark</t>
  </si>
  <si>
    <t>0095348707  3412ECR-739-BAG-00-00-00 20000  KG  22017144  G-C-Remark  G-Remark  PO-Remark</t>
  </si>
  <si>
    <t>000200550103  925U-BK1B205-BAG-00-00-00 2000  KG  22034107  G-C-Remark  G-Remark  PO-Remark</t>
  </si>
  <si>
    <t>0093290781  ML9696-701-SSS-00-00-00 20000  KG  22036814  G-C-Remark  G-Remark  PO-Remark</t>
  </si>
  <si>
    <t>000200497208  XCM830-76701-BAG-00-00-00 10000  KG  22033024  G-C-Remark  G-Remark  PO-Remark</t>
  </si>
  <si>
    <t>0082957930  XCY620S-76701-BAG-00-00-00 20000  KG  22037308  G-C-Remark  G-Remark  PO-Remark</t>
  </si>
  <si>
    <t>0082962854  XCY620S-76701-BAG-00-00-00 20000  KG  22037308  G-C-Remark  G-Remark  PO-Remark</t>
  </si>
  <si>
    <t>000200546324  HFD4472-7N1D050-BAG-00-00-00 5000  KG  22036414  G-C-Remark  G-Remark  PO-Remark</t>
  </si>
  <si>
    <t>000200553500  923-BK1261-BAG-00-00-00 20000  KG  22038237  G-C-Remark  G-Remark  PO-Remark</t>
  </si>
  <si>
    <t>0085806441  XCY620S-76701-BAG-00-00-00 20000  KG  22037308  G-C-Remark  G-Remark  PO-Remark</t>
  </si>
  <si>
    <t>0082962837  XCY620S-76701-BAG-00-00-00 20000  KG  22037308  G-C-Remark  G-Remark  PO-Remark</t>
  </si>
  <si>
    <t>0082962838  XCY620S-76701-BAG-00-00-00 20000  KG  22037308  G-C-Remark  G-Remark  PO-Remark</t>
  </si>
  <si>
    <t>0082962870  XCY620S-76701-BAG-00-00-00 20000  KG  22037308  G-C-Remark  G-Remark  PO-Remark</t>
  </si>
  <si>
    <t>000200497262  XCM830-76701-BAG-00-00-00 10000  KG  22033024  G-C-Remark  G-Remark  PO-Remark</t>
  </si>
  <si>
    <t>000200553562  923-BK1261-BAG-00-00-00 20000  KG  22038237  G-C-Remark  G-Remark  PO-Remark</t>
  </si>
  <si>
    <t>000200508722  CP8320-76701-BAG-00-00-00 10000  KG  22056197  G-C-Remark  G-Remark  PO-Remark</t>
  </si>
  <si>
    <t>000200497209  XCM830-76701-BAG-00-00-00 10000  KG  22033024  G-C-Remark  G-Remark  PO-Remark</t>
  </si>
  <si>
    <t>0086447231  XCY620-BK1005-BAG-00-00-00 10000  KG  22025061  G-C-Remark  G-Remark  PO-Remark</t>
  </si>
  <si>
    <t>0071618759  XCY620S-76701-BAG-00-00-00 20000  KG  22037308  G-C-Remark  G-Remark  PO-Remark</t>
  </si>
  <si>
    <t>0075314818  XCY620S-76701-BAG-00-00-00 20000  KG  22037308  G-C-Remark  G-Remark  PO-Remark</t>
  </si>
  <si>
    <t>0071618758  XCY620S-76701-BAG-00-00-00 20000  KG  22037308  G-C-Remark  G-Remark  PO-Remark</t>
  </si>
  <si>
    <t>0082962864  XCY620S-76701-BAG-00-00-00 20000  KG  22037308  G-C-Remark  G-Remark  PO-Remark</t>
  </si>
  <si>
    <t>0082962875  XCY620S-76701-BAG-00-00-00 20000  KG  22037308  G-C-Remark  G-Remark  PO-Remark</t>
  </si>
  <si>
    <t>0082962848  XCY620S-76701-BAG-00-00-00 20000  KG  22037308  G-C-Remark  G-Remark  PO-Remark</t>
  </si>
  <si>
    <t>0082962849  XCY620S-76701-BAG-00-00-00 20000  KG  22037308  G-C-Remark  G-Remark  PO-Remark</t>
  </si>
  <si>
    <t>0082962859  XCY620S-76701-BAG-00-00-00 20000  KG  22037308  G-C-Remark  G-Remark  PO-Remark</t>
  </si>
  <si>
    <t>000200537177  945-7T2D216-BAG-00-00-00 7000  KG  22029986  G-C-Remark  G-Remark  PO-Remark</t>
  </si>
  <si>
    <t>0082962853  XCY620S-76701-BAG-00-00-00 20000  KG  22037308  G-C-Remark  G-Remark  PO-Remark</t>
  </si>
  <si>
    <t>0082962852  XCY620S-76701-BAG-00-00-00 20000  KG  22037308  G-C-Remark  G-Remark  PO-Remark</t>
  </si>
  <si>
    <t>0082962851  XCY620S-76701-BAG-00-00-00 20000  KG  22037308  G-C-Remark  G-Remark  PO-Remark</t>
  </si>
  <si>
    <t>0082962850  XCY620S-76701-BAG-00-00-00 20000  KG  22037308  G-C-Remark  G-Remark  PO-Remark</t>
  </si>
  <si>
    <t>0071618761  XCY620S-76701-BAG-00-00-00 20000  KG  22037308  G-C-Remark  G-Remark  PO-Remark</t>
  </si>
  <si>
    <t>0082957941  XCY620S-76701-BAG-00-00-00 20000  KG  22037308  G-C-Remark  G-Remark  PO-Remark</t>
  </si>
  <si>
    <t>0082957942  XCY620S-76701-BAG-00-00-00 20000  KG  22037308  G-C-Remark  G-Remark  PO-Remark</t>
  </si>
  <si>
    <t>0090054452  XCY620-BK1005-BAG-00-00-00 20000  KG  22025061  G-C-Remark  G-Remark  PO-Remark</t>
  </si>
  <si>
    <t>000200537202  945-7T2D216-BAG-00-00-00 5000  KG  22029986  G-C-Remark  G-Remark  PO-Remark</t>
  </si>
  <si>
    <t>0082962876  XCY620S-76701-BAG-00-00-00 20000  KG  22037308  G-C-Remark  G-Remark  PO-Remark</t>
  </si>
  <si>
    <t>0082962877  XCY620S-76701-BAG-00-00-00 20000  KG  22037308  G-C-Remark  G-Remark  PO-Remark</t>
  </si>
  <si>
    <t>0082962878  XCY620S-76701-BAG-00-00-00 20000  KG  22037308  G-C-Remark  G-Remark  PO-Remark</t>
  </si>
  <si>
    <t>0082962879  XCY620S-76701-BAG-00-00-00 20000  KG  22037308  G-C-Remark  G-Remark  PO-Remark</t>
  </si>
  <si>
    <t>000200537264  945-7T2D216-BAG-00-00-00 8000  KG  22029986  G-C-Remark  G-Remark  PO-Remark</t>
  </si>
  <si>
    <t>0082962880  XCY620S-76701-BAG-00-00-00 20000  KG  22037308  G-C-Remark  G-Remark  PO-Remark</t>
  </si>
  <si>
    <t>0093290248  357TF-1001-SSS-00-00-00 20000  KG  22088360  G-C-Remark  G-Remark  PO-Remark</t>
  </si>
  <si>
    <t>000200527627  945-7T9A0590-BAG-00-00-00 10000  KG  22098535  G-C-Remark  G-Remark  PO-Remark</t>
  </si>
  <si>
    <t>000200497370  945U-NC-BAG-00-00-00 10197  KG  22039271  G-C-Remark  G-Remark  PO-Remark</t>
  </si>
  <si>
    <t>000200446072  945-8T8A1183 8000  KG  299901533  G-C-Remark  G-Remark  PO-Remark</t>
  </si>
  <si>
    <t>000200554781  EXL1414T-NA8A005T-BAG-00-00-00 20000  KG  22022874  G-C-Remark  G-Remark  PO-Remark</t>
  </si>
  <si>
    <t>000200554850  EXL1414T-NA8A005T-BAG-00-00-00 20000  KG  22022874  G-C-Remark  G-Remark  PO-Remark</t>
  </si>
  <si>
    <t>0094727000  945-NC-BAG-00-00-00 20000  KG  22022070  G-C-Remark  G-Remark  PO-Remark</t>
  </si>
  <si>
    <t>000200554842  EXL1414T-NA8A005T-BAG-00-00-00 20000  KG  22022874  G-C-Remark  G-Remark  PO-Remark</t>
  </si>
  <si>
    <t>000200554851  EXL1414T-NA8A005T-BAG-00-00-00 20000  KG  22022874  G-C-Remark  G-Remark  PO-Remark</t>
  </si>
  <si>
    <t>000200548766  241R-GN8B014T-BAG-00-00-00 2000  KG  22030867  G-C-Remark  G-Remark  PO-Remark</t>
  </si>
  <si>
    <t>000200554843  EXL1414T-NA8A005T-BAG-00-00-00 20000  KG  22022874  G-C-Remark  G-Remark  PO-Remark</t>
  </si>
  <si>
    <t>0095348817  940-NC-BAG-00-00-00 20000  KG  22022017  G-C-Remark  G-Remark  PO-Remark</t>
  </si>
  <si>
    <t>000200497052  GLX143-GN4G119T-BAG-00-00-00 10000  KG  22067691  G-C-Remark  G-Remark  PO-Remark</t>
  </si>
  <si>
    <t>000200554844  EXL1414T-NA8A005T-BAG-00-00-00 20000  KG  22022874  G-C-Remark  G-Remark  PO-Remark</t>
  </si>
  <si>
    <t>000200497053  GLX143-GN4G119T-BAG-00-00-00 10000  KG  22067691  G-C-Remark  G-Remark  PO-Remark</t>
  </si>
  <si>
    <t>000200554853  EXL1414T-NA8A005T-BAG-00-00-00 20000  KG  22022874  G-C-Remark  G-Remark  PO-Remark</t>
  </si>
  <si>
    <t>000200540940  FXD121R-WH6E008X-BAG-00-00-00 2000  KG  22036130  G-C-Remark  G-Remark  PO-Remark</t>
  </si>
  <si>
    <t>000200554845  EXL1414T-NA8A005T-BAG-00-00-00 20000  KG  22022874  G-C-Remark  G-Remark  PO-Remark</t>
  </si>
  <si>
    <t>000200497104  GLX143-GN4G119T-BAG-00-00-00 10000  KG  22067691  G-C-Remark  G-Remark  PO-Remark</t>
  </si>
  <si>
    <t>000200554846  EXL1414T-NA8A005T-BAG-00-00-00 20000  KG  22022874  G-C-Remark  G-Remark  PO-Remark</t>
  </si>
  <si>
    <t>000200554854  EXL1414T-NA8A005T-BAG-00-00-00 20000  KG  22022874  G-C-Remark  G-Remark  PO-Remark</t>
  </si>
  <si>
    <t>000200554847  EXL1414T-NA8A005T-BAG-00-00-00 20000  KG  22022874  G-C-Remark  G-Remark  PO-Remark</t>
  </si>
  <si>
    <t>000200554856  EXL1414T-NA8A005T-BAG-00-00-00 20000  KG  22022874  G-C-Remark  G-Remark  PO-Remark</t>
  </si>
  <si>
    <t>000200497054  GLX143-GN4G119T-BAG-00-00-00 10000  KG  22067691  G-C-Remark  G-Remark  PO-Remark</t>
  </si>
  <si>
    <t>000200497069  LG9000-100-BAG-00-00-00 20000  KG  22023994  G-C-Remark  G-Remark  PO-Remark</t>
  </si>
  <si>
    <t>0082948900  MC1300-100-BAG-00-00-00 20000  KG  22018739  G-C-Remark  G-Remark  PO-Remark</t>
  </si>
  <si>
    <t>0094699040  MC1300-100-BAG-00-00-00 20000  KG  22018739  G-C-Remark  G-Remark  PO-Remark</t>
  </si>
  <si>
    <t>0094699041  MC1300-100-BAG-00-00-00 20000  KG  22018739  G-C-Remark  G-Remark  PO-Remark</t>
  </si>
  <si>
    <t>000200526256  LUX2114G-WH4G039X-BAG-00-00-00 14000  KG  22030544  G-C-Remark  G-Remark  PO-Remark</t>
  </si>
  <si>
    <t>000200526425  LUX2114G-WH5B140X-BAG-00-00-00 15000  KG  22023831  G-C-Remark  G-Remark  PO-Remark</t>
  </si>
  <si>
    <t>000200526408  LUX2114G-WH8B508X-BAG-00-00-00 15000  KG  22020466  G-C-Remark  G-Remark  PO-Remark</t>
  </si>
  <si>
    <t>000200549460  LUX2114G-WH8G625X-BAG-00-00-00 5000  KG  22032676  G-C-Remark  G-Remark  PO-Remark</t>
  </si>
  <si>
    <t>0094678264  MC1300-100-BAG-00-00-00 20000  KG  22018739  G-C-Remark  G-Remark  PO-Remark</t>
  </si>
  <si>
    <t>0094678265  MC1300-100-BAG-00-00-00 20000  KG  22018739  G-C-Remark  G-Remark  PO-Remark</t>
  </si>
  <si>
    <t>0094678266  MC1300-100-BAG-00-00-00 20000  KG  22018739  G-C-Remark  G-Remark  PO-Remark</t>
  </si>
  <si>
    <t>000200554860  EXL1414T-NA8A005T-BAG-00-00-00 20000  KG  22022874  G-C-Remark  G-Remark  PO-Remark</t>
  </si>
  <si>
    <t>000200554862  EXL1414T-NA8A005T-BAG-00-00-00 20000  KG  22022874  G-C-Remark  G-Remark  PO-Remark</t>
  </si>
  <si>
    <t>000200549461  LUX2114G-WH8G625X-BAG-00-00-00 3000  KG  22032676  G-C-Remark  G-Remark  PO-Remark</t>
  </si>
  <si>
    <t>000200497070  LG9000-100-BAG-00-00-00 20000  KG  22023994  G-C-Remark  G-Remark  PO-Remark</t>
  </si>
  <si>
    <t>0088398245  C1200HF-100-BAG-00-00-00 20000  KG  22019660  G-C-Remark  G-Remark  PO-Remark</t>
  </si>
  <si>
    <t>0094700527  MC1300-100-BAG-00-00-00 20000  KG  22018739  G-C-Remark  G-Remark  PO-Remark</t>
  </si>
  <si>
    <t>0094700528  MC1300-100-BAG-00-00-00 20000  KG  22018739  G-C-Remark  G-Remark  PO-Remark</t>
  </si>
  <si>
    <t>0094700529  MC1300-100-BAG-00-00-00 20000  KG  22018739  G-C-Remark  G-Remark  PO-Remark</t>
  </si>
  <si>
    <t>0094700530  MC1300-100-BAG-00-00-00 20000  KG  22018739  G-C-Remark  G-Remark  PO-Remark</t>
  </si>
  <si>
    <t>0094700531  MC1300-100-BAG-00-00-00 20000  KG  22018739  G-C-Remark  G-Remark  PO-Remark</t>
  </si>
  <si>
    <t>000200554863  EXL1414T-NA8A005T-BAG-00-00-00 20000  KG  22022874  G-C-Remark  G-Remark  PO-Remark</t>
  </si>
  <si>
    <t>0094699063  MC1300-100-BAG-00-00-00 20000  KG  22018739  G-C-Remark  G-Remark  PO-Remark</t>
  </si>
  <si>
    <t>000200550422  241R-WH6D069-BAG-00-00-00 20000  KG  22030876  G-C-Remark  G-Remark  PO-Remark</t>
  </si>
  <si>
    <t>000200502927  EXL9330-5T7D005-BAG-00-00-00 5000  KG  22029397  G-C-Remark  G-Remark  PO-Remark</t>
  </si>
  <si>
    <t>000200531796  241R-WH6D069-BAG-00-00-00 20000  KG  22030876  G-C-Remark  G-Remark  PO-Remark</t>
  </si>
  <si>
    <t>0092477893  LUX9612-WH8E508X-BAG-00-00-00 3000  KG  22017108  G-C-Remark  G-Remark  PO-Remark</t>
  </si>
  <si>
    <t>000200470141  123R-WH5G107-BAG-00-00-00 2000  KG  22044544  G-C-Remark  G-Remark  PO-Remark</t>
  </si>
  <si>
    <t>0085647844  MC1300-100-BAG-00-00-00 20000  KG  22018739  G-C-Remark  G-Remark  PO-Remark</t>
  </si>
  <si>
    <t>000200546668  LUX9230T-11204-BAG-00-00-00 20000  KG  22036941  G-C-Remark  G-Remark  PO-Remark</t>
  </si>
  <si>
    <t>000200546728  LUX9230T-11204-BAG-00-00-00 20000  KG  22036941  G-C-Remark  G-Remark  PO-Remark</t>
  </si>
  <si>
    <t>000200524337  EXL1414-GY8B195-BAG-00-00-00 5000  KG  22040454  G-C-Remark  G-Remark  PO-Remark</t>
  </si>
  <si>
    <t>000200529089  121R-7R7D031-SSS-00-00-00 20000  KG  22037463  G-C-Remark  G-Remark  PO-Remark</t>
  </si>
  <si>
    <t>000200509387  141R-80711-BAG-00-00-00 9000  KG  22038171  G-C-Remark  G-Remark  PO-Remark</t>
  </si>
  <si>
    <t>000200553646  141R-GY6A427-SSS-00-00-00 10000  KG  22038198  G-C-Remark  G-Remark  PO-Remark</t>
  </si>
  <si>
    <t>0085647849  MC1300-100-BAG-00-00-00 20000  KG  22018739  G-C-Remark  G-Remark  PO-Remark</t>
  </si>
  <si>
    <t>0082948897  MC1300-100-BAG-00-00-00 20000  KG  22018739  G-C-Remark  G-Remark  PO-Remark</t>
  </si>
  <si>
    <t>000200386739  MC1300-100-BAG-00-00-00 20600  KG  22018739  G-C-Remark  G-Remark  PO-Remark</t>
  </si>
  <si>
    <t>0094699042  MC1300-100-BAG-00-00-00 20000  KG  22018739  G-C-Remark  G-Remark  PO-Remark</t>
  </si>
  <si>
    <t>0094699043  MC1300-100-BAG-00-00-00 20000  KG  22018739  G-C-Remark  G-Remark  PO-Remark</t>
  </si>
  <si>
    <t>0082962841  XCY620S-76701-BAG-00-00-00 20000  KG  22037308  G-C-Remark  G-Remark  PO-Remark</t>
  </si>
  <si>
    <t>0082962869  XCY620S-76701-BAG-00-00-00 20000  KG  22037308  G-C-Remark  G-Remark  PO-Remark</t>
  </si>
  <si>
    <t>0082962862  XCY620S-76701-BAG-00-00-00 20000  KG  22037308  G-C-Remark  G-Remark  PO-Remark</t>
  </si>
  <si>
    <t>0082962860  XCY620S-76701-BAG-00-00-00 20000  KG  22037308  G-C-Remark  G-Remark  PO-Remark</t>
  </si>
  <si>
    <t>0082962858  XCY620S-76701-BAG-00-00-00 20000  KG  22037308  G-C-Remark  G-Remark  PO-Remark</t>
  </si>
  <si>
    <t>0082962857  XCY620S-76701-BAG-00-00-00 20000  KG  22037308  G-C-Remark  G-Remark  PO-Remark</t>
  </si>
  <si>
    <t>000200546710  LUX9230T-11204-BAG-00-00-00 20000  KG  22036941  G-C-Remark  G-Remark  PO-Remark</t>
  </si>
  <si>
    <t>000200504690  MC1300-100-SSS-00-00-00 20000  KG  22036948  G-C-Remark  G-Remark  PO-Remark</t>
  </si>
  <si>
    <t>0094678267  MC1300-100-BAG-00-00-00 20000  KG  22018739  G-C-Remark  G-Remark  PO-Remark</t>
  </si>
  <si>
    <t>0082962847  XCY620S-76701-BAG-00-00-00 20000  KG  22037308  G-C-Remark  G-Remark  PO-Remark</t>
  </si>
  <si>
    <t>0082962846  XCY620S-76701-BAG-00-00-00 20000  KG  22037308  G-C-Remark  G-Remark  PO-Remark</t>
  </si>
  <si>
    <t>0082962845  XCY620S-76701-BAG-00-00-00 20000  KG  22037308  G-C-Remark  G-Remark  PO-Remark</t>
  </si>
  <si>
    <t>0082962835  XCY620S-76701-BAG-00-00-00 20000  KG  22037308  G-C-Remark  G-Remark  PO-Remark</t>
  </si>
  <si>
    <t>0082962836  XCY620S-76701-BAG-00-00-00 20000  KG  22037308  G-C-Remark  G-Remark  PO-Remark</t>
  </si>
  <si>
    <t>0094678268  MC1300-100-BAG-00-00-00 20000  KG  22018739  G-C-Remark  G-Remark  PO-Remark</t>
  </si>
  <si>
    <t>0094678269  MC1300-100-BAG-00-00-00 20000  KG  22018739  G-C-Remark  G-Remark  PO-Remark</t>
  </si>
  <si>
    <t>0094678270  MC1300-100-BAG-00-00-00 20000  KG  22018739  G-C-Remark  G-Remark  PO-Remark</t>
  </si>
  <si>
    <t>0094678271  MC1300-100-BAG-00-00-00 20000  KG  22018739  G-C-Remark  G-Remark  PO-Remark</t>
  </si>
  <si>
    <t>0094700208  XCY620S-100-BAG-00-00-00 20000  KG  22025073  G-C-Remark  G-Remark  PO-Remark</t>
  </si>
  <si>
    <t>0094678272  MC1300-100-BAG-00-00-00 20000  KG  22018739  G-C-Remark  G-Remark  PO-Remark</t>
  </si>
  <si>
    <t>0094678273  MC1300-100-BAG-00-00-00 20000  KG  22018739  G-C-Remark  G-Remark  PO-Remark</t>
  </si>
  <si>
    <t>000200464870  C3650-111-BAG-00-00-00 16000  KG  22019705  G-C-Remark  G-Remark  PO-Remark</t>
  </si>
  <si>
    <t>000200504766  MC1300-100-SSS-00-00-00 20000  KG  22036948  G-C-Remark  G-Remark  PO-Remark</t>
  </si>
  <si>
    <t>0082957931  XCY620S-76701-BAG-00-00-00 20000  KG  22037308  G-C-Remark  G-Remark  PO-Remark</t>
  </si>
  <si>
    <t>0082962884  XCY620S-76701-BAG-00-00-00 20000  KG  22037308  G-C-Remark  G-Remark  PO-Remark</t>
  </si>
  <si>
    <t>0094700209  XCY620S-100-BAG-00-00-00 20000  KG  22025073  G-C-Remark  G-Remark  PO-Remark</t>
  </si>
  <si>
    <t>0094699062  MC1300-100-BAG-00-00-00 20000  KG  22018739  G-C-Remark  G-Remark  PO-Remark</t>
  </si>
  <si>
    <t>0094699061  MC1300-100-BAG-00-00-00 20000  KG  22018739  G-C-Remark  G-Remark  PO-Remark</t>
  </si>
  <si>
    <t>000200550037  141R-701-BAG-00-00-00 6375  KG  22021359  G-C-Remark  G-Remark  PO-Remark</t>
  </si>
  <si>
    <t>000200547735  XP4034-GY1E811-BAG-00-00-00 10000  KG  22019030  G-C-Remark  G-Remark  PO-Remark</t>
  </si>
  <si>
    <t>000200553373  LG9000-BK1044-BAG-00-00-00 5000  KG  22018724  G-C-Remark  G-Remark  PO-Remark</t>
  </si>
  <si>
    <t>000200497056  LG9000-701-BAG-00-00-00 20000  KG  22017215  G-C-Remark  G-Remark  PO-Remark</t>
  </si>
  <si>
    <t>0094714320  XCY620-BK1005-BAG-00-00-00 20000  KG  22025061  G-C-Remark  G-Remark  PO-Remark</t>
  </si>
  <si>
    <t>000200545450  LG9000-7G1A3595 5000  KG  299904096  G-C-Remark  G-Remark  PO-Remark</t>
  </si>
  <si>
    <t>000200496387  LG9000-BK1044MX-BAG-00-00-00 10500  KG  22036575  G-C-Remark  G-Remark  PO-Remark</t>
  </si>
  <si>
    <t>000200508782  XP4034-GY1E349-BAG-00-00-00 10000  KG  22041179  G-C-Remark  G-Remark  PO-Remark</t>
  </si>
  <si>
    <t>0082959378  C1200HF-701-BAG-00-00-00 20000  KG  22022222  G-C-Remark  G-Remark  PO-Remark</t>
  </si>
  <si>
    <t>000200553469  LG9000-701-BAG-00-00-00 5000  KG  22017215  G-C-Remark  G-Remark  PO-Remark</t>
  </si>
  <si>
    <t>0090033779  C1200HF-701-BAG-00-00-00 20000  KG  22022222  G-C-Remark  G-Remark  PO-Remark</t>
  </si>
  <si>
    <t>0090656597  XP4034-BK1041-BAG-00-00-00 20000  KG  22019027  G-C-Remark  G-Remark  PO-Remark</t>
  </si>
  <si>
    <t>000200537204  C1200HF-GY1460-BAG-00-00-00 5000  KG  22039413  G-C-Remark  G-Remark  PO-Remark</t>
  </si>
  <si>
    <t>0094692688  XP4034-BK1041-BAG-00-00-00 10000  KG  22019027  G-C-Remark  G-Remark  PO-Remark</t>
  </si>
  <si>
    <t>000200549493  LS1-701-BAG-00-00-00 20000  KG  22041018  G-C-Remark  G-Remark  PO-Remark</t>
  </si>
  <si>
    <t>000200521960  C1200HF-GY1460-BAG-00-00-00 10000  KG  22039413  G-C-Remark  G-Remark  PO-Remark</t>
  </si>
  <si>
    <t>000200551142  C1200HF-BK2G024-BAG-00-00-00 20000  KG  22034874  G-C-Remark  G-Remark  PO-Remark</t>
  </si>
  <si>
    <t>000200551079  C1200HF-BK2G024-BAG-00-00-00 20000  KG  22034874  G-C-Remark  G-Remark  PO-Remark</t>
  </si>
  <si>
    <t>000200549471  LS1-701-BAG-00-00-00 20000  KG  22041018  G-C-Remark  G-Remark  PO-Remark</t>
  </si>
  <si>
    <t>0094692789  XP4034-BK1041-BAG-00-00-00 10000  KG  22019027  G-C-Remark  G-Remark  PO-Remark</t>
  </si>
  <si>
    <t>0094692790  XP4034-BK1041-BAG-00-00-00 15000  KG  22019027  G-C-Remark  G-Remark  PO-Remark</t>
  </si>
  <si>
    <t>000200549400  LS1-701-BAG-00-00-00 20000  KG  22041018  G-C-Remark  G-Remark  PO-Remark</t>
  </si>
  <si>
    <t>000200496374  XCY620-BK1G372-BAG-00-00-00 16000  KG  22041153  G-C-Remark  G-Remark  PO-Remark</t>
  </si>
  <si>
    <t>000200549507  LS1-701-BAG-00-00-00 20000  KG  22041018  G-C-Remark  G-Remark  PO-Remark</t>
  </si>
  <si>
    <t>000200551123  C1200HF-BK2G024-BAG-00-00-00 20000  KG  22034874  G-C-Remark  G-Remark  PO-Remark</t>
  </si>
  <si>
    <t>000200549528  LS1-701-BAG-00-00-00 20000  KG  22041018  G-C-Remark  G-Remark  PO-Remark</t>
  </si>
  <si>
    <t>000200508695  XP4034-GY1E349-BAG-00-00-00 10000  KG  22041179  G-C-Remark  G-Remark  PO-Remark</t>
  </si>
  <si>
    <t>000200497125  LG9000-701-BAG-00-00-00 20000  KG  22017215  G-C-Remark  G-Remark  PO-Remark</t>
  </si>
  <si>
    <t>000200551017  C1200HF-BK2G024-BAG-00-00-00 20000  KG  22034874  G-C-Remark  G-Remark  PO-Remark</t>
  </si>
  <si>
    <t>0094714325  XCY620-BK1005-BAG-00-00-00 20000  KG  22025061  G-C-Remark  G-Remark  PO-Remark</t>
  </si>
  <si>
    <t>000200549459  LS1-701-BAG-00-00-00 20000  KG  22041018  G-C-Remark  G-Remark  PO-Remark</t>
  </si>
  <si>
    <t>000200540824  LG9000-GY1C306-BAG-00-00-00 13000  KG  22018726  G-C-Remark  G-Remark  PO-Remark</t>
  </si>
  <si>
    <t>000200539808  C1200HF-GY1460-BAG-00-00-00 5000  KG  22039413  G-C-Remark  G-Remark  PO-Remark</t>
  </si>
  <si>
    <t>000200537703  C1200HF-GY1460-BAG-00-00-00 10000  KG  22039413  G-C-Remark  G-Remark  PO-Remark</t>
  </si>
  <si>
    <t>000200537625  XCY620-BK1G372-BAG-00-00-00 10000  KG  22041153  G-C-Remark  G-Remark  PO-Remark</t>
  </si>
  <si>
    <t>000200535117  XCY620-BK1G372-BAG-00-00-00 10000  KG  22041153  G-C-Remark  G-Remark  PO-Remark</t>
  </si>
  <si>
    <t>0094692791  XP4034-BK1041-BAG-00-00-00 20000  KG  22019027  G-C-Remark  G-Remark  PO-Remark</t>
  </si>
  <si>
    <t>0090033780  C1200HF-701-BAG-00-00-00 20000  KG  22022222  G-C-Remark  G-Remark  PO-Remark</t>
  </si>
  <si>
    <t>0094714326  XCY620-BK1005-BAG-00-00-00 20000  KG  22025061  G-C-Remark  G-Remark  PO-Remark</t>
  </si>
  <si>
    <t>000200536980  950A-116-BAG-00-00-00 1000  KG  22018296  G-C-Remark  G-Remark  PO-Remark</t>
  </si>
  <si>
    <t>000200509337  LUX2114G-WH8B508X-BAG-00-00-00 2000  KG  22020466  G-C-Remark  G-Remark  PO-Remark</t>
  </si>
  <si>
    <t>000200543585  121R-1A9D007T-BAG-00-00-00 1200  KG  22037448  G-C-Remark  G-Remark  PO-Remark</t>
  </si>
  <si>
    <t>000200506912  FXD121R-WH6D266X-BAG-00-00-00 2000  KG  22040027  G-C-Remark  G-Remark  PO-Remark</t>
  </si>
  <si>
    <t>000200534777  953A-116-BAG-00-00-00 1000  KG  22022088  G-C-Remark  G-Remark  PO-Remark</t>
  </si>
  <si>
    <t>0075164447  XCY620S-100-BAG-00-00-00 20000  KG  22025073  G-C-Remark  G-Remark  PO-Remark</t>
  </si>
  <si>
    <t>000200554902  SLX2471T-NA9E166T-BAG-00-00-00 1000  KG  22024953  G-C-Remark  G-Remark  PO-Remark</t>
  </si>
  <si>
    <t>000200548737  LUX9610-111N-BAG-00-00-00 1675  KG  22041065  G-C-Remark  G-Remark  PO-Remark</t>
  </si>
  <si>
    <t>000200551271  FXD171R-WH7E306X-BAG-00-00-00 500  KG  22017394  G-C-Remark  G-Remark  PO-Remark</t>
  </si>
  <si>
    <t>000200523571  103-111-BAG-00-00-00 5000  KG  22028578  G-C-Remark  G-Remark  PO-Remark</t>
  </si>
  <si>
    <t>000200554900  945U-NC-BAG-00-00-00 10000  KG  22039271  G-C-Remark  G-Remark  PO-Remark</t>
  </si>
  <si>
    <t>000200421445  LUX9130T-NAT-BAG-00-00-00 10000  KG  22036940  G-C-Remark  G-Remark  PO-Remark</t>
  </si>
  <si>
    <t>000200514393  FXD141R-NA1D001X-BAG-00-00-00 2000  KG  22030318  G-C-Remark  G-Remark  PO-Remark</t>
  </si>
  <si>
    <t>000200546700  LUX9230T-11204-BAG-00-00-00 20000  KG  22036941  G-C-Remark  G-Remark  PO-Remark</t>
  </si>
  <si>
    <t>000200549117  9925A-NA1A0036-BAG-00-00-00 2000  KG  22034701  G-C-Remark  G-Remark  PO-Remark</t>
  </si>
  <si>
    <t>000200496048  FXD121R-WH6E008X-BAG-00-00-00 2000  KG  22036130  G-C-Remark  G-Remark  PO-Remark</t>
  </si>
  <si>
    <t>000200426612  LUX2114G-WH4G020X-BAG-00-00-00 3000  KG  22036929  G-C-Remark  G-Remark  PO-Remark</t>
  </si>
  <si>
    <t>000200530651  LUX2114G-WH5B140X-BAG-00-00-00 2000  KG  22023831  G-C-Remark  G-Remark  PO-Remark</t>
  </si>
  <si>
    <t>000200496047  FXD121R-NA2D006X-BAG-00-00-00 2000  KG  22036125  G-C-Remark  G-Remark  PO-Remark</t>
  </si>
  <si>
    <t>000200495973  164H-111FC-BAG-00-00-00 2000  KG  22031018  G-C-Remark  G-Remark  PO-Remark</t>
  </si>
  <si>
    <t>0086435842  XCY620S-100-BAG-00-00-00 10000  KG  22025073  G-C-Remark  G-Remark  PO-Remark</t>
  </si>
  <si>
    <t>000200421444  LUX9130T-NAT-BAG-00-00-00 10000  KG  22036940  G-C-Remark  G-Remark  PO-Remark</t>
  </si>
  <si>
    <t>000200496049  FXD121R-WH6E008X-BAG-00-00-00 2000  KG  22036130  G-C-Remark  G-Remark  PO-Remark</t>
  </si>
  <si>
    <t>000200544627  BX7241-7A1D330-BAG-00-00-00 500  KG  22072651  G-C-Remark  G-Remark  PO-Remark</t>
  </si>
  <si>
    <t>000200549232  943-GY1B340-BAG-00-00-00 2000  KG  22029971  G-C-Remark  G-Remark  PO-Remark</t>
  </si>
  <si>
    <t>000200543608  945-7A1A2480 2000  KG  299902726  G-C-Remark  G-Remark  PO-Remark</t>
  </si>
  <si>
    <t>000200552671  HF1110R-7M1D104-BAG-00-00-00 1000  KG  22030472  G-C-Remark  G-Remark  PO-Remark</t>
  </si>
  <si>
    <t>000200553703  EXL9330-BK2E002-BAG-00-00-00 1000  KG  22036348  G-C-Remark  G-Remark  PO-Remark</t>
  </si>
  <si>
    <t>000200548672  C6200-7T1D306-BAG-00-00-00 10000  KG  22035116  G-C-Remark  G-Remark  PO-Remark</t>
  </si>
  <si>
    <t>000200550342  C6600-BR2E056-BAG-00-00-00 5000  KG  22035299  G-C-Remark  G-Remark  PO-Remark</t>
  </si>
  <si>
    <t>000200541759  C6600-GY2A547-BAG-00-00-00 1000  KG  22038939  G-C-Remark  G-Remark  PO-Remark</t>
  </si>
  <si>
    <t>000200554982  EXL1414T-7A1D194-BAG-00-00-00 1000  KG  22039730  G-C-Remark  G-Remark  PO-Remark</t>
  </si>
  <si>
    <t>000200532750  CX7241-7R1D180-BAG-00-00-00 2000  KG  22072855  G-C-Remark  G-Remark  PO-Remark</t>
  </si>
  <si>
    <t>000200479758  LG9000-BK1044-BAG-00-00-00 1000  KG  22018724  G-C-Remark  G-Remark  PO-Remark</t>
  </si>
  <si>
    <t>0095299977  C1200HF-76701-BAG-00-00-00 10000  KG  22028141  G-C-Remark  G-Remark  PO-Remark</t>
  </si>
  <si>
    <t>000200551356  EXL9134-7T2D205-BAG-00-00-00 2000  KG  22029393  G-C-Remark  G-Remark  PO-Remark</t>
  </si>
  <si>
    <t>000200537925  XCY620-BK1G372-BAG-00-00-00 3000  KG  22041153  G-C-Remark  G-Remark  PO-Remark</t>
  </si>
  <si>
    <t>000200529075  953-701-BAG-00-00-00 5000  KG  22019593  G-C-Remark  G-Remark  PO-Remark</t>
  </si>
  <si>
    <t>0093763724  DX11355-BKNAT-FBG-00-00-00 20000  KG  22082385  G-C-Remark  G-Remark  PO-Remark</t>
  </si>
  <si>
    <t>0095359437  EXL9330-BK1A233-BAG-00-00-00 20000  KG  22020017  G-C-Remark  G-Remark  PO-Remark</t>
  </si>
  <si>
    <t>0092846408  EXL9330P-BK1E649-BAG-00-00-00 20000  KG  22035991  G-C-Remark  G-Remark  PO-Remark</t>
  </si>
  <si>
    <t>000200547546  C4220-76701-BAG-00-00-00 5000  KG  22030087  G-C-Remark  G-Remark  PO-Remark</t>
  </si>
  <si>
    <t>0094678238  D551RC-701-SBG-00-00-00 20000  KG  22086246  G-C-Remark  G-Remark  PO-Remark</t>
  </si>
  <si>
    <t>0092477790  RCP36-BK1A862-SBG-00-00-00 2400  KG  22040918  G-C-Remark  G-Remark  PO-Remark</t>
  </si>
  <si>
    <t>0092477547  RFL36XXY-BK1A843-SBG-00-00-00 2400  KG  22029458  G-C-Remark  G-Remark  PO-Remark</t>
  </si>
  <si>
    <t>000200550412  DX10311-7B1D125-SBG-00-00-00 5000  KG  22029221  G-C-Remark  G-Remark  PO-Remark</t>
  </si>
  <si>
    <t>0095368791  DX11355-BKNAT-FBG-00-00-00 20000  KG  22082385  G-C-Remark  G-Remark  PO-Remark</t>
  </si>
  <si>
    <t>000200548730  WF006N-7A1A0666-SBG-00-00-00 1000  KG  22098412  G-C-Remark  G-Remark  PO-Remark</t>
  </si>
  <si>
    <t>0092477791  RCP36-BK1A862-SBG-00-00-00 2400  KG  22040918  G-C-Remark  G-Remark  PO-Remark</t>
  </si>
  <si>
    <t>000200546323  HFD4472-7N1D050-BAG-00-00-00 1100  KG  22036414  G-C-Remark  G-Remark  PO-Remark</t>
  </si>
  <si>
    <t>0094691478  DX11355-BKNAT-FBG-00-00-00 20000  KG  22082385  G-C-Remark  G-Remark  PO-Remark</t>
  </si>
  <si>
    <t>0092477792  RCP36-BK1A862-SBG-00-00-00 3200  KG  22040918  G-C-Remark  G-Remark  PO-Remark</t>
  </si>
  <si>
    <t>000200549206  NX07344-BK1E565-BAG-00-00-00 925  KG  22041265  G-C-Remark  G-Remark  PO-Remark</t>
  </si>
  <si>
    <t>000200541939  A3000-BK8115-BAG-00-00-00 1000  KG  22034318  G-C-Remark  G-Remark  PO-Remark</t>
  </si>
  <si>
    <t>000200554481  BPL1000-BK1C294-BAG-00-00-00 5000  KG  22038527  G-C-Remark  G-Remark  PO-Remark</t>
  </si>
  <si>
    <t>000200546646  AE0039-BK8115 315  KG  299905510  G-C-Remark  G-Remark  PO-Remark</t>
  </si>
  <si>
    <t>000200554522  C1200HF-GY1G005-BAG-00-00-00 6000  KG  22044899  G-C-Remark  G-Remark  PO-Remark</t>
  </si>
  <si>
    <t>000200546258  WF006N-4A8A3915 1000  KG  299904429  G-C-Remark  G-Remark  PO-Remark</t>
  </si>
  <si>
    <t>000200549055  MC5220-7001-BAG-00-00-00 2000  KG  22030554  G-C-Remark  G-Remark  PO-Remark</t>
  </si>
  <si>
    <t>000200548396  WF006N-4A6A3914 1000  KG  299904430  G-C-Remark  G-Remark  PO-Remark</t>
  </si>
  <si>
    <t>0094117105  DX11355-BKNAT-FBG-00-00-00 20000  KG  22082385  G-C-Remark  G-Remark  PO-Remark</t>
  </si>
  <si>
    <t>0094674079  DX11355-BKNAT-FBG-00-00-00 20000  KG  22082385  G-C-Remark  G-Remark  PO-Remark</t>
  </si>
  <si>
    <t>0085966981  RFP36-BK1A856-SBG-00-00-00 1000  KG  22040935  G-C-Remark  G-Remark  PO-Remark</t>
  </si>
  <si>
    <t>0094493586  UFL36AS-YWLTNAT-SBG-00-00-00 2000  KG  22037570  G-C-Remark  G-Remark  PO-Remark</t>
  </si>
  <si>
    <t>000200543491  915R-GY5G115-BAG-00-00-00 1000  KG  22038986  G-C-Remark  G-Remark  PO-Remark</t>
  </si>
  <si>
    <t>0086521991  UFL36S-BKNAT-SBG-00-00-00 1000  KG  22041363  G-C-Remark  G-Remark  PO-Remark</t>
  </si>
  <si>
    <t>0092134647  BPL1000-GY6E054-BAG-00-00-00 1000  KG  22038531  G-C-Remark  G-Remark  PO-Remark</t>
  </si>
  <si>
    <t>000200516704  LS1-701-BAG-00-00-00 20000  KG  22041018  G-C-Remark  G-Remark  PO-Remark</t>
  </si>
  <si>
    <t>000200516577  LS1-701-BAG-00-00-00 20000  KG  22041018  G-C-Remark  G-Remark  PO-Remark</t>
  </si>
  <si>
    <t>000200516705  LS1-701-BAG-00-00-00 20000  KG  22041018  G-C-Remark  G-Remark  PO-Remark</t>
  </si>
  <si>
    <t>000200470442  LS1-701-BAG-00-00-00 10000  KG  22041018  G-C-Remark  G-Remark  PO-Remark</t>
  </si>
  <si>
    <t>000200516678  LS1-701-BAG-00-00-00 20000  KG  22041018  G-C-Remark  G-Remark  PO-Remark</t>
  </si>
  <si>
    <t>000200516636  LS1-701-BAG-00-00-00 20000  KG  22041018  G-C-Remark  G-Remark  PO-Remark</t>
  </si>
  <si>
    <t>0092302282  DX89406-BKNAT-BPK-00-00-00 10000  KG  22039467  G-C-Remark  G-Remark  PO-Remark</t>
  </si>
  <si>
    <t>0092302280  DX89406-BKNAT-BPK-00-00-00 10000  KG  22039467  G-C-Remark  G-Remark  PO-Remark</t>
  </si>
  <si>
    <t>0092302277  DX89406-BKNAT-BPK-00-00-00 10000  KG  22039467  G-C-Remark  G-Remark  PO-Remark</t>
  </si>
  <si>
    <t>0092302273  DX89406-BKNAT-BPK-00-00-00 10000  KG  22039467  G-C-Remark  G-Remark  PO-Remark</t>
  </si>
  <si>
    <t>0092302275  DX89406-BKNAT-BPK-00-00-00 10000  KG  22039467  G-C-Remark  G-Remark  PO-Remark</t>
  </si>
  <si>
    <t>000200551150  EXL1433T-NA8A005T-BAG-00-00-00 100  KG  22019987  G-C-Remark  G-Remark  PO-Remark</t>
  </si>
  <si>
    <t>000200548570  SLX2271T-NA9E166T-BAG-00-00-00 100  KG  22024947  G-C-Remark  G-Remark  PO-Remark</t>
  </si>
  <si>
    <t>000200552540  EXL1433T-NA8A005T-BAG-00-00-00 100  KG  22019987  G-C-Remark  G-Remark  PO-Remark</t>
  </si>
  <si>
    <t>000200548727  223R-BR2G132-BAG-00-00-00 500  KG  22044053  G-C-Remark  G-Remark  PO-Remark</t>
  </si>
  <si>
    <t>0091762082  ENH2900-WH6G038-BAG-00-00-00 25  KG  22040325  G-C-Remark  G-Remark  PO-Remark</t>
  </si>
  <si>
    <t>000200553741  945-WH5185-BAG-00-00-00 25  KG  22038419  G-C-Remark  G-Remark  PO-Remark</t>
  </si>
  <si>
    <t>000200544628  EXL9330-7T3D128-BAG-00-00-00 100  KG  22036326  G-C-Remark  G-Remark  PO-Remark</t>
  </si>
  <si>
    <t>000200534803  C2800-GY6B278-BAG-00-00-00 50  KG  22038683  G-C-Remark  G-Remark  PO-Remark</t>
  </si>
  <si>
    <t>000200547469  C2950HF-BK1D834-BAG-00-00-00 100  KG  22034639  G-C-Remark  G-Remark  PO-Remark</t>
  </si>
  <si>
    <t>000200553903  DX10311-701-SBG-00-00-00 40  KG  22035924  G-C-Remark  G-Remark  PO-Remark</t>
  </si>
  <si>
    <t>000200553832  DX10311-701-SBG-00-00-00 40  KG  22035924  G-C-Remark  G-Remark  PO-Remark</t>
  </si>
  <si>
    <t>000200551214  C6200-7T4D018-BAG-00-00-00 300  KG  22038790  G-C-Remark  G-Remark  PO-Remark</t>
  </si>
  <si>
    <t>000200550045  DFL22-BK8115-BAG-00-00-00 100  KG  22031886  G-C-Remark  G-Remark  PO-Remark</t>
  </si>
  <si>
    <t>000200552287  R2000-BK1A831-SBG-00-00-00 100  KG  22037395  G-C-Remark  G-Remark  PO-Remark</t>
  </si>
  <si>
    <t>Char #1</t>
  </si>
  <si>
    <t>Char #2</t>
  </si>
  <si>
    <t>Char #7</t>
  </si>
  <si>
    <t>WSHAEXL01_PC51_008</t>
  </si>
  <si>
    <t>22036424</t>
  </si>
  <si>
    <t>HM3020H-75001-BAG-00-00-00</t>
  </si>
  <si>
    <t>NORF7O</t>
  </si>
  <si>
    <t>HM3020H</t>
  </si>
  <si>
    <t>BAG</t>
  </si>
  <si>
    <t>NOR7O</t>
  </si>
  <si>
    <t>PCN2910</t>
  </si>
  <si>
    <t>BK1066</t>
  </si>
  <si>
    <t>22030621</t>
  </si>
  <si>
    <t>PCN2910-BK1D694-BAG-00-00-00</t>
  </si>
  <si>
    <t>BK1D694</t>
  </si>
  <si>
    <t>22036954</t>
  </si>
  <si>
    <t>PVX0901-BK1066-BAG-00-00-00</t>
  </si>
  <si>
    <t>PVX0901</t>
  </si>
  <si>
    <t>22024908</t>
  </si>
  <si>
    <t>SE1GFN1-701-BAG-00-00-00</t>
  </si>
  <si>
    <t>SE1GFN1</t>
  </si>
  <si>
    <t>0/04:05:18</t>
  </si>
  <si>
    <t>22024913</t>
  </si>
  <si>
    <t>SE1GFN2-701-BAG-00-00-00</t>
  </si>
  <si>
    <t>0/16:21:12</t>
  </si>
  <si>
    <t>SE1GFN2</t>
  </si>
  <si>
    <t>22024919</t>
  </si>
  <si>
    <t>SE1X-701-BAG-00-00-00</t>
  </si>
  <si>
    <t>SE1X</t>
  </si>
  <si>
    <t>22023606</t>
  </si>
  <si>
    <t>HS2000X-701-BAG-00-00-00</t>
  </si>
  <si>
    <t>0/08:10:36</t>
  </si>
  <si>
    <t>HS2000X</t>
  </si>
  <si>
    <t>22017944</t>
  </si>
  <si>
    <t>PX1600X-701-BAG-00-00-00</t>
  </si>
  <si>
    <t>0002345713</t>
  </si>
  <si>
    <t>PX1600X</t>
  </si>
  <si>
    <t>0002345704</t>
  </si>
  <si>
    <t>22095416</t>
  </si>
  <si>
    <t>GFN20-701-BAG-00-00-00</t>
  </si>
  <si>
    <t>GFN20</t>
  </si>
  <si>
    <t>0093843561</t>
  </si>
  <si>
    <t>0002412681</t>
  </si>
  <si>
    <t>22017123</t>
  </si>
  <si>
    <t>V0150B-701-BAG-00-00-00</t>
  </si>
  <si>
    <t>V0150B</t>
  </si>
  <si>
    <t>0087158635</t>
  </si>
  <si>
    <t>0079141761</t>
  </si>
  <si>
    <t>0002050192</t>
  </si>
  <si>
    <t>0085130029</t>
  </si>
  <si>
    <t>000200554631</t>
  </si>
  <si>
    <t>0085130030</t>
  </si>
  <si>
    <t>000200489904</t>
  </si>
  <si>
    <t>0002327011</t>
  </si>
  <si>
    <t>WSHAEXL02_PC51_008</t>
  </si>
  <si>
    <t>0/04:18:11</t>
  </si>
  <si>
    <t>N225X</t>
  </si>
  <si>
    <t>LEXXOO</t>
  </si>
  <si>
    <t>3412ECR</t>
  </si>
  <si>
    <t>0/17:12:42</t>
  </si>
  <si>
    <t>C2950</t>
  </si>
  <si>
    <t>GFN20F</t>
  </si>
  <si>
    <t>22037195</t>
  </si>
  <si>
    <t>N1250-4N4D011-BAG-00-00-00</t>
  </si>
  <si>
    <t>NORGDO</t>
  </si>
  <si>
    <t>N1250</t>
  </si>
  <si>
    <t>4N4D011</t>
  </si>
  <si>
    <t>22096206</t>
  </si>
  <si>
    <t>GFN30F-873S-BAG-00-00-00</t>
  </si>
  <si>
    <t>GFN30F</t>
  </si>
  <si>
    <t>873S</t>
  </si>
  <si>
    <t>22096205</t>
  </si>
  <si>
    <t>GFN30F-801S-BAG-00-00-00</t>
  </si>
  <si>
    <t>801S</t>
  </si>
  <si>
    <t>0002384023</t>
  </si>
  <si>
    <t>22031231</t>
  </si>
  <si>
    <t>500R-73231-BAG-00-00-00</t>
  </si>
  <si>
    <t>0/04:24:33</t>
  </si>
  <si>
    <t>500R</t>
  </si>
  <si>
    <t>22036470</t>
  </si>
  <si>
    <t>HS2000X-WH8C022-BAG-00-00-00</t>
  </si>
  <si>
    <t>NOR8O</t>
  </si>
  <si>
    <t>WH8C022</t>
  </si>
  <si>
    <t>0/08:36:21</t>
  </si>
  <si>
    <t>NORFGDO</t>
  </si>
  <si>
    <t>22095738</t>
  </si>
  <si>
    <t>GFN30F-701S-BAG-00-00-00</t>
  </si>
  <si>
    <t>701S</t>
  </si>
  <si>
    <t>0002423647</t>
  </si>
  <si>
    <t>000200553690</t>
  </si>
  <si>
    <t>22040982</t>
  </si>
  <si>
    <t>SE1GFN2-VT1G005-BAG-00-00-00</t>
  </si>
  <si>
    <t>0002432250</t>
  </si>
  <si>
    <t>VT1G005</t>
  </si>
  <si>
    <t>22095736</t>
  </si>
  <si>
    <t>GFN20F-701S-BAG-00-00-00</t>
  </si>
  <si>
    <t>000200537094</t>
  </si>
  <si>
    <t>22031186</t>
  </si>
  <si>
    <t>731S-701S-BAG-00-00-00</t>
  </si>
  <si>
    <t>0002402728</t>
  </si>
  <si>
    <t>731S</t>
  </si>
  <si>
    <t>000200545602</t>
  </si>
  <si>
    <t>22040824</t>
  </si>
  <si>
    <t>N1250-BK1066-BAG-00-00-00</t>
  </si>
  <si>
    <t>0002417920</t>
  </si>
  <si>
    <t>000200547784</t>
  </si>
  <si>
    <t>22030099</t>
  </si>
  <si>
    <t>C6200-GY2E474-BAG-00-00-00</t>
  </si>
  <si>
    <t>0002420735</t>
  </si>
  <si>
    <t>C6200</t>
  </si>
  <si>
    <t>GY2E474</t>
  </si>
  <si>
    <t>22095737</t>
  </si>
  <si>
    <t>GFN20F-N780S-BAG-00-00-00</t>
  </si>
  <si>
    <t>N780S</t>
  </si>
  <si>
    <t>22018853</t>
  </si>
  <si>
    <t>N300X-701-BAG-00-00-00</t>
  </si>
  <si>
    <t>N300X</t>
  </si>
  <si>
    <t>000200552480</t>
  </si>
  <si>
    <t>22018844</t>
  </si>
  <si>
    <t>N190X-701-BAG-00-00-00</t>
  </si>
  <si>
    <t>N190X</t>
  </si>
  <si>
    <t>0082817976</t>
  </si>
  <si>
    <t>000200554650</t>
  </si>
  <si>
    <t>0002434265</t>
  </si>
  <si>
    <t>000200554613</t>
  </si>
  <si>
    <t>0002434257</t>
  </si>
  <si>
    <t>000200555830</t>
  </si>
  <si>
    <t>0002436376</t>
  </si>
  <si>
    <t>22020783</t>
  </si>
  <si>
    <t>PX9406-780-BAG-00-00-00</t>
  </si>
  <si>
    <t>4502885097</t>
  </si>
  <si>
    <t>PX9406</t>
  </si>
  <si>
    <t>000200557908</t>
  </si>
  <si>
    <t>299905280</t>
  </si>
  <si>
    <t>N225X-7G2A4392</t>
  </si>
  <si>
    <t>0002440508</t>
  </si>
  <si>
    <t>7G2A4392</t>
  </si>
  <si>
    <t>000200545492</t>
  </si>
  <si>
    <t>0002417928</t>
  </si>
  <si>
    <t>0002354002</t>
  </si>
  <si>
    <t>000200516975</t>
  </si>
  <si>
    <t>22017766</t>
  </si>
  <si>
    <t>FNH2160-780-BAG-00-00-00</t>
  </si>
  <si>
    <t>0002367784</t>
  </si>
  <si>
    <t>FNH2160</t>
  </si>
  <si>
    <t>0087157860</t>
  </si>
  <si>
    <t>22023605</t>
  </si>
  <si>
    <t>HS2000X-111-BAG-00-00-00</t>
  </si>
  <si>
    <t>0095432261</t>
  </si>
  <si>
    <t>0/10:19:37</t>
  </si>
  <si>
    <t>000200545493</t>
  </si>
  <si>
    <t>0002417933</t>
  </si>
  <si>
    <t>0095453254</t>
  </si>
  <si>
    <t>0095453418</t>
  </si>
  <si>
    <t>0002417455</t>
  </si>
  <si>
    <t>000200554616</t>
  </si>
  <si>
    <t>0002434269</t>
  </si>
  <si>
    <t>0002417783</t>
  </si>
  <si>
    <t>0094872437</t>
  </si>
  <si>
    <t>0095448251</t>
  </si>
  <si>
    <t>0082237946</t>
  </si>
  <si>
    <t>0095448308</t>
  </si>
  <si>
    <t>0083582097</t>
  </si>
  <si>
    <t>0092864582</t>
  </si>
  <si>
    <t>0002348655</t>
  </si>
  <si>
    <t>000200543652</t>
  </si>
  <si>
    <t>22037390</t>
  </si>
  <si>
    <t>PX9406P-BK2D115-BAG-00-00-00</t>
  </si>
  <si>
    <t>0002414604</t>
  </si>
  <si>
    <t>PX9406P</t>
  </si>
  <si>
    <t>BK2D115</t>
  </si>
  <si>
    <t>000200526395</t>
  </si>
  <si>
    <t>0095453257</t>
  </si>
  <si>
    <t>000200513144</t>
  </si>
  <si>
    <t>22066660</t>
  </si>
  <si>
    <t>GFN1F-701S-BAG-00-00-00</t>
  </si>
  <si>
    <t>0002360952</t>
  </si>
  <si>
    <t>GFN1F</t>
  </si>
  <si>
    <t>000200554684</t>
  </si>
  <si>
    <t>0002434274</t>
  </si>
  <si>
    <t>WSHAEXL03_PC51_008</t>
  </si>
  <si>
    <t>0/18:01:05</t>
  </si>
  <si>
    <t>NC</t>
  </si>
  <si>
    <t>22030748</t>
  </si>
  <si>
    <t>141R-GY6A427-BAG-00-00-00</t>
  </si>
  <si>
    <t>141R</t>
  </si>
  <si>
    <t>GY6A427</t>
  </si>
  <si>
    <t>0/18:22:03</t>
  </si>
  <si>
    <t>943A</t>
  </si>
  <si>
    <t>22017646</t>
  </si>
  <si>
    <t>945A-116-BAG-00-00-00</t>
  </si>
  <si>
    <t>945A</t>
  </si>
  <si>
    <t>0/09:11:02</t>
  </si>
  <si>
    <t>ML7694</t>
  </si>
  <si>
    <t>22019556</t>
  </si>
  <si>
    <t>940-GY6123-BAG-00-00-00</t>
  </si>
  <si>
    <t>GY6123</t>
  </si>
  <si>
    <t>22105472</t>
  </si>
  <si>
    <t>121R-GY8F074-SSS-00-00-00</t>
  </si>
  <si>
    <t>0/09:00:32</t>
  </si>
  <si>
    <t>121R</t>
  </si>
  <si>
    <t>GY8F074</t>
  </si>
  <si>
    <t>SSS</t>
  </si>
  <si>
    <t>000200547573</t>
  </si>
  <si>
    <t>22037112</t>
  </si>
  <si>
    <t>ML7694-WH8G785-BAG-00-00-00</t>
  </si>
  <si>
    <t>0002420739</t>
  </si>
  <si>
    <t>WH8G785</t>
  </si>
  <si>
    <t>000200551565</t>
  </si>
  <si>
    <t>22033617</t>
  </si>
  <si>
    <t>3412R-8375-BAG-00-00-00</t>
  </si>
  <si>
    <t>0002428072</t>
  </si>
  <si>
    <t>3412R</t>
  </si>
  <si>
    <t>22019277</t>
  </si>
  <si>
    <t>241R-111-BAG-00-00-00</t>
  </si>
  <si>
    <t>0002343946</t>
  </si>
  <si>
    <t>241R</t>
  </si>
  <si>
    <t>22037110</t>
  </si>
  <si>
    <t>ML7694-GY8E536-BAG-00-00-00</t>
  </si>
  <si>
    <t>GY8E536</t>
  </si>
  <si>
    <t>22039171</t>
  </si>
  <si>
    <t>943-GY8D440-BAG-00-00-00</t>
  </si>
  <si>
    <t>GY8D440</t>
  </si>
  <si>
    <t>CX7240</t>
  </si>
  <si>
    <t>8B6D009</t>
  </si>
  <si>
    <t>000200551300</t>
  </si>
  <si>
    <t>22032291</t>
  </si>
  <si>
    <t>FXD171R-WH6E057X-BAG-00-00-00</t>
  </si>
  <si>
    <t>0002427743</t>
  </si>
  <si>
    <t>FXD171R</t>
  </si>
  <si>
    <t>WH6E057X</t>
  </si>
  <si>
    <t>0002431937</t>
  </si>
  <si>
    <t>000200547782</t>
  </si>
  <si>
    <t>000200503184</t>
  </si>
  <si>
    <t>0089022780</t>
  </si>
  <si>
    <t>0002386391</t>
  </si>
  <si>
    <t>000200554937</t>
  </si>
  <si>
    <t>22031255</t>
  </si>
  <si>
    <t>505RU-YW6E070-BAG-00-00-00</t>
  </si>
  <si>
    <t>0/04:30:16</t>
  </si>
  <si>
    <t>0002435067</t>
  </si>
  <si>
    <t>505RU</t>
  </si>
  <si>
    <t>YW6E070</t>
  </si>
  <si>
    <t>0002389224</t>
  </si>
  <si>
    <t>000200546358</t>
  </si>
  <si>
    <t>22034983</t>
  </si>
  <si>
    <t>C2800-7T8D612-BAG-00-00-00</t>
  </si>
  <si>
    <t>0002419093</t>
  </si>
  <si>
    <t>C2800</t>
  </si>
  <si>
    <t>7T8D612</t>
  </si>
  <si>
    <t>000200537043</t>
  </si>
  <si>
    <t>22029849</t>
  </si>
  <si>
    <t>505RU-WH8E372-BAG-00-00-00</t>
  </si>
  <si>
    <t>0002402343</t>
  </si>
  <si>
    <t>WH8E372</t>
  </si>
  <si>
    <t>000200555869</t>
  </si>
  <si>
    <t>COYFR1O</t>
  </si>
  <si>
    <t>0002436384</t>
  </si>
  <si>
    <t>000200519213</t>
  </si>
  <si>
    <t>0002371076</t>
  </si>
  <si>
    <t>0095453260</t>
  </si>
  <si>
    <t>0002420504</t>
  </si>
  <si>
    <t>22019707</t>
  </si>
  <si>
    <t>C6200-111-BAG-00-00-00</t>
  </si>
  <si>
    <t>0002393009</t>
  </si>
  <si>
    <t>0002392997</t>
  </si>
  <si>
    <t>000200536971</t>
  </si>
  <si>
    <t>0002402358</t>
  </si>
  <si>
    <t>WH5185</t>
  </si>
  <si>
    <t>000200536950</t>
  </si>
  <si>
    <t>22018200</t>
  </si>
  <si>
    <t>500R-GY5G048-BAG-00-00-00</t>
  </si>
  <si>
    <t>0002400921</t>
  </si>
  <si>
    <t>GY5G048</t>
  </si>
  <si>
    <t>000200558985</t>
  </si>
  <si>
    <t>0002442708</t>
  </si>
  <si>
    <t>C6600</t>
  </si>
  <si>
    <t>8M9D029</t>
  </si>
  <si>
    <t>000200550430</t>
  </si>
  <si>
    <t>0002426026</t>
  </si>
  <si>
    <t>000200550431</t>
  </si>
  <si>
    <t>0/13:30:49</t>
  </si>
  <si>
    <t>0089048709</t>
  </si>
  <si>
    <t>0095455774</t>
  </si>
  <si>
    <t>0002061178</t>
  </si>
  <si>
    <t>940A</t>
  </si>
  <si>
    <t>000200547785</t>
  </si>
  <si>
    <t>22039645</t>
  </si>
  <si>
    <t>C6200-WH9E666-BAG-00-00-00</t>
  </si>
  <si>
    <t>0002420743</t>
  </si>
  <si>
    <t>WH9E666</t>
  </si>
  <si>
    <t>000200410338</t>
  </si>
  <si>
    <t>0/07:12:26</t>
  </si>
  <si>
    <t>0002178165</t>
  </si>
  <si>
    <t>LS2</t>
  </si>
  <si>
    <t>000200547486</t>
  </si>
  <si>
    <t>0002420585</t>
  </si>
  <si>
    <t>YW8295S</t>
  </si>
  <si>
    <t>000200497257</t>
  </si>
  <si>
    <t>22039644</t>
  </si>
  <si>
    <t>C6200-WH9D397-BAG-00-00-00</t>
  </si>
  <si>
    <t>0002337995</t>
  </si>
  <si>
    <t>WH9D397</t>
  </si>
  <si>
    <t>000200543694</t>
  </si>
  <si>
    <t>0002414703</t>
  </si>
  <si>
    <t>0092463176</t>
  </si>
  <si>
    <t>0002403620</t>
  </si>
  <si>
    <t>000200558966</t>
  </si>
  <si>
    <t>22030479</t>
  </si>
  <si>
    <t>HF1130-RD5E094T-BAG-00-00-00</t>
  </si>
  <si>
    <t>0002442709</t>
  </si>
  <si>
    <t>HF1130</t>
  </si>
  <si>
    <t>RD5E094T</t>
  </si>
  <si>
    <t>22031866</t>
  </si>
  <si>
    <t>CX7240-8N9D079-BAG-00-00-00</t>
  </si>
  <si>
    <t>8N9D079</t>
  </si>
  <si>
    <t>22018354</t>
  </si>
  <si>
    <t>C6200-701-BAG-00-00-00</t>
  </si>
  <si>
    <t>3413R</t>
  </si>
  <si>
    <t>WSHAEXL04_PC51_008</t>
  </si>
  <si>
    <t>22041318</t>
  </si>
  <si>
    <t>PX9406P-7001-BAG-00-00-00</t>
  </si>
  <si>
    <t>0/11:53:00</t>
  </si>
  <si>
    <t>0/11:46:18</t>
  </si>
  <si>
    <t>0002379239</t>
  </si>
  <si>
    <t>0089698607</t>
  </si>
  <si>
    <t>0087083635</t>
  </si>
  <si>
    <t>0087586004</t>
  </si>
  <si>
    <t>000200548762</t>
  </si>
  <si>
    <t>0002422638</t>
  </si>
  <si>
    <t>7M1D051</t>
  </si>
  <si>
    <t>0087083636</t>
  </si>
  <si>
    <t>0002346817</t>
  </si>
  <si>
    <t>0087083637</t>
  </si>
  <si>
    <t>0087083638</t>
  </si>
  <si>
    <t>0087083639</t>
  </si>
  <si>
    <t>0087083640</t>
  </si>
  <si>
    <t>0093230082</t>
  </si>
  <si>
    <t>0087083641</t>
  </si>
  <si>
    <t>0093228794</t>
  </si>
  <si>
    <t>0088211724</t>
  </si>
  <si>
    <t>000200530716</t>
  </si>
  <si>
    <t>0002346810</t>
  </si>
  <si>
    <t>0082808246</t>
  </si>
  <si>
    <t>22024902</t>
  </si>
  <si>
    <t>SE100X-701-BAG-00-00-00</t>
  </si>
  <si>
    <t>0002290360</t>
  </si>
  <si>
    <t>SE100X</t>
  </si>
  <si>
    <t>0085134294</t>
  </si>
  <si>
    <t>0002241775</t>
  </si>
  <si>
    <t>0085135126</t>
  </si>
  <si>
    <t>0082808247</t>
  </si>
  <si>
    <t>0086323195</t>
  </si>
  <si>
    <t>0086323578</t>
  </si>
  <si>
    <t>0086323579</t>
  </si>
  <si>
    <t>0086323984</t>
  </si>
  <si>
    <t>0082807105</t>
  </si>
  <si>
    <t>0095436690</t>
  </si>
  <si>
    <t>0095436691</t>
  </si>
  <si>
    <t>0095436692</t>
  </si>
  <si>
    <t>0095434597</t>
  </si>
  <si>
    <t>0002379247</t>
  </si>
  <si>
    <t>WSHAEXL05_PC51_008</t>
  </si>
  <si>
    <t>22079713</t>
  </si>
  <si>
    <t>WCA875-111-SBG-00-00-00</t>
  </si>
  <si>
    <t>NORWC1O</t>
  </si>
  <si>
    <t>WCA875</t>
  </si>
  <si>
    <t>SBG</t>
  </si>
  <si>
    <t>WCD915</t>
  </si>
  <si>
    <t>1/06:06:46</t>
  </si>
  <si>
    <t>000200556933</t>
  </si>
  <si>
    <t>22040939</t>
  </si>
  <si>
    <t>IGN5531-71003-BAG-00-00-00</t>
  </si>
  <si>
    <t>IGN5531</t>
  </si>
  <si>
    <t>22074238</t>
  </si>
  <si>
    <t>ENG265F-8746S-BAG-00-00-00</t>
  </si>
  <si>
    <t>ENG265F</t>
  </si>
  <si>
    <t>8746S</t>
  </si>
  <si>
    <t>0/05:46:49</t>
  </si>
  <si>
    <t>WCD931</t>
  </si>
  <si>
    <t>NORWC7O</t>
  </si>
  <si>
    <t>WCD855</t>
  </si>
  <si>
    <t>22020062</t>
  </si>
  <si>
    <t>FN215X-780-BAG-00-00-00</t>
  </si>
  <si>
    <t>FN215X</t>
  </si>
  <si>
    <t>22080585</t>
  </si>
  <si>
    <t>WCD841U-7A8D032-SBG-00-00-00</t>
  </si>
  <si>
    <t>NORWCGLO</t>
  </si>
  <si>
    <t>WCD841U</t>
  </si>
  <si>
    <t>7A8D032</t>
  </si>
  <si>
    <t>SE100V</t>
  </si>
  <si>
    <t>22030635</t>
  </si>
  <si>
    <t>PX2907-75008-BAG-00-00-00</t>
  </si>
  <si>
    <t>PX2907</t>
  </si>
  <si>
    <t>N1050</t>
  </si>
  <si>
    <t>0/02:53:25</t>
  </si>
  <si>
    <t>PX1005X</t>
  </si>
  <si>
    <t>22036995</t>
  </si>
  <si>
    <t>PX2790C-7001-BAG-00-00-00</t>
  </si>
  <si>
    <t>PX2790C</t>
  </si>
  <si>
    <t>000200544534</t>
  </si>
  <si>
    <t>22036466</t>
  </si>
  <si>
    <t>HS2000X-GY3E193-BAG-00-00-00</t>
  </si>
  <si>
    <t>GY3E193</t>
  </si>
  <si>
    <t>22080572</t>
  </si>
  <si>
    <t>WCD915-8A7D027-SBG-00-00-00</t>
  </si>
  <si>
    <t>8A7D027</t>
  </si>
  <si>
    <t>22036955</t>
  </si>
  <si>
    <t>PVX1201-BK1066-BAG-00-00-00</t>
  </si>
  <si>
    <t>PVX1201</t>
  </si>
  <si>
    <t>PX2801Z</t>
  </si>
  <si>
    <t>22080571</t>
  </si>
  <si>
    <t>WCD915-7A1D285-SBG-00-00-00</t>
  </si>
  <si>
    <t>7A1D285</t>
  </si>
  <si>
    <t>0/14:27:03</t>
  </si>
  <si>
    <t>000200553492</t>
  </si>
  <si>
    <t>22032998</t>
  </si>
  <si>
    <t>WCD855-BK1066-SBG-00-00-00</t>
  </si>
  <si>
    <t>0002431844</t>
  </si>
  <si>
    <t>22041386</t>
  </si>
  <si>
    <t>WCD931-BK1066-SBG-00-00-00</t>
  </si>
  <si>
    <t>NOR2DO</t>
  </si>
  <si>
    <t>000200523386</t>
  </si>
  <si>
    <t>299901228</t>
  </si>
  <si>
    <t>731S-7G6A0882F</t>
  </si>
  <si>
    <t>0002377296</t>
  </si>
  <si>
    <t>7G6A0882F</t>
  </si>
  <si>
    <t>000200549304</t>
  </si>
  <si>
    <t>0002423758</t>
  </si>
  <si>
    <t>000200556058</t>
  </si>
  <si>
    <t>22029876</t>
  </si>
  <si>
    <t>731S-WH4C053F-BAG-00-00-00</t>
  </si>
  <si>
    <t>0002437092</t>
  </si>
  <si>
    <t>WH4C053F</t>
  </si>
  <si>
    <t>000200554583</t>
  </si>
  <si>
    <t>0002433959</t>
  </si>
  <si>
    <t>4503023506</t>
  </si>
  <si>
    <t>000200528329</t>
  </si>
  <si>
    <t>0002385184</t>
  </si>
  <si>
    <t>000200551354</t>
  </si>
  <si>
    <t>22040658</t>
  </si>
  <si>
    <t>FN215X-GY9B297-BAG-00-00-00</t>
  </si>
  <si>
    <t>0002427745</t>
  </si>
  <si>
    <t>GY9B297</t>
  </si>
  <si>
    <t>000200556897</t>
  </si>
  <si>
    <t>22040882</t>
  </si>
  <si>
    <t>PX0844-WH7G057-BAG-00-00-00</t>
  </si>
  <si>
    <t>0002438679</t>
  </si>
  <si>
    <t>PX0844</t>
  </si>
  <si>
    <t>WH7G057</t>
  </si>
  <si>
    <t>000200556875</t>
  </si>
  <si>
    <t>0002438592</t>
  </si>
  <si>
    <t>000200553525</t>
  </si>
  <si>
    <t>22032902</t>
  </si>
  <si>
    <t>SE100V-BK1066-BAG-00-00-00</t>
  </si>
  <si>
    <t>0002431867</t>
  </si>
  <si>
    <t>000200558160</t>
  </si>
  <si>
    <t>22036957</t>
  </si>
  <si>
    <t>PX0844-7001-BAG-00-00-00</t>
  </si>
  <si>
    <t>0002441088</t>
  </si>
  <si>
    <t>22040815</t>
  </si>
  <si>
    <t>N1050-BL2G084-BAG-00-00-00</t>
  </si>
  <si>
    <t>BL2G084</t>
  </si>
  <si>
    <t>000200559005</t>
  </si>
  <si>
    <t>299902974</t>
  </si>
  <si>
    <t>SE1X-8G8A2562</t>
  </si>
  <si>
    <t>0002441053</t>
  </si>
  <si>
    <t>8G8A2562</t>
  </si>
  <si>
    <t>000200532482</t>
  </si>
  <si>
    <t>22037192</t>
  </si>
  <si>
    <t>N1150-BK1066-BAG-00-00-00</t>
  </si>
  <si>
    <t>0/03:45:26</t>
  </si>
  <si>
    <t>0002393825</t>
  </si>
  <si>
    <t>N1150</t>
  </si>
  <si>
    <t>000200547846</t>
  </si>
  <si>
    <t>0002421018</t>
  </si>
  <si>
    <t>000200543574</t>
  </si>
  <si>
    <t>0002414576</t>
  </si>
  <si>
    <t>000200497023</t>
  </si>
  <si>
    <t>22020355</t>
  </si>
  <si>
    <t>HS2000X-GY8D625-BAG-00-00-00</t>
  </si>
  <si>
    <t>NORGLO</t>
  </si>
  <si>
    <t>0002337532</t>
  </si>
  <si>
    <t>GY8D625</t>
  </si>
  <si>
    <t>000200488681</t>
  </si>
  <si>
    <t>0/17:20:28</t>
  </si>
  <si>
    <t>0002281899</t>
  </si>
  <si>
    <t>000200487847</t>
  </si>
  <si>
    <t>0002281896</t>
  </si>
  <si>
    <t>000200557202</t>
  </si>
  <si>
    <t>22023608</t>
  </si>
  <si>
    <t>HS2000X-8952-BAG-00-00-00</t>
  </si>
  <si>
    <t>0002436401</t>
  </si>
  <si>
    <t>000200550354</t>
  </si>
  <si>
    <t>22028763</t>
  </si>
  <si>
    <t>FN215X-111-BAG-00-00-00</t>
  </si>
  <si>
    <t>NOR1O</t>
  </si>
  <si>
    <t>0002426023</t>
  </si>
  <si>
    <t>000200507022</t>
  </si>
  <si>
    <t>22037377</t>
  </si>
  <si>
    <t>PX9406-GY8D396-BAG-00-00-00</t>
  </si>
  <si>
    <t>0002350635</t>
  </si>
  <si>
    <t>GY8D396</t>
  </si>
  <si>
    <t>000200558294</t>
  </si>
  <si>
    <t>22032732</t>
  </si>
  <si>
    <t>PX9406P-GY5E492-BAG-00-00-00</t>
  </si>
  <si>
    <t>0002441302</t>
  </si>
  <si>
    <t>GY5E492</t>
  </si>
  <si>
    <t>22060061</t>
  </si>
  <si>
    <t>NH6020-100-BAG-00-00-00</t>
  </si>
  <si>
    <t>2/09:48:12</t>
  </si>
  <si>
    <t>NH6020</t>
  </si>
  <si>
    <t>000200556887</t>
  </si>
  <si>
    <t>22023022</t>
  </si>
  <si>
    <t>FN215X-701-BAG-00-00-00</t>
  </si>
  <si>
    <t>0002438597</t>
  </si>
  <si>
    <t>000200520322</t>
  </si>
  <si>
    <t>WSHAEXL06_PC51_008</t>
  </si>
  <si>
    <t>0/23:51:59</t>
  </si>
  <si>
    <t>WCD933</t>
  </si>
  <si>
    <t>0089115170</t>
  </si>
  <si>
    <t>22073242</t>
  </si>
  <si>
    <t>IGN5531-71003-SSS-00-00-00</t>
  </si>
  <si>
    <t>4502979334</t>
  </si>
  <si>
    <t>0089115169</t>
  </si>
  <si>
    <t>4502979331</t>
  </si>
  <si>
    <t>22041126</t>
  </si>
  <si>
    <t>WCA105-111-SBG-00-00-00</t>
  </si>
  <si>
    <t>4503032676</t>
  </si>
  <si>
    <t>WCA105</t>
  </si>
  <si>
    <t>000200541918</t>
  </si>
  <si>
    <t>22037127</t>
  </si>
  <si>
    <t>SE1GFN2-960-BAG-00-00-00</t>
  </si>
  <si>
    <t>0002411503</t>
  </si>
  <si>
    <t>0089117216</t>
  </si>
  <si>
    <t>4502979325</t>
  </si>
  <si>
    <t>000200553742</t>
  </si>
  <si>
    <t>22037129</t>
  </si>
  <si>
    <t>SE1GFN2-GY2E307-BAG-00-00-00</t>
  </si>
  <si>
    <t>0002432276</t>
  </si>
  <si>
    <t>GY2E307</t>
  </si>
  <si>
    <t>000200553710</t>
  </si>
  <si>
    <t>22065527</t>
  </si>
  <si>
    <t>SE1GFN2-OR6H001-BAG-00-00-00</t>
  </si>
  <si>
    <t>0002432261</t>
  </si>
  <si>
    <t>OR6H001</t>
  </si>
  <si>
    <t>0089115171</t>
  </si>
  <si>
    <t>4502979336</t>
  </si>
  <si>
    <t>0089115172</t>
  </si>
  <si>
    <t>4502979488</t>
  </si>
  <si>
    <t>000200497083</t>
  </si>
  <si>
    <t>22022815</t>
  </si>
  <si>
    <t>EX130-770-BAG-00-00-00</t>
  </si>
  <si>
    <t>0002335602</t>
  </si>
  <si>
    <t>EX130</t>
  </si>
  <si>
    <t>000200498241</t>
  </si>
  <si>
    <t>22080201</t>
  </si>
  <si>
    <t>WCD933-4A8D008-SBG-00-00-00</t>
  </si>
  <si>
    <t>0/00:42:58</t>
  </si>
  <si>
    <t>0002249448</t>
  </si>
  <si>
    <t>4A8D008</t>
  </si>
  <si>
    <t>000200554533</t>
  </si>
  <si>
    <t>22024528</t>
  </si>
  <si>
    <t>NH7010-GY6G005-BAG-00-00-00</t>
  </si>
  <si>
    <t>0/04:42:49</t>
  </si>
  <si>
    <t>0002433973</t>
  </si>
  <si>
    <t>NH7010</t>
  </si>
  <si>
    <t>GY6G005</t>
  </si>
  <si>
    <t>WSHAEXL07_PC51_008</t>
  </si>
  <si>
    <t>22021162</t>
  </si>
  <si>
    <t>1010-7101-BAG-00-00-00</t>
  </si>
  <si>
    <t>ULT7O</t>
  </si>
  <si>
    <t>0/02:46:40</t>
  </si>
  <si>
    <t>0/04:58:50</t>
  </si>
  <si>
    <t>22030661</t>
  </si>
  <si>
    <t>1000-BR7095-BAG-00-00-00</t>
  </si>
  <si>
    <t>0/01:23:20</t>
  </si>
  <si>
    <t>ULT5DO</t>
  </si>
  <si>
    <t>BR7095</t>
  </si>
  <si>
    <t>0/04:37:47</t>
  </si>
  <si>
    <t>22106119</t>
  </si>
  <si>
    <t>EF004XXP-7A2A3913-BAG-00-00-00</t>
  </si>
  <si>
    <t>EF004XXP</t>
  </si>
  <si>
    <t>7A2A3913</t>
  </si>
  <si>
    <t>0/09:57:40</t>
  </si>
  <si>
    <t>22033123</t>
  </si>
  <si>
    <t>1000-BL3122-BAG-00-00-00</t>
  </si>
  <si>
    <t>ULT2DO</t>
  </si>
  <si>
    <t>BL3122</t>
  </si>
  <si>
    <t>0/00:55:33</t>
  </si>
  <si>
    <t>0/18:31:07</t>
  </si>
  <si>
    <t>1000R</t>
  </si>
  <si>
    <t>ULTF7O</t>
  </si>
  <si>
    <t>NOROO</t>
  </si>
  <si>
    <t>000200548688</t>
  </si>
  <si>
    <t>0/13:53:20</t>
  </si>
  <si>
    <t>22037004</t>
  </si>
  <si>
    <t>PX2801Z-OR8B008-BAG-00-00-00</t>
  </si>
  <si>
    <t>OR8B008</t>
  </si>
  <si>
    <t>000200542798</t>
  </si>
  <si>
    <t>3/03:00:00</t>
  </si>
  <si>
    <t>000200556186</t>
  </si>
  <si>
    <t>22021108</t>
  </si>
  <si>
    <t>1000-7A1D252-BAG-00-00-00</t>
  </si>
  <si>
    <t>7A1D252</t>
  </si>
  <si>
    <t>000200549302</t>
  </si>
  <si>
    <t>22032822</t>
  </si>
  <si>
    <t>PVX0901-GY3E986-BAG-00-00-00</t>
  </si>
  <si>
    <t>0002423929</t>
  </si>
  <si>
    <t>GY3E986</t>
  </si>
  <si>
    <t>22030590</t>
  </si>
  <si>
    <t>SE1GFN2-RD4E104-BAG-00-00-00</t>
  </si>
  <si>
    <t>0002432269</t>
  </si>
  <si>
    <t>RD4E104</t>
  </si>
  <si>
    <t>22029747</t>
  </si>
  <si>
    <t>2110EPR-7301-BAG-00-00-00</t>
  </si>
  <si>
    <t>2110EPR</t>
  </si>
  <si>
    <t>000200553431</t>
  </si>
  <si>
    <t>0002431853</t>
  </si>
  <si>
    <t>000200552413</t>
  </si>
  <si>
    <t>299903594</t>
  </si>
  <si>
    <t>GFN20-GY61131</t>
  </si>
  <si>
    <t>0002429698</t>
  </si>
  <si>
    <t>GY61131</t>
  </si>
  <si>
    <t>000200544366</t>
  </si>
  <si>
    <t>22037213</t>
  </si>
  <si>
    <t>N190X-111-BAG-00-00-00</t>
  </si>
  <si>
    <t>0/09:15:33</t>
  </si>
  <si>
    <t>0002415795</t>
  </si>
  <si>
    <t>ULT6DO</t>
  </si>
  <si>
    <t>000200537537</t>
  </si>
  <si>
    <t>0002403659</t>
  </si>
  <si>
    <t>22035092</t>
  </si>
  <si>
    <t>CN1134-BK1066-BAG-00-00-00</t>
  </si>
  <si>
    <t>0002413361</t>
  </si>
  <si>
    <t>CN1134</t>
  </si>
  <si>
    <t>000200525397</t>
  </si>
  <si>
    <t>0002380677</t>
  </si>
  <si>
    <t>22021479</t>
  </si>
  <si>
    <t>2110-7301-BAG-00-00-00</t>
  </si>
  <si>
    <t>000200554696</t>
  </si>
  <si>
    <t>22021142</t>
  </si>
  <si>
    <t>1000R-7101-BAG-00-00-00</t>
  </si>
  <si>
    <t>0002434304</t>
  </si>
  <si>
    <t>000200549056</t>
  </si>
  <si>
    <t>22032641</t>
  </si>
  <si>
    <t>N225Z-BK1066-BAG-00-00-00</t>
  </si>
  <si>
    <t>0002417213</t>
  </si>
  <si>
    <t>N225Z</t>
  </si>
  <si>
    <t>22033128</t>
  </si>
  <si>
    <t>1000-BL7079-BAG-00-00-00</t>
  </si>
  <si>
    <t>BL7079</t>
  </si>
  <si>
    <t>22041234</t>
  </si>
  <si>
    <t>N300-701-BAG-00-00-00</t>
  </si>
  <si>
    <t>N300</t>
  </si>
  <si>
    <t>000200547390</t>
  </si>
  <si>
    <t>0002420511</t>
  </si>
  <si>
    <t>000200556038</t>
  </si>
  <si>
    <t>299905197</t>
  </si>
  <si>
    <t>HS2000X-7G2A4340</t>
  </si>
  <si>
    <t>0002436919</t>
  </si>
  <si>
    <t>7G2A4340</t>
  </si>
  <si>
    <t>0/00:13:53</t>
  </si>
  <si>
    <t>000200548583</t>
  </si>
  <si>
    <t>0002417748</t>
  </si>
  <si>
    <t>000200514624</t>
  </si>
  <si>
    <t>22033153</t>
  </si>
  <si>
    <t>1000R-GN3B032-BAG-00-00-00</t>
  </si>
  <si>
    <t>ULT3DO</t>
  </si>
  <si>
    <t>0002363932</t>
  </si>
  <si>
    <t>GN3B032</t>
  </si>
  <si>
    <t>000200532787</t>
  </si>
  <si>
    <t>0002394503</t>
  </si>
  <si>
    <t>000200531593</t>
  </si>
  <si>
    <t>22037979</t>
  </si>
  <si>
    <t>1000R-GN6D040-BAG-00-00-00</t>
  </si>
  <si>
    <t>0002391765</t>
  </si>
  <si>
    <t>GN6D040</t>
  </si>
  <si>
    <t>000200531540</t>
  </si>
  <si>
    <t>22033154</t>
  </si>
  <si>
    <t>1000R-RD6B018-BAG-00-00-00</t>
  </si>
  <si>
    <t>0002391769</t>
  </si>
  <si>
    <t>RD6B018</t>
  </si>
  <si>
    <t>000200531538</t>
  </si>
  <si>
    <t>22019073</t>
  </si>
  <si>
    <t>1000R-GY2B087-BAG-00-00-00</t>
  </si>
  <si>
    <t>0/01:51:07</t>
  </si>
  <si>
    <t>ULTGDO</t>
  </si>
  <si>
    <t>0002391753</t>
  </si>
  <si>
    <t>GY2B087</t>
  </si>
  <si>
    <t>000200555895</t>
  </si>
  <si>
    <t>22031532</t>
  </si>
  <si>
    <t>C2950-7T1D250-BAG-00-00-00</t>
  </si>
  <si>
    <t>0002436427</t>
  </si>
  <si>
    <t>7T1D250</t>
  </si>
  <si>
    <t>000200556954</t>
  </si>
  <si>
    <t>0002438627</t>
  </si>
  <si>
    <t>000200534688</t>
  </si>
  <si>
    <t>0002398072</t>
  </si>
  <si>
    <t>000200546370</t>
  </si>
  <si>
    <t>0002410895</t>
  </si>
  <si>
    <t>000200510318</t>
  </si>
  <si>
    <t>22021106</t>
  </si>
  <si>
    <t>1000-7101-BAG-00-00-00</t>
  </si>
  <si>
    <t>0002355755</t>
  </si>
  <si>
    <t>000200546846</t>
  </si>
  <si>
    <t>0002417385</t>
  </si>
  <si>
    <t>000200546893</t>
  </si>
  <si>
    <t>0002417370</t>
  </si>
  <si>
    <t>000200533505</t>
  </si>
  <si>
    <t>0002394467</t>
  </si>
  <si>
    <t>000200536077</t>
  </si>
  <si>
    <t>0002400395</t>
  </si>
  <si>
    <t>22038257</t>
  </si>
  <si>
    <t>925-7T6D157-BAG-00-00-00</t>
  </si>
  <si>
    <t>7T6D157</t>
  </si>
  <si>
    <t>WSHAEXL08_PC51_008</t>
  </si>
  <si>
    <t>22026893</t>
  </si>
  <si>
    <t>325-1001-BAG-00-00-00</t>
  </si>
  <si>
    <t>0/07:34:33</t>
  </si>
  <si>
    <t>VAL1O</t>
  </si>
  <si>
    <t>22033797</t>
  </si>
  <si>
    <t>5220U-7A1D007-BAG-00-00-00</t>
  </si>
  <si>
    <t>0/03:47:16</t>
  </si>
  <si>
    <t>XEN7O</t>
  </si>
  <si>
    <t>5220U</t>
  </si>
  <si>
    <t>7A1D007</t>
  </si>
  <si>
    <t>22044799</t>
  </si>
  <si>
    <t>505RU-8A8D114-BAG-00-00-00</t>
  </si>
  <si>
    <t>8A8D114</t>
  </si>
  <si>
    <t>22022996</t>
  </si>
  <si>
    <t>ENH2900-8A9D020-BAG-00-00-00</t>
  </si>
  <si>
    <t>ENH2900</t>
  </si>
  <si>
    <t>8A9D020</t>
  </si>
  <si>
    <t>22031252</t>
  </si>
  <si>
    <t>505RU-7T8D558-BAG-00-00-00</t>
  </si>
  <si>
    <t>7T8D558</t>
  </si>
  <si>
    <t>000200554619</t>
  </si>
  <si>
    <t>22106541</t>
  </si>
  <si>
    <t>5220UC-6A3A2760-BAG-00-00-00</t>
  </si>
  <si>
    <t>5220UC</t>
  </si>
  <si>
    <t>6A3A2760</t>
  </si>
  <si>
    <t>0/00:11:22</t>
  </si>
  <si>
    <t>CX2244ME</t>
  </si>
  <si>
    <t>22019812</t>
  </si>
  <si>
    <t>CX7240-7A1D002-BAG-00-00-00</t>
  </si>
  <si>
    <t>7A1D002</t>
  </si>
  <si>
    <t>103R</t>
  </si>
  <si>
    <t>EXL1414T</t>
  </si>
  <si>
    <t>000200557840</t>
  </si>
  <si>
    <t>22033780</t>
  </si>
  <si>
    <t>505RU-7A1D069-BAG-00-00-00</t>
  </si>
  <si>
    <t>0/00:34:05</t>
  </si>
  <si>
    <t>7A1D069</t>
  </si>
  <si>
    <t>000200554944</t>
  </si>
  <si>
    <t>0002434920</t>
  </si>
  <si>
    <t>000200559008</t>
  </si>
  <si>
    <t>0/08:54:05</t>
  </si>
  <si>
    <t>CM6140</t>
  </si>
  <si>
    <t>000200556087</t>
  </si>
  <si>
    <t>0/15:09:05</t>
  </si>
  <si>
    <t>0002436899</t>
  </si>
  <si>
    <t>000200514409</t>
  </si>
  <si>
    <t>22030185</t>
  </si>
  <si>
    <t>ENH2900-8P9D011-BAG-00-00-00</t>
  </si>
  <si>
    <t>0002363318</t>
  </si>
  <si>
    <t>8P9D011</t>
  </si>
  <si>
    <t>000200556885</t>
  </si>
  <si>
    <t>0002438583</t>
  </si>
  <si>
    <t>BFL4000U</t>
  </si>
  <si>
    <t>WH3150</t>
  </si>
  <si>
    <t>000200546458</t>
  </si>
  <si>
    <t>22038378</t>
  </si>
  <si>
    <t>945-7P1D051-BAG-00-00-00</t>
  </si>
  <si>
    <t>0002419116</t>
  </si>
  <si>
    <t>7P1D051</t>
  </si>
  <si>
    <t>000200543607</t>
  </si>
  <si>
    <t>5/16:21:49</t>
  </si>
  <si>
    <t>0002414464</t>
  </si>
  <si>
    <t>000200552284</t>
  </si>
  <si>
    <t>22029311</t>
  </si>
  <si>
    <t>CM6140-7R1D137-BAG-00-00-00</t>
  </si>
  <si>
    <t>0002429451</t>
  </si>
  <si>
    <t>7R1D137</t>
  </si>
  <si>
    <t>WSHAEXL09_PC51_008</t>
  </si>
  <si>
    <t>0/00:42:51</t>
  </si>
  <si>
    <t>143R</t>
  </si>
  <si>
    <t>000200545325</t>
  </si>
  <si>
    <t>0/22:38:37</t>
  </si>
  <si>
    <t>1/13:44:21</t>
  </si>
  <si>
    <t>LEXFR2DT</t>
  </si>
  <si>
    <t>22033256</t>
  </si>
  <si>
    <t>121R-31142-BAG-00-00-00</t>
  </si>
  <si>
    <t>0/15:05:45</t>
  </si>
  <si>
    <t>LEX3DT</t>
  </si>
  <si>
    <t>0/14:17:09</t>
  </si>
  <si>
    <t>123R</t>
  </si>
  <si>
    <t>22036067</t>
  </si>
  <si>
    <t>EXL1413T-7B1D026T-BAG-00-00-00</t>
  </si>
  <si>
    <t>0/07:08:34</t>
  </si>
  <si>
    <t>EXL1413T</t>
  </si>
  <si>
    <t>7B1D026T</t>
  </si>
  <si>
    <t>000200537019</t>
  </si>
  <si>
    <t>22023546</t>
  </si>
  <si>
    <t>HF1110-112-BAG-00-00-00</t>
  </si>
  <si>
    <t>0002402592</t>
  </si>
  <si>
    <t>HF1110</t>
  </si>
  <si>
    <t>000200494036</t>
  </si>
  <si>
    <t>0002333957</t>
  </si>
  <si>
    <t>EXL9414T</t>
  </si>
  <si>
    <t>NA8E034T</t>
  </si>
  <si>
    <t>000200528256</t>
  </si>
  <si>
    <t>22032380</t>
  </si>
  <si>
    <t>EXL1433T-GY4G001T-BAG-00-00-00</t>
  </si>
  <si>
    <t>1/11:42:51</t>
  </si>
  <si>
    <t>0002385236</t>
  </si>
  <si>
    <t>EXL1433T</t>
  </si>
  <si>
    <t>GY4G001T</t>
  </si>
  <si>
    <t>000200542106</t>
  </si>
  <si>
    <t>0002402626</t>
  </si>
  <si>
    <t>BR4A174</t>
  </si>
  <si>
    <t>0/03:34:17</t>
  </si>
  <si>
    <t>000200539005</t>
  </si>
  <si>
    <t>22018087</t>
  </si>
  <si>
    <t>141R-111-BAG-00-00-00</t>
  </si>
  <si>
    <t>000200552374</t>
  </si>
  <si>
    <t>22018962</t>
  </si>
  <si>
    <t>SLX2432T-NA9D082T-BAG-00-00-00</t>
  </si>
  <si>
    <t>0002429554</t>
  </si>
  <si>
    <t>SLX2432T</t>
  </si>
  <si>
    <t>NA9D082T</t>
  </si>
  <si>
    <t>000200529087</t>
  </si>
  <si>
    <t>22029373</t>
  </si>
  <si>
    <t>LS2-414KO-BAG-00-00-00</t>
  </si>
  <si>
    <t>0002386407</t>
  </si>
  <si>
    <t>414KO</t>
  </si>
  <si>
    <t>000200546346</t>
  </si>
  <si>
    <t>22027914</t>
  </si>
  <si>
    <t>123R-71257-BAG-00-00-00</t>
  </si>
  <si>
    <t>0002418917</t>
  </si>
  <si>
    <t>000200546424</t>
  </si>
  <si>
    <t>22030942</t>
  </si>
  <si>
    <t>123R-GY4G232T-BAG-00-00-00</t>
  </si>
  <si>
    <t>0002419035</t>
  </si>
  <si>
    <t>GY4G232T</t>
  </si>
  <si>
    <t>000200545382</t>
  </si>
  <si>
    <t>22021271</t>
  </si>
  <si>
    <t>121R-WH3A022X-BAG-00-00-00</t>
  </si>
  <si>
    <t>0002417481</t>
  </si>
  <si>
    <t>WH3A022X</t>
  </si>
  <si>
    <t>000200558228</t>
  </si>
  <si>
    <t>22034315</t>
  </si>
  <si>
    <t>905-NC-BAG-00-00-00</t>
  </si>
  <si>
    <t>0002441056</t>
  </si>
  <si>
    <t>000200544346</t>
  </si>
  <si>
    <t>0002415734</t>
  </si>
  <si>
    <t>000200542949</t>
  </si>
  <si>
    <t>22029428</t>
  </si>
  <si>
    <t>FXD921A-WH6D190X-BAG-00-00-00</t>
  </si>
  <si>
    <t>0002412777</t>
  </si>
  <si>
    <t>FXD921A</t>
  </si>
  <si>
    <t>WH6D190X</t>
  </si>
  <si>
    <t>000200542649</t>
  </si>
  <si>
    <t>22034507</t>
  </si>
  <si>
    <t>940A-BL1A529T-BAG-00-00-00</t>
  </si>
  <si>
    <t>0/02:08:34</t>
  </si>
  <si>
    <t>0002412615</t>
  </si>
  <si>
    <t>BL1A529T</t>
  </si>
  <si>
    <t>000200541037</t>
  </si>
  <si>
    <t>22034364</t>
  </si>
  <si>
    <t>920A-GY6D710T-BAG-00-00-00</t>
  </si>
  <si>
    <t>0002409908</t>
  </si>
  <si>
    <t>920A</t>
  </si>
  <si>
    <t>GY6D710T</t>
  </si>
  <si>
    <t>000200556916</t>
  </si>
  <si>
    <t>0002438673</t>
  </si>
  <si>
    <t>000200548309</t>
  </si>
  <si>
    <t>0002421924</t>
  </si>
  <si>
    <t>000200557034</t>
  </si>
  <si>
    <t>22019159</t>
  </si>
  <si>
    <t>131-111N-BAG-00-00-00</t>
  </si>
  <si>
    <t>0002436399</t>
  </si>
  <si>
    <t>111N</t>
  </si>
  <si>
    <t>000200556053</t>
  </si>
  <si>
    <t>22033283</t>
  </si>
  <si>
    <t>121R-GY1D201T-BAG-00-00-00</t>
  </si>
  <si>
    <t>0002436577</t>
  </si>
  <si>
    <t>GY1D201T</t>
  </si>
  <si>
    <t>22019283</t>
  </si>
  <si>
    <t>243R-111-BAG-00-00-00</t>
  </si>
  <si>
    <t>243R</t>
  </si>
  <si>
    <t>WSHAEXL10_PC51_008</t>
  </si>
  <si>
    <t>0/07:14:33</t>
  </si>
  <si>
    <t>V3900WX</t>
  </si>
  <si>
    <t>0/03:25:29</t>
  </si>
  <si>
    <t>22028836</t>
  </si>
  <si>
    <t>4521-BK1066-BAG-00-00-00</t>
  </si>
  <si>
    <t>0/01:01:39</t>
  </si>
  <si>
    <t>22021676</t>
  </si>
  <si>
    <t>457-1001-BAG-00-00-00</t>
  </si>
  <si>
    <t>DR48</t>
  </si>
  <si>
    <t>0/13:41:55</t>
  </si>
  <si>
    <t>22018193</t>
  </si>
  <si>
    <t>4521-8244-BAG-00-00-00</t>
  </si>
  <si>
    <t>0/03:37:16</t>
  </si>
  <si>
    <t>0/06:50:58</t>
  </si>
  <si>
    <t>553U</t>
  </si>
  <si>
    <t>22031037</t>
  </si>
  <si>
    <t>357U-1001-BAG-00-00-00</t>
  </si>
  <si>
    <t>357U</t>
  </si>
  <si>
    <t>0/00:41:06</t>
  </si>
  <si>
    <t>X4820</t>
  </si>
  <si>
    <t>22021779</t>
  </si>
  <si>
    <t>357U-BK1066-BAG-00-00-00</t>
  </si>
  <si>
    <t>22019884</t>
  </si>
  <si>
    <t>DR48-1001-BAG-00-00-00</t>
  </si>
  <si>
    <t>000200547923</t>
  </si>
  <si>
    <t>22034977</t>
  </si>
  <si>
    <t>C2800-7T1D203-BAG-00-00-00</t>
  </si>
  <si>
    <t>0002418176</t>
  </si>
  <si>
    <t>7T1D203</t>
  </si>
  <si>
    <t>000200550397</t>
  </si>
  <si>
    <t>22033939</t>
  </si>
  <si>
    <t>357U-GY5G054-BAG-00-00-00</t>
  </si>
  <si>
    <t>0002425929</t>
  </si>
  <si>
    <t>GY5G054</t>
  </si>
  <si>
    <t>000200544403</t>
  </si>
  <si>
    <t>22023993</t>
  </si>
  <si>
    <t>LF1520A-BK1005-BAG-00-00-00</t>
  </si>
  <si>
    <t>0002415865</t>
  </si>
  <si>
    <t>LF1520A</t>
  </si>
  <si>
    <t>BK1005</t>
  </si>
  <si>
    <t>000200545180</t>
  </si>
  <si>
    <t>0002417220</t>
  </si>
  <si>
    <t>000200554749</t>
  </si>
  <si>
    <t>22029685</t>
  </si>
  <si>
    <t>357M-BK1066-BAG-00-00-00</t>
  </si>
  <si>
    <t>0002434392</t>
  </si>
  <si>
    <t>357M</t>
  </si>
  <si>
    <t>000200542740</t>
  </si>
  <si>
    <t>22038586</t>
  </si>
  <si>
    <t>364-GY2E661-BAG-00-00-00</t>
  </si>
  <si>
    <t>0002413065</t>
  </si>
  <si>
    <t>GY2E661</t>
  </si>
  <si>
    <t>000200377896</t>
  </si>
  <si>
    <t>22038556</t>
  </si>
  <si>
    <t>357-GY6D612-BAG-00-00-00</t>
  </si>
  <si>
    <t>0002116147</t>
  </si>
  <si>
    <t>GY6D612</t>
  </si>
  <si>
    <t>000200559010</t>
  </si>
  <si>
    <t>22021775</t>
  </si>
  <si>
    <t>357U-4262-BAG-00-00-00</t>
  </si>
  <si>
    <t>0002442722</t>
  </si>
  <si>
    <t>000200558988</t>
  </si>
  <si>
    <t>22033941</t>
  </si>
  <si>
    <t>357U-GY7B303-BAG-00-00-00</t>
  </si>
  <si>
    <t>0002442720</t>
  </si>
  <si>
    <t>GY7B303</t>
  </si>
  <si>
    <t>000200553566</t>
  </si>
  <si>
    <t>22041114</t>
  </si>
  <si>
    <t>V4860HR-WH8D255-BAG-00-00-00</t>
  </si>
  <si>
    <t>0002431943</t>
  </si>
  <si>
    <t>V4860HR</t>
  </si>
  <si>
    <t>WH8D255</t>
  </si>
  <si>
    <t>000200529184</t>
  </si>
  <si>
    <t>22033935</t>
  </si>
  <si>
    <t>357U-BR5E150-BAG-00-00-00</t>
  </si>
  <si>
    <t>0002377229</t>
  </si>
  <si>
    <t>BR5E150</t>
  </si>
  <si>
    <t>000200531875</t>
  </si>
  <si>
    <t>22038042</t>
  </si>
  <si>
    <t>553-OR5G078-BAG-00-00-00</t>
  </si>
  <si>
    <t>0002392498</t>
  </si>
  <si>
    <t>OR5G078</t>
  </si>
  <si>
    <t>22033643</t>
  </si>
  <si>
    <t>3706-GY8G367-BAG-00-00-00</t>
  </si>
  <si>
    <t>GY8G367</t>
  </si>
  <si>
    <t>000200525812</t>
  </si>
  <si>
    <t>22021743</t>
  </si>
  <si>
    <t>3414R-739-BAG-00-00-00</t>
  </si>
  <si>
    <t>0002381486</t>
  </si>
  <si>
    <t>3414R</t>
  </si>
  <si>
    <t>000200542910</t>
  </si>
  <si>
    <t>0002413235</t>
  </si>
  <si>
    <t>000200536002</t>
  </si>
  <si>
    <t>22030610</t>
  </si>
  <si>
    <t>V3900WX-GY4E387-BAG-00-00-00</t>
  </si>
  <si>
    <t>VALGDO</t>
  </si>
  <si>
    <t>0002399046</t>
  </si>
  <si>
    <t>GY4E387</t>
  </si>
  <si>
    <t>000200557880</t>
  </si>
  <si>
    <t>22028833</t>
  </si>
  <si>
    <t>V3900WX-GY1G149-BAG-00-00-00</t>
  </si>
  <si>
    <t>0002440482</t>
  </si>
  <si>
    <t>GY1G149</t>
  </si>
  <si>
    <t>000200552460</t>
  </si>
  <si>
    <t>22031109</t>
  </si>
  <si>
    <t>310SE0-7001-BAG-00-00-00</t>
  </si>
  <si>
    <t>0002414570</t>
  </si>
  <si>
    <t>310SE0</t>
  </si>
  <si>
    <t>000200556896</t>
  </si>
  <si>
    <t>22038594</t>
  </si>
  <si>
    <t>3706-GY7G497-BAG-00-00-00</t>
  </si>
  <si>
    <t>0002438675</t>
  </si>
  <si>
    <t>GY7G497</t>
  </si>
  <si>
    <t>000200559009</t>
  </si>
  <si>
    <t>22044789</t>
  </si>
  <si>
    <t>500R-WH9G709-BAG-00-00-00</t>
  </si>
  <si>
    <t>0002442696</t>
  </si>
  <si>
    <t>WH9G709</t>
  </si>
  <si>
    <t>000200558963</t>
  </si>
  <si>
    <t>22041108</t>
  </si>
  <si>
    <t>V3900WX-WH8E373-BAG-00-00-00</t>
  </si>
  <si>
    <t>0002442681</t>
  </si>
  <si>
    <t>WH8E373</t>
  </si>
  <si>
    <t>000200556942</t>
  </si>
  <si>
    <t>0002438576</t>
  </si>
  <si>
    <t>000200556222</t>
  </si>
  <si>
    <t>22038579</t>
  </si>
  <si>
    <t>357U-WH5E122-BAG-00-00-00</t>
  </si>
  <si>
    <t>0002437253</t>
  </si>
  <si>
    <t>WH5E122</t>
  </si>
  <si>
    <t>000200552531</t>
  </si>
  <si>
    <t>0002414573</t>
  </si>
  <si>
    <t>000200496010</t>
  </si>
  <si>
    <t>22031065</t>
  </si>
  <si>
    <t>420-WH6E281-BAG-00-00-00</t>
  </si>
  <si>
    <t>1/10:14:48</t>
  </si>
  <si>
    <t>0002335578</t>
  </si>
  <si>
    <t>WH6E281</t>
  </si>
  <si>
    <t>000200526375</t>
  </si>
  <si>
    <t>22034189</t>
  </si>
  <si>
    <t>553-7001-BAG-00-00-00</t>
  </si>
  <si>
    <t>0002382508</t>
  </si>
  <si>
    <t>000200541013</t>
  </si>
  <si>
    <t>22031904</t>
  </si>
  <si>
    <t>DR48-GY6D523-BAG-00-00-00</t>
  </si>
  <si>
    <t>0002409800</t>
  </si>
  <si>
    <t>GY6D523</t>
  </si>
  <si>
    <t>000200537659</t>
  </si>
  <si>
    <t>22029684</t>
  </si>
  <si>
    <t>357-WH5C033-BAG-00-00-00</t>
  </si>
  <si>
    <t>0/02:03:17</t>
  </si>
  <si>
    <t>0002402403</t>
  </si>
  <si>
    <t>WH5C033</t>
  </si>
  <si>
    <t>22021631</t>
  </si>
  <si>
    <t>420-1001-BAG-00-00-00</t>
  </si>
  <si>
    <t>WSHAEXL11_PC51_008</t>
  </si>
  <si>
    <t>22041034</t>
  </si>
  <si>
    <t>LS2-7056-BAG-00-00-00</t>
  </si>
  <si>
    <t>0/12:25:20</t>
  </si>
  <si>
    <t>0/00:09:19</t>
  </si>
  <si>
    <t>22033621</t>
  </si>
  <si>
    <t>3412R-GY2E372-BAG-00-00-00</t>
  </si>
  <si>
    <t>GY2E372</t>
  </si>
  <si>
    <t>22040384</t>
  </si>
  <si>
    <t>HRA222F-BL5E120-BAG-00-00-00</t>
  </si>
  <si>
    <t>HRA222F</t>
  </si>
  <si>
    <t>BL5E120</t>
  </si>
  <si>
    <t>0/00:37:16</t>
  </si>
  <si>
    <t>22021690</t>
  </si>
  <si>
    <t>500-739-BAG-00-00-00</t>
  </si>
  <si>
    <t>22086028</t>
  </si>
  <si>
    <t>XTWM206-WH6G187-BAG-00-00-00</t>
  </si>
  <si>
    <t>XTWM206</t>
  </si>
  <si>
    <t>WH6G187</t>
  </si>
  <si>
    <t>WH8E395</t>
  </si>
  <si>
    <t>0/06:12:40</t>
  </si>
  <si>
    <t>000200549076</t>
  </si>
  <si>
    <t>22029947</t>
  </si>
  <si>
    <t>C2950-GY2C171-BAG-00-00-00</t>
  </si>
  <si>
    <t>0/03:06:20</t>
  </si>
  <si>
    <t>GY2C171</t>
  </si>
  <si>
    <t>22067305</t>
  </si>
  <si>
    <t>925-8T9D148-BAG-00-00-00</t>
  </si>
  <si>
    <t>8T9D148</t>
  </si>
  <si>
    <t>22032603</t>
  </si>
  <si>
    <t>HRA222F-GY8E417-BAG-00-00-00</t>
  </si>
  <si>
    <t>0/18:38:01</t>
  </si>
  <si>
    <t>GY8E417</t>
  </si>
  <si>
    <t>22036438</t>
  </si>
  <si>
    <t>HRA170-BK2G008-BAG-00-00-00</t>
  </si>
  <si>
    <t>HRA170</t>
  </si>
  <si>
    <t>BK2G008</t>
  </si>
  <si>
    <t>000200548664</t>
  </si>
  <si>
    <t>0002422439</t>
  </si>
  <si>
    <t>7M1D115</t>
  </si>
  <si>
    <t>EXL1434</t>
  </si>
  <si>
    <t>22035019</t>
  </si>
  <si>
    <t>C2950-4T6D073-BAG-00-00-00</t>
  </si>
  <si>
    <t>4T6D073</t>
  </si>
  <si>
    <t>000200541860</t>
  </si>
  <si>
    <t>22031289</t>
  </si>
  <si>
    <t>925-7T2D216-BAG-00-00-00</t>
  </si>
  <si>
    <t>0002411455</t>
  </si>
  <si>
    <t>7T2D216</t>
  </si>
  <si>
    <t>BK1D420</t>
  </si>
  <si>
    <t>000200547449</t>
  </si>
  <si>
    <t>22038732</t>
  </si>
  <si>
    <t>500R-GY2G074-BAG-00-00-00</t>
  </si>
  <si>
    <t>0002420573</t>
  </si>
  <si>
    <t>GY2G074</t>
  </si>
  <si>
    <t>000200546505</t>
  </si>
  <si>
    <t>22032594</t>
  </si>
  <si>
    <t>HRA170-WH4324-BAG-00-00-00</t>
  </si>
  <si>
    <t>GEL8O</t>
  </si>
  <si>
    <t>0002419185</t>
  </si>
  <si>
    <t>WH4324</t>
  </si>
  <si>
    <t>000200552512</t>
  </si>
  <si>
    <t>0002429834</t>
  </si>
  <si>
    <t>WH9G202</t>
  </si>
  <si>
    <t>000200545473</t>
  </si>
  <si>
    <t>22034162</t>
  </si>
  <si>
    <t>940-WH9C004-BAG-00-00-00</t>
  </si>
  <si>
    <t>0002417777</t>
  </si>
  <si>
    <t>WH9C004</t>
  </si>
  <si>
    <t>000200534789</t>
  </si>
  <si>
    <t>22031448</t>
  </si>
  <si>
    <t>945-3T4D023-BAG-00-00-00</t>
  </si>
  <si>
    <t>0002398177</t>
  </si>
  <si>
    <t>3T4D023</t>
  </si>
  <si>
    <t>000200553846</t>
  </si>
  <si>
    <t>22039243</t>
  </si>
  <si>
    <t>CX7240-8T8D018U-BAG-00-00-00</t>
  </si>
  <si>
    <t>0002432530</t>
  </si>
  <si>
    <t>8T8D018U</t>
  </si>
  <si>
    <t>000200553745</t>
  </si>
  <si>
    <t>22028423</t>
  </si>
  <si>
    <t>C6600-71938-BAG-00-00-00</t>
  </si>
  <si>
    <t>0002432319</t>
  </si>
  <si>
    <t>000200543580</t>
  </si>
  <si>
    <t>22022553</t>
  </si>
  <si>
    <t>C6600-7M7D027-BAG-00-00-00</t>
  </si>
  <si>
    <t>0002414577</t>
  </si>
  <si>
    <t>7M7D027</t>
  </si>
  <si>
    <t>000200541917</t>
  </si>
  <si>
    <t>0002411463</t>
  </si>
  <si>
    <t>000200550473</t>
  </si>
  <si>
    <t>22086962</t>
  </si>
  <si>
    <t>CX7211-2T2D127-BAG-00-00-00</t>
  </si>
  <si>
    <t>0002426229</t>
  </si>
  <si>
    <t>CX7211</t>
  </si>
  <si>
    <t>2T2D127</t>
  </si>
  <si>
    <t>000200540671</t>
  </si>
  <si>
    <t>22030245</t>
  </si>
  <si>
    <t>CX7240-BL7D169-BAG-00-00-00</t>
  </si>
  <si>
    <t>0002407850</t>
  </si>
  <si>
    <t>BL7D169</t>
  </si>
  <si>
    <t>000200554920</t>
  </si>
  <si>
    <t>22022046</t>
  </si>
  <si>
    <t>943-701-BAG-00-00-00</t>
  </si>
  <si>
    <t>0002435201</t>
  </si>
  <si>
    <t>000200553609</t>
  </si>
  <si>
    <t>22037995</t>
  </si>
  <si>
    <t>505RU-739-BAG-00-00-00</t>
  </si>
  <si>
    <t>0002432021</t>
  </si>
  <si>
    <t>000200546330</t>
  </si>
  <si>
    <t>22035357</t>
  </si>
  <si>
    <t>D20001-BK8833-BAG-00-00-00</t>
  </si>
  <si>
    <t>0002418938</t>
  </si>
  <si>
    <t>D20001</t>
  </si>
  <si>
    <t>BK8833</t>
  </si>
  <si>
    <t>000200554974</t>
  </si>
  <si>
    <t>22033622</t>
  </si>
  <si>
    <t>3412R-GY4B623-BAG-00-00-00</t>
  </si>
  <si>
    <t>0002435082</t>
  </si>
  <si>
    <t>GY4B623</t>
  </si>
  <si>
    <t>000200554517</t>
  </si>
  <si>
    <t>0002434067</t>
  </si>
  <si>
    <t>000200558288</t>
  </si>
  <si>
    <t>0002441228</t>
  </si>
  <si>
    <t>000200554813</t>
  </si>
  <si>
    <t>22034596</t>
  </si>
  <si>
    <t>C2950-BR6B060-BAG-00-00-00</t>
  </si>
  <si>
    <t>0002434097</t>
  </si>
  <si>
    <t>BR6B060</t>
  </si>
  <si>
    <t>000200555460</t>
  </si>
  <si>
    <t>22046139</t>
  </si>
  <si>
    <t>945-2T5D080-BAG-00-00-00</t>
  </si>
  <si>
    <t>0/00:46:35</t>
  </si>
  <si>
    <t>0002435765</t>
  </si>
  <si>
    <t>2T5D080</t>
  </si>
  <si>
    <t>000200558923</t>
  </si>
  <si>
    <t>0002442621</t>
  </si>
  <si>
    <t>EXL1414</t>
  </si>
  <si>
    <t>000200553717</t>
  </si>
  <si>
    <t>22031951</t>
  </si>
  <si>
    <t>C7230P-BK1C340-BAG-00-00-00</t>
  </si>
  <si>
    <t>0002432307</t>
  </si>
  <si>
    <t>C7230P</t>
  </si>
  <si>
    <t>BK1C340</t>
  </si>
  <si>
    <t>000200558894</t>
  </si>
  <si>
    <t>22030425</t>
  </si>
  <si>
    <t>HRA222-WH7D349-BAG-00-00-00</t>
  </si>
  <si>
    <t>0002442291</t>
  </si>
  <si>
    <t>HRA222</t>
  </si>
  <si>
    <t>WH7D349</t>
  </si>
  <si>
    <t>000200557989</t>
  </si>
  <si>
    <t>0002440651</t>
  </si>
  <si>
    <t>000200557253</t>
  </si>
  <si>
    <t>22104976</t>
  </si>
  <si>
    <t>CM6220-7M7A3374-BAG-00-00-00</t>
  </si>
  <si>
    <t>0002439206</t>
  </si>
  <si>
    <t>CM6220</t>
  </si>
  <si>
    <t>7M7A3374</t>
  </si>
  <si>
    <t>000200556020</t>
  </si>
  <si>
    <t>22035257</t>
  </si>
  <si>
    <t>C6600-8R9D069-BAG-00-00-00</t>
  </si>
  <si>
    <t>0002436656</t>
  </si>
  <si>
    <t>8R9D069</t>
  </si>
  <si>
    <t>000200556115</t>
  </si>
  <si>
    <t>22028704</t>
  </si>
  <si>
    <t>C7410-BK1C340-BAG-00-00-00</t>
  </si>
  <si>
    <t>0002437079</t>
  </si>
  <si>
    <t>C7410</t>
  </si>
  <si>
    <t>000200557163</t>
  </si>
  <si>
    <t>22034343</t>
  </si>
  <si>
    <t>920-WH9G206-BAG-00-00-00</t>
  </si>
  <si>
    <t>0002439010</t>
  </si>
  <si>
    <t>WH9G206</t>
  </si>
  <si>
    <t>000200557902</t>
  </si>
  <si>
    <t>0002440485</t>
  </si>
  <si>
    <t>000200537048</t>
  </si>
  <si>
    <t>22038764</t>
  </si>
  <si>
    <t>C2950HF-GY5122-BAG-00-00-00</t>
  </si>
  <si>
    <t>0002402472</t>
  </si>
  <si>
    <t>C2950HF</t>
  </si>
  <si>
    <t>GY5122</t>
  </si>
  <si>
    <t>000200555894</t>
  </si>
  <si>
    <t>22019773</t>
  </si>
  <si>
    <t>CR7520-901-BAG-00-00-00</t>
  </si>
  <si>
    <t>0002434048</t>
  </si>
  <si>
    <t>CR7520</t>
  </si>
  <si>
    <t>000200553335</t>
  </si>
  <si>
    <t>22035234</t>
  </si>
  <si>
    <t>CX7240-8T4D044-BAG-00-00-00</t>
  </si>
  <si>
    <t>0002431737</t>
  </si>
  <si>
    <t>8T4D044</t>
  </si>
  <si>
    <t>000200551345</t>
  </si>
  <si>
    <t>22031380</t>
  </si>
  <si>
    <t>920-WH9C021-BAG-00-00-00</t>
  </si>
  <si>
    <t>0002427626</t>
  </si>
  <si>
    <t>WH9C021</t>
  </si>
  <si>
    <t>000200545418</t>
  </si>
  <si>
    <t>22086929</t>
  </si>
  <si>
    <t>C2950-GY1D193-BAG-00-00-00</t>
  </si>
  <si>
    <t>0002417717</t>
  </si>
  <si>
    <t>GY1D193</t>
  </si>
  <si>
    <t>000200558287</t>
  </si>
  <si>
    <t>22035018</t>
  </si>
  <si>
    <t>C2950-4T6D005-BAG-00-00-00</t>
  </si>
  <si>
    <t>0002441181</t>
  </si>
  <si>
    <t>4T6D005</t>
  </si>
  <si>
    <t>000200558217</t>
  </si>
  <si>
    <t>0002441174</t>
  </si>
  <si>
    <t>000200525340</t>
  </si>
  <si>
    <t>299904225</t>
  </si>
  <si>
    <t>943A-7G7A2842</t>
  </si>
  <si>
    <t>0/03:43:36</t>
  </si>
  <si>
    <t>0002380668</t>
  </si>
  <si>
    <t>7G7A2842</t>
  </si>
  <si>
    <t>000200535950</t>
  </si>
  <si>
    <t>22022709</t>
  </si>
  <si>
    <t>CX2244ME-8T9D023-BAG-00-00-00</t>
  </si>
  <si>
    <t>0002396240</t>
  </si>
  <si>
    <t>8T9D023</t>
  </si>
  <si>
    <t>000200529021</t>
  </si>
  <si>
    <t>0002386389</t>
  </si>
  <si>
    <t>000200556934</t>
  </si>
  <si>
    <t>0002438652</t>
  </si>
  <si>
    <t>BK1A647</t>
  </si>
  <si>
    <t>000200558162</t>
  </si>
  <si>
    <t>0/01:14:32</t>
  </si>
  <si>
    <t>0002440780</t>
  </si>
  <si>
    <t>000200549073</t>
  </si>
  <si>
    <t>22029841</t>
  </si>
  <si>
    <t>500R-RD5D188-BAG-00-00-00</t>
  </si>
  <si>
    <t>0002423511</t>
  </si>
  <si>
    <t>RD5D188</t>
  </si>
  <si>
    <t>000200558303</t>
  </si>
  <si>
    <t>22031614</t>
  </si>
  <si>
    <t>C1200HF-BK3D018-BAG-00-00-00</t>
  </si>
  <si>
    <t>0002441229</t>
  </si>
  <si>
    <t>C1200HF</t>
  </si>
  <si>
    <t>BK3D018</t>
  </si>
  <si>
    <t>000200542686</t>
  </si>
  <si>
    <t>0002412692</t>
  </si>
  <si>
    <t>22017535</t>
  </si>
  <si>
    <t>123R-701-BAG-00-00-00</t>
  </si>
  <si>
    <t>WSHAEXL21_PC51_008</t>
  </si>
  <si>
    <t>22022267</t>
  </si>
  <si>
    <t>C2950-111-BAG-00-00-00</t>
  </si>
  <si>
    <t>1/02:21:24</t>
  </si>
  <si>
    <t>0/13:02:57</t>
  </si>
  <si>
    <t>VAL7O</t>
  </si>
  <si>
    <t>22018199</t>
  </si>
  <si>
    <t>500R-131-BAG-00-00-00</t>
  </si>
  <si>
    <t>1/01:50:23</t>
  </si>
  <si>
    <t>VALF1O</t>
  </si>
  <si>
    <t>000200550306</t>
  </si>
  <si>
    <t>22039528</t>
  </si>
  <si>
    <t>C2950-WH8G587-BAG-00-00-00</t>
  </si>
  <si>
    <t>0002425684</t>
  </si>
  <si>
    <t>WH8G587</t>
  </si>
  <si>
    <t>000200547602</t>
  </si>
  <si>
    <t>0002420727</t>
  </si>
  <si>
    <t>000200555292</t>
  </si>
  <si>
    <t>0002435651</t>
  </si>
  <si>
    <t>000200554620</t>
  </si>
  <si>
    <t>0002421122</t>
  </si>
  <si>
    <t>000200428401</t>
  </si>
  <si>
    <t>0002213339</t>
  </si>
  <si>
    <t>000200554618</t>
  </si>
  <si>
    <t>000200556924</t>
  </si>
  <si>
    <t>22035409</t>
  </si>
  <si>
    <t>C6600E-WH7C027-BAG-00-00-00</t>
  </si>
  <si>
    <t>0002438589</t>
  </si>
  <si>
    <t>C6600E</t>
  </si>
  <si>
    <t>WH7C027</t>
  </si>
  <si>
    <t>000200554942</t>
  </si>
  <si>
    <t>0002429948</t>
  </si>
  <si>
    <t>0095455658</t>
  </si>
  <si>
    <t>0002420502</t>
  </si>
  <si>
    <t>000200494321</t>
  </si>
  <si>
    <t>0002334289</t>
  </si>
  <si>
    <t>0095453572</t>
  </si>
  <si>
    <t>22019323</t>
  </si>
  <si>
    <t>357-1001-BAG-00-00-00</t>
  </si>
  <si>
    <t>0095454849</t>
  </si>
  <si>
    <t>0095448143</t>
  </si>
  <si>
    <t>0095453261</t>
  </si>
  <si>
    <t>0002439171</t>
  </si>
  <si>
    <t>000200537035</t>
  </si>
  <si>
    <t>0002402357</t>
  </si>
  <si>
    <t>WSHAEXL22_PC51_008</t>
  </si>
  <si>
    <t>22017603</t>
  </si>
  <si>
    <t>5220U-1001-BAG-00-00-00</t>
  </si>
  <si>
    <t>0/13:02:16</t>
  </si>
  <si>
    <t>XEN1O</t>
  </si>
  <si>
    <t>22021921</t>
  </si>
  <si>
    <t>508-BK1066-BAG-00-00-00</t>
  </si>
  <si>
    <t>1/02:20:11</t>
  </si>
  <si>
    <t>22031084</t>
  </si>
  <si>
    <t>241S-WH9G203-BAG-00-00-00</t>
  </si>
  <si>
    <t>1/02:04:32</t>
  </si>
  <si>
    <t>0002398826</t>
  </si>
  <si>
    <t>241S</t>
  </si>
  <si>
    <t>WH9G203</t>
  </si>
  <si>
    <t>22019425</t>
  </si>
  <si>
    <t>5220U-YW6A028-BAG-00-00-00</t>
  </si>
  <si>
    <t>XEN4O</t>
  </si>
  <si>
    <t>0002288554</t>
  </si>
  <si>
    <t>YW6A028</t>
  </si>
  <si>
    <t>000200506682</t>
  </si>
  <si>
    <t>0/03:54:41</t>
  </si>
  <si>
    <t>0002350467</t>
  </si>
  <si>
    <t>000200545322</t>
  </si>
  <si>
    <t>0002412923</t>
  </si>
  <si>
    <t>000200536182</t>
  </si>
  <si>
    <t>0/06:31:08</t>
  </si>
  <si>
    <t>0002400355</t>
  </si>
  <si>
    <t>000200553751</t>
  </si>
  <si>
    <t>22041402</t>
  </si>
  <si>
    <t>X4820-BK1066-BAG-00-00-00</t>
  </si>
  <si>
    <t>0002432387</t>
  </si>
  <si>
    <t>000200496007</t>
  </si>
  <si>
    <t>22021633</t>
  </si>
  <si>
    <t>420-BK1066-BAG-00-00-00</t>
  </si>
  <si>
    <t>0002335570</t>
  </si>
  <si>
    <t>000200504211</t>
  </si>
  <si>
    <t>22031093</t>
  </si>
  <si>
    <t>243R-GY7G380-BAG-00-00-00</t>
  </si>
  <si>
    <t>0/05:12:54</t>
  </si>
  <si>
    <t>0002346711</t>
  </si>
  <si>
    <t>GY7G380</t>
  </si>
  <si>
    <t>000200543535</t>
  </si>
  <si>
    <t>22021432</t>
  </si>
  <si>
    <t>1731-BK1066-BAG-00-00-00</t>
  </si>
  <si>
    <t>0002414479</t>
  </si>
  <si>
    <t>000200551384</t>
  </si>
  <si>
    <t>0002427754</t>
  </si>
  <si>
    <t>000200551341</t>
  </si>
  <si>
    <t>0002427726</t>
  </si>
  <si>
    <t>000200534960</t>
  </si>
  <si>
    <t>000200495977</t>
  </si>
  <si>
    <t>0002335571</t>
  </si>
  <si>
    <t>000200498161</t>
  </si>
  <si>
    <t>22030691</t>
  </si>
  <si>
    <t>1105-78211-BAG-00-00-00</t>
  </si>
  <si>
    <t>0002339317</t>
  </si>
  <si>
    <t>000200552728</t>
  </si>
  <si>
    <t>22089617</t>
  </si>
  <si>
    <t>CY8630-701-BAG-00-00-00</t>
  </si>
  <si>
    <t>0002430351</t>
  </si>
  <si>
    <t>CY8630</t>
  </si>
  <si>
    <t>0094606504</t>
  </si>
  <si>
    <t>000200552711</t>
  </si>
  <si>
    <t>0002430358</t>
  </si>
  <si>
    <t>000200502179</t>
  </si>
  <si>
    <t>0002344058</t>
  </si>
  <si>
    <t>000200539771</t>
  </si>
  <si>
    <t>0002406061</t>
  </si>
  <si>
    <t>000200533558</t>
  </si>
  <si>
    <t>0002396458</t>
  </si>
  <si>
    <t>000200554585</t>
  </si>
  <si>
    <t>22022244</t>
  </si>
  <si>
    <t>C1200HF-WH8334-BAG-00-00-00</t>
  </si>
  <si>
    <t>0002434004</t>
  </si>
  <si>
    <t>WH8334</t>
  </si>
  <si>
    <t>000200553354</t>
  </si>
  <si>
    <t>0002431743</t>
  </si>
  <si>
    <t>0094717410</t>
  </si>
  <si>
    <t>000200494185</t>
  </si>
  <si>
    <t>0002334035</t>
  </si>
  <si>
    <t>22017180</t>
  </si>
  <si>
    <t>DR51-1001-BAG-00-00-00</t>
  </si>
  <si>
    <t>DR51</t>
  </si>
  <si>
    <t>WSHAEXL23_PC51_008</t>
  </si>
  <si>
    <t>7T1D193</t>
  </si>
  <si>
    <t>22018474</t>
  </si>
  <si>
    <t>ENH4550-BK1066-BAG-00-00-00</t>
  </si>
  <si>
    <t>ENH4550</t>
  </si>
  <si>
    <t>22045238</t>
  </si>
  <si>
    <t>C2950HF-GY1D453-BAG-00-00-00</t>
  </si>
  <si>
    <t>GY1D453</t>
  </si>
  <si>
    <t>0002414764</t>
  </si>
  <si>
    <t>0002403827</t>
  </si>
  <si>
    <t>0/13:10:05</t>
  </si>
  <si>
    <t>000200552328</t>
  </si>
  <si>
    <t>0002429530</t>
  </si>
  <si>
    <t>000200542067</t>
  </si>
  <si>
    <t>22031253</t>
  </si>
  <si>
    <t>505RU-GY2E539-BAG-00-00-00</t>
  </si>
  <si>
    <t>0002411564</t>
  </si>
  <si>
    <t>GY2E539</t>
  </si>
  <si>
    <t>000200552329</t>
  </si>
  <si>
    <t>000200535947</t>
  </si>
  <si>
    <t>22029835</t>
  </si>
  <si>
    <t>500R-73215-BAG-00-00-00</t>
  </si>
  <si>
    <t>0002400159</t>
  </si>
  <si>
    <t>000200552330</t>
  </si>
  <si>
    <t>22022719</t>
  </si>
  <si>
    <t>CX7211-BK1005-BAG-00-00-00</t>
  </si>
  <si>
    <t>000200548710</t>
  </si>
  <si>
    <t>0002422673</t>
  </si>
  <si>
    <t>000200520138</t>
  </si>
  <si>
    <t>0002372525</t>
  </si>
  <si>
    <t>GY1G168</t>
  </si>
  <si>
    <t>0094769856</t>
  </si>
  <si>
    <t>000200552251</t>
  </si>
  <si>
    <t>22084468</t>
  </si>
  <si>
    <t>C6600-2T6D065-BAG-00-00-00</t>
  </si>
  <si>
    <t>0002429461</t>
  </si>
  <si>
    <t>2T6D065</t>
  </si>
  <si>
    <t>000200535905</t>
  </si>
  <si>
    <t>22032595</t>
  </si>
  <si>
    <t>HRA222-BK1A021-BAG-00-00-00</t>
  </si>
  <si>
    <t>0002398615</t>
  </si>
  <si>
    <t>BK1A021</t>
  </si>
  <si>
    <t>0094769857</t>
  </si>
  <si>
    <t>22032078</t>
  </si>
  <si>
    <t>CX7240-BK1D797-BAG-00-00-00</t>
  </si>
  <si>
    <t>BK1D797</t>
  </si>
  <si>
    <t>WSHAEXL24_PC51_008</t>
  </si>
  <si>
    <t>1/00:43:19</t>
  </si>
  <si>
    <t>0093845578</t>
  </si>
  <si>
    <t>0/12:21:39</t>
  </si>
  <si>
    <t>0002334356</t>
  </si>
  <si>
    <t>0093845579</t>
  </si>
  <si>
    <t>0002259414</t>
  </si>
  <si>
    <t>0094510313</t>
  </si>
  <si>
    <t>0095454670</t>
  </si>
  <si>
    <t>000200558023</t>
  </si>
  <si>
    <t>0002440637</t>
  </si>
  <si>
    <t>0094543728</t>
  </si>
  <si>
    <t>1/06:54:08</t>
  </si>
  <si>
    <t>000200551494</t>
  </si>
  <si>
    <t>0/14:49:59</t>
  </si>
  <si>
    <t>0002420903</t>
  </si>
  <si>
    <t>0094038883</t>
  </si>
  <si>
    <t>0094038884</t>
  </si>
  <si>
    <t>WSHAEXL31_PC51_008</t>
  </si>
  <si>
    <t>0/11:43:24</t>
  </si>
  <si>
    <t>22019104</t>
  </si>
  <si>
    <t>103R-111-BAG-00-00-00</t>
  </si>
  <si>
    <t>0002330974</t>
  </si>
  <si>
    <t>22021389</t>
  </si>
  <si>
    <t>143R-111-BAG-00-00-00</t>
  </si>
  <si>
    <t>0/17:35:06</t>
  </si>
  <si>
    <t>000200452664</t>
  </si>
  <si>
    <t>22020459</t>
  </si>
  <si>
    <t>LS2-4158-BAG-00-00-00</t>
  </si>
  <si>
    <t>0/05:55:13</t>
  </si>
  <si>
    <t>0002253075</t>
  </si>
  <si>
    <t>0/23:26:48</t>
  </si>
  <si>
    <t>000200498109</t>
  </si>
  <si>
    <t>22036922</t>
  </si>
  <si>
    <t>LS2-RD4B057T-BAG-00-00-00</t>
  </si>
  <si>
    <t>0002335768</t>
  </si>
  <si>
    <t>RD4B057T</t>
  </si>
  <si>
    <t>000200543690</t>
  </si>
  <si>
    <t>0002409809</t>
  </si>
  <si>
    <t>0002389215</t>
  </si>
  <si>
    <t>0/05:51:42</t>
  </si>
  <si>
    <t>000200529130</t>
  </si>
  <si>
    <t>0002386408</t>
  </si>
  <si>
    <t>000200535993</t>
  </si>
  <si>
    <t>0002399029</t>
  </si>
  <si>
    <t>000200551299</t>
  </si>
  <si>
    <t>0002427742</t>
  </si>
  <si>
    <t>000200538642</t>
  </si>
  <si>
    <t>0002405425</t>
  </si>
  <si>
    <t>000200543720</t>
  </si>
  <si>
    <t>0002409095</t>
  </si>
  <si>
    <t>000200526414</t>
  </si>
  <si>
    <t>22019125</t>
  </si>
  <si>
    <t>121R-111-BAG-00-00-00</t>
  </si>
  <si>
    <t>0002382390</t>
  </si>
  <si>
    <t>000200551657</t>
  </si>
  <si>
    <t>0002423916</t>
  </si>
  <si>
    <t>0086447054</t>
  </si>
  <si>
    <t>0002327029</t>
  </si>
  <si>
    <t>000200494124</t>
  </si>
  <si>
    <t>0002333898</t>
  </si>
  <si>
    <t>000200494095</t>
  </si>
  <si>
    <t>0002333912</t>
  </si>
  <si>
    <t>000200494106</t>
  </si>
  <si>
    <t>0002333907</t>
  </si>
  <si>
    <t>144R</t>
  </si>
  <si>
    <t>111FC</t>
  </si>
  <si>
    <t>000200494072</t>
  </si>
  <si>
    <t>0002333879</t>
  </si>
  <si>
    <t>000200531849</t>
  </si>
  <si>
    <t>22088923</t>
  </si>
  <si>
    <t>143R-WH8G674-BAG-00-00-00</t>
  </si>
  <si>
    <t>0002392285</t>
  </si>
  <si>
    <t>WH8G674</t>
  </si>
  <si>
    <t>000200541727</t>
  </si>
  <si>
    <t>0002409399</t>
  </si>
  <si>
    <t>000200498097</t>
  </si>
  <si>
    <t>0002335770</t>
  </si>
  <si>
    <t>WSHAEXL32_PC51_008</t>
  </si>
  <si>
    <t>1/00:19:51</t>
  </si>
  <si>
    <t>0002400589</t>
  </si>
  <si>
    <t>000200550024</t>
  </si>
  <si>
    <t>22039488</t>
  </si>
  <si>
    <t>C2950-7T1D300-BAG-00-00-00</t>
  </si>
  <si>
    <t>0002425439</t>
  </si>
  <si>
    <t>7T1D300</t>
  </si>
  <si>
    <t>0/06:04:58</t>
  </si>
  <si>
    <t>000200557252</t>
  </si>
  <si>
    <t>0002439201</t>
  </si>
  <si>
    <t>000200553731</t>
  </si>
  <si>
    <t>22038722</t>
  </si>
  <si>
    <t>500R-73234-BAG-00-00-00</t>
  </si>
  <si>
    <t>0/12:09:56</t>
  </si>
  <si>
    <t>0002432375</t>
  </si>
  <si>
    <t>000200516891</t>
  </si>
  <si>
    <t>22031251</t>
  </si>
  <si>
    <t>505RU-7T1D073-BAG-00-00-00</t>
  </si>
  <si>
    <t>0002367682</t>
  </si>
  <si>
    <t>7T1D073</t>
  </si>
  <si>
    <t>000200553784</t>
  </si>
  <si>
    <t>0002432354</t>
  </si>
  <si>
    <t>000200546221</t>
  </si>
  <si>
    <t>0/18:14:53</t>
  </si>
  <si>
    <t>0002418883</t>
  </si>
  <si>
    <t>WSHAEXL33_PC51_008</t>
  </si>
  <si>
    <t>22033905</t>
  </si>
  <si>
    <t>7530-14600-BAG-00-00-00</t>
  </si>
  <si>
    <t>22038965</t>
  </si>
  <si>
    <t>9140-10055-BAG-00-00-00</t>
  </si>
  <si>
    <t>0/22:14:48</t>
  </si>
  <si>
    <t>PPMF7O</t>
  </si>
  <si>
    <t>0/05:30:24</t>
  </si>
  <si>
    <t>0/22:01:35</t>
  </si>
  <si>
    <t>000200545213</t>
  </si>
  <si>
    <t>22037059</t>
  </si>
  <si>
    <t>ML7470R-GY4G192-BAG-00-00-00</t>
  </si>
  <si>
    <t>ML7470R</t>
  </si>
  <si>
    <t>GY4G192</t>
  </si>
  <si>
    <t>0094509295</t>
  </si>
  <si>
    <t>000200557069</t>
  </si>
  <si>
    <t>22034186</t>
  </si>
  <si>
    <t>5450-13200-BAG-00-00-00</t>
  </si>
  <si>
    <t>0/16:31:11</t>
  </si>
  <si>
    <t>PPTPMF7O</t>
  </si>
  <si>
    <t>0002434000</t>
  </si>
  <si>
    <t>000200557012</t>
  </si>
  <si>
    <t>0/11:00:48</t>
  </si>
  <si>
    <t>0002434008</t>
  </si>
  <si>
    <t>000200462924</t>
  </si>
  <si>
    <t>0002275483</t>
  </si>
  <si>
    <t>MC8002</t>
  </si>
  <si>
    <t>22029056</t>
  </si>
  <si>
    <t>C1200HF-RD3G073-BAG-00-00-00</t>
  </si>
  <si>
    <t>COY6DO</t>
  </si>
  <si>
    <t>0002389244</t>
  </si>
  <si>
    <t>RD3G073</t>
  </si>
  <si>
    <t>000200547714</t>
  </si>
  <si>
    <t>22030868</t>
  </si>
  <si>
    <t>241R-GY3395-BAG-00-00-00</t>
  </si>
  <si>
    <t>0002420992</t>
  </si>
  <si>
    <t>GY3395</t>
  </si>
  <si>
    <t>0002389251</t>
  </si>
  <si>
    <t>0002289814</t>
  </si>
  <si>
    <t>0083539334</t>
  </si>
  <si>
    <t>0086376347</t>
  </si>
  <si>
    <t>0002257374</t>
  </si>
  <si>
    <t>22043778</t>
  </si>
  <si>
    <t>123R-GY2G415-BAG-00-00-00</t>
  </si>
  <si>
    <t>GY2G415</t>
  </si>
  <si>
    <t>000200549451</t>
  </si>
  <si>
    <t>22034465</t>
  </si>
  <si>
    <t>C1200HF-GY6G152-BAG-00-00-00</t>
  </si>
  <si>
    <t>0002424244</t>
  </si>
  <si>
    <t>GY6G152</t>
  </si>
  <si>
    <t>0075336078</t>
  </si>
  <si>
    <t>0002333540</t>
  </si>
  <si>
    <t>0083539335</t>
  </si>
  <si>
    <t>0002289818</t>
  </si>
  <si>
    <t>0083539336</t>
  </si>
  <si>
    <t>0002333548</t>
  </si>
  <si>
    <t>0002333611</t>
  </si>
  <si>
    <t>0094716247</t>
  </si>
  <si>
    <t>0075337392</t>
  </si>
  <si>
    <t>0002333573</t>
  </si>
  <si>
    <t>0083586924</t>
  </si>
  <si>
    <t>0080845712</t>
  </si>
  <si>
    <t>22028666</t>
  </si>
  <si>
    <t>141R-GY5G126-BAG-00-00-00</t>
  </si>
  <si>
    <t>GY5G126</t>
  </si>
  <si>
    <t>WSHAEXL34_PC51_008</t>
  </si>
  <si>
    <t>0/12:24:25</t>
  </si>
  <si>
    <t>22039079</t>
  </si>
  <si>
    <t>CL100-7001-BAG-00-00-00</t>
  </si>
  <si>
    <t>0/06:12:13</t>
  </si>
  <si>
    <t>CL100</t>
  </si>
  <si>
    <t>VAL8O</t>
  </si>
  <si>
    <t>1/00:48:50</t>
  </si>
  <si>
    <t>0/12:42:48</t>
  </si>
  <si>
    <t>0/05:34:59</t>
  </si>
  <si>
    <t>22024826</t>
  </si>
  <si>
    <t>V4860HR-BK1066-BAG-00-00-00</t>
  </si>
  <si>
    <t>22017581</t>
  </si>
  <si>
    <t>357-BK1066-BAG-00-00-00</t>
  </si>
  <si>
    <t>22084142</t>
  </si>
  <si>
    <t>V3900WX-GY8H043-BAG-00-00-00</t>
  </si>
  <si>
    <t>GY8H043</t>
  </si>
  <si>
    <t>22024815</t>
  </si>
  <si>
    <t>V3900WX-BK1066-BAG-00-00-00</t>
  </si>
  <si>
    <t>0002398959</t>
  </si>
  <si>
    <t>000200547463</t>
  </si>
  <si>
    <t>0002420537</t>
  </si>
  <si>
    <t>000200547278</t>
  </si>
  <si>
    <t>22033578</t>
  </si>
  <si>
    <t>310SE0-BL3E215-BAG-00-00-00</t>
  </si>
  <si>
    <t>VAL2DO</t>
  </si>
  <si>
    <t>0002420484</t>
  </si>
  <si>
    <t>BL3E215</t>
  </si>
  <si>
    <t>000200457858</t>
  </si>
  <si>
    <t>22031160</t>
  </si>
  <si>
    <t>553-OR5G003-BAG-00-00-00</t>
  </si>
  <si>
    <t>0002266171</t>
  </si>
  <si>
    <t>OR5G003</t>
  </si>
  <si>
    <t>000200541994</t>
  </si>
  <si>
    <t>22034193</t>
  </si>
  <si>
    <t>553-GY2D099-BAG-00-00-00</t>
  </si>
  <si>
    <t>0/07:26:39</t>
  </si>
  <si>
    <t>0002411518</t>
  </si>
  <si>
    <t>GY2D099</t>
  </si>
  <si>
    <t>000200553810</t>
  </si>
  <si>
    <t>0002432436</t>
  </si>
  <si>
    <t>000200553737</t>
  </si>
  <si>
    <t>22031116</t>
  </si>
  <si>
    <t>310SE0-GY5D518-BAG-00-00-00</t>
  </si>
  <si>
    <t>0002432424</t>
  </si>
  <si>
    <t>GY5D518</t>
  </si>
  <si>
    <t>000200558232</t>
  </si>
  <si>
    <t>22033955</t>
  </si>
  <si>
    <t>364-GY5G100-BAG-00-00-00</t>
  </si>
  <si>
    <t>0002441177</t>
  </si>
  <si>
    <t>GY5G100</t>
  </si>
  <si>
    <t>000200556914</t>
  </si>
  <si>
    <t>000200556935</t>
  </si>
  <si>
    <t>0002438660</t>
  </si>
  <si>
    <t>0087172456</t>
  </si>
  <si>
    <t>22017721</t>
  </si>
  <si>
    <t>DR48-BK1066-BAG-00-00-00</t>
  </si>
  <si>
    <t>0002419142</t>
  </si>
  <si>
    <t>000200545306</t>
  </si>
  <si>
    <t>0002414487</t>
  </si>
  <si>
    <t>000200556960</t>
  </si>
  <si>
    <t>0002438667</t>
  </si>
  <si>
    <t>000200555880</t>
  </si>
  <si>
    <t>0002436435</t>
  </si>
  <si>
    <t>000200548488</t>
  </si>
  <si>
    <t>0002422237</t>
  </si>
  <si>
    <t>000200556919</t>
  </si>
  <si>
    <t>0/22:19:57</t>
  </si>
  <si>
    <t>0002438677</t>
  </si>
  <si>
    <t>0090795443</t>
  </si>
  <si>
    <t>0092461786</t>
  </si>
  <si>
    <t>0002403612</t>
  </si>
  <si>
    <t>000200457955</t>
  </si>
  <si>
    <t>0002266167</t>
  </si>
  <si>
    <t>0095448144</t>
  </si>
  <si>
    <t>22019426</t>
  </si>
  <si>
    <t>553-1001-BAG-00-00-00</t>
  </si>
  <si>
    <t>000200532822</t>
  </si>
  <si>
    <t>0002394506</t>
  </si>
  <si>
    <t>000200502152</t>
  </si>
  <si>
    <t>22033942</t>
  </si>
  <si>
    <t>357U-GY8F076-BAG-00-00-00</t>
  </si>
  <si>
    <t>0002344041</t>
  </si>
  <si>
    <t>GY8F076</t>
  </si>
  <si>
    <t>000200555006</t>
  </si>
  <si>
    <t>0002435050</t>
  </si>
  <si>
    <t>000200554826</t>
  </si>
  <si>
    <t>22017303</t>
  </si>
  <si>
    <t>553-BK1066-BAG-00-00-00</t>
  </si>
  <si>
    <t>0002434693</t>
  </si>
  <si>
    <t>000200543539</t>
  </si>
  <si>
    <t>0002414541</t>
  </si>
  <si>
    <t>0094053025</t>
  </si>
  <si>
    <t>000200542606</t>
  </si>
  <si>
    <t>0/06:15:56</t>
  </si>
  <si>
    <t>0002412564</t>
  </si>
  <si>
    <t>0086716001</t>
  </si>
  <si>
    <t>WSHAEXL35_PC51_008</t>
  </si>
  <si>
    <t>0/11:37:40</t>
  </si>
  <si>
    <t>0/04:41:52</t>
  </si>
  <si>
    <t>0/04:39:04</t>
  </si>
  <si>
    <t>1/22:30:42</t>
  </si>
  <si>
    <t>000200547464</t>
  </si>
  <si>
    <t>22031796</t>
  </si>
  <si>
    <t>C6600-7R8D045-BAG-00-00-00</t>
  </si>
  <si>
    <t>7R8D045</t>
  </si>
  <si>
    <t>000200548721</t>
  </si>
  <si>
    <t>0002422786</t>
  </si>
  <si>
    <t>000200536342</t>
  </si>
  <si>
    <t>22040495</t>
  </si>
  <si>
    <t>EXL1414-WH9G658-BAG-00-00-00</t>
  </si>
  <si>
    <t>0002400842</t>
  </si>
  <si>
    <t>WH9G658</t>
  </si>
  <si>
    <t>000200558080</t>
  </si>
  <si>
    <t>0002440778</t>
  </si>
  <si>
    <t>0002417267</t>
  </si>
  <si>
    <t>000200554511</t>
  </si>
  <si>
    <t>22022287</t>
  </si>
  <si>
    <t>C2950HF-111-BAG-00-00-00</t>
  </si>
  <si>
    <t>0002433953</t>
  </si>
  <si>
    <t>000200515805</t>
  </si>
  <si>
    <t>22028715</t>
  </si>
  <si>
    <t>CX7211-8T4D055-BAG-00-00-00</t>
  </si>
  <si>
    <t>0002365310</t>
  </si>
  <si>
    <t>8T4D055</t>
  </si>
  <si>
    <t>000200553727</t>
  </si>
  <si>
    <t>22030899</t>
  </si>
  <si>
    <t>121R-GY6G329-BAG-00-00-00</t>
  </si>
  <si>
    <t>0002431712</t>
  </si>
  <si>
    <t>GY6G329</t>
  </si>
  <si>
    <t>000200495971</t>
  </si>
  <si>
    <t>22033228</t>
  </si>
  <si>
    <t>141R-WH8G792-BAG-00-00-00</t>
  </si>
  <si>
    <t>0002335511</t>
  </si>
  <si>
    <t>WH8G792</t>
  </si>
  <si>
    <t>000200495959</t>
  </si>
  <si>
    <t>0002335514</t>
  </si>
  <si>
    <t>WSHAEXL36_PC51_008</t>
  </si>
  <si>
    <t>7A1D040</t>
  </si>
  <si>
    <t>0/04:46:21</t>
  </si>
  <si>
    <t>299900099</t>
  </si>
  <si>
    <t>5220U-7A1D383</t>
  </si>
  <si>
    <t>0/06:53:48</t>
  </si>
  <si>
    <t>7A1D383</t>
  </si>
  <si>
    <t>22028144</t>
  </si>
  <si>
    <t>CL100-78211-BAG-00-00-00</t>
  </si>
  <si>
    <t>0/11:29:39</t>
  </si>
  <si>
    <t>0/02:17:56</t>
  </si>
  <si>
    <t>000200554898</t>
  </si>
  <si>
    <t>0002434943</t>
  </si>
  <si>
    <t>000200556979</t>
  </si>
  <si>
    <t>000200555890</t>
  </si>
  <si>
    <t>0002436389</t>
  </si>
  <si>
    <t>L33</t>
  </si>
  <si>
    <t>L34</t>
  </si>
  <si>
    <t>L35</t>
  </si>
  <si>
    <t>L36</t>
  </si>
  <si>
    <t xml:space="preserve">0079141761  V0150B-701-BAG-00-00-00 20000  KG  22017123      </t>
  </si>
  <si>
    <t xml:space="preserve">0085130029  V0150B-701-BAG-00-00-00 20000  KG  22017123      </t>
  </si>
  <si>
    <t xml:space="preserve">0085130030  V0150B-701-BAG-00-00-00 20000  KG  22017123      </t>
  </si>
  <si>
    <t xml:space="preserve">000200489904  PVX0901-BK1066-BAG-00-00-00 5000  KG  22036954      </t>
  </si>
  <si>
    <t xml:space="preserve">0087160091  PCN2910-BK1066-BAG-00-00-00 12000  KG  22032814      </t>
  </si>
  <si>
    <t xml:space="preserve">0086323985  PX1600X-701-BAG-00-00-00 20000  KG  22017944      </t>
  </si>
  <si>
    <t xml:space="preserve">000200431427  SE1GFN1-701-BAG-00-00-00 8619  KG  22024908      </t>
  </si>
  <si>
    <t xml:space="preserve">0086324098  PX1600X-701-BAG-00-00-00 20000  KG  22017944      </t>
  </si>
  <si>
    <t xml:space="preserve">0087778113  PX1600X-701-BAG-00-00-00 20000  KG  22017944      </t>
  </si>
  <si>
    <t xml:space="preserve">0092335692  HM4025H-75001-BAG-00-00-00 20000  KG  22040915      </t>
  </si>
  <si>
    <t xml:space="preserve">0081792811  V0150B-701-BAG-00-00-00 20000  KG  22017123      </t>
  </si>
  <si>
    <t xml:space="preserve">0079141668  V0150B-701-BAG-00-00-00 20000  KG  22017123      </t>
  </si>
  <si>
    <t xml:space="preserve">000200548439  HM3020H-75001-BAG-00-00-00 15000  KG  22036424      </t>
  </si>
  <si>
    <t xml:space="preserve">0092323059  HM4025H-75001-BAG-00-00-00 20000  KG  22040915      </t>
  </si>
  <si>
    <t xml:space="preserve">000200431428  SE1GFN1-701-BAG-00-00-00 20000  KG  22024908      </t>
  </si>
  <si>
    <t xml:space="preserve">0095453254  GFN20F-701S-BAG-00-00-00 10000  KG  22095736      </t>
  </si>
  <si>
    <t xml:space="preserve">0095453418  GFN20F-N780S-BAG-00-00-00 10000  KG  22095737      </t>
  </si>
  <si>
    <t xml:space="preserve">000200554616  N1250-4N4D011-BAG-00-00-00 5000  KG  22037195      </t>
  </si>
  <si>
    <t xml:space="preserve">0082238967  HS2000X-111-BAG-00-00-00 20000  KG  22023605      </t>
  </si>
  <si>
    <t xml:space="preserve">0085210395  HS2000X-111-BAG-00-00-00 20000  KG  22023605      </t>
  </si>
  <si>
    <t xml:space="preserve">0082237946  HS2000X-111-BAG-00-00-00 20000  KG  22023605      </t>
  </si>
  <si>
    <t xml:space="preserve">0083582097  HS2000X-111-BAG-00-00-00 20000  KG  22023605      </t>
  </si>
  <si>
    <t xml:space="preserve">0092864582  HS2000X-WH8C022-BAG-00-00-00 20000  KG  22036470      </t>
  </si>
  <si>
    <t xml:space="preserve">000200543652  PX9406P-BK2D115-BAG-00-00-00 5000  KG  22037390      </t>
  </si>
  <si>
    <t xml:space="preserve">000200526395  PX9406-780-BAG-00-00-00 20000  KG  22020783      </t>
  </si>
  <si>
    <t xml:space="preserve">0095453257  GFN30F-701S-BAG-00-00-00 10000  KG  22095738      </t>
  </si>
  <si>
    <t xml:space="preserve">000200549321  N190X-7N4D004-BAG-00-00-00 10000  KG  22030522      </t>
  </si>
  <si>
    <t xml:space="preserve">000200545494  N1250-BK1066-BAG-00-00-00 5000  KG  22040824      </t>
  </si>
  <si>
    <t xml:space="preserve">000200513144  GFN1F-701S-BAG-00-00-00 10000  KG  22066660      </t>
  </si>
  <si>
    <t xml:space="preserve">0089722964  HS2000X-701-BAG-00-00-00 10000  KG  22023606      </t>
  </si>
  <si>
    <t xml:space="preserve">000200554628  N1250-4N4D011-BAG-00-00-00 5000  KG  22037195      </t>
  </si>
  <si>
    <t xml:space="preserve">0090238106  HS2000X-701-BAG-00-00-00 10000  KG  22023606      </t>
  </si>
  <si>
    <t xml:space="preserve">000200554684  N1250-4N4D011-BAG-00-00-00 5000  KG  22037195      </t>
  </si>
  <si>
    <t xml:space="preserve">000200545584  N1250-BK1066-BAG-00-00-00 5000  KG  22040824      </t>
  </si>
  <si>
    <t xml:space="preserve">0094771335  HS2000X-111-BAG-00-00-00 20000  KG  22023605      </t>
  </si>
  <si>
    <t xml:space="preserve">0094769879  HS2000X-111-BAG-00-00-00 20000  KG  22023605      </t>
  </si>
  <si>
    <t xml:space="preserve">0095448250  N300X-701-BAG-00-00-00 20000  KG  22018853      </t>
  </si>
  <si>
    <t xml:space="preserve">000200520284  GFN1F-701S-BAG-00-00-00 10000  KG  22066660      </t>
  </si>
  <si>
    <t xml:space="preserve">000200545535  N1250-BK1066-BAG-00-00-00 5000  KG  22040824      </t>
  </si>
  <si>
    <t xml:space="preserve">000200545305  N1250-BK1066-BAG-00-00-00 5000  KG  22040824      </t>
  </si>
  <si>
    <t xml:space="preserve">0092845169  HS2000X-701-BAG-00-00-00 10000  KG  22023606      </t>
  </si>
  <si>
    <t xml:space="preserve">000200552256  GFN20-801-BAG-00-00-00 20000  KG  22095158      </t>
  </si>
  <si>
    <t xml:space="preserve">000200554705  N1250-4N4D011-BAG-00-00-00 5000  KG  22037195      </t>
  </si>
  <si>
    <t xml:space="preserve">000200545603  N1250-BK1066-BAG-00-00-00 5000  KG  22040824      </t>
  </si>
  <si>
    <t xml:space="preserve">000200550430  943-GY8D440-BAG-00-00-00 20000  KG  22039171      </t>
  </si>
  <si>
    <t xml:space="preserve">000200550431  943-GY8D440-BAG-00-00-00 15000  KG  22039171      </t>
  </si>
  <si>
    <t xml:space="preserve">0089048709  945-NC-BAG-00-00-00 20000  KG  22022070      </t>
  </si>
  <si>
    <t xml:space="preserve">0095455774  940A-116-BAG-00-00-00 20000  KG  22022020      </t>
  </si>
  <si>
    <t xml:space="preserve">000200547785  C6200-WH9E666-BAG-00-00-00 10000  KG  22039645      </t>
  </si>
  <si>
    <t xml:space="preserve">000200410338  LS2-6162-BAG-00-00-00 8000  KG  22018730      </t>
  </si>
  <si>
    <t xml:space="preserve">000200547486  C2950-YW8295S-BAG-00-00-00 5000  KG  22022286      </t>
  </si>
  <si>
    <t xml:space="preserve">000200497257  C6200-WH9D397-BAG-00-00-00 10000  KG  22039644      </t>
  </si>
  <si>
    <t xml:space="preserve">000200543694  3412R-131-BAG-00-00-00 10000  KG  22021728      </t>
  </si>
  <si>
    <t xml:space="preserve">0092463176  121R-GY8F074-SSS-00-00-00 10000  KG  22105472      </t>
  </si>
  <si>
    <t xml:space="preserve">000200558966  HF1130-RD5E094T-BAG-00-00-00 5000  KG  22030479      </t>
  </si>
  <si>
    <t xml:space="preserve">000200554685  920-WH4C129-BAG-00-00-00 6000  KG  22031379      </t>
  </si>
  <si>
    <t xml:space="preserve">000200550085  CX7240-8N9D079-BAG-00-00-00 20000  KG  22031866      </t>
  </si>
  <si>
    <t xml:space="preserve">000200480046  C2800-111-BAG-00-00-00 10000  KG  22022249      </t>
  </si>
  <si>
    <t xml:space="preserve">000200553681  945A-7T1D059T-BAG-00-00-00 5000  KG  22034279      </t>
  </si>
  <si>
    <t xml:space="preserve">000200550263  C6200-701-BAG-00-00-00 20000  KG  22018354      </t>
  </si>
  <si>
    <t xml:space="preserve">000200549038  3413R-GY1D257-BAG-00-00-00 5000  KG  22033634      </t>
  </si>
  <si>
    <t xml:space="preserve">000200550086  CX7240-8N9D079-BAG-00-00-00 20000  KG  22031866      </t>
  </si>
  <si>
    <t xml:space="preserve">0095436690  PX9406P-7001-BAG-00-00-00 20000  KG  22041318      </t>
  </si>
  <si>
    <t xml:space="preserve">0095436691  PX9406P-7001-BAG-00-00-00 20000  KG  22041318      </t>
  </si>
  <si>
    <t xml:space="preserve">0095436692  PX9406P-7001-BAG-00-00-00 20000  KG  22041318      </t>
  </si>
  <si>
    <t xml:space="preserve">0095434597  PX9406P-7001-BAG-00-00-00 20000  KG  22041318      </t>
  </si>
  <si>
    <t xml:space="preserve">0085134293  SE100X-701-BAG-00-00-00 20000  KG  22024902      </t>
  </si>
  <si>
    <t xml:space="preserve">0083537442  SE100X-701-BAG-00-00-00 20000  KG  22024902      </t>
  </si>
  <si>
    <t xml:space="preserve">0083537444  SE100X-701-BAG-00-00-00 20000  KG  22024902      </t>
  </si>
  <si>
    <t xml:space="preserve">0093212678  PX9406P-7001-BAG-00-00-00 20000  KG  22041318      </t>
  </si>
  <si>
    <t xml:space="preserve">0093228788  PX9406P-7001-BAG-00-00-00 20000  KG  22041318      </t>
  </si>
  <si>
    <t xml:space="preserve">0093230023  PX9406P-7001-BAG-00-00-00 20000  KG  22041318      </t>
  </si>
  <si>
    <t xml:space="preserve">0086299668  PX1600X-701-BAG-00-00-00 20000  KG  22017944      </t>
  </si>
  <si>
    <t xml:space="preserve">0093176770  PX9406P-7001-BAG-00-00-00 20000  KG  22041318      </t>
  </si>
  <si>
    <t xml:space="preserve">0093176772  PX9406P-7001-BAG-00-00-00 20000  KG  22041318      </t>
  </si>
  <si>
    <t xml:space="preserve">0093212592  PX9406P-7001-BAG-00-00-00 20000  KG  22041318      </t>
  </si>
  <si>
    <t xml:space="preserve">000200552241  SE100X-701-BAG-00-00-00 20820  KG  22024902      </t>
  </si>
  <si>
    <t xml:space="preserve">0095998003  SE1X-701-BAG-00-00-00 20000  KG  22024919      </t>
  </si>
  <si>
    <t xml:space="preserve">000200488681  WCD915-8A7D027-SBG-00-00-00 6000  KG  22080572      </t>
  </si>
  <si>
    <t xml:space="preserve">000200487847  WCD915-7A1D285-SBG-00-00-00 5000  KG  22080571      </t>
  </si>
  <si>
    <t xml:space="preserve">000200557202  HS2000X-8952-BAG-00-00-00 1000  KG  22023608      </t>
  </si>
  <si>
    <t xml:space="preserve">000200550354  FN215X-111-BAG-00-00-00 6400  KG  22028763      </t>
  </si>
  <si>
    <t xml:space="preserve">000200507022  PX9406-GY8D396-BAG-00-00-00 5000  KG  22037377      </t>
  </si>
  <si>
    <t xml:space="preserve">000200558294  PX9406P-GY5E492-BAG-00-00-00 1000  KG  22032732      </t>
  </si>
  <si>
    <t xml:space="preserve">000200551485  FN215X-780-BAG-00-00-00 2000  KG  22020062      </t>
  </si>
  <si>
    <t xml:space="preserve">000200549207  731S-701S-BAG-00-00-00 1000  KG  22031186      </t>
  </si>
  <si>
    <t xml:space="preserve">000200545271  PX2801Z-BK1066-BAG-00-00-00 2000  KG  22032844      </t>
  </si>
  <si>
    <t xml:space="preserve">000200542757  7310-701-BAG-00-00-00 2000  KG  22095148      </t>
  </si>
  <si>
    <t xml:space="preserve">000200554693  WCD855-7A1D234-SBG-00-00-00 6000  KG  22080588      </t>
  </si>
  <si>
    <t xml:space="preserve">000200521267  731S-701S-BAG-00-00-00 2000  KG  22031186      </t>
  </si>
  <si>
    <t xml:space="preserve">000200526498  NH6020-100-BAG-00-00-00 20000  KG  22060061      </t>
  </si>
  <si>
    <t xml:space="preserve">0093391781  N1050-BL2G084-BAG-00-00-00 5000  KG  22040815      </t>
  </si>
  <si>
    <t xml:space="preserve">000200526499  NH6020-100-BAG-00-00-00 10000  KG  22060061      </t>
  </si>
  <si>
    <t xml:space="preserve">000200526497  NH6020-100-BAG-00-00-00 20000  KG  22060061      </t>
  </si>
  <si>
    <t xml:space="preserve">000200556887  FN215X-701-BAG-00-00-00 2000  KG  22023022      </t>
  </si>
  <si>
    <t xml:space="preserve">000200520322  N190X-701-BAG-00-00-00 1000  KG  22018844      </t>
  </si>
  <si>
    <t xml:space="preserve">000200552257  GFN20-801-BAG-00-00-00 4000  KG  22095158      </t>
  </si>
  <si>
    <t xml:space="preserve">000200550112  NH6020-100-BAG-00-00-00 20000  KG  22060061      </t>
  </si>
  <si>
    <t xml:space="preserve">000200554533  NH7010-GY6G005-BAG-00-00-00 1975  KG  22024528      </t>
  </si>
  <si>
    <t xml:space="preserve">000200497063  EX130-770-BAG-00-00-00 5000  KG  22022815      </t>
  </si>
  <si>
    <t xml:space="preserve">000200447176  WCD933-5A2D002-SBG-00-00-00 4000  KG  22079928      </t>
  </si>
  <si>
    <t xml:space="preserve">0087853874  WCA955-111-SBG-00-00-00 3000  KG  22080186      </t>
  </si>
  <si>
    <t xml:space="preserve">000200497085  EX130-770-BAG-00-00-00 5000  KG  22022815      </t>
  </si>
  <si>
    <t xml:space="preserve">000200555895  C2950-7T1D250-BAG-00-00-00 2000  KG  22031532      </t>
  </si>
  <si>
    <t xml:space="preserve">000200556954  PX2801Z-OR8B008-BAG-00-00-00 100  KG  22037004      </t>
  </si>
  <si>
    <t xml:space="preserve">000200510318  1000-7101-BAG-00-00-00 100  KG  22021106      </t>
  </si>
  <si>
    <t xml:space="preserve">000200546846  1000R-RD6B018-BAG-00-00-00 100  KG  22033154      </t>
  </si>
  <si>
    <t xml:space="preserve">000200546893  1000R-GY2B087-BAG-00-00-00 100  KG  22019073      </t>
  </si>
  <si>
    <t xml:space="preserve">000200533505  1000-BL7079-BAG-00-00-00 1000  KG  22033128      </t>
  </si>
  <si>
    <t xml:space="preserve">000200536077  N300-701-BAG-00-00-00 500  KG  22041234      </t>
  </si>
  <si>
    <t xml:space="preserve">000200558307  925-7T6D157-BAG-00-00-00 5000  KG  22038257      </t>
  </si>
  <si>
    <t xml:space="preserve">000200558078  EL003-NC-BAG-00-00-00 1000  KG  22022978      </t>
  </si>
  <si>
    <t xml:space="preserve">000200532833  TPN9221-GY1493T-BAG-00-00-00 10000  KG  22037568      </t>
  </si>
  <si>
    <t xml:space="preserve">000200549224  GFN20F-7M1D101F-BAG-00-00-00 500  KG  22096112      </t>
  </si>
  <si>
    <t xml:space="preserve">000200548568  1000R-7101-BAG-00-00-00 100  KG  22021142      </t>
  </si>
  <si>
    <t xml:space="preserve">000200533481  HS2000X-6G4A1253 1000  KG  299901425      </t>
  </si>
  <si>
    <t xml:space="preserve">000200549162  1000-BL1B081T-BAG-00-00-00 500  KG  22037954      </t>
  </si>
  <si>
    <t xml:space="preserve">000200485078  2310-7301-BAG-00-00-00 5000  KG  22017567      </t>
  </si>
  <si>
    <t xml:space="preserve">000200533469  1000-BL3122-BAG-00-00-00 1000  KG  22033123      </t>
  </si>
  <si>
    <t xml:space="preserve">000200552317  TPN9221-GY1493T-BAG-00-00-00 10000  KG  22037568      </t>
  </si>
  <si>
    <t xml:space="preserve">000200551343  1000R-21019-BAG-00-00-00 500  KG  22033151      </t>
  </si>
  <si>
    <t xml:space="preserve">000200551266  1000R-BR7156-BAG-00-00-00 300  KG  22037978      </t>
  </si>
  <si>
    <t xml:space="preserve">000200557945  ENH2900-8A9D020-BAG-00-00-00 1000  KG  22022996      </t>
  </si>
  <si>
    <t xml:space="preserve">000200556916  EXL1413T-7B1D026T-BAG-00-00-00 1000  KG  22036067      </t>
  </si>
  <si>
    <t xml:space="preserve">000200548309  EXL1433T-GY4G001T-BAG-00-00-00 5000  KG  22032380      </t>
  </si>
  <si>
    <t xml:space="preserve">000200557034  131-111N-BAG-00-00-00 1000  KG  22019159      </t>
  </si>
  <si>
    <t xml:space="preserve">000200556053  121R-GY1D201T-BAG-00-00-00 1000  KG  22033283      </t>
  </si>
  <si>
    <t xml:space="preserve">000200554934  FXE121R-BK1A184T-BAG-00-00-00 100  KG  22023219      </t>
  </si>
  <si>
    <t xml:space="preserve">000200536266  920A-GY2E081T-BAG-00-00-00 500  KG  22039032      </t>
  </si>
  <si>
    <t xml:space="preserve">000200549470  FXD121R-NA8G018X-BAG-00-00-00 3000  KG  22044315      </t>
  </si>
  <si>
    <t xml:space="preserve">000200537924  241R-GY5D607T-BAG-00-00-00 2000  KG  22028401      </t>
  </si>
  <si>
    <t xml:space="preserve">000200549047  FXG121R-BL4F027G-BAG-00-00-00 100  KG  22036274      </t>
  </si>
  <si>
    <t xml:space="preserve">000200513278  243R-111-BAG-00-00-00 2000  KG  22019283      </t>
  </si>
  <si>
    <t xml:space="preserve">000200542010  EXL9414T-NA8E034T-BAG-00-00-00 100  KG  22039947      </t>
  </si>
  <si>
    <t xml:space="preserve">000200521952  101R-111-BAG-00-00-00 2000  KG  22027971      </t>
  </si>
  <si>
    <t xml:space="preserve">000200545577  243R-111-BAG-00-00-00 2000  KG  22019283      </t>
  </si>
  <si>
    <t xml:space="preserve">000200495918  143R-71257-BAG-00-00-00 2000  KG  22037594      </t>
  </si>
  <si>
    <t xml:space="preserve">000200556942  553-OR5G078-BAG-00-00-00 2000  KG  22038042      </t>
  </si>
  <si>
    <t xml:space="preserve">000200556222  357U-WH5E122-BAG-00-00-00 2000  KG  22038579      </t>
  </si>
  <si>
    <t xml:space="preserve">000200552531  310SE0-7001-BAG-00-00-00 2000  KG  22031109      </t>
  </si>
  <si>
    <t xml:space="preserve">000200496010  420-WH6E281-BAG-00-00-00 5000  KG  22031065      </t>
  </si>
  <si>
    <t xml:space="preserve">000200526375  553-7001-BAG-00-00-00 1000  KG  22034189      </t>
  </si>
  <si>
    <t xml:space="preserve">000200541013  DR48-GY6D523-BAG-00-00-00 500  KG  22031904      </t>
  </si>
  <si>
    <t xml:space="preserve">000200537659  357-WH5C033-BAG-00-00-00 300  KG  22029684      </t>
  </si>
  <si>
    <t xml:space="preserve">000200537653  DR48-8051-BAG-00-00-00 2000  KG  22019885      </t>
  </si>
  <si>
    <t xml:space="preserve">000200554586  553-OR5G078-BAG-00-00-00 2000  KG  22038042      </t>
  </si>
  <si>
    <t xml:space="preserve">000200539013  357-7M7D049-BAG-00-00-00 1000  KG  22044074      </t>
  </si>
  <si>
    <t xml:space="preserve">000200545349  4521-BK1066-BAG-00-00-00 2000  KG  22028836      </t>
  </si>
  <si>
    <t xml:space="preserve">000200540765  457-GN4072-BAG-00-00-00 1000  KG  22031214      </t>
  </si>
  <si>
    <t xml:space="preserve">000200556958  DF004-GY2D398-BAG-00-00-00 500  KG  22031877      </t>
  </si>
  <si>
    <t xml:space="preserve">000200537651  364-1001-BAG-00-00-00 500  KG  22038585      </t>
  </si>
  <si>
    <t xml:space="preserve">000200547584  357M-BK1066-BAG-00-00-00 500  KG  22029685      </t>
  </si>
  <si>
    <t xml:space="preserve">000200496046  420-WH6E281-BAG-00-00-00 5000  KG  22031065      </t>
  </si>
  <si>
    <t xml:space="preserve">000200549070  DR48-7001-BAG-00-00-00 1000  KG  22027892      </t>
  </si>
  <si>
    <t xml:space="preserve">000200533483  553U-2R4A1010 225  KG  299901392      </t>
  </si>
  <si>
    <t xml:space="preserve">000200508789  CR7500-BK1041-BAG-00-00-00 2000  KG  22019769      </t>
  </si>
  <si>
    <t xml:space="preserve">000200553584  457-GN4072-BAG-00-00-00 1000  KG  22031214      </t>
  </si>
  <si>
    <t xml:space="preserve">000200554558  X4820-YW3D010-BAG-00-00-00 2000  KG  22025024      </t>
  </si>
  <si>
    <t xml:space="preserve">000200547338  420-1001-BAG-00-00-00 1000  KG  22021631      </t>
  </si>
  <si>
    <t xml:space="preserve">000200558756  3414R-739-BAG-00-00-00 2000  KG  22021743      </t>
  </si>
  <si>
    <t xml:space="preserve">000200558287  C2950-4T6D005-BAG-00-00-00 2000  KG  22035018      </t>
  </si>
  <si>
    <t xml:space="preserve">000200558217  C2950-4T6D073-BAG-00-00-00 1000  KG  22035019      </t>
  </si>
  <si>
    <t xml:space="preserve">000200525340  943A-7G7A2842 600  KG  299904225      </t>
  </si>
  <si>
    <t xml:space="preserve">000200535950  CX2244ME-8T9D023-BAG-00-00-00 500  KG  22022709      </t>
  </si>
  <si>
    <t xml:space="preserve">000200529021  LS2-7056-BAG-00-00-00 2000  KG  22041034      </t>
  </si>
  <si>
    <t xml:space="preserve">000200556934  D20001-BK1A647-BAG-00-00-00 500  KG  22032142      </t>
  </si>
  <si>
    <t xml:space="preserve">000200558162  505RU-7T8D558-BAG-00-00-00 200  KG  22031252      </t>
  </si>
  <si>
    <t xml:space="preserve">000200549073  500R-RD5D188-BAG-00-00-00 1000  KG  22029841      </t>
  </si>
  <si>
    <t xml:space="preserve">000200558303  C1200HF-BK3D018-BAG-00-00-00 2000  KG  22031614      </t>
  </si>
  <si>
    <t xml:space="preserve">000200542686  500-739-BAG-00-00-00 25  KG  22021690      </t>
  </si>
  <si>
    <t xml:space="preserve">000200548674  940-701-BAG-00-00-00 2000  KG  22019549      </t>
  </si>
  <si>
    <t xml:space="preserve">000200542541  920-WH9G206-BAG-00-00-00 100  KG  22034343      </t>
  </si>
  <si>
    <t xml:space="preserve">000200524286  505RU-WH8E372-BAG-00-00-00 1000  KG  22029849      </t>
  </si>
  <si>
    <t xml:space="preserve">000200558306  505RU-WH9F090-BAG-00-00-00 500  KG  22033788      </t>
  </si>
  <si>
    <t xml:space="preserve">000200558305  505RU-BL2A254-BAG-00-00-00 500  KG  22037998      </t>
  </si>
  <si>
    <t xml:space="preserve">0093270841  HRA170-GY6E500U-BAG-00-00-00 2000  KG  22036440      </t>
  </si>
  <si>
    <t xml:space="preserve">000200551218  EXL1414-9G7A2995 100  KG  299903374      </t>
  </si>
  <si>
    <t xml:space="preserve">000200550355  EXL1414-8G6A2496 350  KG  299902816      </t>
  </si>
  <si>
    <t xml:space="preserve">000200551295  EXL1414-6G7A2328 300  KG  299902738      </t>
  </si>
  <si>
    <t xml:space="preserve">000200554876  123R-701-BAG-00-00-00 1994.814  KG  22017535      </t>
  </si>
  <si>
    <t xml:space="preserve">000200541914  505RU-WH8E372-BAG-00-00-00 1000  KG  22029849      </t>
  </si>
  <si>
    <t xml:space="preserve">000200517901  505RU-WH9F090-BAG-00-00-00 2000  KG  22033788      </t>
  </si>
  <si>
    <t xml:space="preserve">000200537987  505RU-7T8D558-BAG-00-00-00 100  KG  22031252      </t>
  </si>
  <si>
    <t xml:space="preserve">000200548614  505RU-7T8D558-BAG-00-00-00 1000  KG  22031252      </t>
  </si>
  <si>
    <t xml:space="preserve">0095454849  C6600-111-BAG-00-00-00 20000  KG  22018361      </t>
  </si>
  <si>
    <t xml:space="preserve">0095448143  357-1001-BAG-00-00-00 11000  KG  22019323      </t>
  </si>
  <si>
    <t xml:space="preserve">0095453261  C2950-701-BAG-00-00-00 20000  KG  22022271      </t>
  </si>
  <si>
    <t xml:space="preserve">000200537035  CX7240-8N9D079-BAG-00-00-00 20000  KG  22031866      </t>
  </si>
  <si>
    <t xml:space="preserve">000200428510  141R-111-BAG-00-00-00 10000  KG  22018087      </t>
  </si>
  <si>
    <t xml:space="preserve">000200552728  CY8630-701-BAG-00-00-00 20000  KG  22089617      </t>
  </si>
  <si>
    <t xml:space="preserve">0094606504  141R-GY6A427-BAG-00-00-00 20000  KG  22030748      </t>
  </si>
  <si>
    <t xml:space="preserve">000200552711  CY8630-701-BAG-00-00-00 20000  KG  22089617      </t>
  </si>
  <si>
    <t xml:space="preserve">000200502179  508-BK1066-BAG-00-00-00 10000  KG  22021921      </t>
  </si>
  <si>
    <t xml:space="preserve">000200539771  XTWM206-WH6G187-BAG-00-00-00 10000  KG  22086028      </t>
  </si>
  <si>
    <t xml:space="preserve">000200533558  HRA222F-GY8E417-BAG-00-00-00 5000  KG  22032603      </t>
  </si>
  <si>
    <t xml:space="preserve">000200554585  C1200HF-WH8334-BAG-00-00-00 5000  KG  22022244      </t>
  </si>
  <si>
    <t xml:space="preserve">000200553354  CY8630-701-BAG-00-00-00 20000  KG  22089617      </t>
  </si>
  <si>
    <t xml:space="preserve">0094717410  141R-GY6A427-BAG-00-00-00 20000  KG  22030748      </t>
  </si>
  <si>
    <t xml:space="preserve">000200494185  508-BK1066-BAG-00-00-00 20000  KG  22021921      </t>
  </si>
  <si>
    <t xml:space="preserve">0094717412  141R-GY6A427-BAG-00-00-00 20000  KG  22030748      </t>
  </si>
  <si>
    <t xml:space="preserve">0094717411  141R-GY6A427-BAG-00-00-00 20000  KG  22030748      </t>
  </si>
  <si>
    <t xml:space="preserve">000200537161  DR51-1001-BAG-00-00-00 5000  KG  22017180      </t>
  </si>
  <si>
    <t xml:space="preserve">000200529133  420-1001-BAG-00-00-00 3000  KG  22021631      </t>
  </si>
  <si>
    <t xml:space="preserve">0094717413  141R-GY6A427-BAG-00-00-00 20000  KG  22030748      </t>
  </si>
  <si>
    <t xml:space="preserve">000200534990  243R-WH4B198-BAG-00-00-00 20000  KG  22038486      </t>
  </si>
  <si>
    <t xml:space="preserve">000200495978  420-BK1066-BAG-00-00-00 10000  KG  22021633      </t>
  </si>
  <si>
    <t xml:space="preserve">000200553374  CY8630-701-BAG-00-00-00 20000  KG  22089617      </t>
  </si>
  <si>
    <t xml:space="preserve">000200551388  241S-WH9G203-BAG-00-00-00 20000  KG  22031084      </t>
  </si>
  <si>
    <t xml:space="preserve">000200553483  HRA222F-BK2E067-BAG-00-00-00 5000  KG  22036450      </t>
  </si>
  <si>
    <t xml:space="preserve">000200495921  420-1001-BAG-00-00-00 10000  KG  22021631      </t>
  </si>
  <si>
    <t xml:space="preserve">000200498223  1105-78211-BAG-00-00-00 10000  KG  22030691      </t>
  </si>
  <si>
    <t xml:space="preserve">000200496030  420-BK1066-BAG-00-00-00 10000  KG  22021633      </t>
  </si>
  <si>
    <t xml:space="preserve">000200553321  CY8630-701-BAG-00-00-00 20000  KG  22089617      </t>
  </si>
  <si>
    <t xml:space="preserve">000200534991  243R-WH4B198-BAG-00-00-00 20000  KG  22038486      </t>
  </si>
  <si>
    <t xml:space="preserve">000200494168  508-BK1066-BAG-00-00-00 20000  KG  22021921      </t>
  </si>
  <si>
    <t xml:space="preserve">000200542038  420-1001-BAG-00-00-00 3000  KG  22021631      </t>
  </si>
  <si>
    <t xml:space="preserve">000200553402  CY8630-701-BAG-00-00-00 20000  KG  22089617      </t>
  </si>
  <si>
    <t xml:space="preserve">000200496009  420-BK1066-BAG-00-00-00 10000  KG  22021633      </t>
  </si>
  <si>
    <t xml:space="preserve">000200553403  CY8630-701-BAG-00-00-00 20000  KG  22089617      </t>
  </si>
  <si>
    <t xml:space="preserve">000200496006  420-1001-BAG-00-00-00 10000  KG  22021631      </t>
  </si>
  <si>
    <t xml:space="preserve">000200496045  420-BK1066-BAG-00-00-00 10000  KG  22021633      </t>
  </si>
  <si>
    <t xml:space="preserve">000200544218  508-BK1066-BAG-00-00-00 20000  KG  22021921      </t>
  </si>
  <si>
    <t xml:space="preserve">000200520138  925-GY1G168-BAG-00-00-00 8000  KG  22034407      </t>
  </si>
  <si>
    <t xml:space="preserve">000200552251  C6600-2T6D065-BAG-00-00-00 5000  KG  22084468      </t>
  </si>
  <si>
    <t xml:space="preserve">000200535905  HRA222-BK1A021-BAG-00-00-00 4000  KG  22032595      </t>
  </si>
  <si>
    <t xml:space="preserve">0094769857  3412ECR-739-BAG-00-00-00 20000  KG  22017144      </t>
  </si>
  <si>
    <t xml:space="preserve">000200558238  925-7T2D216-BAG-00-00-00 5000  KG  22031289      </t>
  </si>
  <si>
    <t xml:space="preserve">000200495218  CX7240-BK1D797-BAG-00-00-00 10000  KG  22032078      </t>
  </si>
  <si>
    <t xml:space="preserve">000200498204  CY8630-701-BAG-00-00-00 5000  KG  22089617      </t>
  </si>
  <si>
    <t xml:space="preserve">000200551527  945-GY2E572-BAG-00-00-00 5000  KG  22034256      </t>
  </si>
  <si>
    <t xml:space="preserve">0095454671  C6200-701-BAG-00-00-00 20000  KG  22018354      </t>
  </si>
  <si>
    <t xml:space="preserve">000200550262  C6200-701-BAG-00-00-00 20000  KG  22018354      </t>
  </si>
  <si>
    <t xml:space="preserve">0088470614  C6200-701-BAG-00-00-00 20000  KG  22018354      </t>
  </si>
  <si>
    <t xml:space="preserve">000200554909  905-BK1G030-BAG-00-00-00 10000  KG  22029773      </t>
  </si>
  <si>
    <t xml:space="preserve">000200551452  945-GY2E572-BAG-00-00-00 5000  KG  22034256      </t>
  </si>
  <si>
    <t xml:space="preserve">0094510313  945-701-BAG-00-00-00 10000  KG  22019581      </t>
  </si>
  <si>
    <t xml:space="preserve">0095454670  C6200-701-BAG-00-00-00 20000  KG  22018354      </t>
  </si>
  <si>
    <t xml:space="preserve">000200558023  EF004XXP-7A2A3913-BAG-00-00-00 5000  KG  22106119      </t>
  </si>
  <si>
    <t xml:space="preserve">0094543728  C6200-701-BAG-00-00-00 25000  KG  22018354      </t>
  </si>
  <si>
    <t xml:space="preserve">000200551494  EF004XXP-7A2A3913-BAG-00-00-00 12000  KG  22106119      </t>
  </si>
  <si>
    <t xml:space="preserve">0094038883  C2950-701-BAG-00-00-00 20000  KG  22022271      </t>
  </si>
  <si>
    <t xml:space="preserve">0095454756  3412ECR-739-BAG-00-00-00 20000  KG  22017144      </t>
  </si>
  <si>
    <t xml:space="preserve">0094038884  C2950-701-BAG-00-00-00 20000  KG  22022271      </t>
  </si>
  <si>
    <t xml:space="preserve">0094510312  945-701-BAG-00-00-00 10000  KG  22019581      </t>
  </si>
  <si>
    <t xml:space="preserve">0095454757  3412ECR-739-BAG-00-00-00 20000  KG  22017144      </t>
  </si>
  <si>
    <t xml:space="preserve">0086447054  141R-GY6A427-BAG-00-00-00 20000  KG  22030748      </t>
  </si>
  <si>
    <t xml:space="preserve">000200494124  143R-111-BAG-00-00-00 10000  KG  22021389      </t>
  </si>
  <si>
    <t xml:space="preserve">000200494095  241R-111-BAG-00-00-00 10000  KG  22019277      </t>
  </si>
  <si>
    <t xml:space="preserve">000200494106  144R-111FC-BAG-00-00-00 10000  KG  22021418      </t>
  </si>
  <si>
    <t xml:space="preserve">000200494072  121R-111-BAG-00-00-00 10000  KG  22019125      </t>
  </si>
  <si>
    <t xml:space="preserve">000200531849  143R-WH8G674-BAG-00-00-00 20000  KG  22088923      </t>
  </si>
  <si>
    <t xml:space="preserve">000200498073  LS2-4158-BAG-00-00-00 5000  KG  22020459      </t>
  </si>
  <si>
    <t xml:space="preserve">000200541727  HF1130-111-BAG-00-00-00 10000  KG  22023563      </t>
  </si>
  <si>
    <t xml:space="preserve">000200533479  143R-GY8G467X-BAG-00-00-00 10000  KG  22043850      </t>
  </si>
  <si>
    <t xml:space="preserve">000200551387  241S-WH9G203-BAG-00-00-00 20000  KG  22031084      </t>
  </si>
  <si>
    <t xml:space="preserve">000200494074  141R-111-BAG-00-00-00 10000  KG  22018087      </t>
  </si>
  <si>
    <t xml:space="preserve">000200529033  121R-WH3A022X-BAG-00-00-00 10000  KG  22021271      </t>
  </si>
  <si>
    <t xml:space="preserve">000200498097  LS2-RD4B057T-BAG-00-00-00 20000  KG  22036922      </t>
  </si>
  <si>
    <t xml:space="preserve">000200494107  144R-111FC-BAG-00-00-00 10000  KG  22021418      </t>
  </si>
  <si>
    <t xml:space="preserve">000200494073  121R-111-BAG-00-00-00 10000  KG  22019125      </t>
  </si>
  <si>
    <t xml:space="preserve">000200494125  143R-111-BAG-00-00-00 10000  KG  22021389      </t>
  </si>
  <si>
    <t xml:space="preserve">000200531850  143R-WH8G674-BAG-00-00-00 20000  KG  22088923      </t>
  </si>
  <si>
    <t xml:space="preserve">000200494075  141R-111-BAG-00-00-00 10000  KG  22018087      </t>
  </si>
  <si>
    <t xml:space="preserve">000200498096  LS2-4158-BAG-00-00-00 5000  KG  22020459      </t>
  </si>
  <si>
    <t xml:space="preserve">000200498098  LS2-RD4B057T-BAG-00-00-00 20000  KG  22036922      </t>
  </si>
  <si>
    <t xml:space="preserve">000200494021  141R-111-BAG-00-00-00 10000  KG  22018087      </t>
  </si>
  <si>
    <t xml:space="preserve">000200497082  121R-111-BAG-00-00-00 10000  KG  22019125      </t>
  </si>
  <si>
    <t xml:space="preserve">000200507105  121R-111-BAG-00-00-00 10000  KG  22019125      </t>
  </si>
  <si>
    <t xml:space="preserve">000200557252  3412ECR-WH8E395-BAG-00-00-00 5000  KG  22037868      </t>
  </si>
  <si>
    <t xml:space="preserve">000200553731  500R-73234-BAG-00-00-00 10000  KG  22038722      </t>
  </si>
  <si>
    <t xml:space="preserve">000200516891  505RU-7T1D073-BAG-00-00-00 5000  KG  22031251      </t>
  </si>
  <si>
    <t xml:space="preserve">000200553784  500R-73231-BAG-00-00-00 5000  KG  22031231      </t>
  </si>
  <si>
    <t xml:space="preserve">000200546221  CX7240-BK1D420-BAG-00-00-00 15000  KG  22019816      </t>
  </si>
  <si>
    <t xml:space="preserve">000200554677  500R-GY6E402-BAG-00-00-00 10000  KG  22033751      </t>
  </si>
  <si>
    <t xml:space="preserve">000200558308  505RU-GY2E539-BAG-00-00-00 5000  KG  22031253      </t>
  </si>
  <si>
    <t xml:space="preserve">000200535104  500R-RD4A056-BAG-00-00-00 5000  KG  22038741      </t>
  </si>
  <si>
    <t xml:space="preserve">0095454669  C6200-701-BAG-00-00-00 20000  KG  22018354      </t>
  </si>
  <si>
    <t xml:space="preserve">000200537119  945-GY2E572-BAG-00-00-00 8000  KG  22034256      </t>
  </si>
  <si>
    <t xml:space="preserve">000200558309  505RU-GY2E539-BAG-00-00-00 5000  KG  22031253      </t>
  </si>
  <si>
    <t xml:space="preserve">000200550121  C6200-701-BAG-00-00-00 20000  KG  22018354      </t>
  </si>
  <si>
    <t xml:space="preserve">000200554724  500R-GY6E402-BAG-00-00-00 10000  KG  22033751      </t>
  </si>
  <si>
    <t xml:space="preserve">000200553729  500R-73231-BAG-00-00-00 5000  KG  22031231      </t>
  </si>
  <si>
    <t xml:space="preserve">000200550555  C6600-7B1D005-BAG-00-00-00 5000  KG  22039683      </t>
  </si>
  <si>
    <t xml:space="preserve">000200528408  925-GY1G168-BAG-00-00-00 8100  KG  22034407      </t>
  </si>
  <si>
    <t xml:space="preserve">0083539335  141R-701-BAG-00-00-00 20000  KG  22021359      </t>
  </si>
  <si>
    <t xml:space="preserve">0083539336  141R-701-BAG-00-00-00 20000  KG  22021359      </t>
  </si>
  <si>
    <t xml:space="preserve">0083539337  141R-701-BAG-00-00-00 20000  KG  22021359      </t>
  </si>
  <si>
    <t xml:space="preserve">0094716247  C1200HF-RD3G073-BAG-00-00-00 20000  KG  22029056      </t>
  </si>
  <si>
    <t xml:space="preserve">000200540790  MC8002-701-BAG-00-00-00 5000  KG  22023863      </t>
  </si>
  <si>
    <t xml:space="preserve">000200510624  123R-701-BAG-00-00-00 8000  KG  22017535      </t>
  </si>
  <si>
    <t xml:space="preserve">0075337392  141R-701-BAG-00-00-00 20000  KG  22021359      </t>
  </si>
  <si>
    <t xml:space="preserve">0083586924  141R-701-BAG-00-00-00 20000  KG  22021359      </t>
  </si>
  <si>
    <t xml:space="preserve">0080845712  141R-701-BAG-00-00-00 20000  KG  22021359      </t>
  </si>
  <si>
    <t xml:space="preserve">0080845714  141R-701-BAG-00-00-00 20000  KG  22021359      </t>
  </si>
  <si>
    <t xml:space="preserve">0080845715  141R-701-BAG-00-00-00 20000  KG  22021359      </t>
  </si>
  <si>
    <t xml:space="preserve">000200558271  HRA170-BK2G008-BAG-00-00-00 5000  KG  22036438      </t>
  </si>
  <si>
    <t xml:space="preserve">000200500367  C1200HF-GY4H029 5000  KG  299900552      </t>
  </si>
  <si>
    <t xml:space="preserve">0075337388  141R-701-BAG-00-00-00 20000  KG  22021359      </t>
  </si>
  <si>
    <t xml:space="preserve">0094716248  C1200HF-RD3G073-BAG-00-00-00 20000  KG  22029056      </t>
  </si>
  <si>
    <t xml:space="preserve">000200549468  C1200HF-GY6G152-BAG-00-00-00 5000  KG  22034465      </t>
  </si>
  <si>
    <t xml:space="preserve">0094716249  C1200HF-RD3G073-BAG-00-00-00 20000  KG  22029056      </t>
  </si>
  <si>
    <t xml:space="preserve">000200462904  MC8002-701-BAG-00-00-00 15000  KG  22023863      </t>
  </si>
  <si>
    <t xml:space="preserve">000200526550  MC8002-701-BAG-00-00-00 5000  KG  22023863      </t>
  </si>
  <si>
    <t xml:space="preserve">0094716250  C1200HF-RD3G073-BAG-00-00-00 20000  KG  22029056      </t>
  </si>
  <si>
    <t xml:space="preserve">0070066339  141R-701-BAG-00-00-00 20000  KG  22021359      </t>
  </si>
  <si>
    <t xml:space="preserve">0077255852  141R-701-BAG-00-00-00 20000  KG  22021359      </t>
  </si>
  <si>
    <t xml:space="preserve">000200548433  C6200-701-BAG-00-00-00 20364  KG  22018354      </t>
  </si>
  <si>
    <t xml:space="preserve">0077255854  141R-701-BAG-00-00-00 20000  KG  22021359      </t>
  </si>
  <si>
    <t xml:space="preserve">0077255853  141R-701-BAG-00-00-00 20000  KG  22021359      </t>
  </si>
  <si>
    <t xml:space="preserve">0094716241  141R-701-BAG-00-00-00 20000  KG  22021359      </t>
  </si>
  <si>
    <t xml:space="preserve">0094716242  141R-701-BAG-00-00-00 20000  KG  22021359      </t>
  </si>
  <si>
    <t xml:space="preserve">000200547777  141R-GY5G126-BAG-00-00-00 10000  KG  22028666      </t>
  </si>
  <si>
    <t xml:space="preserve">0094716243  141R-701-BAG-00-00-00 20000  KG  22021359      </t>
  </si>
  <si>
    <t xml:space="preserve">0094716244  141R-701-BAG-00-00-00 20000  KG  22021359      </t>
  </si>
  <si>
    <t xml:space="preserve">0094715499  141R-701-BAG-00-00-00 20000  KG  22021359      </t>
  </si>
  <si>
    <t xml:space="preserve">000200493234  123R-GY2G415-BAG-00-00-00 10000  KG  22043778      </t>
  </si>
  <si>
    <t xml:space="preserve">000200549469  C1200HF-GY6G152-BAG-00-00-00 5000  KG  22034465      </t>
  </si>
  <si>
    <t xml:space="preserve">0094715498  141R-701-BAG-00-00-00 20000  KG  22021359      </t>
  </si>
  <si>
    <t xml:space="preserve">0083539338  141R-701-BAG-00-00-00 20000  KG  22021359      </t>
  </si>
  <si>
    <t xml:space="preserve">0075336080  141R-701-BAG-00-00-00 20000  KG  22021359      </t>
  </si>
  <si>
    <t xml:space="preserve">0094715500  141R-701-BAG-00-00-00 20000  KG  22021359      </t>
  </si>
  <si>
    <t xml:space="preserve">0094715501  141R-701-BAG-00-00-00 20000  KG  22021359      </t>
  </si>
  <si>
    <t xml:space="preserve">000200500423  C1200HF-GY4H029 5000  KG  299900552      </t>
  </si>
  <si>
    <t xml:space="preserve">0094700215  141R-701-BAG-00-00-00 20000  KG  22021359      </t>
  </si>
  <si>
    <t xml:space="preserve">0094700214  141R-701-BAG-00-00-00 20000  KG  22021359      </t>
  </si>
  <si>
    <t xml:space="preserve">000200495979  121R-701-BAG-00-00-00 10000  KG  22021257      </t>
  </si>
  <si>
    <t xml:space="preserve">0094700216  141R-701-BAG-00-00-00 20000  KG  22021359      </t>
  </si>
  <si>
    <t xml:space="preserve">0094700217  141R-701-BAG-00-00-00 20000  KG  22021359      </t>
  </si>
  <si>
    <t xml:space="preserve">0094700218  141R-701-BAG-00-00-00 20000  KG  22021359      </t>
  </si>
  <si>
    <t xml:space="preserve">0094700219  141R-701-BAG-00-00-00 20000  KG  22021359      </t>
  </si>
  <si>
    <t xml:space="preserve">0094700223  141R-701-BAG-00-00-00 20000  KG  22021359      </t>
  </si>
  <si>
    <t xml:space="preserve">0094700222  141R-701-BAG-00-00-00 20000  KG  22021359      </t>
  </si>
  <si>
    <t xml:space="preserve">000200496011  121R-701-BAG-00-00-00 10000  KG  22021257      </t>
  </si>
  <si>
    <t xml:space="preserve">0094700220  141R-701-BAG-00-00-00 20000  KG  22021359      </t>
  </si>
  <si>
    <t xml:space="preserve">0092461786  121R-GY8F074-SSS-00-00-00 10000  KG  22105472      </t>
  </si>
  <si>
    <t xml:space="preserve">000200457955  553-7001-BAG-00-00-00 10000  KG  22034189      </t>
  </si>
  <si>
    <t xml:space="preserve">0095448144  553-1001-BAG-00-00-00 5000  KG  22019426      </t>
  </si>
  <si>
    <t xml:space="preserve">000200532822  4521-8244-BAG-00-00-00 6000  KG  22018193      </t>
  </si>
  <si>
    <t xml:space="preserve">000200502152  357U-GY8F076-BAG-00-00-00 20000  KG  22033942      </t>
  </si>
  <si>
    <t xml:space="preserve">000200555006  121R-GY8F074-SSS-00-00-00 10000  KG  22105472      </t>
  </si>
  <si>
    <t xml:space="preserve">000200554826  553-BK1066-BAG-00-00-00 5000  KG  22017303      </t>
  </si>
  <si>
    <t xml:space="preserve">000200543539  325-1001-BAG-00-00-00 10000  KG  22026893      </t>
  </si>
  <si>
    <t xml:space="preserve">0094053025  V3900WX-BK1066-BAG-00-00-00 10000  KG  22024815      </t>
  </si>
  <si>
    <t xml:space="preserve">000200542606  V4860HR-BK1066-BAG-00-00-00 5050  KG  22024826      </t>
  </si>
  <si>
    <t xml:space="preserve">0086716001  DR48-BK1066-BAG-00-00-00 20000  KG  22017721      </t>
  </si>
  <si>
    <t xml:space="preserve">000200549443  553-OR5G003-BAG-00-00-00 10000  KG  22031160      </t>
  </si>
  <si>
    <t xml:space="preserve">000200549389  553-7001-BAG-00-00-00 10000  KG  22034189      </t>
  </si>
  <si>
    <t xml:space="preserve">000200554972  121R-GY8F074-SSS-00-00-00 10000  KG  22105472      </t>
  </si>
  <si>
    <t xml:space="preserve">0092430289  121R-GY8F074-SSS-00-00-00 10000  KG  22105472      </t>
  </si>
  <si>
    <t xml:space="preserve">000200542607  325FC-1001-BAG-00-00-00 20000  KG  22037852      </t>
  </si>
  <si>
    <t xml:space="preserve">0095432258  V3900WX-BK1066-BAG-00-00-00 10000  KG  22024815      </t>
  </si>
  <si>
    <t xml:space="preserve">000200553544  4521-8244-BAG-00-00-00 6000  KG  22018193      </t>
  </si>
  <si>
    <t xml:space="preserve">0095997378  V3900WX-BK1066-BAG-00-00-00 10000  KG  22024815      </t>
  </si>
  <si>
    <t xml:space="preserve">000200558840  V4860HR-1001-BAG-00-00-00 5000  KG  22037263      </t>
  </si>
  <si>
    <t xml:space="preserve">0087586011  DR48-BK1066-BAG-00-00-00 20000  KG  22017721      </t>
  </si>
  <si>
    <t xml:space="preserve">000200558839  V4860HR-BK1066-BAG-00-00-00 5000  KG  22024826      </t>
  </si>
  <si>
    <t xml:space="preserve">0092430290  121R-GY8F074-SSS-00-00-00 10000  KG  22105472      </t>
  </si>
  <si>
    <t xml:space="preserve">000200468016  357-BK1066-BAG-00-00-00 20376  KG  22017581      </t>
  </si>
  <si>
    <t xml:space="preserve">0092463393  121R-GY8F074-SSS-00-00-00 10000  KG  22105472      </t>
  </si>
  <si>
    <t xml:space="preserve">0092463394  121R-GY8F074-SSS-00-00-00 10000  KG  22105472      </t>
  </si>
  <si>
    <t xml:space="preserve">000200547366  V3900WX-7M8D027-BAG-00-00-00 5000  KG  22032797      </t>
  </si>
  <si>
    <t xml:space="preserve">000200542652  V3900WX-WH8E373-BAG-00-00-00 10000  KG  22041108      </t>
  </si>
  <si>
    <t xml:space="preserve">000200556149  V3900WX-WH8E373-BAG-00-00-00 10000  KG  22041108      </t>
  </si>
  <si>
    <t xml:space="preserve">000200515805  CX7211-8T4D055-BAG-00-00-00 5000  KG  22028715      </t>
  </si>
  <si>
    <t xml:space="preserve">000200553727  121R-GY6G329-BAG-00-00-00 2000  KG  22030899      </t>
  </si>
  <si>
    <t xml:space="preserve">000200496025  143R-WH9G485-BAG-00-00-00 5000  KG  22044333      </t>
  </si>
  <si>
    <t xml:space="preserve">000200543516  C6600-WH9A311-BAG-00-00-00 2000  KG  22018379      </t>
  </si>
  <si>
    <t xml:space="preserve">000200495971  141R-WH8G792-BAG-00-00-00 5000  KG  22033228      </t>
  </si>
  <si>
    <t xml:space="preserve">000200495974  143R-WH9G485-BAG-00-00-00 5000  KG  22044333      </t>
  </si>
  <si>
    <t xml:space="preserve">000200495959  141R-WH8G792-BAG-00-00-00 5000  KG  22033228      </t>
  </si>
  <si>
    <t xml:space="preserve">000200495972  141R-WH8G792-BAG-00-00-00 5000  KG  22033228      </t>
  </si>
  <si>
    <t xml:space="preserve">000200557304  C6600-WH9A311-BAG-00-00-00 2000  KG  22018379      </t>
  </si>
  <si>
    <t xml:space="preserve">000200555890  SLX2432T-NA9D082T-BAG-00-00-00 2000  KG  22018962      </t>
  </si>
  <si>
    <t xml:space="preserve">000200543470  505RU-7A1D069-BAG-00-00-00 1000  KG  22033780      </t>
  </si>
  <si>
    <t xml:space="preserve">000200499262  5220U-BK1066-BAG-00-00-00 2000  KG  22019415      </t>
  </si>
  <si>
    <t xml:space="preserve">000200552305  C6600-7T6D253-BAG-00-00-00 1000  KG  22084473      </t>
  </si>
  <si>
    <t xml:space="preserve">000200539746  3412ECR-GY2E372-BAG-00-00-00 2000  KG  22033602      </t>
  </si>
  <si>
    <t xml:space="preserve">000200515849  CX7211-7T1D166-BAG-00-00-00 5000  KG  22035192      </t>
  </si>
  <si>
    <t xml:space="preserve">000200534819  C6600-7T6D253-BAG-00-00-00 1000  KG  22084473      </t>
  </si>
  <si>
    <t xml:space="preserve">000200499146  CL100-7001-BAG-00-00-00 5000  KG  22039079      </t>
  </si>
  <si>
    <t xml:space="preserve">000200535980  DR51-7001-BAG-00-00-00 2000  KG  22028156      </t>
  </si>
  <si>
    <t xml:space="preserve">79141761    V0150B-701-BAG    20000KG   22017123      </t>
  </si>
  <si>
    <t xml:space="preserve">200554631    PCN2910-BK1D694-BAG    20000KG   22030621      </t>
  </si>
  <si>
    <t xml:space="preserve">85130030    V0150B-701-BAG    20000KG   22017123      </t>
  </si>
  <si>
    <t xml:space="preserve">200489904    PVX0901-BK1066-BAG    5000KG   22036954      </t>
  </si>
  <si>
    <t xml:space="preserve">87160091    PCN2910-BK1066-BAG    12000KG   22032814      </t>
  </si>
  <si>
    <t xml:space="preserve">86323985    PX1600X-701-BAG    20000KG   22017944      </t>
  </si>
  <si>
    <t xml:space="preserve">200431427    SE1GFN1-701-BAG    8619KG   22024908      </t>
  </si>
  <si>
    <t xml:space="preserve">86324098    PX1600X-701-BAG    20000KG   22017944      </t>
  </si>
  <si>
    <t xml:space="preserve">87778113    PX1600X-701-BAG    20000KG   22017944      </t>
  </si>
  <si>
    <t xml:space="preserve">92335692    HM4025H-75001-BAG    20000KG   22040915      </t>
  </si>
  <si>
    <t xml:space="preserve">81792811    V0150B-701-BAG    20000KG   22017123      </t>
  </si>
  <si>
    <t xml:space="preserve">79141668    V0150B-701-BAG    20000KG   22017123      </t>
  </si>
  <si>
    <t xml:space="preserve">200548439    HM3020H-75001-BAG    15000KG   22036424      </t>
  </si>
  <si>
    <t xml:space="preserve">92323059    HM4025H-75001-BAG    20000KG   22040915      </t>
  </si>
  <si>
    <t xml:space="preserve">200431428    SE1GFN1-701-BAG    20000KG   22024908      </t>
  </si>
  <si>
    <t xml:space="preserve">95453254    GFN20F-701S-BAG    10000KG   22095736      </t>
  </si>
  <si>
    <t xml:space="preserve">200554616    N1250-4N4D011-BAG    5000KG   22037195      </t>
  </si>
  <si>
    <t xml:space="preserve">82238967    HS2000X-111-BAG    20000KG   22023605      </t>
  </si>
  <si>
    <t xml:space="preserve">85210395    HS2000X-111-BAG    20000KG   22023605      </t>
  </si>
  <si>
    <t xml:space="preserve">82237946    HS2000X-111-BAG    20000KG   22023605      </t>
  </si>
  <si>
    <t xml:space="preserve">95448308    GFN20F-701S-BAG    10000KG   22095736      </t>
  </si>
  <si>
    <t xml:space="preserve">83582097    HS2000X-111-BAG    20000KG   22023605      </t>
  </si>
  <si>
    <t xml:space="preserve">92864582    HS2000X-WH8C022-BAG    20000KG   22036470      </t>
  </si>
  <si>
    <t xml:space="preserve">200543652    PX9406P-BK2D115-BAG    5000KG   22037390      </t>
  </si>
  <si>
    <t xml:space="preserve">200526395    PX9406-780-BAG    20000KG   22020783      </t>
  </si>
  <si>
    <t xml:space="preserve">95453257    GFN30F-701S-BAG    10000KG   22095738      </t>
  </si>
  <si>
    <t xml:space="preserve">200549321    N190X-7N4D004-BAG    10000KG   22030522      </t>
  </si>
  <si>
    <t xml:space="preserve">200545494    N1250-BK1066-BAG    5000KG   22040824      </t>
  </si>
  <si>
    <t xml:space="preserve">200513144    GFN1F-701S-BAG    10000KG   22066660      </t>
  </si>
  <si>
    <t xml:space="preserve">94771336    HS2000X-111-BAG    20000KG   22023605      </t>
  </si>
  <si>
    <t xml:space="preserve">92864583    HS2000X-WH8C022-BAG    20000KG   22036470      </t>
  </si>
  <si>
    <t xml:space="preserve">89722964    HS2000X-701-BAG    10000KG   22023606      </t>
  </si>
  <si>
    <t xml:space="preserve">200554628    N1250-4N4D011-BAG    5000KG   22037195      </t>
  </si>
  <si>
    <t xml:space="preserve">90238106    HS2000X-701-BAG    10000KG   22023606      </t>
  </si>
  <si>
    <t xml:space="preserve">200554684    N1250-4N4D011-BAG    5000KG   22037195      </t>
  </si>
  <si>
    <t xml:space="preserve">200545584    N1250-BK1066-BAG    5000KG   22040824      </t>
  </si>
  <si>
    <t xml:space="preserve">94771335    HS2000X-111-BAG    20000KG   22023605      </t>
  </si>
  <si>
    <t xml:space="preserve">94769879    HS2000X-111-BAG    20000KG   22023605      </t>
  </si>
  <si>
    <t xml:space="preserve">95448250    N300X-701-BAG    20000KG   22018853      </t>
  </si>
  <si>
    <t xml:space="preserve">200520284    GFN1F-701S-BAG    10000KG   22066660      </t>
  </si>
  <si>
    <t xml:space="preserve">200545535    N1250-BK1066-BAG    5000KG   22040824      </t>
  </si>
  <si>
    <t xml:space="preserve">200545305    N1250-BK1066-BAG    5000KG   22040824      </t>
  </si>
  <si>
    <t xml:space="preserve">92845169    HS2000X-701-BAG    10000KG   22023606      </t>
  </si>
  <si>
    <t xml:space="preserve">200552256    GFN20-801-BAG    20000KG   22095158      </t>
  </si>
  <si>
    <t xml:space="preserve">200554705    N1250-4N4D011-BAG    5000KG   22037195      </t>
  </si>
  <si>
    <t xml:space="preserve">200545603    N1250-BK1066-BAG    5000KG   22040824      </t>
  </si>
  <si>
    <t xml:space="preserve">89048709    945-NC-BAG    20000KG   22022070      </t>
  </si>
  <si>
    <t xml:space="preserve">200547785    C6200-WH9E666-BAG    10000KG   22039645      </t>
  </si>
  <si>
    <t xml:space="preserve">200547486    C2950-YW8295S-BAG    5000KG   22022286      </t>
  </si>
  <si>
    <t xml:space="preserve">200497257    C6200-WH9D397-BAG    10000KG   22039644      </t>
  </si>
  <si>
    <t xml:space="preserve">92463176    121R-GY8F074-SSS    10000KG   22105472      </t>
  </si>
  <si>
    <t xml:space="preserve">200550085    CX7240-8N9D079-BAG    20000KG   22031866      </t>
  </si>
  <si>
    <t xml:space="preserve">200480046    C2800-111-BAG    10000KG   22022249      </t>
  </si>
  <si>
    <t xml:space="preserve">200553681    945A-7T1D059T-BAG    5000KG   22034279      </t>
  </si>
  <si>
    <t xml:space="preserve">200550263    C6200-701-BAG    20000KG   22018354      </t>
  </si>
  <si>
    <t xml:space="preserve">200550086    CX7240-8N9D079-BAG    20000KG   22031866      </t>
  </si>
  <si>
    <t xml:space="preserve">95436690    PX9406P-7001-BAG    20000KG   22041318      </t>
  </si>
  <si>
    <t xml:space="preserve">95436691    PX9406P-7001-BAG    20000KG   22041318      </t>
  </si>
  <si>
    <t xml:space="preserve">95436692    PX9406P-7001-BAG    20000KG   22041318      </t>
  </si>
  <si>
    <t xml:space="preserve">95434597    PX9406P-7001-BAG    20000KG   22041318      </t>
  </si>
  <si>
    <t xml:space="preserve">83537443    SE100X-701-BAG    20000KG   22024902      </t>
  </si>
  <si>
    <t xml:space="preserve">85134293    SE100X-701-BAG    20000KG   22024902      </t>
  </si>
  <si>
    <t xml:space="preserve">83537442    SE100X-701-BAG    20000KG   22024902      </t>
  </si>
  <si>
    <t xml:space="preserve">70104680    SE100X-701-BAG    20000KG   22024902      </t>
  </si>
  <si>
    <t xml:space="preserve">80050915    SE100X-701-BAG    20000KG   22024902      </t>
  </si>
  <si>
    <t xml:space="preserve">93212678    PX9406P-7001-BAG    20000KG   22041318      </t>
  </si>
  <si>
    <t xml:space="preserve">86299668    PX1600X-701-BAG    20000KG   22017944      </t>
  </si>
  <si>
    <t xml:space="preserve">93176770    PX9406P-7001-BAG    20000KG   22041318      </t>
  </si>
  <si>
    <t xml:space="preserve">93176772    PX9406P-7001-BAG    20000KG   22041318      </t>
  </si>
  <si>
    <t xml:space="preserve">93212592    PX9406P-7001-BAG    20000KG   22041318      </t>
  </si>
  <si>
    <t xml:space="preserve">200552241    SE100X-701-BAG    20820KG   22024902      </t>
  </si>
  <si>
    <t xml:space="preserve">95998003    SE1X-701-BAG    20000KG   22024919      </t>
  </si>
  <si>
    <t xml:space="preserve">200488681    WCD915-8A7D027-SBG    6000KG   22080572      </t>
  </si>
  <si>
    <t xml:space="preserve">200557202    HS2000X-8952-BAG    1000KG   22023608      </t>
  </si>
  <si>
    <t xml:space="preserve">200550354    FN215X-111-BAG    6400KG   22028763      </t>
  </si>
  <si>
    <t xml:space="preserve">200558294    PX9406P-GY5E492-BAG    1000KG   22032732      </t>
  </si>
  <si>
    <t xml:space="preserve">200551485    FN215X-780-BAG    2000KG   22020062      </t>
  </si>
  <si>
    <t xml:space="preserve">200549207    731S-701S-BAG    1000KG   22031186      </t>
  </si>
  <si>
    <t xml:space="preserve">200545271    PX2801Z-BK1066-BAG    2000KG   22032844      </t>
  </si>
  <si>
    <t xml:space="preserve">200542757    7310-701-BAG    2000KG   22095148      </t>
  </si>
  <si>
    <t xml:space="preserve">200554693    WCD855-7A1D234-SBG    6000KG   22080588      </t>
  </si>
  <si>
    <t xml:space="preserve">200521267    731S-701S-BAG    2000KG   22031186      </t>
  </si>
  <si>
    <t xml:space="preserve">200526498    NH6020-100-BAG    20000KG   22060061      </t>
  </si>
  <si>
    <t xml:space="preserve">93391781    N1050-BL2G084-BAG    5000KG   22040815      </t>
  </si>
  <si>
    <t xml:space="preserve">200526499    NH6020-100-BAG    10000KG   22060061      </t>
  </si>
  <si>
    <t xml:space="preserve">200526497    NH6020-100-BAG    20000KG   22060061      </t>
  </si>
  <si>
    <t xml:space="preserve">200556887    FN215X-701-BAG    2000KG   22023022      </t>
  </si>
  <si>
    <t xml:space="preserve">200520322    N190X-701-BAG    1000KG   22018844      </t>
  </si>
  <si>
    <t xml:space="preserve">200552257    GFN20-801-BAG    4000KG   22095158      </t>
  </si>
  <si>
    <t xml:space="preserve">200550112    NH6020-100-BAG    20000KG   22060061      </t>
  </si>
  <si>
    <t xml:space="preserve">200497063    EX130-770-BAG    5000KG   22022815      </t>
  </si>
  <si>
    <t xml:space="preserve">200447176    WCD933-5A2D002-SBG    4000KG   22079928      </t>
  </si>
  <si>
    <t xml:space="preserve">87853874    WCA955-111-SBG    3000KG   22080186      </t>
  </si>
  <si>
    <t xml:space="preserve">200497085    EX130-770-BAG    5000KG   22022815      </t>
  </si>
  <si>
    <t xml:space="preserve">200534688    1000-BL3122-BAG    2000KG   22033123      </t>
  </si>
  <si>
    <t xml:space="preserve">200510318    1000-7101-BAG    100KG   22021106      </t>
  </si>
  <si>
    <t xml:space="preserve">200546846    1000R-RD6B018-BAG    100KG   22033154      </t>
  </si>
  <si>
    <t xml:space="preserve">200546893    1000R-GY2B087-BAG    100KG   22019073      </t>
  </si>
  <si>
    <t xml:space="preserve">200536077    N300-701-BAG    500KG   22041234      </t>
  </si>
  <si>
    <t xml:space="preserve">200558078    EL003-NC-BAG    1000KG   22022978      </t>
  </si>
  <si>
    <t xml:space="preserve">200532833    TPN9221-GY1493T-BAG    10000KG   22037568      </t>
  </si>
  <si>
    <t xml:space="preserve">200548568    1000R-7101-BAG    100KG   22021142      </t>
  </si>
  <si>
    <t xml:space="preserve">200533481    HS2000X-6G4A1253-BAG    1000KG   299901425      </t>
  </si>
  <si>
    <t xml:space="preserve">200549162    1000-BL1B081T-BAG    500KG   22037954      </t>
  </si>
  <si>
    <t xml:space="preserve">200485078    2310-7301-BAG    5000KG   22017567      </t>
  </si>
  <si>
    <t xml:space="preserve">200533469    1000-BL3122-BAG    1000KG   22033123      </t>
  </si>
  <si>
    <t xml:space="preserve">200552317    TPN9221-GY1493T-BAG    10000KG   22037568      </t>
  </si>
  <si>
    <t xml:space="preserve">200551343    1000R-21019-BAG    500KG   22033151      </t>
  </si>
  <si>
    <t xml:space="preserve">200551266    1000R-BR7156-BAG    300KG   22037978      </t>
  </si>
  <si>
    <t xml:space="preserve">200543607    ENH2900-8A9D020-BAG    18000KG   22022996      </t>
  </si>
  <si>
    <t xml:space="preserve">200557945    ENH2900-8A9D020-BAG    1000KG   22022996      </t>
  </si>
  <si>
    <t xml:space="preserve">200556916    EXL1413T-7B1D026T-BAG    1000KG   22036067      </t>
  </si>
  <si>
    <t xml:space="preserve">200548309    EXL1433T-GY4G001T-BAG    5000KG   22032380      </t>
  </si>
  <si>
    <t xml:space="preserve">200557034    131-111N-BAG    1000KG   22019159      </t>
  </si>
  <si>
    <t xml:space="preserve">200556053    121R-GY1D201T-BAG    1000KG   22033283      </t>
  </si>
  <si>
    <t xml:space="preserve">200549470    FXD121R-NA8G018X-BAG    3000KG   22044315      </t>
  </si>
  <si>
    <t xml:space="preserve">200513278    243R-111-BAG    2000KG   22019283      </t>
  </si>
  <si>
    <t xml:space="preserve">200542010    EXL9414T-NA8E034T-BAG    100KG   22039947      </t>
  </si>
  <si>
    <t xml:space="preserve">200521952    101R-111-BAG    2000KG   22027971      </t>
  </si>
  <si>
    <t xml:space="preserve">200545577    243R-111-BAG    2000KG   22019283      </t>
  </si>
  <si>
    <t xml:space="preserve">200547338    420-1001-BAG    1000KG   22021631      </t>
  </si>
  <si>
    <t xml:space="preserve">200535950    CX2244ME-8T9D023-BAG    500KG   22022709      </t>
  </si>
  <si>
    <t xml:space="preserve">200556934    D20001-BK1A647-BAG    500KG   22032142      </t>
  </si>
  <si>
    <t xml:space="preserve">200558162    505RU-7T8D558-BAG    200KG   22031252      </t>
  </si>
  <si>
    <t xml:space="preserve">200524286    505RU-WH8E372-BAG    1000KG   22029849      </t>
  </si>
  <si>
    <t xml:space="preserve">200558305    505RU-BL2A254-BAG    500KG   22037998      </t>
  </si>
  <si>
    <t xml:space="preserve">200551218    EXL1414-9G7A2995-BAG    100KG   299903374      </t>
  </si>
  <si>
    <t xml:space="preserve">200550355    EXL1414-8G6A2496-BAG    350KG   299902816      </t>
  </si>
  <si>
    <t xml:space="preserve">200554876    123R-701-BAG    1994.814KG   22017535      </t>
  </si>
  <si>
    <t xml:space="preserve">200541914    505RU-WH8E372-BAG    1000KG   22029849      </t>
  </si>
  <si>
    <t xml:space="preserve">200537987    505RU-7T8D558-BAG    100KG   22031252      </t>
  </si>
  <si>
    <t xml:space="preserve">200548614    505RU-7T8D558-BAG    1000KG   22031252      </t>
  </si>
  <si>
    <t xml:space="preserve">95454849    C6600-111-BAG    20000KG   22018361      </t>
  </si>
  <si>
    <t xml:space="preserve">95453261    C2950-701-BAG    20000KG   22022271      </t>
  </si>
  <si>
    <t xml:space="preserve">200537035    CX7240-8N9D079-BAG    20000KG   22031866      </t>
  </si>
  <si>
    <t xml:space="preserve">200428510    141R-111-BAG    10000KG   22018087      </t>
  </si>
  <si>
    <t xml:space="preserve">200552728    CY8630-701-BAG    20000KG   22089617      </t>
  </si>
  <si>
    <t xml:space="preserve">94606504    141R-GY6A427-BAG    20000KG   22030748      </t>
  </si>
  <si>
    <t xml:space="preserve">200552711    CY8630-701-BAG    20000KG   22089617      </t>
  </si>
  <si>
    <t xml:space="preserve">200502179    508-BK1066-BAG    10000KG   22021921      </t>
  </si>
  <si>
    <t xml:space="preserve">200553354    CY8630-701-BAG    20000KG   22089617      </t>
  </si>
  <si>
    <t xml:space="preserve">94717410    141R-GY6A427-BAG    20000KG   22030748      </t>
  </si>
  <si>
    <t xml:space="preserve">200494185    508-BK1066-BAG    20000KG   22021921      </t>
  </si>
  <si>
    <t xml:space="preserve">94717412    141R-GY6A427-BAG    20000KG   22030748      </t>
  </si>
  <si>
    <t xml:space="preserve">94717411    141R-GY6A427-BAG    20000KG   22030748      </t>
  </si>
  <si>
    <t xml:space="preserve">200537161    DR51-1001-BAG    5000KG   22017180      </t>
  </si>
  <si>
    <t xml:space="preserve">200529133    420-1001-BAG    3000KG   22021631      </t>
  </si>
  <si>
    <t xml:space="preserve">94717413    141R-GY6A427-BAG    20000KG   22030748      </t>
  </si>
  <si>
    <t xml:space="preserve">200534990    243R-WH4B198-BAG    20000KG   22038486      </t>
  </si>
  <si>
    <t xml:space="preserve">200495978    420-BK1066-BAG    10000KG   22021633      </t>
  </si>
  <si>
    <t xml:space="preserve">200553374    CY8630-701-BAG    20000KG   22089617      </t>
  </si>
  <si>
    <t xml:space="preserve">200495921    420-1001-BAG    10000KG   22021631      </t>
  </si>
  <si>
    <t xml:space="preserve">200498223    1105-78211-BAG    10000KG   22030691      </t>
  </si>
  <si>
    <t xml:space="preserve">200496030    420-BK1066-BAG    10000KG   22021633      </t>
  </si>
  <si>
    <t xml:space="preserve">200553321    CY8630-701-BAG    20000KG   22089617      </t>
  </si>
  <si>
    <t xml:space="preserve">200534991    243R-WH4B198-BAG    20000KG   22038486      </t>
  </si>
  <si>
    <t xml:space="preserve">200494168    508-BK1066-BAG    20000KG   22021921      </t>
  </si>
  <si>
    <t xml:space="preserve">200542038    420-1001-BAG    3000KG   22021631      </t>
  </si>
  <si>
    <t xml:space="preserve">200553402    CY8630-701-BAG    20000KG   22089617      </t>
  </si>
  <si>
    <t xml:space="preserve">200496009    420-BK1066-BAG    10000KG   22021633      </t>
  </si>
  <si>
    <t xml:space="preserve">200553403    CY8630-701-BAG    20000KG   22089617      </t>
  </si>
  <si>
    <t xml:space="preserve">200496006    420-1001-BAG    10000KG   22021631      </t>
  </si>
  <si>
    <t xml:space="preserve">200496045    420-BK1066-BAG    10000KG   22021633      </t>
  </si>
  <si>
    <t xml:space="preserve">200544218    508-BK1066-BAG    20000KG   22021921      </t>
  </si>
  <si>
    <t xml:space="preserve">94769857    3412ECR-739-BAG    20000KG   22017144      </t>
  </si>
  <si>
    <t xml:space="preserve">200495218    CX7240-BK1D797-BAG    10000KG   22032078      </t>
  </si>
  <si>
    <t xml:space="preserve">200498204    CY8630-701-BAG    5000KG   22089617      </t>
  </si>
  <si>
    <t xml:space="preserve">200551527    945-GY2E572-BAG    5000KG   22034256      </t>
  </si>
  <si>
    <t xml:space="preserve">95454671    C6200-701-BAG    20000KG   22018354      </t>
  </si>
  <si>
    <t xml:space="preserve">200550262    C6200-701-BAG    20000KG   22018354      </t>
  </si>
  <si>
    <t xml:space="preserve">88470614    C6200-701-BAG    20000KG   22018354      </t>
  </si>
  <si>
    <t xml:space="preserve">200551452    945-GY2E572-BAG    5000KG   22034256      </t>
  </si>
  <si>
    <t xml:space="preserve">95454670    C6200-701-BAG    20000KG   22018354      </t>
  </si>
  <si>
    <t xml:space="preserve">200558023    EF004XXP-7A2A3913-BAG    5000KG   22106119      </t>
  </si>
  <si>
    <t xml:space="preserve">94543728    C6200-701-BAG    25000KG   22018354      </t>
  </si>
  <si>
    <t xml:space="preserve">200551494    EF004XXP-7A2A3913-BAG    12000KG   22106119      </t>
  </si>
  <si>
    <t xml:space="preserve">94038883    C2950-701-BAG    20000KG   22022271      </t>
  </si>
  <si>
    <t xml:space="preserve">95454756    3412ECR-739-BAG    20000KG   22017144      </t>
  </si>
  <si>
    <t xml:space="preserve">94038884    C2950-701-BAG    20000KG   22022271      </t>
  </si>
  <si>
    <t xml:space="preserve">94510312    945-701-BAG    10000KG   22019581      </t>
  </si>
  <si>
    <t xml:space="preserve">95454757    3412ECR-739-BAG    20000KG   22017144      </t>
  </si>
  <si>
    <t xml:space="preserve">200494095    241R-111-BAG    10000KG   22019277      </t>
  </si>
  <si>
    <t xml:space="preserve">200494106    144R-111FC-BAG    10000KG   22021418      </t>
  </si>
  <si>
    <t xml:space="preserve">200494072    121R-111-BAG    10000KG   22019125      </t>
  </si>
  <si>
    <t xml:space="preserve">200531849    143R-WH8G674-BAG    20000KG   22088923      </t>
  </si>
  <si>
    <t xml:space="preserve">200498073    LS2-4158-BAG    5000KG   22020459      </t>
  </si>
  <si>
    <t xml:space="preserve">200541727    HF1130-111-BAG    10000KG   22023563      </t>
  </si>
  <si>
    <t xml:space="preserve">200533479    143R-GY8G467X-BAG    10000KG   22043850      </t>
  </si>
  <si>
    <t xml:space="preserve">200494074    141R-111-BAG    10000KG   22018087      </t>
  </si>
  <si>
    <t xml:space="preserve">200499057    HF1130-111-BAG    20000KG   22023563      </t>
  </si>
  <si>
    <t xml:space="preserve">200498097    LS2-RD4B057T-BAG    20000KG   22036922      </t>
  </si>
  <si>
    <t xml:space="preserve">200494107    144R-111FC-BAG    10000KG   22021418      </t>
  </si>
  <si>
    <t xml:space="preserve">200494073    121R-111-BAG    10000KG   22019125      </t>
  </si>
  <si>
    <t xml:space="preserve">200494125    143R-111-BAG    10000KG   22021389      </t>
  </si>
  <si>
    <t xml:space="preserve">200531850    143R-WH8G674-BAG    20000KG   22088923      </t>
  </si>
  <si>
    <t xml:space="preserve">200494075    141R-111-BAG    10000KG   22018087      </t>
  </si>
  <si>
    <t xml:space="preserve">200498096    LS2-4158-BAG    5000KG   22020459      </t>
  </si>
  <si>
    <t xml:space="preserve">200498098    LS2-RD4B057T-BAG    20000KG   22036922      </t>
  </si>
  <si>
    <t xml:space="preserve">200494021    141R-111-BAG    10000KG   22018087      </t>
  </si>
  <si>
    <t xml:space="preserve">200497082    121R-111-BAG    10000KG   22019125      </t>
  </si>
  <si>
    <t xml:space="preserve">200507105    121R-111-BAG    10000KG   22019125      </t>
  </si>
  <si>
    <t xml:space="preserve">200516891    505RU-7T1D073-BAG    5000KG   22031251      </t>
  </si>
  <si>
    <t xml:space="preserve">200546221    CX7240-BK1D420-BAG    15000KG   22019816      </t>
  </si>
  <si>
    <t xml:space="preserve">200558308    505RU-GY2E539-BAG    5000KG   22031253      </t>
  </si>
  <si>
    <t xml:space="preserve">95454669    C6200-701-BAG    20000KG   22018354      </t>
  </si>
  <si>
    <t xml:space="preserve">200537119    945-GY2E572-BAG    8000KG   22034256      </t>
  </si>
  <si>
    <t xml:space="preserve">200558309    505RU-GY2E539-BAG    5000KG   22031253      </t>
  </si>
  <si>
    <t xml:space="preserve">200550121    C6200-701-BAG    20000KG   22018354      </t>
  </si>
  <si>
    <t xml:space="preserve">200550555    C6600-7B1D005-BAG    5000KG   22039683      </t>
  </si>
  <si>
    <t xml:space="preserve">83539336    141R-701-BAG    20000KG   22021359      </t>
  </si>
  <si>
    <t xml:space="preserve">83539337    141R-701-BAG    20000KG   22021359      </t>
  </si>
  <si>
    <t xml:space="preserve">200540790    MC8002-701-BAG    5000KG   22023863      </t>
  </si>
  <si>
    <t xml:space="preserve">200510624    123R-701-BAG    8000KG   22017535      </t>
  </si>
  <si>
    <t xml:space="preserve">75337392    141R-701-BAG    20000KG   22021359      </t>
  </si>
  <si>
    <t xml:space="preserve">83586924    141R-701-BAG    20000KG   22021359      </t>
  </si>
  <si>
    <t xml:space="preserve">80845712    141R-701-BAG    20000KG   22021359      </t>
  </si>
  <si>
    <t xml:space="preserve">80845714    141R-701-BAG    20000KG   22021359      </t>
  </si>
  <si>
    <t xml:space="preserve">80845715    141R-701-BAG    20000KG   22021359      </t>
  </si>
  <si>
    <t xml:space="preserve">200500367    C1200HF-GY4H029-BAG    5000KG   299900552      </t>
  </si>
  <si>
    <t xml:space="preserve">75337388    141R-701-BAG    20000KG   22021359      </t>
  </si>
  <si>
    <t xml:space="preserve">200549468    C1200HF-GY6G152-BAG    5000KG   22034465      </t>
  </si>
  <si>
    <t xml:space="preserve">200462904    MC8002-701-BAG    15000KG   22023863      </t>
  </si>
  <si>
    <t xml:space="preserve">200526550    MC8002-701-BAG    5000KG   22023863      </t>
  </si>
  <si>
    <t xml:space="preserve">70066339    141R-701-BAG    20000KG   22021359      </t>
  </si>
  <si>
    <t xml:space="preserve">77255852    141R-701-BAG    20000KG   22021359      </t>
  </si>
  <si>
    <t xml:space="preserve">200548433    C6200-701-BAG    20364KG   22018354      </t>
  </si>
  <si>
    <t xml:space="preserve">77255854    141R-701-BAG    20000KG   22021359      </t>
  </si>
  <si>
    <t xml:space="preserve">77255853    141R-701-BAG    20000KG   22021359      </t>
  </si>
  <si>
    <t xml:space="preserve">94716241    141R-701-BAG    20000KG   22021359      </t>
  </si>
  <si>
    <t xml:space="preserve">94716242    141R-701-BAG    20000KG   22021359      </t>
  </si>
  <si>
    <t xml:space="preserve">200547777    141R-GY5G126-BAG    10000KG   22028666      </t>
  </si>
  <si>
    <t xml:space="preserve">94716243    141R-701-BAG    20000KG   22021359      </t>
  </si>
  <si>
    <t xml:space="preserve">94716244    141R-701-BAG    20000KG   22021359      </t>
  </si>
  <si>
    <t xml:space="preserve">94715499    141R-701-BAG    20000KG   22021359      </t>
  </si>
  <si>
    <t xml:space="preserve">200493234    123R-GY2G415-BAG    10000KG   22043778      </t>
  </si>
  <si>
    <t xml:space="preserve">200549469    C1200HF-GY6G152-BAG    5000KG   22034465      </t>
  </si>
  <si>
    <t xml:space="preserve">94715498    141R-701-BAG    20000KG   22021359      </t>
  </si>
  <si>
    <t xml:space="preserve">83539338    141R-701-BAG    20000KG   22021359      </t>
  </si>
  <si>
    <t xml:space="preserve">75336080    141R-701-BAG    20000KG   22021359      </t>
  </si>
  <si>
    <t xml:space="preserve">94715500    141R-701-BAG    20000KG   22021359      </t>
  </si>
  <si>
    <t xml:space="preserve">94715501    141R-701-BAG    20000KG   22021359      </t>
  </si>
  <si>
    <t xml:space="preserve">200500423    C1200HF-GY4H029-BAG    5000KG   299900552      </t>
  </si>
  <si>
    <t xml:space="preserve">94700215    141R-701-BAG    20000KG   22021359      </t>
  </si>
  <si>
    <t xml:space="preserve">94700214    141R-701-BAG    20000KG   22021359      </t>
  </si>
  <si>
    <t xml:space="preserve">200495979    121R-701-BAG    10000KG   22021257      </t>
  </si>
  <si>
    <t xml:space="preserve">94700216    141R-701-BAG    20000KG   22021359      </t>
  </si>
  <si>
    <t xml:space="preserve">94700217    141R-701-BAG    20000KG   22021359      </t>
  </si>
  <si>
    <t xml:space="preserve">94700218    141R-701-BAG    20000KG   22021359      </t>
  </si>
  <si>
    <t xml:space="preserve">94700219    141R-701-BAG    20000KG   22021359      </t>
  </si>
  <si>
    <t xml:space="preserve">94700223    141R-701-BAG    20000KG   22021359      </t>
  </si>
  <si>
    <t xml:space="preserve">94700222    141R-701-BAG    20000KG   22021359      </t>
  </si>
  <si>
    <t xml:space="preserve">200496011    121R-701-BAG    10000KG   22021257      </t>
  </si>
  <si>
    <t xml:space="preserve">94700220    141R-701-BAG    20000KG   22021359      </t>
  </si>
  <si>
    <t xml:space="preserve">200555006    121R-GY8F074-SSS    10000KG   22105472      </t>
  </si>
  <si>
    <t xml:space="preserve">200543539    325-1001-BAG    10000KG   22026893      </t>
  </si>
  <si>
    <t xml:space="preserve">200554972    121R-GY8F074-SSS    10000KG   22105472      </t>
  </si>
  <si>
    <t xml:space="preserve">92430289    121R-GY8F074-SSS    10000KG   22105472      </t>
  </si>
  <si>
    <t xml:space="preserve">200542607    325FC-1001-BAG    20000KG   22037852      </t>
  </si>
  <si>
    <t xml:space="preserve">92430290    121R-GY8F074-SSS    10000KG   22105472      </t>
  </si>
  <si>
    <t xml:space="preserve">92463393    121R-GY8F074-SSS    10000KG   22105472      </t>
  </si>
  <si>
    <t xml:space="preserve">92463394    121R-GY8F074-SSS    10000KG   22105472      </t>
  </si>
  <si>
    <t xml:space="preserve">200553727    121R-GY6G329-BAG    2000KG   22030899      </t>
  </si>
  <si>
    <t xml:space="preserve">200496025    143R-WH9G485-    5000KG   22044333      </t>
  </si>
  <si>
    <t xml:space="preserve">200543516    C6600-WH9A311-BAG    2000KG   22018379      </t>
  </si>
  <si>
    <t xml:space="preserve">200495971    141R-WH8G792-BAG    5000KG   22033228      </t>
  </si>
  <si>
    <t xml:space="preserve">200495974    143R-WH9G485-    5000KG   22044333      </t>
  </si>
  <si>
    <t xml:space="preserve">200495959    141R-WH8G792-BAG    5000KG   22033228      </t>
  </si>
  <si>
    <t xml:space="preserve">200495972    141R-WH8G792-BAG    5000KG   22033228      </t>
  </si>
  <si>
    <t xml:space="preserve">200557304    C6600-WH9A311-BAG    2000KG   22018379      </t>
  </si>
  <si>
    <t xml:space="preserve">200499262    5220U-BK1066-BAG    2000KG   22019415      </t>
  </si>
  <si>
    <t xml:space="preserve">200552305    C6600-7T6D253-BAG    1000KG   22084473      </t>
  </si>
  <si>
    <t xml:space="preserve">200539746    3412ECR-GY2E372-BAG    2000KG   22033602      </t>
  </si>
  <si>
    <t xml:space="preserve">200515849    CX7211-7T1D166-BAG    5000KG   22035192      </t>
  </si>
  <si>
    <t xml:space="preserve">200534819    C6600-7T6D253-BAG    1000KG   22084473      </t>
  </si>
  <si>
    <t xml:space="preserve">200499146    CL100-7001-BAG    5000KG   22039079      </t>
  </si>
  <si>
    <t xml:space="preserve">200535980    DR51-7001-BAG    2000KG   22028156      </t>
  </si>
  <si>
    <t>Grade-Color</t>
  </si>
  <si>
    <t>G-C-Remark</t>
  </si>
  <si>
    <t>G-Remark</t>
  </si>
  <si>
    <t>PO-Remark</t>
  </si>
  <si>
    <t>SumRemark</t>
  </si>
  <si>
    <t>Database Location</t>
  </si>
  <si>
    <t>PullScrew</t>
  </si>
  <si>
    <t xml:space="preserve">95455774    940A-116-BAG    20000KG   22022020   Br. 2    </t>
  </si>
  <si>
    <t xml:space="preserve">200410338    LS2-6162-BAG    8000KG   22018730   Br. 2    </t>
  </si>
  <si>
    <t xml:space="preserve">200543694    3412R-131-BAG    10000KG   22021728   Br. 2    </t>
  </si>
  <si>
    <t xml:space="preserve">200558966    HF1130-RD5E094T-BAG    5000KG   22030479   Br. 2    </t>
  </si>
  <si>
    <t xml:space="preserve">200554685    920-WH4C129-BAG    6000KG   22031379   Br. 2    </t>
  </si>
  <si>
    <t xml:space="preserve">200549038    3413R-GY1D257-BAG    5000KG   22033634   Br. 2    </t>
  </si>
  <si>
    <t xml:space="preserve">200555895    C2950-7T1D250-BAG    2000KG   22031532   Br. 2    </t>
  </si>
  <si>
    <t xml:space="preserve">200556954    PX2801Z-OR8B008-BAG    100KG   22037004   Br. 2    </t>
  </si>
  <si>
    <t xml:space="preserve">200546370    1000-BR7095-BAG    200KG   22030661   Br. 2    </t>
  </si>
  <si>
    <t xml:space="preserve">200533505    1000-BL7079-BAG    1000KG   22033128   Br. 2    </t>
  </si>
  <si>
    <t xml:space="preserve">200558307    925-7T6D157-BAG    5000KG   22038257   Br. 2    </t>
  </si>
  <si>
    <t xml:space="preserve">200549224    GFN20F-7M1D101F-BAG    500KG   22096112   Br. 2    </t>
  </si>
  <si>
    <t xml:space="preserve">200554934    FXE121R-BK1A184T-BAG    100KG   22023219   Br. 2    </t>
  </si>
  <si>
    <t xml:space="preserve">200536266    920A-GY2E081T-BAG    500KG   22039032   Br. 2    </t>
  </si>
  <si>
    <t xml:space="preserve">200537924    241R-GY5D607T-BAG    2000KG   22028401   Br. 2    </t>
  </si>
  <si>
    <t xml:space="preserve">200549047    FXG121R-BL4F027G-BAG    100KG   22036274   Br. 2    </t>
  </si>
  <si>
    <t xml:space="preserve">200495918    143R-71257-BAG    2000KG   22037594   Br. 2    </t>
  </si>
  <si>
    <t xml:space="preserve">200556942    553-OR5G078-BAG    2000KG   22038042   Br. 2    </t>
  </si>
  <si>
    <t xml:space="preserve">200556222    357U-WH5E122-BAG    2000KG   22038579   Br. 2    </t>
  </si>
  <si>
    <t xml:space="preserve">200552531    310SE0-7001-BAG    2000KG   22031109   Br. 2    </t>
  </si>
  <si>
    <t xml:space="preserve">200496010    420-WH6E281-BAG    5000KG   22031065   Br. 2    </t>
  </si>
  <si>
    <t xml:space="preserve">200526375    553-7001-BAG    1000KG   22034189   Br. 2    </t>
  </si>
  <si>
    <t xml:space="preserve">200541013    DR48-GY6D523-BAG    500KG   22031904   Br. 2    </t>
  </si>
  <si>
    <t xml:space="preserve">200537659    357-WH5C033-BAG    300KG   22029684   Br. 2    </t>
  </si>
  <si>
    <t xml:space="preserve">200537653    DR48-8051-BAG    2000KG   22019885   Br. 2    </t>
  </si>
  <si>
    <t xml:space="preserve">200554586    553-OR5G078-BAG    2000KG   22038042   Br. 2    </t>
  </si>
  <si>
    <t xml:space="preserve">200539013    357-7M7D049-BAG    1000KG   22044074   Br. 2    </t>
  </si>
  <si>
    <t xml:space="preserve">200545349    4521-BK1066-BAG    2000KG   22028836   Br. 2    </t>
  </si>
  <si>
    <t xml:space="preserve">200540765    457-GN4072-BAG    1000KG   22031214   Br. 2    </t>
  </si>
  <si>
    <t xml:space="preserve">200556958    DF004-GY2D398-BAG    500KG   22031877   Br. 2    </t>
  </si>
  <si>
    <t xml:space="preserve">200537651    364-1001-BAG    500KG   22038585   Br. 2    </t>
  </si>
  <si>
    <t xml:space="preserve">200547584    357M-BK1066-BAG    500KG   22029685   Br. 2    </t>
  </si>
  <si>
    <t xml:space="preserve">200496046    420-WH6E281-BAG    5000KG   22031065   Br. 2    </t>
  </si>
  <si>
    <t xml:space="preserve">200549070    DR48-7001-BAG    1000KG   22027892   Br. 2    </t>
  </si>
  <si>
    <t xml:space="preserve">200533483    553U-2R4A1010-BAG    225KG   299901392   Br. 2    </t>
  </si>
  <si>
    <t xml:space="preserve">200508789    CR7500-BK1041-BAG    2000KG   22019769   Br. 2    </t>
  </si>
  <si>
    <t xml:space="preserve">200553584    457-GN4072-BAG    1000KG   22031214   Br. 2    </t>
  </si>
  <si>
    <t xml:space="preserve">200554558    X4820-YW3D010-BAG    2000KG   22025024   Br. 2    </t>
  </si>
  <si>
    <t xml:space="preserve">200558756    3414R-739-BAG    2000KG   22021743   Br. 2    </t>
  </si>
  <si>
    <t xml:space="preserve">200525340    943A-7G7A2842-BAG    600KG   299904225   Br. 2    </t>
  </si>
  <si>
    <t xml:space="preserve">200529021    LS2-7056-BAG    2000KG   22041034   Br. 2    </t>
  </si>
  <si>
    <t xml:space="preserve">200549073    500R-RD5D188-BAG    1000KG   22029841   Br. 2    </t>
  </si>
  <si>
    <t xml:space="preserve">200558303    C1200HF-BK3D018-BAG    2000KG   22031614   Br. 2    </t>
  </si>
  <si>
    <t xml:space="preserve">200542686    500-739-BAG    25KG   22021690   Br. 2    </t>
  </si>
  <si>
    <t xml:space="preserve">200548674    940-701-BAG    2000KG   22019549   Br. 2    </t>
  </si>
  <si>
    <t xml:space="preserve">200542541    920-WH9G206-BAG    100KG   22034343   Br. 2    </t>
  </si>
  <si>
    <t xml:space="preserve">200558306    505RU-WH9F090-BAG    500KG   22033788   Br. 2    </t>
  </si>
  <si>
    <t xml:space="preserve">93270841    HRA170-GY6E500U-BAG    2000KG   22036440   Br. 2    </t>
  </si>
  <si>
    <t xml:space="preserve">200551295    EXL1414-6G7A2328-BAG    300KG   299902738   Br. 2    </t>
  </si>
  <si>
    <t xml:space="preserve">200517901    505RU-WH9F090-BAG    2000KG   22033788   Br. 2    </t>
  </si>
  <si>
    <t xml:space="preserve">95448143    357-1001-BAG    11000KG   22019323   Br. 2    </t>
  </si>
  <si>
    <t xml:space="preserve">200539771    XTWM206-WH6G187-BAG    10000KG   22086028   Br. 2    </t>
  </si>
  <si>
    <t xml:space="preserve">200533558    HRA222F-GY8E417-BAG    5000KG   22032603   Br. 2    </t>
  </si>
  <si>
    <t xml:space="preserve">200554585    C1200HF-WH8334-BAG    5000KG   22022244   Br. 2    </t>
  </si>
  <si>
    <t xml:space="preserve">200551388    241S-WH9G203-BAG    20000KG   22031084   Br. 2    </t>
  </si>
  <si>
    <t xml:space="preserve">200553483    HRA222F-BK2E067-BAG    5000KG   22036450   Br. 2    </t>
  </si>
  <si>
    <t xml:space="preserve">200552251    C6600-2T6D065-BAG    5000KG   22084468   Br. 2    </t>
  </si>
  <si>
    <t xml:space="preserve">200535905    HRA222-BK1A021-BAG    4000KG   22032595   Br. 2    </t>
  </si>
  <si>
    <t xml:space="preserve">200558238    925-7T2D216-BAG    5000KG   22031289   Br. 2    </t>
  </si>
  <si>
    <t xml:space="preserve">200554909    905-BK1G030-BAG    10000KG   22029773   Br. 2    </t>
  </si>
  <si>
    <t xml:space="preserve">200551387    241S-WH9G203-BAG    20000KG   22031084   Br. 2    </t>
  </si>
  <si>
    <t xml:space="preserve">200529033    121R-WH3A022X-BAG    10000KG   22021271   Br. 2    </t>
  </si>
  <si>
    <t xml:space="preserve">200557252    3412ECR-WH8E395-BAG    5000KG   22037868   Br. 2    </t>
  </si>
  <si>
    <t xml:space="preserve">200553731    500R-73234-BAG    10000KG   22038722   Br. 2    </t>
  </si>
  <si>
    <t xml:space="preserve">200553784    500R-73231-BAG    5000KG   22031231   Br. 2    </t>
  </si>
  <si>
    <t xml:space="preserve">200554677    500R-GY6E402-BAG    10000KG   22033751   Br. 2    </t>
  </si>
  <si>
    <t xml:space="preserve">200535104    500R-RD4A056-BAG    5000KG   22038741   Br. 2    </t>
  </si>
  <si>
    <t xml:space="preserve">200554724    500R-GY6E402-BAG    10000KG   22033751   Br. 2    </t>
  </si>
  <si>
    <t xml:space="preserve">200553729    500R-73231-BAG    5000KG   22031231   Br. 2    </t>
  </si>
  <si>
    <t xml:space="preserve">200528408    925-GY1G168-BAG    8100KG   22034407   Br. 2    </t>
  </si>
  <si>
    <t xml:space="preserve">94716247    C1200HF-RD3G073-BAG    20000KG   22029056   Br. 2    </t>
  </si>
  <si>
    <t xml:space="preserve">200558271    HRA170-BK2G008-BAG    5000KG   22036438   Br. 2    </t>
  </si>
  <si>
    <t xml:space="preserve">94716248    C1200HF-RD3G073-BAG    20000KG   22029056   Br. 2    </t>
  </si>
  <si>
    <t xml:space="preserve">94716249    C1200HF-RD3G073-BAG    20000KG   22029056   Br. 2    </t>
  </si>
  <si>
    <t xml:space="preserve">94716250    C1200HF-RD3G073-BAG    20000KG   22029056   Br. 2    </t>
  </si>
  <si>
    <t xml:space="preserve">200457955    553-7001-BAG    10000KG   22034189   Br. 2    </t>
  </si>
  <si>
    <t xml:space="preserve">95448144    553-1001-BAG    5000KG   22019426   Br. 2    </t>
  </si>
  <si>
    <t xml:space="preserve">200532822    4521-8244-BAG    6000KG   22018193   Br. 2    </t>
  </si>
  <si>
    <t xml:space="preserve">200502152    357U-GY8F076-BAG    20000KG   22033942   Br. 2    </t>
  </si>
  <si>
    <t xml:space="preserve">200554826    553-BK1066-BAG    5000KG   22017303   Br. 2    </t>
  </si>
  <si>
    <t xml:space="preserve">94053025    V3900WX-BK1066-BAG    10000KG   22024815   Br. 2    </t>
  </si>
  <si>
    <t xml:space="preserve">200542606    V4860HR-BK1066-BAG    5050KG   22024826   Br. 2    </t>
  </si>
  <si>
    <t xml:space="preserve">86716001    DR48-BK1066-BAG    20000KG   22017721   Br. 2    </t>
  </si>
  <si>
    <t xml:space="preserve">200549443    553-OR5G003-BAG    10000KG   22031160   Br. 2    </t>
  </si>
  <si>
    <t xml:space="preserve">200549389    553-7001-BAG    10000KG   22034189   Br. 2    </t>
  </si>
  <si>
    <t xml:space="preserve">95432258    V3900WX-BK1066-BAG    10000KG   22024815   Br. 2    </t>
  </si>
  <si>
    <t xml:space="preserve">200553544    4521-8244-BAG    6000KG   22018193   Br. 2    </t>
  </si>
  <si>
    <t xml:space="preserve">95997378    V3900WX-BK1066-BAG    10000KG   22024815   Br. 2    </t>
  </si>
  <si>
    <t xml:space="preserve">200558840    V4860HR-1001-BAG    5000KG   22037263   Br. 2    </t>
  </si>
  <si>
    <t xml:space="preserve">200550428    855-1001-BAG    3000KG   22019477   Br. 2    </t>
  </si>
  <si>
    <t xml:space="preserve">87586011    DR48-BK1066-BAG    20000KG   22017721   Br. 2    </t>
  </si>
  <si>
    <t xml:space="preserve">200558839    V4860HR-BK1066-BAG    5000KG   22024826   Br. 2    </t>
  </si>
  <si>
    <t xml:space="preserve">200468016    357-BK1066-BAG    20376KG   22017581   Br. 2    </t>
  </si>
  <si>
    <t xml:space="preserve">200547366    V3900WX-7M8D027-BAG    5000KG   22032797   Br. 2    </t>
  </si>
  <si>
    <t xml:space="preserve">200542652    V3900WX-WH8E373-BAG    10000KG   22041108   Br. 2    </t>
  </si>
  <si>
    <t xml:space="preserve">200556149    V3900WX-WH8E373-BAG    10000KG   22041108   Br. 2    </t>
  </si>
  <si>
    <t>\\saprc007\Efax\Admin</t>
  </si>
  <si>
    <t>Earlier by day</t>
  </si>
  <si>
    <t>Later by day</t>
  </si>
  <si>
    <t>ShortCut</t>
  </si>
  <si>
    <t>Ctrl+Shift+M</t>
  </si>
  <si>
    <t>Pullscrew</t>
  </si>
  <si>
    <t>DelayInBatch</t>
  </si>
  <si>
    <t>AdvanceInBatch</t>
  </si>
  <si>
    <t>ForScheduling</t>
  </si>
  <si>
    <t>OutputToMfg</t>
  </si>
  <si>
    <t>OutputForReview</t>
  </si>
  <si>
    <t>Rmcalculation</t>
  </si>
  <si>
    <t>StartDate</t>
  </si>
  <si>
    <t>StartTime</t>
  </si>
  <si>
    <t>FileName</t>
  </si>
  <si>
    <t>export.xlsx</t>
  </si>
  <si>
    <t>Storage Location</t>
  </si>
  <si>
    <t>GanttChartRefresh</t>
  </si>
  <si>
    <t>000200559034</t>
  </si>
  <si>
    <t>000200559036</t>
  </si>
  <si>
    <t>000200559039</t>
  </si>
  <si>
    <t>0002345665</t>
  </si>
  <si>
    <t>000200559041</t>
  </si>
  <si>
    <t>0096044402</t>
  </si>
  <si>
    <t>0095999289</t>
  </si>
  <si>
    <t>0095999290</t>
  </si>
  <si>
    <t>0002438599</t>
  </si>
  <si>
    <t>0096000253</t>
  </si>
  <si>
    <t>0/08:49:06</t>
  </si>
  <si>
    <t>000200559065</t>
  </si>
  <si>
    <t>000200559062</t>
  </si>
  <si>
    <t>0096000254</t>
  </si>
  <si>
    <t>0002389115</t>
  </si>
  <si>
    <t>000200560043</t>
  </si>
  <si>
    <t>22030085</t>
  </si>
  <si>
    <t>CX7240-8T9D310-BAG-00-00-00</t>
  </si>
  <si>
    <t>0002443007</t>
  </si>
  <si>
    <t>8T9D310</t>
  </si>
  <si>
    <t>0095996168</t>
  </si>
  <si>
    <t>000200560330</t>
  </si>
  <si>
    <t>22017072</t>
  </si>
  <si>
    <t>3413R-739-BAG-00-00-00</t>
  </si>
  <si>
    <t>0002445230</t>
  </si>
  <si>
    <t>0096013042</t>
  </si>
  <si>
    <t>0096016083</t>
  </si>
  <si>
    <t>0096103479</t>
  </si>
  <si>
    <t>22088072</t>
  </si>
  <si>
    <t>CX2244ME-8T8D280-BAG-00-00-00</t>
  </si>
  <si>
    <t>4503060959</t>
  </si>
  <si>
    <t>8T8D280</t>
  </si>
  <si>
    <t>000200559085</t>
  </si>
  <si>
    <t>000200559087</t>
  </si>
  <si>
    <t>000200559088</t>
  </si>
  <si>
    <t>000200559089</t>
  </si>
  <si>
    <t>000200559092</t>
  </si>
  <si>
    <t>000200559102</t>
  </si>
  <si>
    <t>0002376290</t>
  </si>
  <si>
    <t>000200558980</t>
  </si>
  <si>
    <t>000200558981</t>
  </si>
  <si>
    <t>0002295258</t>
  </si>
  <si>
    <t>0002443162</t>
  </si>
  <si>
    <t>0002379218</t>
  </si>
  <si>
    <t>0002286626</t>
  </si>
  <si>
    <t>0/03:00:41</t>
  </si>
  <si>
    <t>000200560251</t>
  </si>
  <si>
    <t>0002445145</t>
  </si>
  <si>
    <t>0/14:01:02</t>
  </si>
  <si>
    <t>0/16:32:46</t>
  </si>
  <si>
    <t>4503029059</t>
  </si>
  <si>
    <t>000200559349</t>
  </si>
  <si>
    <t>22029453</t>
  </si>
  <si>
    <t>PX9406P-BL5G048-BAG-00-00-00</t>
  </si>
  <si>
    <t>0002443444</t>
  </si>
  <si>
    <t>BL5G048</t>
  </si>
  <si>
    <t>000200559046</t>
  </si>
  <si>
    <t>0/01:11:36</t>
  </si>
  <si>
    <t>0/01:12:13</t>
  </si>
  <si>
    <t>000200559148</t>
  </si>
  <si>
    <t>22018121</t>
  </si>
  <si>
    <t>2110R-7301-BAG-00-00-00</t>
  </si>
  <si>
    <t>0002442918</t>
  </si>
  <si>
    <t>2110R</t>
  </si>
  <si>
    <t>000200560092</t>
  </si>
  <si>
    <t>000200560246</t>
  </si>
  <si>
    <t>0002444998</t>
  </si>
  <si>
    <t>000200559379</t>
  </si>
  <si>
    <t>22038408</t>
  </si>
  <si>
    <t>945-BL3D150-BAG-00-00-00</t>
  </si>
  <si>
    <t>0002443625</t>
  </si>
  <si>
    <t>BL3D150</t>
  </si>
  <si>
    <t>22035576</t>
  </si>
  <si>
    <t>ENH2900-7A8D036-BAG-00-00-00</t>
  </si>
  <si>
    <t>XENGLO</t>
  </si>
  <si>
    <t>7A8D036</t>
  </si>
  <si>
    <t>000200560364</t>
  </si>
  <si>
    <t>22034518</t>
  </si>
  <si>
    <t>940A-WH9A138-BAG-00-00-00</t>
  </si>
  <si>
    <t>WH9A138</t>
  </si>
  <si>
    <t>000200560049</t>
  </si>
  <si>
    <t>22032290</t>
  </si>
  <si>
    <t>FXD171R-WH4501X-BAG-00-00-00</t>
  </si>
  <si>
    <t>0002444838</t>
  </si>
  <si>
    <t>WH4501X</t>
  </si>
  <si>
    <t>000200560005</t>
  </si>
  <si>
    <t>22033096</t>
  </si>
  <si>
    <t>123R-WH5C051X-BAG-00-00-00</t>
  </si>
  <si>
    <t>0002443276</t>
  </si>
  <si>
    <t>WH5C051X</t>
  </si>
  <si>
    <t>0/08:43:58</t>
  </si>
  <si>
    <t>000200558948</t>
  </si>
  <si>
    <t>0002442750</t>
  </si>
  <si>
    <t>000200560184</t>
  </si>
  <si>
    <t>22036166</t>
  </si>
  <si>
    <t>EXL1414-WH9E195-BAG-00-00-00</t>
  </si>
  <si>
    <t>0002444919</t>
  </si>
  <si>
    <t>WH9E195</t>
  </si>
  <si>
    <t>000200559074</t>
  </si>
  <si>
    <t>22038686</t>
  </si>
  <si>
    <t>4521-1001-BAG-00-00-00</t>
  </si>
  <si>
    <t>0002442909</t>
  </si>
  <si>
    <t>000200560346</t>
  </si>
  <si>
    <t>22033927</t>
  </si>
  <si>
    <t>357-WH2D026-BAG-00-00-00</t>
  </si>
  <si>
    <t>0002445209</t>
  </si>
  <si>
    <t>WH2D026</t>
  </si>
  <si>
    <t>000200561225</t>
  </si>
  <si>
    <t>22085720</t>
  </si>
  <si>
    <t>925-7T6D230-BAG-00-00-00</t>
  </si>
  <si>
    <t>0002445249</t>
  </si>
  <si>
    <t>7T6D230</t>
  </si>
  <si>
    <t>000200559234</t>
  </si>
  <si>
    <t>0002442808</t>
  </si>
  <si>
    <t>000200560302</t>
  </si>
  <si>
    <t>22028491</t>
  </si>
  <si>
    <t>CX7211-WH9A224-BAG-00-00-00</t>
  </si>
  <si>
    <t>0002445139</t>
  </si>
  <si>
    <t>WH9A224</t>
  </si>
  <si>
    <t>000200560037</t>
  </si>
  <si>
    <t>22022433</t>
  </si>
  <si>
    <t>CM6240-701-BAG-00-00-00</t>
  </si>
  <si>
    <t>0002444853</t>
  </si>
  <si>
    <t>CM6240</t>
  </si>
  <si>
    <t>000200559526</t>
  </si>
  <si>
    <t>0002443804</t>
  </si>
  <si>
    <t>0/13:10:42</t>
  </si>
  <si>
    <t>000200560662</t>
  </si>
  <si>
    <t>22039048</t>
  </si>
  <si>
    <t>C7230P-7M2D039-BAG-00-00-00</t>
  </si>
  <si>
    <t>0/05:44:58</t>
  </si>
  <si>
    <t>0002444984</t>
  </si>
  <si>
    <t>7M2D039</t>
  </si>
  <si>
    <t>0096011677</t>
  </si>
  <si>
    <t>1/02:29:15</t>
  </si>
  <si>
    <t>000200559096</t>
  </si>
  <si>
    <t>000200559095</t>
  </si>
  <si>
    <t>0/15:59:45</t>
  </si>
  <si>
    <t>000200560062</t>
  </si>
  <si>
    <t>22045196</t>
  </si>
  <si>
    <t>EXL4019-GY1G382-BAG-00-00-00</t>
  </si>
  <si>
    <t>0002444708</t>
  </si>
  <si>
    <t>EXL4019</t>
  </si>
  <si>
    <t>GY1G382</t>
  </si>
  <si>
    <t>0096018333</t>
  </si>
  <si>
    <t>22021700</t>
  </si>
  <si>
    <t>500R-739-BAG-00-00-00</t>
  </si>
  <si>
    <t>0096011831</t>
  </si>
  <si>
    <t>0096011918</t>
  </si>
  <si>
    <t>22039680</t>
  </si>
  <si>
    <t>C6600-701-BAG-00-00-00</t>
  </si>
  <si>
    <t>000200560458</t>
  </si>
  <si>
    <t>0/10:54:10</t>
  </si>
  <si>
    <t>0002445717</t>
  </si>
  <si>
    <t>000200559360</t>
  </si>
  <si>
    <t>0002443616</t>
  </si>
  <si>
    <t>000200560237</t>
  </si>
  <si>
    <t>22038527</t>
  </si>
  <si>
    <t>BPL1000-BK1C294-BAG-00-00-00</t>
  </si>
  <si>
    <t>0002445134</t>
  </si>
  <si>
    <t>BPL1000</t>
  </si>
  <si>
    <t>BK1C294</t>
  </si>
  <si>
    <t>0096016662</t>
  </si>
  <si>
    <t>22021730</t>
  </si>
  <si>
    <t>3412R-739-BAG-00-00-00</t>
  </si>
  <si>
    <t>0095996169</t>
  </si>
  <si>
    <t>000200559124</t>
  </si>
  <si>
    <t>000200559104</t>
  </si>
  <si>
    <t>000200559255</t>
  </si>
  <si>
    <t>0002433944</t>
  </si>
  <si>
    <t>000200559122</t>
  </si>
  <si>
    <t>0/13:38:52</t>
  </si>
  <si>
    <t>0002371252</t>
  </si>
  <si>
    <t>1/23:32:56</t>
  </si>
  <si>
    <t>000200560368</t>
  </si>
  <si>
    <t>22028160</t>
  </si>
  <si>
    <t>CX7240-GY8D096-BAG-00-00-00</t>
  </si>
  <si>
    <t>0002444822</t>
  </si>
  <si>
    <t>GY8D096</t>
  </si>
  <si>
    <t>0096011833</t>
  </si>
  <si>
    <t>0/02:19:32</t>
  </si>
  <si>
    <t>0/02:23:05</t>
  </si>
  <si>
    <t>0/09:32:41</t>
  </si>
  <si>
    <t>MFG_Database.xlsx</t>
  </si>
  <si>
    <t xml:space="preserve">79141761    V0150B-701-BAG    20000KG   22017123  0402      </t>
  </si>
  <si>
    <t xml:space="preserve">85130029    V0150B-701-BAG    20000KG   22017123  0402      </t>
  </si>
  <si>
    <t xml:space="preserve">200554631    PCN2910-BK1D694-BAG    20000KG   22030621  0402      </t>
  </si>
  <si>
    <t xml:space="preserve">85130030    V0150B-701-BAG    20000KG   22017123  0402      </t>
  </si>
  <si>
    <t xml:space="preserve">200489904    PVX0901-BK1066-BAG    5000KG   22036954  0402      </t>
  </si>
  <si>
    <t xml:space="preserve">96000253    GFN20-701-BAG    10000KG   22095416  0402      </t>
  </si>
  <si>
    <t xml:space="preserve">87160091    PCN2910-BK1066-BAG    12000KG   22032814  0402      </t>
  </si>
  <si>
    <t xml:space="preserve">200431427    SE1GFN1-701-BAG    8619KG   22024908  0402      </t>
  </si>
  <si>
    <t xml:space="preserve">85130081    V0150B-701-BAG    20000KG   22017123  0402      </t>
  </si>
  <si>
    <t xml:space="preserve">86323985    PX1600X-701-BAG    20000KG   22017944  0402      </t>
  </si>
  <si>
    <t xml:space="preserve">86324098    PX1600X-701-BAG    20000KG   22017944  0402      </t>
  </si>
  <si>
    <t xml:space="preserve">87778113    PX1600X-701-BAG    20000KG   22017944  0402      </t>
  </si>
  <si>
    <t xml:space="preserve">92335692    HM4025H-75001-BAG    20000KG   22040915  0402      </t>
  </si>
  <si>
    <t xml:space="preserve">81792811    V0150B-701-BAG    20000KG   22017123  0402      </t>
  </si>
  <si>
    <t xml:space="preserve">79141668    V0150B-701-BAG    20000KG   22017123  0402      </t>
  </si>
  <si>
    <t xml:space="preserve">200431428    SE1GFN1-701-BAG    20000KG   22024908  0402      </t>
  </si>
  <si>
    <t xml:space="preserve">200548439    HM3020H-75001-BAG    15000KG   22036424  0402      </t>
  </si>
  <si>
    <t xml:space="preserve">92323059    HM4025H-75001-BAG    20000KG   22040915  0402      </t>
  </si>
  <si>
    <t xml:space="preserve">95453254    GFN20F-701S-BAG    10000KG   22095736  0402      </t>
  </si>
  <si>
    <t xml:space="preserve">94872437    GFN30F-701S-BAG    10000KG   22095738  0402      </t>
  </si>
  <si>
    <t xml:space="preserve">95448251    GFN20F-701S-BAG    10000KG   22095736  0402      </t>
  </si>
  <si>
    <t xml:space="preserve">82237946    HS2000X-111-BAG    20000KG   22023605  0402      </t>
  </si>
  <si>
    <t xml:space="preserve">95448308    GFN20F-701S-BAG    10000KG   22095736  0402      </t>
  </si>
  <si>
    <t xml:space="preserve">83582097    HS2000X-111-BAG    20000KG   22023605  0402      </t>
  </si>
  <si>
    <t xml:space="preserve">92864582    HS2000X-WH8C022-BAG    20000KG   22036470  0402      </t>
  </si>
  <si>
    <t xml:space="preserve">200543652    PX9406P-BK2D115-BAG    5000KG   22037390  0402      </t>
  </si>
  <si>
    <t xml:space="preserve">200526395    PX9406-780-BAG    20000KG   22020783  0402      </t>
  </si>
  <si>
    <t xml:space="preserve">96000254    GFN20F-N780S-BAG    10000KG   22095737  0402      </t>
  </si>
  <si>
    <t xml:space="preserve">95453257    GFN30F-701S-BAG    10000KG   22095738  0402      </t>
  </si>
  <si>
    <t xml:space="preserve">200549321    N190X-7N4D004-BAG    10000KG   22030522  0402      </t>
  </si>
  <si>
    <t xml:space="preserve">200545494    N1250-BK1066-BAG    5000KG   22040824  0402      </t>
  </si>
  <si>
    <t xml:space="preserve">200513144    GFN1F-701S-BAG    10000KG   22066660  0402      </t>
  </si>
  <si>
    <t xml:space="preserve">94771336    HS2000X-111-BAG    20000KG   22023605  0402      </t>
  </si>
  <si>
    <t xml:space="preserve">92864583    HS2000X-WH8C022-BAG    20000KG   22036470  0402      </t>
  </si>
  <si>
    <t xml:space="preserve">200545495    N1250-BK1066-BAG    5000KG   22040824  0402      </t>
  </si>
  <si>
    <t xml:space="preserve">89722964    HS2000X-701-BAG    10000KG   22023606  0402      </t>
  </si>
  <si>
    <t xml:space="preserve">90238106    HS2000X-701-BAG    10000KG   22023606  0402      </t>
  </si>
  <si>
    <t xml:space="preserve">200545584    N1250-BK1066-BAG    5000KG   22040824  0402      </t>
  </si>
  <si>
    <t xml:space="preserve">94771335    HS2000X-111-BAG    20000KG   22023605  0402      </t>
  </si>
  <si>
    <t xml:space="preserve">94769879    HS2000X-111-BAG    20000KG   22023605  0402      </t>
  </si>
  <si>
    <t xml:space="preserve">95448250    N300X-701-BAG    20000KG   22018853  0402      </t>
  </si>
  <si>
    <t xml:space="preserve">200520284    GFN1F-701S-BAG    10000KG   22066660  0402      </t>
  </si>
  <si>
    <t xml:space="preserve">200545535    N1250-BK1066-BAG    5000KG   22040824  0402      </t>
  </si>
  <si>
    <t xml:space="preserve">95999286    HS2000X-WH8C022-BAG    20000KG   22036470  0402      </t>
  </si>
  <si>
    <t xml:space="preserve">95999287    HS2000X-WH8C022-BAG    20000KG   22036470  0402      </t>
  </si>
  <si>
    <t xml:space="preserve">200545305    N1250-BK1066-BAG    5000KG   22040824  0402      </t>
  </si>
  <si>
    <t xml:space="preserve">95999288    HS2000X-701-BAG    10000KG   22023606  0402      </t>
  </si>
  <si>
    <t xml:space="preserve">92845169    HS2000X-701-BAG    10000KG   22023606  0402      </t>
  </si>
  <si>
    <t xml:space="preserve">200552256    GFN20-801-BAG    20000KG   22095158  0402      </t>
  </si>
  <si>
    <t xml:space="preserve">200545603    N1250-BK1066-BAG    5000KG   22040824  0402      </t>
  </si>
  <si>
    <t xml:space="preserve">200545255    N1250-BK1066-BAG    5000KG   22040824  0402      </t>
  </si>
  <si>
    <t xml:space="preserve">200550430    943-GY8D440-BAG    20000KG   22039171  0402   Br.     </t>
  </si>
  <si>
    <t xml:space="preserve">200558985    C6600-8M9D029-BAG    3000KG   22022574  0402   Br.     </t>
  </si>
  <si>
    <t xml:space="preserve">200550431    943-GY8D440-BAG    15000KG   22039171  0402   Br.     </t>
  </si>
  <si>
    <t xml:space="preserve">92461786    121R-GY8F074-SSS    10000KG   22105472  0402      </t>
  </si>
  <si>
    <t xml:space="preserve">89048709    945-NC-BAG    20000KG   22022070  0402      </t>
  </si>
  <si>
    <t xml:space="preserve">200560330    3413R-739-BAG    10000KG   22017072  0402   Br.     </t>
  </si>
  <si>
    <t xml:space="preserve">200410338    LS2-6162-BAG    8000KG   22018730  0402   Br.     </t>
  </si>
  <si>
    <t xml:space="preserve">95455774    940A-116-BAG    10000KG   22022020  0402   Br.     </t>
  </si>
  <si>
    <t xml:space="preserve">200557252    3412ECR-WH8E395-BAG    5000KG   22037868  0402   Br.     </t>
  </si>
  <si>
    <t xml:space="preserve">200497257    C6200-WH9D397-BAG    10000KG   22039644  0402      </t>
  </si>
  <si>
    <t xml:space="preserve">96013042    500R-131-BAG    10000KG   22018199  0402   Br.     </t>
  </si>
  <si>
    <t xml:space="preserve">96016083    943A-116-BAG    10000KG   22017080  0402   Br.     </t>
  </si>
  <si>
    <t xml:space="preserve">200555006    121R-GY8F074-SSS    10000KG   22105472  0402      </t>
  </si>
  <si>
    <t xml:space="preserve">200543694    3412R-131-BAG    10000KG   22021728  0402   Br.     </t>
  </si>
  <si>
    <t xml:space="preserve">92463176    121R-GY8F074-SSS    10000KG   22105472  0402      </t>
  </si>
  <si>
    <t xml:space="preserve">200547573    ML7694-WH8G785-BAG    20388KG   22037112  0402   Br.     </t>
  </si>
  <si>
    <t xml:space="preserve">96011837    940A-116-BAG    20000KG   22022020  0402   Br.     </t>
  </si>
  <si>
    <t xml:space="preserve">96103479    CX2244ME-8T8D280-BAG    3000KG   22088072  0402   Br.     </t>
  </si>
  <si>
    <t xml:space="preserve">200554972    121R-GY8F074-SSS    10000KG   22105472  0402      </t>
  </si>
  <si>
    <t xml:space="preserve">89022780    945-NC-BAG    20000KG   22022070  0402      </t>
  </si>
  <si>
    <t xml:space="preserve">200554685    920-WH4C129-BAG    6000KG   22031379  0402   Br.     </t>
  </si>
  <si>
    <t xml:space="preserve">200550085    CX7240-8N9D079-BAG    20000KG   22031866  0402      </t>
  </si>
  <si>
    <t xml:space="preserve">200480046    C2800-111-BAG    10000KG   22022249  0402      </t>
  </si>
  <si>
    <t xml:space="preserve">96011956    500R-131-BAG    10000KG   22018199  0402   Br.     </t>
  </si>
  <si>
    <t xml:space="preserve">200549038    3413R-GY1D257-BAG    5000KG   22033634  0402   Br.     </t>
  </si>
  <si>
    <t xml:space="preserve">200559298    940-GY6123-BAG    10000KG   22019556  0402   Br.     </t>
  </si>
  <si>
    <t xml:space="preserve">96103090    CX2244ME-8T8D280-BAG    4000KG   22088072  0402   Br.     </t>
  </si>
  <si>
    <t xml:space="preserve">200550086    CX7240-8N9D079-BAG    20000KG   22031866  0402      </t>
  </si>
  <si>
    <t xml:space="preserve">95434597    PX9406P-7001-BAG    20000KG   22041318  0402      </t>
  </si>
  <si>
    <t xml:space="preserve">95436691    PX9406P-7001-BAG    20000KG   22041318  0402      </t>
  </si>
  <si>
    <t xml:space="preserve">87083637    PX9406P-7001-BAG    20000KG   22041318  0402      </t>
  </si>
  <si>
    <t xml:space="preserve">95436690    PX9406P-7001-BAG    20000KG   22041318  0402      </t>
  </si>
  <si>
    <t xml:space="preserve">95436692    PX9406P-7001-BAG    20000KG   22041318  0402      </t>
  </si>
  <si>
    <t xml:space="preserve">87083638    PX9406P-7001-BAG    20000KG   22041318  0402      </t>
  </si>
  <si>
    <t xml:space="preserve">87083639    PX9406P-7001-BAG    20000KG   22041318  0402      </t>
  </si>
  <si>
    <t xml:space="preserve">87083640    PX9406P-7001-BAG    20000KG   22041318  0402      </t>
  </si>
  <si>
    <t xml:space="preserve">87083641    PX9406P-7001-BAG    20000KG   22041318  0402      </t>
  </si>
  <si>
    <t xml:space="preserve">87586004    PX9406P-7001-BAG    20000KG   22041318  0402      </t>
  </si>
  <si>
    <t xml:space="preserve">89698607    PX9406P-7001-BAG    20000KG   22041318  0402      </t>
  </si>
  <si>
    <t xml:space="preserve">93228794    PX9406P-7001-BAG    20000KG   22041318  0402      </t>
  </si>
  <si>
    <t xml:space="preserve">93230082    PX9406P-7001-BAG    20000KG   22041318  0402      </t>
  </si>
  <si>
    <t xml:space="preserve">200558980    PX9406P-7001-BAG    20000KG   22041318  0402      </t>
  </si>
  <si>
    <t xml:space="preserve">200558981    PX9406P-7001-BAG    20000KG   22041318  0402      </t>
  </si>
  <si>
    <t xml:space="preserve">87083635    PX9406P-7001-BAG    20000KG   22041318  0402      </t>
  </si>
  <si>
    <t xml:space="preserve">87083636    PX9406P-7001-BAG    20000KG   22041318  0402      </t>
  </si>
  <si>
    <t xml:space="preserve">83537443    SE100X-701-BAG    20000KG   22024902  0402      </t>
  </si>
  <si>
    <t xml:space="preserve">85134293    SE100X-701-BAG    20000KG   22024902  0402      </t>
  </si>
  <si>
    <t xml:space="preserve">83537442    SE100X-701-BAG    20000KG   22024902  0402      </t>
  </si>
  <si>
    <t xml:space="preserve">83537444    SE100X-701-BAG    20000KG   22024902  0402      </t>
  </si>
  <si>
    <t xml:space="preserve">70104680    SE100X-701-BAG    20000KG   22024902  0402      </t>
  </si>
  <si>
    <t xml:space="preserve">80050915    SE100X-701-BAG    20000KG   22024902  0402      </t>
  </si>
  <si>
    <t xml:space="preserve">93212678    PX9406P-7001-BAG    20000KG   22041318  0402      </t>
  </si>
  <si>
    <t xml:space="preserve">93228788    PX9406P-7001-BAG    20000KG   22041318  0402      </t>
  </si>
  <si>
    <t xml:space="preserve">93230023    PX9406P-7001-BAG    20000KG   22041318  0402      </t>
  </si>
  <si>
    <t xml:space="preserve">86299668    PX1600X-701-BAG    20000KG   22017944  0402      </t>
  </si>
  <si>
    <t xml:space="preserve">93176770    PX9406P-7001-BAG    20000KG   22041318  0402      </t>
  </si>
  <si>
    <t xml:space="preserve">93176772    PX9406P-7001-BAG    20000KG   22041318  0402      </t>
  </si>
  <si>
    <t xml:space="preserve">93212592    PX9406P-7001-BAG    20000KG   22041318  0402      </t>
  </si>
  <si>
    <t xml:space="preserve">200552241    SE100X-701-BAG    20820KG   22024902  0402      </t>
  </si>
  <si>
    <t xml:space="preserve">95998003    SE1X-701-BAG    20000KG   22024919  0402      </t>
  </si>
  <si>
    <t xml:space="preserve">200554684    N1250-4N4D011-BAG    5000KG   22037195  0402      </t>
  </si>
  <si>
    <t xml:space="preserve">200554616    N1250-4N4D011-BAG    5000KG   22037195  0402      </t>
  </si>
  <si>
    <t xml:space="preserve">200557202    HS2000X-8952-BAG    1000KG   22023608  0402      </t>
  </si>
  <si>
    <t xml:space="preserve">200550354    FN215X-111-BAG    6400KG   22028763  0402      </t>
  </si>
  <si>
    <t xml:space="preserve">200507022    PX9406-GY8D396-BAG    5000KG   22037377  0402      </t>
  </si>
  <si>
    <t xml:space="preserve">200558294    PX9406P-GY5E492-BAG    1000KG   22032732  0402      </t>
  </si>
  <si>
    <t xml:space="preserve">200551485    FN215X-780-BAG    2000KG   22020062  0402      </t>
  </si>
  <si>
    <t xml:space="preserve">200549207    731S-701S-BAG    1000KG   22031186  0402      </t>
  </si>
  <si>
    <t xml:space="preserve">200545271    PX2801Z-BK1066-BAG    2000KG   22032844  0402      </t>
  </si>
  <si>
    <t xml:space="preserve">200542757    7310-701-BAG    2000KG   22095148  0402      </t>
  </si>
  <si>
    <t xml:space="preserve">200554693    WCD855-7A1D234-SBG    6000KG   22080588  0402      </t>
  </si>
  <si>
    <t xml:space="preserve">200554628    N1250-4N4D011-BAG    5000KG   22037195  0402      </t>
  </si>
  <si>
    <t xml:space="preserve">200521267    731S-701S-BAG    2000KG   22031186  0402      </t>
  </si>
  <si>
    <t xml:space="preserve">200554705    N1250-4N4D011-BAG    5000KG   22037195  0402      </t>
  </si>
  <si>
    <t xml:space="preserve">200526498    NH6020-100-BAG    20000KG   22060061  0402      </t>
  </si>
  <si>
    <t xml:space="preserve">200560140    N300-701-BAG    500KG   22041234  0402      </t>
  </si>
  <si>
    <t xml:space="preserve">93391781    N1050-BL2G084-BAG    5000KG   22040815  0402      </t>
  </si>
  <si>
    <t xml:space="preserve">200526499    NH6020-100-BAG    10000KG   22060061  0402      </t>
  </si>
  <si>
    <t xml:space="preserve">200526497    NH6020-100-BAG    20000KG   22060061  0402      </t>
  </si>
  <si>
    <t xml:space="preserve">200556887    FN215X-701-BAG    2000KG   22023022  0402      </t>
  </si>
  <si>
    <t xml:space="preserve">200552257    GFN20-801-BAG    4000KG   22095158  0402      </t>
  </si>
  <si>
    <t xml:space="preserve">200550112    NH6020-100-BAG    20000KG   22060061  0402      </t>
  </si>
  <si>
    <t xml:space="preserve">200550053    NH6020-100-BAG    20000KG   22060061  0402      </t>
  </si>
  <si>
    <t xml:space="preserve">200560223    SE1GFN2-70699-BAG    500KG   22040973  0402      </t>
  </si>
  <si>
    <t xml:space="preserve">200497063    EX130-770-BAG    5000KG   22022815  0402      </t>
  </si>
  <si>
    <t xml:space="preserve">200447176    WCD933-5A2D002-SBG    4000KG   22079928  0402      </t>
  </si>
  <si>
    <t xml:space="preserve">87853874    WCA955-111-SBG    3000KG   22080186  0402      </t>
  </si>
  <si>
    <t xml:space="preserve">200497085    EX130-770-BAG    5000KG   22022815  0402      </t>
  </si>
  <si>
    <t xml:space="preserve">200556954    PX2801Z-OR8B008-BAG    100KG   22037004  0402   Br.     </t>
  </si>
  <si>
    <t xml:space="preserve">200534688    1000-BL3122-BAG    2000KG   22033123  0402      </t>
  </si>
  <si>
    <t xml:space="preserve">200546370    1000-BR7095-BAG    200KG   22030661  0402   Br.     </t>
  </si>
  <si>
    <t xml:space="preserve">200510318    1000-7101-BAG    100KG   22021106  0402      </t>
  </si>
  <si>
    <t xml:space="preserve">200546846    1000R-RD6B018-BAG    100KG   22033154  0402      </t>
  </si>
  <si>
    <t xml:space="preserve">200546893    1000R-GY2B087-BAG    100KG   22019073  0402      </t>
  </si>
  <si>
    <t xml:space="preserve">200533505    1000-BL7079-BAG    1000KG   22033128  0402   Br.     </t>
  </si>
  <si>
    <t xml:space="preserve">200536077    N300-701-BAG    500KG   22041234  0402      </t>
  </si>
  <si>
    <t xml:space="preserve">200558307    925-7T6D157-BAG    5000KG   22038257  0402   Br.     </t>
  </si>
  <si>
    <t xml:space="preserve">200559078    1000-GY2C261-BAG    1000KG   22019057  0402      </t>
  </si>
  <si>
    <t xml:space="preserve">200558078    EL003-NC-BAG    1000KG   22022978  0402      </t>
  </si>
  <si>
    <t xml:space="preserve">200532833    TPN9221-GY1493T-BAG    10000KG   22037568  0402      </t>
  </si>
  <si>
    <t xml:space="preserve">200549224    GFN20F-7M1D101F-BAG    500KG   22096112  0402   Br.     </t>
  </si>
  <si>
    <t xml:space="preserve">200548568    1000R-7101-BAG    100KG   22021142  0402      </t>
  </si>
  <si>
    <t xml:space="preserve">200533481    HS2000X-6G4A1253-BAG    1000KG   299901425  0402      </t>
  </si>
  <si>
    <t xml:space="preserve">200549162    1000-BL1B081T-BAG    500KG   22037954  0402      </t>
  </si>
  <si>
    <t xml:space="preserve">200485078    2310-7301-BAG    5000KG   22017567  0402      </t>
  </si>
  <si>
    <t xml:space="preserve">200533469    1000-BL3122-BAG    1000KG   22033123  0402      </t>
  </si>
  <si>
    <t xml:space="preserve">200552317    TPN9221-GY1493T-BAG    10000KG   22037568  0402      </t>
  </si>
  <si>
    <t xml:space="preserve">200551343    1000R-21019-BAG    500KG   22033151  0402      </t>
  </si>
  <si>
    <t xml:space="preserve">200551266    1000R-BR7156-BAG    300KG   22037978  0402      </t>
  </si>
  <si>
    <t xml:space="preserve">200543607    ENH2900-8A9D020-BAG    18000KG   22022996  0402      </t>
  </si>
  <si>
    <t xml:space="preserve">200552284    CM6140-7R1D137-BAG    2000KG   22029311  0402      </t>
  </si>
  <si>
    <t xml:space="preserve">200560204    ENH2900-7A8D036-BAG    9000KG   22035576  0402      </t>
  </si>
  <si>
    <t xml:space="preserve">200548309    EXL1433T-GY4G001T-BAG    5000KG   22032380  0402      </t>
  </si>
  <si>
    <t xml:space="preserve">200557034    131-111N-BAG    1000KG   22019159  0402      </t>
  </si>
  <si>
    <t xml:space="preserve">200556053    121R-GY1D201T-BAG    1000KG   22033283  0402      </t>
  </si>
  <si>
    <t xml:space="preserve">200554934    FXE121R-BK1A184T-BAG    100KG   22023219  0402   Br.     </t>
  </si>
  <si>
    <t xml:space="preserve">200560005    123R-WH5C051X-BAG    2000KG   22033096  0402      </t>
  </si>
  <si>
    <t xml:space="preserve">200536266    920A-GY2E081T-BAG    500KG   22039032  0402   Br.     </t>
  </si>
  <si>
    <t xml:space="preserve">200559300    144H-111FC-BAG    1000KG   22033341  0402      </t>
  </si>
  <si>
    <t xml:space="preserve">200549470    FXD121R-NA8G018X-BAG    3000KG   22044315  0402      </t>
  </si>
  <si>
    <t xml:space="preserve">200537924    241R-GY5D607T-BAG    2000KG   22028401  0402   Br.     </t>
  </si>
  <si>
    <t xml:space="preserve">200553681    945A-7T1D059T-BAG    5000KG   22034279  0402      </t>
  </si>
  <si>
    <t xml:space="preserve">200549047    FXG121R-BL4F027G-BAG    100KG   22036274  0402   Br.     </t>
  </si>
  <si>
    <t xml:space="preserve">200513278    243R-111-BAG    2000KG   22019283  0402      </t>
  </si>
  <si>
    <t xml:space="preserve">200542010    EXL9414T-NA8E034T-BAG    100KG   22039947  0402      </t>
  </si>
  <si>
    <t xml:space="preserve">200521952    101R-111-BAG    2000KG   22027971  0402      </t>
  </si>
  <si>
    <t xml:space="preserve">200545577    243R-111-BAG    2000KG   22019283  0402      </t>
  </si>
  <si>
    <t xml:space="preserve">200495918    143R-71257-BAG    2000KG   22037594  0402   Br.     </t>
  </si>
  <si>
    <t xml:space="preserve">200496010    420-WH6E281-BAG    5000KG   22031065  0402   Br.     </t>
  </si>
  <si>
    <t xml:space="preserve">200556942    553-OR5G078-BAG    2000KG   22038042  0402   Br.     </t>
  </si>
  <si>
    <t xml:space="preserve">200559009    500R-WH9G709-BAG    2000KG   22044789  0402   Br.     </t>
  </si>
  <si>
    <t xml:space="preserve">200526375    553-7001-BAG    1000KG   22034189  0402   Br.     </t>
  </si>
  <si>
    <t xml:space="preserve">200552531    310SE0-7001-BAG    2000KG   22031109  0402   Br.     </t>
  </si>
  <si>
    <t xml:space="preserve">200560346    357-WH2D026-BAG    2000KG   22033927  0402   Br.     </t>
  </si>
  <si>
    <t xml:space="preserve">200537659    357-WH5C033-BAG    300KG   22029684  0402   Br.     </t>
  </si>
  <si>
    <t xml:space="preserve">200537653    DR48-8051-BAG    2000KG   22019885  0402   Br.     </t>
  </si>
  <si>
    <t xml:space="preserve">200560142    357-GY81044-BAG    1000KG   22019333  0402   Br.     </t>
  </si>
  <si>
    <t xml:space="preserve">200554586    553-OR5G078-BAG    2000KG   22038042  0402   Br.     </t>
  </si>
  <si>
    <t xml:space="preserve">200539013    357-7M7D049-BAG    1000KG   22044074  0402   Br.     </t>
  </si>
  <si>
    <t xml:space="preserve">200545349    4521-BK1066-BAG    2000KG   22028836  0402   Br.     </t>
  </si>
  <si>
    <t xml:space="preserve">200540765    457-GN4072-BAG    1000KG   22031214  0402   Br.     </t>
  </si>
  <si>
    <t xml:space="preserve">200556958    DF004-GY2D398-BAG    500KG   22031877  0402   Br.     </t>
  </si>
  <si>
    <t xml:space="preserve">200537651    364-1001-BAG    500KG   22038585  0402   Br.     </t>
  </si>
  <si>
    <t xml:space="preserve">200547584    357M-BK1066-BAG    500KG   22029685  0402   Br.     </t>
  </si>
  <si>
    <t xml:space="preserve">200496046    420-WH6E281-BAG    5000KG   22031065  0402   Br.     </t>
  </si>
  <si>
    <t xml:space="preserve">200549070    DR48-7001-BAG    1000KG   22027892  0402   Br.     </t>
  </si>
  <si>
    <t xml:space="preserve">200533483    553U-2R4A1010-BAG    225KG   299901392  0402   Br.     </t>
  </si>
  <si>
    <t xml:space="preserve">200508789    CR7500-BK1041-BAG    2000KG   22019769  0402   Br.     </t>
  </si>
  <si>
    <t xml:space="preserve">200553584    457-GN4072-BAG    1000KG   22031214  0402   Br.     </t>
  </si>
  <si>
    <t xml:space="preserve">200554558    X4820-YW3D010-BAG    2000KG   22025024  0402   Br.     </t>
  </si>
  <si>
    <t xml:space="preserve">200547338    420-1001-BAG    1000KG   22021631  0402      </t>
  </si>
  <si>
    <t xml:space="preserve">200558756    3414R-739-BAG    2000KG   22021743  0402   Br.     </t>
  </si>
  <si>
    <t xml:space="preserve">200529021    LS2-7056-BAG    2000KG   22041034  0402   Br.     </t>
  </si>
  <si>
    <t xml:space="preserve">200558162    505RU-7T8D558-BAG    200KG   22031252  0402      </t>
  </si>
  <si>
    <t xml:space="preserve">200549073    500R-RD5D188-BAG    1000KG   22029841  0402   Br.     </t>
  </si>
  <si>
    <t xml:space="preserve">200542686    500-739-BAG    25KG   22021690  0402   Br.     </t>
  </si>
  <si>
    <t xml:space="preserve">200555895    C2950-7T1D250-BAG    2000KG   22031532  0402   Br.     </t>
  </si>
  <si>
    <t xml:space="preserve">200559526    C2950HF-GY1D453-BAG    2000KG   22045238  0402   Br.     </t>
  </si>
  <si>
    <t xml:space="preserve">200556934    D20001-BK1A647-BAG    500KG   22032142  0402      </t>
  </si>
  <si>
    <t xml:space="preserve">200558923    945-7M1D115-BAG    2000KG   22038377  0402   Br.     </t>
  </si>
  <si>
    <t xml:space="preserve">200558303    C1200HF-BK3D018-BAG    2000KG   22031614  0402   Br.     </t>
  </si>
  <si>
    <t xml:space="preserve">200548674    940-701-BAG    2000KG   22019549  0402   Br.     </t>
  </si>
  <si>
    <t xml:space="preserve">200542541    920-WH9G206-BAG    100KG   22034343  0402   Br.     </t>
  </si>
  <si>
    <t xml:space="preserve">200524286    505RU-WH8E372-BAG    1000KG   22029849  0402      </t>
  </si>
  <si>
    <t xml:space="preserve">200558306    505RU-WH9F090-BAG    500KG   22033788  0402   Br.     </t>
  </si>
  <si>
    <t xml:space="preserve">200556023    EFL36-BK1A603-BAG    3000KG   22035948  0402      </t>
  </si>
  <si>
    <t xml:space="preserve">200558305    505RU-BL2A254-BAG    500KG   22037998  0402      </t>
  </si>
  <si>
    <t xml:space="preserve">200560281    500R-60355-BAG    300KG   22034089  0402   Br.     </t>
  </si>
  <si>
    <t xml:space="preserve">93270841    HRA170-GY6E500U-BAG    2000KG   22036440  0402   Br.     </t>
  </si>
  <si>
    <t xml:space="preserve">200559459    CX7211-GY5D329-BAG    1000KG   22035198  0402      </t>
  </si>
  <si>
    <t xml:space="preserve">200551218    EXL1414-9G7A2995-BAG    100KG   299903374  0402      </t>
  </si>
  <si>
    <t xml:space="preserve">200550355    EXL1414-8G6A2496-BAG    350KG   299902816  0402      </t>
  </si>
  <si>
    <t xml:space="preserve">200551295    EXL1414-6G7A2328-BAG    300KG   299902738  0402   Br.     </t>
  </si>
  <si>
    <t xml:space="preserve">200554876    123R-701-BAG    1994.814KG   22017535  0402      </t>
  </si>
  <si>
    <t xml:space="preserve">200560551    LS2-7056-BAG    2000KG   22041034  0402   Br.     </t>
  </si>
  <si>
    <t xml:space="preserve">200541914    505RU-WH8E372-BAG    1000KG   22029849  0402      </t>
  </si>
  <si>
    <t xml:space="preserve">200517901    505RU-WH9F090-BAG    2000KG   22033788  0402   Br.     </t>
  </si>
  <si>
    <t xml:space="preserve">200537987    505RU-7T8D558-BAG    100KG   22031252  0402      </t>
  </si>
  <si>
    <t xml:space="preserve">200548614    505RU-7T8D558-BAG    1000KG   22031252  0402      </t>
  </si>
  <si>
    <t xml:space="preserve">96011677    C6600-111-BAG    20000KG   22018361  0402      </t>
  </si>
  <si>
    <t xml:space="preserve">200537035    CX7240-8N9D079-BAG    20000KG   22031866  0402      </t>
  </si>
  <si>
    <t xml:space="preserve">200550306    C2950-WH8G587-BAG    10100KG   22039528  0402   Br.     </t>
  </si>
  <si>
    <t xml:space="preserve">200428510    141R-111-BAG    10000KG   22018087  0402      </t>
  </si>
  <si>
    <t xml:space="preserve">94716247    C1200HF-RD3G073-BAG    20000KG   22029056  0402   Br.     </t>
  </si>
  <si>
    <t xml:space="preserve">94606504    141R-GY6A427-BAG    20000KG   22030748  0402      </t>
  </si>
  <si>
    <t xml:space="preserve">200552711    CY8630-701-BAG    20000KG   22089617  0402      </t>
  </si>
  <si>
    <t xml:space="preserve">200539771    XTWM206-WH6G187-BAG    10000KG   22086028  0402   Br.     </t>
  </si>
  <si>
    <t xml:space="preserve">200533558    HRA222F-GY8E417-BAG    5000KG   22032603  0402   Br.     </t>
  </si>
  <si>
    <t xml:space="preserve">200554585    C1200HF-WH8334-BAG    5000KG   22022244  0402   Br.     </t>
  </si>
  <si>
    <t xml:space="preserve">200553354    CY8630-701-BAG    20000KG   22089617  0402      </t>
  </si>
  <si>
    <t xml:space="preserve">94717410    141R-GY6A427-BAG    20000KG   22030748  0402      </t>
  </si>
  <si>
    <t xml:space="preserve">200494185    508-BK1066-BAG    20000KG   22021921  0402      </t>
  </si>
  <si>
    <t xml:space="preserve">94717412    141R-GY6A427-BAG    20000KG   22030748  0402      </t>
  </si>
  <si>
    <t xml:space="preserve">94717411    141R-GY6A427-BAG    20000KG   22030748  0402      </t>
  </si>
  <si>
    <t xml:space="preserve">200537161    DR51-1001-BAG    5000KG   22017180  0402      </t>
  </si>
  <si>
    <t xml:space="preserve">200529133    420-1001-BAG    3000KG   22021631  0402      </t>
  </si>
  <si>
    <t xml:space="preserve">200559120    5220U-1001-BAG    5000KG   22017603  0402      </t>
  </si>
  <si>
    <t xml:space="preserve">94717413    141R-GY6A427-BAG    20000KG   22030748  0402      </t>
  </si>
  <si>
    <t xml:space="preserve">200534990    243R-WH4B198-BAG    20000KG   22038486  0402      </t>
  </si>
  <si>
    <t xml:space="preserve">200495978    420-BK1066-BAG    10000KG   22021633  0402      </t>
  </si>
  <si>
    <t xml:space="preserve">200553374    CY8630-701-BAG    20000KG   22089617  0402      </t>
  </si>
  <si>
    <t xml:space="preserve">200551388    241S-WH9G203-BAG    20000KG   22031084  0402   Br.     </t>
  </si>
  <si>
    <t xml:space="preserve">200553483    HRA222F-BK2E067-BAG    5000KG   22036450  0402   Br.     </t>
  </si>
  <si>
    <t xml:space="preserve">200495921    420-1001-BAG    10000KG   22021631  0402      </t>
  </si>
  <si>
    <t xml:space="preserve">200547777    141R-GY5G126-BAG    10000KG   22028666  0402      </t>
  </si>
  <si>
    <t xml:space="preserve">200498223    1105-78211-BAG    10000KG   22030691  0402      </t>
  </si>
  <si>
    <t xml:space="preserve">200496030    420-BK1066-BAG    10000KG   22021633  0402      </t>
  </si>
  <si>
    <t xml:space="preserve">200549469    C1200HF-GY6G152-BAG    5000KG   22034465  0402      </t>
  </si>
  <si>
    <t xml:space="preserve">200553321    CY8630-701-BAG    20000KG   22089617  0402      </t>
  </si>
  <si>
    <t xml:space="preserve">200534991    243R-WH4B198-BAG    20000KG   22038486  0402      </t>
  </si>
  <si>
    <t xml:space="preserve">200494168    508-BK1066-BAG    20000KG   22021921  0402      </t>
  </si>
  <si>
    <t xml:space="preserve">200542038    420-1001-BAG    3000KG   22021631  0402      </t>
  </si>
  <si>
    <t xml:space="preserve">200553402    CY8630-701-BAG    20000KG   22089617  0402      </t>
  </si>
  <si>
    <t xml:space="preserve">200496009    420-BK1066-BAG    10000KG   22021633  0402      </t>
  </si>
  <si>
    <t xml:space="preserve">200553403    CY8630-701-BAG    20000KG   22089617  0402      </t>
  </si>
  <si>
    <t xml:space="preserve">200496006    420-1001-BAG    10000KG   22021631  0402      </t>
  </si>
  <si>
    <t xml:space="preserve">200496045    420-BK1066-BAG    10000KG   22021633  0402      </t>
  </si>
  <si>
    <t xml:space="preserve">200544218    508-BK1066-BAG    20000KG   22021921  0402      </t>
  </si>
  <si>
    <t xml:space="preserve">94769856    3412ECR-739-BAG    20000KG   22017144  0402      </t>
  </si>
  <si>
    <t xml:space="preserve">96018333    500R-739-BAG    10000KG   22021700  0402   Br.     </t>
  </si>
  <si>
    <t xml:space="preserve">200552251    C6600-2T6D065-BAG    5000KG   22084468  0402   Br.     </t>
  </si>
  <si>
    <t xml:space="preserve">200535905    HRA222-BK1A021-BAG    4000KG   22032595  0402   Br.     </t>
  </si>
  <si>
    <t xml:space="preserve">94769857    3412ECR-739-BAG    20000KG   22017144  0402      </t>
  </si>
  <si>
    <t xml:space="preserve">200550024    C2950-7T1D300-BAG    20000KG   22039488  0402      </t>
  </si>
  <si>
    <t xml:space="preserve">96098125    CX2244ME-7T5D428-BAG    4000KG   22088391  0402      </t>
  </si>
  <si>
    <t xml:space="preserve">200558238    925-7T2D216-BAG    5000KG   22031289  0402   Br.     </t>
  </si>
  <si>
    <t xml:space="preserve">200495218    CX7240-BK1D797-BAG    10000KG   22032078  0402      </t>
  </si>
  <si>
    <t xml:space="preserve">200498204    CY8630-701-BAG    5000KG   22089617  0402      </t>
  </si>
  <si>
    <t xml:space="preserve">200551527    945-GY2E572-BAG    5000KG   22034256  0402      </t>
  </si>
  <si>
    <t xml:space="preserve">88470614    C6200-701-BAG    20000KG   22018354  0402      </t>
  </si>
  <si>
    <t xml:space="preserve">96103083    CX2244ME-7T5D428-BAG    3000KG   22088391  0402      </t>
  </si>
  <si>
    <t xml:space="preserve">200554909    905-BK1G030-BAG    10000KG   22029773  0402   Br.     </t>
  </si>
  <si>
    <t xml:space="preserve">200551452    945-GY2E572-BAG    5000KG   22034256  0402      </t>
  </si>
  <si>
    <t xml:space="preserve">96011918    C6600-701-BAG    10000KG   22039680  0402      </t>
  </si>
  <si>
    <t xml:space="preserve">94543728    C6200-701-BAG    25000KG   22018354  0402      </t>
  </si>
  <si>
    <t xml:space="preserve">94038883    C2950-701-BAG    20000KG   22022271  0402      </t>
  </si>
  <si>
    <t xml:space="preserve">200551494    EF004XXP-7A2A3913-BAG    12000KG   22106119  0402      </t>
  </si>
  <si>
    <t xml:space="preserve">94038884    C2950-701-BAG    20000KG   22022271  0402      </t>
  </si>
  <si>
    <t xml:space="preserve">94510312    945-701-BAG    10000KG   22019581  0402      </t>
  </si>
  <si>
    <t xml:space="preserve">200494072    121R-111-BAG    10000KG   22019125  0402      </t>
  </si>
  <si>
    <t xml:space="preserve">200558990    141R-111-BAG    20000KG   22018087  0402      </t>
  </si>
  <si>
    <t xml:space="preserve">200531849    143R-WH8G674-BAG    20000KG   22088923  0402      </t>
  </si>
  <si>
    <t xml:space="preserve">200533479    143R-GY8G467X-BAG    10000KG   22043850  0402      </t>
  </si>
  <si>
    <t xml:space="preserve">200551387    241S-WH9G203-BAG    20000KG   22031084  0402   Br.     </t>
  </si>
  <si>
    <t xml:space="preserve">200494074    141R-111-BAG    10000KG   22018087  0402      </t>
  </si>
  <si>
    <t xml:space="preserve">200560458    LS2-6162-BAG    9300.002KG   22018730  0402   Br.     </t>
  </si>
  <si>
    <t xml:space="preserve">200499057    HF1130-111-BAG    20000KG   22023563  0402      </t>
  </si>
  <si>
    <t xml:space="preserve">200559316    HF1130-111-BAG    20000KG   22023563  0402      </t>
  </si>
  <si>
    <t xml:space="preserve">200529033    121R-WH3A022X-BAG    10000KG   22021271  0402   Br.     </t>
  </si>
  <si>
    <t xml:space="preserve">200498097    LS2-RD4B057T-BAG    20000KG   22036922  0402      </t>
  </si>
  <si>
    <t xml:space="preserve">200494107    144R-111FC-BAG    10000KG   22021418  0402      </t>
  </si>
  <si>
    <t xml:space="preserve">200494073    121R-111-BAG    10000KG   22019125  0402      </t>
  </si>
  <si>
    <t xml:space="preserve">200494125    143R-111-BAG    10000KG   22021389  0402      </t>
  </si>
  <si>
    <t xml:space="preserve">200531850    143R-WH8G674-BAG    20000KG   22088923  0402      </t>
  </si>
  <si>
    <t xml:space="preserve">200560212    143R-111-BAG    5000KG   22021389  0402      </t>
  </si>
  <si>
    <t xml:space="preserve">200560234    121R-111-BAG    15000KG   22019125  0402      </t>
  </si>
  <si>
    <t xml:space="preserve">200494075    141R-111-BAG    10000KG   22018087  0402      </t>
  </si>
  <si>
    <t xml:space="preserve">200498073    LS2-4158-BAG    5000KG   22020459  0402      </t>
  </si>
  <si>
    <t xml:space="preserve">200498098    LS2-RD4B057T-BAG    20000KG   22036922  0402      </t>
  </si>
  <si>
    <t xml:space="preserve">200494021    141R-111-BAG    10000KG   22018087  0402      </t>
  </si>
  <si>
    <t xml:space="preserve">200497082    121R-111-BAG    10000KG   22019125  0402      </t>
  </si>
  <si>
    <t xml:space="preserve">200507105    121R-111-BAG    10000KG   22019125  0402      </t>
  </si>
  <si>
    <t xml:space="preserve">200506650    241R-111-BAG    10000KG   22019277  0402      </t>
  </si>
  <si>
    <t xml:space="preserve">95453261    C2950-701-BAG    20000KG   22022271  0402      </t>
  </si>
  <si>
    <t xml:space="preserve">200560237    BPL1000-BK1C294-BAG    6000KG   22038527  0402      </t>
  </si>
  <si>
    <t xml:space="preserve">96016662    3412R-739-BAG    10000KG   22021730  0402   Br.     </t>
  </si>
  <si>
    <t xml:space="preserve">200554942    CX7240-701-BAG    20000KG   22017351  0402      </t>
  </si>
  <si>
    <t xml:space="preserve">200553731    500R-73234-BAG    10000KG   22038722  0402   Br.     </t>
  </si>
  <si>
    <t xml:space="preserve">200516891    505RU-7T1D073-BAG    5000KG   22031251  0402      </t>
  </si>
  <si>
    <t xml:space="preserve">200553784    500R-73231-BAG    5000KG   22031231  0402   Br.     </t>
  </si>
  <si>
    <t xml:space="preserve">200546221    CX7240-BK1D420-BAG    15000KG   22019816  0402      </t>
  </si>
  <si>
    <t xml:space="preserve">95996169    C2950-701-BAG    20000KG   22022271  0402      </t>
  </si>
  <si>
    <t xml:space="preserve">200554677    500R-GY6E402-BAG    10000KG   22033751  0402   Br.     </t>
  </si>
  <si>
    <t xml:space="preserve">200558308    505RU-GY2E539-BAG    5000KG   22031253  0402      </t>
  </si>
  <si>
    <t xml:space="preserve">200535104    500R-RD4A056-BAG    5000KG   22038741  0402   Br.     </t>
  </si>
  <si>
    <t xml:space="preserve">95454669    C6200-701-BAG    20000KG   22018354  0402      </t>
  </si>
  <si>
    <t xml:space="preserve">200537119    945-GY2E572-BAG    8000KG   22034256  0402      </t>
  </si>
  <si>
    <t xml:space="preserve">95454756    3412ECR-739-BAG    20000KG   22017144  0402      </t>
  </si>
  <si>
    <t xml:space="preserve">95454671    C6200-701-BAG    20000KG   22018354  0402      </t>
  </si>
  <si>
    <t xml:space="preserve">95996170    C2950-701-BAG    20000KG   22022271  0402      </t>
  </si>
  <si>
    <t xml:space="preserve">200558309    505RU-GY2E539-BAG    5000KG   22031253  0402      </t>
  </si>
  <si>
    <t xml:space="preserve">200550121    C6200-701-BAG    20000KG   22018354  0402      </t>
  </si>
  <si>
    <t xml:space="preserve">200559562    500R-73234-BAG    10000KG   22038722  0402   Br.     </t>
  </si>
  <si>
    <t xml:space="preserve">200554724    500R-GY6E402-BAG    10000KG   22033751  0402   Br.     </t>
  </si>
  <si>
    <t xml:space="preserve">95454757    3412ECR-739-BAG    20000KG   22017144  0402      </t>
  </si>
  <si>
    <t xml:space="preserve">200553729    500R-73231-BAG    5000KG   22031231  0402   Br.     </t>
  </si>
  <si>
    <t xml:space="preserve">200550555    C6600-7B1D005-BAG    5000KG   22039683  0402      </t>
  </si>
  <si>
    <t xml:space="preserve">200528408    925-GY1G168-BAG    8100KG   22034407  0402   Br.     </t>
  </si>
  <si>
    <t xml:space="preserve">200559255    7530-14600-BAG    10000KG   22033905  0402      </t>
  </si>
  <si>
    <t xml:space="preserve">86376346    141R-701-BAG    20000KG   22021359  0402      </t>
  </si>
  <si>
    <t xml:space="preserve">72974333    141R-701-BAG    20000KG   22021359  0402      </t>
  </si>
  <si>
    <t xml:space="preserve">86376347    141R-701-BAG    20000KG   22021359  0402      </t>
  </si>
  <si>
    <t xml:space="preserve">83539334    141R-701-BAG    20000KG   22021359  0402      </t>
  </si>
  <si>
    <t xml:space="preserve">75336078    141R-701-BAG    20000KG   22021359  0402      </t>
  </si>
  <si>
    <t xml:space="preserve">83539335    141R-701-BAG    20000KG   22021359  0402      </t>
  </si>
  <si>
    <t xml:space="preserve">83539337    141R-701-BAG    20000KG   22021359  0402      </t>
  </si>
  <si>
    <t xml:space="preserve">83539336    141R-701-BAG    20000KG   22021359  0402      </t>
  </si>
  <si>
    <t xml:space="preserve">200555873    221R-701-BAG    20000KG   22019254  0402      </t>
  </si>
  <si>
    <t xml:space="preserve">75337392    141R-701-BAG    20000KG   22021359  0402      </t>
  </si>
  <si>
    <t xml:space="preserve">83586924    141R-701-BAG    20000KG   22021359  0402      </t>
  </si>
  <si>
    <t xml:space="preserve">80845712    141R-701-BAG    20000KG   22021359  0402      </t>
  </si>
  <si>
    <t xml:space="preserve">80845714    141R-701-BAG    20000KG   22021359  0402      </t>
  </si>
  <si>
    <t xml:space="preserve">80845715    141R-701-BAG    20000KG   22021359  0402      </t>
  </si>
  <si>
    <t xml:space="preserve">200558271    HRA170-BK2G008-BAG    5000KG   22036438  0402   Br.     </t>
  </si>
  <si>
    <t xml:space="preserve">200500367    C1200HF-GY4H029-BAG    5000KG   299900552  0402      </t>
  </si>
  <si>
    <t xml:space="preserve">75337388    141R-701-BAG    20000KG   22021359  0402      </t>
  </si>
  <si>
    <t xml:space="preserve">94716248    C1200HF-RD3G073-BAG    20000KG   22029056  0402   Br.     </t>
  </si>
  <si>
    <t xml:space="preserve">200549468    C1200HF-GY6G152-BAG    5000KG   22034465  0402      </t>
  </si>
  <si>
    <t xml:space="preserve">94716249    C1200HF-RD3G073-BAG    20000KG   22029056  0402   Br.     </t>
  </si>
  <si>
    <t xml:space="preserve">94716250    C1200HF-RD3G073-BAG    20000KG   22029056  0402   Br.     </t>
  </si>
  <si>
    <t xml:space="preserve">200462904    MC8002-701-BAG    15000KG   22023863  0402      </t>
  </si>
  <si>
    <t xml:space="preserve">200526550    MC8002-701-BAG    5000KG   22023863  0402      </t>
  </si>
  <si>
    <t xml:space="preserve">200550262    C6200-701-BAG    20000KG   22018354  0402      </t>
  </si>
  <si>
    <t xml:space="preserve">70066339    141R-701-BAG    20000KG   22021359  0402      </t>
  </si>
  <si>
    <t xml:space="preserve">77255852    141R-701-BAG    20000KG   22021359  0402      </t>
  </si>
  <si>
    <t xml:space="preserve">200550263    C6200-701-BAG    20000KG   22018354  0402      </t>
  </si>
  <si>
    <t xml:space="preserve">200548433    C6200-701-BAG    20364KG   22018354  0402      </t>
  </si>
  <si>
    <t xml:space="preserve">77255854    141R-701-BAG    20000KG   22021359  0402      </t>
  </si>
  <si>
    <t xml:space="preserve">77255853    141R-701-BAG    20000KG   22021359  0402      </t>
  </si>
  <si>
    <t xml:space="preserve">94716241    141R-701-BAG    20000KG   22021359  0402      </t>
  </si>
  <si>
    <t xml:space="preserve">94716242    141R-701-BAG    20000KG   22021359  0402      </t>
  </si>
  <si>
    <t xml:space="preserve">94716243    141R-701-BAG    20000KG   22021359  0402      </t>
  </si>
  <si>
    <t xml:space="preserve">94716244    141R-701-BAG    20000KG   22021359  0402      </t>
  </si>
  <si>
    <t xml:space="preserve">94715499    141R-701-BAG    20000KG   22021359  0402      </t>
  </si>
  <si>
    <t xml:space="preserve">200493234    123R-GY2G415-BAG    10000KG   22043778  0402      </t>
  </si>
  <si>
    <t xml:space="preserve">94715498    141R-701-BAG    20000KG   22021359  0402      </t>
  </si>
  <si>
    <t xml:space="preserve">83539338    141R-701-BAG    20000KG   22021359  0402      </t>
  </si>
  <si>
    <t xml:space="preserve">75336080    141R-701-BAG    20000KG   22021359  0402      </t>
  </si>
  <si>
    <t xml:space="preserve">94715500    141R-701-BAG    20000KG   22021359  0402      </t>
  </si>
  <si>
    <t xml:space="preserve">94715501    141R-701-BAG    20000KG   22021359  0402      </t>
  </si>
  <si>
    <t xml:space="preserve">200500423    C1200HF-GY4H029-BAG    5000KG   299900552  0402      </t>
  </si>
  <si>
    <t xml:space="preserve">94700215    141R-701-BAG    20000KG   22021359  0402      </t>
  </si>
  <si>
    <t xml:space="preserve">94700214    141R-701-BAG    20000KG   22021359  0402      </t>
  </si>
  <si>
    <t xml:space="preserve">94700216    141R-701-BAG    20000KG   22021359  0402      </t>
  </si>
  <si>
    <t xml:space="preserve">94700217    141R-701-BAG    20000KG   22021359  0402      </t>
  </si>
  <si>
    <t xml:space="preserve">94700218    141R-701-BAG    20000KG   22021359  0402      </t>
  </si>
  <si>
    <t xml:space="preserve">94700219    141R-701-BAG    20000KG   22021359  0402      </t>
  </si>
  <si>
    <t xml:space="preserve">94700223    141R-701-BAG    20000KG   22021359  0402      </t>
  </si>
  <si>
    <t xml:space="preserve">94700222    141R-701-BAG    20000KG   22021359  0402      </t>
  </si>
  <si>
    <t xml:space="preserve">94700220    141R-701-BAG    20000KG   22021359  0402      </t>
  </si>
  <si>
    <t xml:space="preserve">94700221    141R-701-BAG    20000KG   22021359  0402      </t>
  </si>
  <si>
    <t xml:space="preserve">200502152    357U-GY8F076-BAG    20000KG   22033942  0402   Br.     </t>
  </si>
  <si>
    <t xml:space="preserve">200556919    3706-GY8G367-BAG    18000KG   22033643  0402   Br.     </t>
  </si>
  <si>
    <t xml:space="preserve">200554826    553-BK1066-BAG    5000KG   22017303  0402   Br.     </t>
  </si>
  <si>
    <t xml:space="preserve">200543539    325-1001-BAG    10000KG   22026893  0402      </t>
  </si>
  <si>
    <t xml:space="preserve">94053025    V3900WX-BK1066-BAG    10000KG   22024815  0402   Br.     </t>
  </si>
  <si>
    <t xml:space="preserve">95453572    357-1001-BAG    10000KG   22019323  0402   Br.     </t>
  </si>
  <si>
    <t xml:space="preserve">200542606    V4860HR-BK1066-BAG    5050KG   22024826  0402   Br.     </t>
  </si>
  <si>
    <t xml:space="preserve">86716001    DR48-BK1066-BAG    20000KG   22017721  0402   Br.     </t>
  </si>
  <si>
    <t xml:space="preserve">200549443    553-OR5G003-BAG    10000KG   22031160  0402   Br.     </t>
  </si>
  <si>
    <t xml:space="preserve">200549389    553-7001-BAG    10000KG   22034189  0402   Br.     </t>
  </si>
  <si>
    <t xml:space="preserve">92430289    121R-GY8F074-SSS    10000KG   22105472  0402      </t>
  </si>
  <si>
    <t xml:space="preserve">200542607    325FC-1001-BAG    20000KG   22037852  0402      </t>
  </si>
  <si>
    <t xml:space="preserve">95432258    V3900WX-BK1066-BAG    10000KG   22024815  0402   Br.     </t>
  </si>
  <si>
    <t xml:space="preserve">95997378    V3900WX-BK1066-BAG    10000KG   22024815  0402   Br.     </t>
  </si>
  <si>
    <t xml:space="preserve">200553544    4521-8244-BAG    6000KG   22018193  0402   Br.     </t>
  </si>
  <si>
    <t xml:space="preserve">200558840    V4860HR-1001-BAG    5000KG   22037263  0402   Br.     </t>
  </si>
  <si>
    <t xml:space="preserve">200550428    855-1001-BAG    3000KG   22019477  0402   Br.     </t>
  </si>
  <si>
    <t xml:space="preserve">87586011    DR48-BK1066-BAG    20000KG   22017721  0402   Br.     </t>
  </si>
  <si>
    <t xml:space="preserve">200558839    V4860HR-BK1066-BAG    5000KG   22024826  0402   Br.     </t>
  </si>
  <si>
    <t xml:space="preserve">92430290    121R-GY8F074-SSS    10000KG   22105472  0402      </t>
  </si>
  <si>
    <t xml:space="preserve">200468016    357-BK1066-BAG    20376KG   22017581  0402   Br.     </t>
  </si>
  <si>
    <t xml:space="preserve">200560326    CL100-7001-BAG    10000KG   22039079  0402      </t>
  </si>
  <si>
    <t xml:space="preserve">92463393    121R-GY8F074-SSS    10000KG   22105472  0402      </t>
  </si>
  <si>
    <t xml:space="preserve">92463394    121R-GY8F074-SSS    10000KG   22105472  0402      </t>
  </si>
  <si>
    <t xml:space="preserve">200547366    V3900WX-7M8D027-BAG    5000KG   22032797  0402   Br.     </t>
  </si>
  <si>
    <t xml:space="preserve">200542652    V3900WX-WH8E373-BAG    10000KG   22041108  0402   Br.     </t>
  </si>
  <si>
    <t xml:space="preserve">200556149    V3900WX-WH8E373-BAG    10000KG   22041108  0402   Br.     </t>
  </si>
  <si>
    <t xml:space="preserve">200495971    141R-WH8G792-BAG    5000KG   22033228  0402      </t>
  </si>
  <si>
    <t xml:space="preserve">200495959    141R-WH8G792-BAG    5000KG   22033228  0402      </t>
  </si>
  <si>
    <t xml:space="preserve">200553727    121R-GY6G329-BAG    2000KG   22030899  0402      </t>
  </si>
  <si>
    <t xml:space="preserve">200495972    141R-WH8G792-BAG    5000KG   22033228  0402      </t>
  </si>
  <si>
    <t xml:space="preserve">200557945    ENH2900-8A9D020-BAG    1000KG   22022996  0402      </t>
  </si>
  <si>
    <t xml:space="preserve">200543516    C6600-WH9A311-BAG    2000KG   22018379  0402      </t>
  </si>
  <si>
    <t xml:space="preserve">200495961    141R-WH8G792-BAG    5000KG   22033228  0402      </t>
  </si>
  <si>
    <t xml:space="preserve">200496025    143R-WH9G485-    5000KG   22044333  0402      </t>
  </si>
  <si>
    <t xml:space="preserve">200557304    C6600-WH9A311-BAG    2000KG   22018379  0402      </t>
  </si>
  <si>
    <t>000200544404</t>
  </si>
  <si>
    <t>22021393</t>
  </si>
  <si>
    <t>143R-701-BAG-00-00-00</t>
  </si>
  <si>
    <t>0/04:35:52</t>
  </si>
  <si>
    <t>0002414503</t>
  </si>
  <si>
    <t>000200559259</t>
  </si>
  <si>
    <t>22034420</t>
  </si>
  <si>
    <t>C1200HF-BL1G087-BAG-00-00-00</t>
  </si>
  <si>
    <t>0002443299</t>
  </si>
  <si>
    <t>BL1G087</t>
  </si>
  <si>
    <t>000200513096</t>
  </si>
  <si>
    <t>22018347</t>
  </si>
  <si>
    <t>C2950HF-701-BAG-00-00-00</t>
  </si>
  <si>
    <t>0002360755</t>
  </si>
  <si>
    <t>000200549083</t>
  </si>
  <si>
    <t>22033602</t>
  </si>
  <si>
    <t>3412ECR-GY2E372-BAG-00-00-00</t>
  </si>
  <si>
    <t>0002423456</t>
  </si>
  <si>
    <t>000200541820</t>
  </si>
  <si>
    <t>0002411294</t>
  </si>
  <si>
    <t>000200559299</t>
  </si>
  <si>
    <t>0002443332</t>
  </si>
  <si>
    <t>000200560025</t>
  </si>
  <si>
    <t>22031763</t>
  </si>
  <si>
    <t>C6200-OR3C107-BAG-00-00-00</t>
  </si>
  <si>
    <t>COYFROO</t>
  </si>
  <si>
    <t>0002444710</t>
  </si>
  <si>
    <t>OR3C107</t>
  </si>
  <si>
    <t>000200560240</t>
  </si>
  <si>
    <t>0002445157</t>
  </si>
  <si>
    <t>000200493232</t>
  </si>
  <si>
    <t>0002325092</t>
  </si>
  <si>
    <t>000200543470</t>
  </si>
  <si>
    <t>0002414402</t>
  </si>
  <si>
    <t>000200552238</t>
  </si>
  <si>
    <t>22045266</t>
  </si>
  <si>
    <t>C6600-7R3D023-BAG-00-00-00</t>
  </si>
  <si>
    <t>0/07:00:41</t>
  </si>
  <si>
    <t>0002429458</t>
  </si>
  <si>
    <t>7R3D023</t>
  </si>
  <si>
    <t>000200559230</t>
  </si>
  <si>
    <t>0002443273</t>
  </si>
  <si>
    <t>000200531739</t>
  </si>
  <si>
    <t>0002392138</t>
  </si>
  <si>
    <t>000200495920</t>
  </si>
  <si>
    <t>0/22:59:19</t>
  </si>
  <si>
    <t>0002335566</t>
  </si>
  <si>
    <t>000200554897</t>
  </si>
  <si>
    <t>0/06:43:27</t>
  </si>
  <si>
    <t>0002434938</t>
  </si>
  <si>
    <t>000200499262</t>
  </si>
  <si>
    <t>22019415</t>
  </si>
  <si>
    <t>5220U-BK1066-BAG-00-00-00</t>
  </si>
  <si>
    <t>0002341085</t>
  </si>
  <si>
    <t>000200540790</t>
  </si>
  <si>
    <t>0002409325</t>
  </si>
  <si>
    <t>000200559192</t>
  </si>
  <si>
    <t>0002436802</t>
  </si>
  <si>
    <t>000200510624</t>
  </si>
  <si>
    <t>0/18:23:27</t>
  </si>
  <si>
    <t>0002356175</t>
  </si>
  <si>
    <t>000200552305</t>
  </si>
  <si>
    <t>22084473</t>
  </si>
  <si>
    <t>C6600-7T6D253-BAG-00-00-00</t>
  </si>
  <si>
    <t>0002429463</t>
  </si>
  <si>
    <t>7T6D253</t>
  </si>
  <si>
    <t>000200539746</t>
  </si>
  <si>
    <t>0002407340</t>
  </si>
  <si>
    <t xml:space="preserve">200540790    MC8002-701-BAG    5000KG   22023863  0402      </t>
  </si>
  <si>
    <t xml:space="preserve">200559192    325-1001-BAG    2000KG   22026893  0402      </t>
  </si>
  <si>
    <t xml:space="preserve">200510624    123R-701-BAG    8000KG   22017535  0402      </t>
  </si>
  <si>
    <t xml:space="preserve">200552305    C6600-7T6D253-BAG    1000KG   22084473  0402      </t>
  </si>
  <si>
    <t xml:space="preserve">200539746    3412ECR-GY2E372-BAG    2000KG   22033602  0402      </t>
  </si>
  <si>
    <t xml:space="preserve">200515849    CX7211-7T1D166-BAG    5000KG   22035192  0402      </t>
  </si>
  <si>
    <t xml:space="preserve">200560285    EXL1414-WH9G658-BAG    2000KG   22040495  0402      </t>
  </si>
  <si>
    <t xml:space="preserve">200534819    C6600-7T6D253-BAG    1000KG   22084473  0402      </t>
  </si>
  <si>
    <t xml:space="preserve">200559101    5220U-BL1A569-BAG    1000KG   22019416  0402      </t>
  </si>
  <si>
    <t xml:space="preserve">200499146    CL100-7001-BAG    5000KG   22039079  0402      </t>
  </si>
  <si>
    <t xml:space="preserve">200535980    DR51-7001-BAG    2000KG   22028156  0402      </t>
  </si>
  <si>
    <t>Ctrl+o</t>
  </si>
  <si>
    <t>Ctrl+p</t>
  </si>
  <si>
    <t>Ctrl+w</t>
  </si>
  <si>
    <t>Ctrl+r</t>
  </si>
  <si>
    <t>Ctrl+s</t>
  </si>
  <si>
    <t>Ctrl+d</t>
  </si>
  <si>
    <t>Ctrl+j</t>
  </si>
  <si>
    <t>0/08:17:28</t>
  </si>
  <si>
    <t>0089846155</t>
  </si>
  <si>
    <t>0096169138</t>
  </si>
  <si>
    <t>0096169139</t>
  </si>
  <si>
    <t>000200561431</t>
  </si>
  <si>
    <t>000200562529</t>
  </si>
  <si>
    <t>000200561429</t>
  </si>
  <si>
    <t>0002382298</t>
  </si>
  <si>
    <t>0096149712</t>
  </si>
  <si>
    <t>0/06:01:21</t>
  </si>
  <si>
    <t>000200561716</t>
  </si>
  <si>
    <t>22032636</t>
  </si>
  <si>
    <t>N190X-YW7A245-BAG-00-00-00</t>
  </si>
  <si>
    <t>0002414457</t>
  </si>
  <si>
    <t>YW7A245</t>
  </si>
  <si>
    <t>000200561542</t>
  </si>
  <si>
    <t>0002446993</t>
  </si>
  <si>
    <t>0002372671</t>
  </si>
  <si>
    <t>000200561374</t>
  </si>
  <si>
    <t>0002443203</t>
  </si>
  <si>
    <t>000200561534</t>
  </si>
  <si>
    <t>22036966</t>
  </si>
  <si>
    <t>PX1005X-BK1A186-BAG-00-00-00</t>
  </si>
  <si>
    <t>0002447093</t>
  </si>
  <si>
    <t>BK1A186</t>
  </si>
  <si>
    <t>000200561345</t>
  </si>
  <si>
    <t>22037144</t>
  </si>
  <si>
    <t>SE1V-BK1066-BAG-00-00-00</t>
  </si>
  <si>
    <t>0002446701</t>
  </si>
  <si>
    <t>SE1V</t>
  </si>
  <si>
    <t>000200562531</t>
  </si>
  <si>
    <t>22096111</t>
  </si>
  <si>
    <t>GFN20F-801S-BAG-00-00-00</t>
  </si>
  <si>
    <t>0002448475</t>
  </si>
  <si>
    <t>0096206518</t>
  </si>
  <si>
    <t>000200561562</t>
  </si>
  <si>
    <t>0/03:49:07</t>
  </si>
  <si>
    <t>0002447004</t>
  </si>
  <si>
    <t>0/02:59:18</t>
  </si>
  <si>
    <t>0/10:57:26</t>
  </si>
  <si>
    <t>000200562465</t>
  </si>
  <si>
    <t>22037362</t>
  </si>
  <si>
    <t>ZX06315-BK8115-BAG-00-00-00</t>
  </si>
  <si>
    <t>NORFR7O</t>
  </si>
  <si>
    <t>0002448414</t>
  </si>
  <si>
    <t>ZX06315</t>
  </si>
  <si>
    <t>BK8115</t>
  </si>
  <si>
    <t>000200561491</t>
  </si>
  <si>
    <t>22039650</t>
  </si>
  <si>
    <t>C6303-BK1066-BAG-00-00-00</t>
  </si>
  <si>
    <t>0002447015</t>
  </si>
  <si>
    <t>C6303</t>
  </si>
  <si>
    <t>000200561316</t>
  </si>
  <si>
    <t>22037559</t>
  </si>
  <si>
    <t>SLX2432T-NA9D083T-BAG-00-00-00</t>
  </si>
  <si>
    <t>0002446607</t>
  </si>
  <si>
    <t>NA9D083T</t>
  </si>
  <si>
    <t>000200561269</t>
  </si>
  <si>
    <t>22029412</t>
  </si>
  <si>
    <t>EXL9414T-NC-BAG-00-00-00</t>
  </si>
  <si>
    <t>000200562435</t>
  </si>
  <si>
    <t>22040377</t>
  </si>
  <si>
    <t>HRA222-WH4C030U-BAG-00-00-00</t>
  </si>
  <si>
    <t>0002448411</t>
  </si>
  <si>
    <t>WH4C030U</t>
  </si>
  <si>
    <t>000200562516</t>
  </si>
  <si>
    <t>290026608</t>
  </si>
  <si>
    <t>FXC630SK-GY8B048M</t>
  </si>
  <si>
    <t>0002448499</t>
  </si>
  <si>
    <t>FXC630SK</t>
  </si>
  <si>
    <t>GY8B048M</t>
  </si>
  <si>
    <t>000200561560</t>
  </si>
  <si>
    <t>22035494</t>
  </si>
  <si>
    <t>DR48-GN5G003-BAG-00-00-00</t>
  </si>
  <si>
    <t>0002447300</t>
  </si>
  <si>
    <t>GN5G003</t>
  </si>
  <si>
    <t>000200561580</t>
  </si>
  <si>
    <t>22045424</t>
  </si>
  <si>
    <t>DR48-BL4G186-BAG-00-00-00</t>
  </si>
  <si>
    <t>0002447298</t>
  </si>
  <si>
    <t>BL4G186</t>
  </si>
  <si>
    <t>000200562414</t>
  </si>
  <si>
    <t>22032805</t>
  </si>
  <si>
    <t>V3900WX-WH6G137-BAG-00-00-00</t>
  </si>
  <si>
    <t>0002448416</t>
  </si>
  <si>
    <t>WH6G137</t>
  </si>
  <si>
    <t>0/00:55:54</t>
  </si>
  <si>
    <t>0/03:14:56</t>
  </si>
  <si>
    <t>0/06:29:51</t>
  </si>
  <si>
    <t>000200561272</t>
  </si>
  <si>
    <t>0002446626</t>
  </si>
  <si>
    <t>000200561289</t>
  </si>
  <si>
    <t>22043956</t>
  </si>
  <si>
    <t>C6200-7T1D394-BAG-00-00-00</t>
  </si>
  <si>
    <t>0002446689</t>
  </si>
  <si>
    <t>7T1D394</t>
  </si>
  <si>
    <t>000200561513</t>
  </si>
  <si>
    <t>22034771</t>
  </si>
  <si>
    <t>C6600-7R6D035-BAG-00-00-00</t>
  </si>
  <si>
    <t>0002447036</t>
  </si>
  <si>
    <t>7R6D035</t>
  </si>
  <si>
    <t>0096171996</t>
  </si>
  <si>
    <t>000200561481</t>
  </si>
  <si>
    <t>0/19:33:24</t>
  </si>
  <si>
    <t>0002447137</t>
  </si>
  <si>
    <t>0002425903</t>
  </si>
  <si>
    <t>000200561311</t>
  </si>
  <si>
    <t>0002442716</t>
  </si>
  <si>
    <t>000200561342</t>
  </si>
  <si>
    <t>0002446685</t>
  </si>
  <si>
    <t>000200561295</t>
  </si>
  <si>
    <t>0002446691</t>
  </si>
  <si>
    <t>000200561546</t>
  </si>
  <si>
    <t>22044561</t>
  </si>
  <si>
    <t>ENH2900-7A1D286-BAG-00-00-00</t>
  </si>
  <si>
    <t>0002447033</t>
  </si>
  <si>
    <t>7A1D286</t>
  </si>
  <si>
    <t>WSHAEXL41_PC51_008</t>
  </si>
  <si>
    <t>22088738</t>
  </si>
  <si>
    <t>60YM241-10000-OCT-00-00-00</t>
  </si>
  <si>
    <t>60YM241</t>
  </si>
  <si>
    <t>OCT</t>
  </si>
  <si>
    <t xml:space="preserve">200549236    GFN30-701-BAG    6108.6KG   22096046  0402      </t>
  </si>
  <si>
    <t xml:space="preserve">96169139    SE1GFN2-701-BAG    20000KG   22024913  0402      </t>
  </si>
  <si>
    <t xml:space="preserve">96149712    SE1X-701-BAG    20000KG   22024919  0402      </t>
  </si>
  <si>
    <t xml:space="preserve">96149713    SE1X-701-BAG    20000KG   22024919  0402      </t>
  </si>
  <si>
    <t xml:space="preserve">96149718    SE1X-701-BAG    20000KG   22024919  0402      </t>
  </si>
  <si>
    <t xml:space="preserve">96149717    SE1X-701-BAG    20000KG   22024919  0402      </t>
  </si>
  <si>
    <t xml:space="preserve">96149719    SE1X-701-BAG    20000KG   22024919  0402      </t>
  </si>
  <si>
    <t xml:space="preserve">96149720    SE1X-701-BAG    20000KG   22024919  0402      </t>
  </si>
  <si>
    <t xml:space="preserve">200561393    SE1V-BK1066-BAG    1000KG   22037144  0402      </t>
  </si>
  <si>
    <t xml:space="preserve">200562452    N300X-VT6E022-BAG    1000KG   22041244  0402   Br.     </t>
  </si>
  <si>
    <t xml:space="preserve">200561554    N300X-GN3E084-BAG    1000KG   22032647  0402   Br.     </t>
  </si>
  <si>
    <t xml:space="preserve">200561541    N300X-GY2E479-BAG    1000KG   22041242  0402      </t>
  </si>
  <si>
    <t xml:space="preserve">200561480    N300X-BR7E123-BAG    500KG   22036871  0402      </t>
  </si>
  <si>
    <t xml:space="preserve">200561562    SE1GFN1-701-BAG    1600KG   22024908  0402      </t>
  </si>
  <si>
    <t xml:space="preserve">200561543    TPN9221-GY1493T-BAG    300KG   22037568  0402      </t>
  </si>
  <si>
    <t xml:space="preserve">200561550    457-GN4072-BAG    1000KG   22031214  0402   Br.     </t>
  </si>
  <si>
    <t xml:space="preserve">200561289    C6200-7T1D394-BAG    1000KG   22043956  0402      </t>
  </si>
  <si>
    <t xml:space="preserve">200561513    C6600-7R6D035-BAG    500KG   22034771  0402      </t>
  </si>
  <si>
    <t xml:space="preserve">200561702    C2800-96214-BAG    1000KG   22034988  0402      </t>
  </si>
  <si>
    <t xml:space="preserve">200562336    C1200HF-BL1G087-BAG    1000KG   22034420  0402      </t>
  </si>
  <si>
    <t xml:space="preserve">200561531    C2950-WH9D358-BAG    300KG   22034621  0402      </t>
  </si>
  <si>
    <t xml:space="preserve">200561041    500R-RD5D188-BAG    1000KG   22029841  0402   Br.     </t>
  </si>
  <si>
    <t xml:space="preserve">200561481    DR51-1001-BAG    15000KG   22017180  0402      </t>
  </si>
  <si>
    <t xml:space="preserve">200496028    C1200HF-GY1D457U-BAG    10000KG   22029050  0402      </t>
  </si>
  <si>
    <t xml:space="preserve">200561039    CX7211-BK1005-BAG    20000KG   22022719  0402      </t>
  </si>
  <si>
    <t xml:space="preserve">200562457    505RU-GY2E539-BAG    10000KG   22031253  0402      </t>
  </si>
  <si>
    <t xml:space="preserve">200562479    505RU-7T1D073-BAG    5000KG   22031251  0402      </t>
  </si>
  <si>
    <t xml:space="preserve">200561605    364-WH7D376-BAG    5000KG   22038589  0402   Br.     </t>
  </si>
  <si>
    <t xml:space="preserve">200561405    141R-BL3A238-BAG    1000KG   22030739  0402      </t>
  </si>
  <si>
    <t xml:space="preserve">200561866    CL100-78211-BAG    2000KG   22028144  0402      </t>
  </si>
  <si>
    <t>L41</t>
  </si>
  <si>
    <t>Ctrl+l</t>
    <phoneticPr fontId="4" type="noConversion"/>
  </si>
  <si>
    <t>ReGenerateCanttLayout</t>
    <phoneticPr fontId="4" type="noConversion"/>
  </si>
  <si>
    <t xml:space="preserve">200431427    SE1GFN1-701-BAG    8619KG   22024908  0402      </t>
    <phoneticPr fontId="4" type="noConversion"/>
  </si>
  <si>
    <t xml:space="preserve">87778113    PX1600X-701-BAG    20000KG   22017944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</si>
  <si>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</si>
  <si>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</si>
  <si>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200520284    GFN1F-701S-BAG    10000KG   22066660  0402      </t>
    <phoneticPr fontId="4" type="noConversion"/>
  </si>
  <si>
    <t xml:space="preserve">200497063    EX130-770-BAG    5000KG   22022815  0402      </t>
    <phoneticPr fontId="4" type="noConversion"/>
  </si>
  <si>
    <t xml:space="preserve">200546846    1000R-RD6B018-BAG    100KG   22033154  0402      </t>
    <phoneticPr fontId="4" type="noConversion"/>
  </si>
  <si>
    <t xml:space="preserve">200494185    508-BK1066-BAG    20000KG   22021921  0402      </t>
    <phoneticPr fontId="4" type="noConversion"/>
  </si>
  <si>
    <t xml:space="preserve">200529133    420-1001-BAG    3000KG   22021631  0402      </t>
    <phoneticPr fontId="4" type="noConversion"/>
  </si>
  <si>
    <t xml:space="preserve">94769857    3412ECR-739-BAG    20000KG   22017144  0402      </t>
    <phoneticPr fontId="4" type="noConversion"/>
  </si>
  <si>
    <t xml:space="preserve">96098125    CX2244ME-7T5D428-BAG    4000KG   22088391  0402      </t>
    <phoneticPr fontId="4" type="noConversion"/>
  </si>
  <si>
    <t xml:space="preserve">200554909    905-BK1G030-BAG    10000KG   22029773  0402   Br.     </t>
    <phoneticPr fontId="4" type="noConversion"/>
  </si>
  <si>
    <t xml:space="preserve">94038884    C2950-701-BAG    20000KG   22022271  0402      </t>
    <phoneticPr fontId="4" type="noConversion"/>
  </si>
  <si>
    <t xml:space="preserve">200553784    500R-73231-BAG    5000KG   22031231  0402   Br.     </t>
    <phoneticPr fontId="4" type="noConversion"/>
  </si>
  <si>
    <t xml:space="preserve">200546221    CX7240-BK1D420-BAG    15000KG   22019816  0402      </t>
    <phoneticPr fontId="4" type="noConversion"/>
  </si>
  <si>
    <t xml:space="preserve">200535104    500R-RD4A056-BAG    5000KG   22038741  0402   Br.     </t>
    <phoneticPr fontId="4" type="noConversion"/>
  </si>
  <si>
    <t xml:space="preserve">95454669    C6200-701-BAG    20000KG   22018354  0402      </t>
    <phoneticPr fontId="4" type="noConversion"/>
  </si>
  <si>
    <t xml:space="preserve">200553729    500R-73231-BAG    5000KG   22031231  0402   Br.     </t>
    <phoneticPr fontId="4" type="noConversion"/>
  </si>
  <si>
    <t xml:space="preserve">200559192    325-1001-BAG    2000KG   22026893  0402      </t>
    <phoneticPr fontId="4" type="noConversion"/>
  </si>
  <si>
    <t xml:space="preserve">95448308    GFN20F-701S-BAG    10000KG   22095736  0402      </t>
    <phoneticPr fontId="4" type="noConversion"/>
  </si>
  <si>
    <t xml:space="preserve">89022780    945-NC-BAG    20000KG   22022070  0402      </t>
    <phoneticPr fontId="4" type="noConversion"/>
  </si>
  <si>
    <t xml:space="preserve">200480046    C2800-111-BAG    10000KG   22022249  0402      </t>
    <phoneticPr fontId="4" type="noConversion"/>
  </si>
  <si>
    <t xml:space="preserve">93212678    PX9406P-7001-BAG    20000KG   22041318  0402      </t>
    <phoneticPr fontId="4" type="noConversion"/>
  </si>
  <si>
    <t xml:space="preserve">200537653    DR48-8051-BAG    2000KG   22019885  0402   Br.     </t>
    <phoneticPr fontId="4" type="noConversion"/>
  </si>
  <si>
    <t xml:space="preserve">200559120    5220U-1001-BAG    5000KG   22017603  0402      </t>
    <phoneticPr fontId="4" type="noConversion"/>
  </si>
  <si>
    <t xml:space="preserve">200494168    508-BK1066-BAG    20000KG   22021921  0402      </t>
    <phoneticPr fontId="4" type="noConversion"/>
  </si>
  <si>
    <t xml:space="preserve">200543539    325-1001-BAG    10000KG   22026893  0402      </t>
    <phoneticPr fontId="4" type="noConversion"/>
  </si>
  <si>
    <t xml:space="preserve">95453572    357-1001-BAG    10000KG   22019323  0402   Br.     </t>
    <phoneticPr fontId="4" type="noConversion"/>
  </si>
  <si>
    <t xml:space="preserve">200496025    143R-WH9G485-    5000KG   22044333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</si>
  <si>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</si>
  <si>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</si>
  <si>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96000253    GFN20-701-BAG    10000KG   22095416  0402      </t>
    <phoneticPr fontId="4" type="noConversion"/>
  </si>
  <si>
    <t xml:space="preserve">87160091    PCN2910-BK1066-BAG    12000KG   22032814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</si>
  <si>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</si>
  <si>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</si>
  <si>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</si>
  <si>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</si>
  <si>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</si>
  <si>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</si>
  <si>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</si>
  <si>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</si>
  <si>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</si>
  <si>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</si>
  <si>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</si>
  <si>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</si>
  <si>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</si>
  <si>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</si>
  <si>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94771336    HS2000X-111-BAG    20000KG   22023605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</si>
  <si>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</si>
  <si>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</si>
  <si>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</si>
  <si>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</si>
  <si>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200545584    N1250-BK1066-BAG    5000KG   22040824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</si>
  <si>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</si>
  <si>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</si>
  <si>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</si>
  <si>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</si>
  <si>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</si>
  <si>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</si>
  <si>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</si>
  <si>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</si>
  <si>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92845169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</si>
  <si>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</si>
  <si>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</si>
  <si>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</si>
  <si>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96013042    500R-131-BAG    10000KG   22018199  0402   Br.     </t>
    <phoneticPr fontId="4" type="noConversion"/>
  </si>
  <si>
    <t xml:space="preserve">96016083    943A-116-BAG    10000KG   22017080  0402   Br.     </t>
    <phoneticPr fontId="4" type="noConversion"/>
  </si>
  <si>
    <t xml:space="preserve">200555006    121R-GY8F074-SSS    10000KG   22105472  0402      </t>
    <phoneticPr fontId="4" type="noConversion"/>
  </si>
  <si>
    <t xml:space="preserve">200543694    3412R-131-BAG    10000KG   22021728  0402   Br.     </t>
    <phoneticPr fontId="4" type="noConversion"/>
  </si>
  <si>
    <t xml:space="preserve">92463176    121R-GY8F074-SSS    10000KG   22105472  0402      </t>
    <phoneticPr fontId="4" type="noConversion"/>
  </si>
  <si>
    <t xml:space="preserve">200547573    ML7694-WH8G785-BAG    20388KG   22037112  0402   Br.     </t>
    <phoneticPr fontId="4" type="noConversion"/>
  </si>
  <si>
    <t xml:space="preserve">96011837    940A-116-BAG    20000KG   22022020  0402   Br.     </t>
    <phoneticPr fontId="4" type="noConversion"/>
  </si>
  <si>
    <t xml:space="preserve">96103479    CX2244ME-8T8D280-BAG    3000KG   22088072  0402   Br.     </t>
    <phoneticPr fontId="4" type="noConversion"/>
  </si>
  <si>
    <t xml:space="preserve">200558307    925-7T6D157-BAG    5000KG   22038257  0402   Br.     </t>
    <phoneticPr fontId="4" type="noConversion"/>
  </si>
  <si>
    <t xml:space="preserve">200554972    121R-GY8F074-SSS    10000KG   22105472  0402      </t>
    <phoneticPr fontId="4" type="noConversion"/>
  </si>
  <si>
    <t xml:space="preserve">200554685    920-WH4C129-BAG    6000KG   22031379  0402   Br.     </t>
    <phoneticPr fontId="4" type="noConversion"/>
  </si>
  <si>
    <t xml:space="preserve">200550085    CX7240-8N9D079-BAG    20000KG   22031866  0402      </t>
    <phoneticPr fontId="4" type="noConversion"/>
  </si>
  <si>
    <t xml:space="preserve">96011956    500R-131-BAG    10000KG   22018199  0402   Br.     </t>
    <phoneticPr fontId="4" type="noConversion"/>
  </si>
  <si>
    <t xml:space="preserve">200549038    3413R-GY1D257-BAG    5000KG   22033634  0402   Br.     </t>
    <phoneticPr fontId="4" type="noConversion"/>
  </si>
  <si>
    <t xml:space="preserve">200559298    940-GY6123-BAG    10000KG   22019556  0402   Br.     </t>
    <phoneticPr fontId="4" type="noConversion"/>
  </si>
  <si>
    <t xml:space="preserve">96103090    CX2244ME-8T8D280-BAG    4000KG   22088072  0402   Br.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</si>
  <si>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</si>
  <si>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</si>
  <si>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</si>
  <si>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</si>
  <si>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</si>
  <si>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</si>
  <si>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</si>
  <si>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</si>
  <si>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</si>
  <si>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</si>
  <si>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</si>
  <si>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</si>
  <si>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</si>
  <si>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83537443    SE100X-701-BAG    20000KG   22024902  0402      </t>
    <phoneticPr fontId="4" type="noConversion"/>
  </si>
  <si>
    <t xml:space="preserve">85134293    SE100X-701-BAG    20000KG   22024902  0402      </t>
    <phoneticPr fontId="4" type="noConversion"/>
  </si>
  <si>
    <t xml:space="preserve">83537442    SE100X-701-BAG    20000KG   22024902  0402      </t>
    <phoneticPr fontId="4" type="noConversion"/>
  </si>
  <si>
    <t xml:space="preserve">83537444    SE100X-701-BAG    20000KG   22024902  0402      </t>
    <phoneticPr fontId="4" type="noConversion"/>
  </si>
  <si>
    <t xml:space="preserve">96149719    SE1X-701-BAG    20000KG   22024919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</si>
  <si>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</si>
  <si>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</si>
  <si>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</si>
  <si>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</si>
  <si>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</si>
  <si>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</si>
  <si>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</si>
  <si>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</si>
  <si>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</si>
  <si>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</si>
  <si>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</si>
  <si>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</si>
  <si>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</si>
  <si>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</si>
  <si>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200562452    N300X-VT6E022-BAG    1000KG   22041244  0402   Br.     </t>
    <phoneticPr fontId="4" type="noConversion"/>
  </si>
  <si>
    <t xml:space="preserve">200561554    N300X-GN3E084-BAG    1000KG   22032647  0402   Br.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</si>
  <si>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</si>
  <si>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</si>
  <si>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</si>
  <si>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</si>
  <si>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</si>
  <si>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</si>
  <si>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</si>
  <si>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</si>
  <si>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</si>
  <si>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</si>
  <si>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</si>
  <si>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</si>
  <si>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</si>
  <si>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</si>
  <si>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</si>
  <si>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</si>
  <si>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</si>
  <si>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</si>
  <si>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</si>
  <si>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</si>
  <si>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</si>
  <si>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</si>
  <si>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200556954    PX2801Z-OR8B008-BAG    100KG   22037004  0402   Br.     </t>
    <phoneticPr fontId="4" type="noConversion"/>
  </si>
  <si>
    <t xml:space="preserve">200534688    1000-BL3122-BAG    2000KG   22033123  0402      </t>
    <phoneticPr fontId="4" type="noConversion"/>
  </si>
  <si>
    <t xml:space="preserve">200546370    1000-BR7095-BAG    200KG   22030661  0402   Br.     </t>
    <phoneticPr fontId="4" type="noConversion"/>
  </si>
  <si>
    <t xml:space="preserve">200510318    1000-7101-BAG    100KG   22021106  0402      </t>
    <phoneticPr fontId="4" type="noConversion"/>
  </si>
  <si>
    <t xml:space="preserve">200546893    1000R-GY2B087-BAG    100KG   22019073  0402      </t>
    <phoneticPr fontId="4" type="noConversion"/>
  </si>
  <si>
    <t xml:space="preserve">200533505    1000-BL7079-BAG    1000KG   22033128  0402   Br.     </t>
    <phoneticPr fontId="4" type="noConversion"/>
  </si>
  <si>
    <t xml:space="preserve">200536077    N300-701-BAG    500KG   22041234  0402      </t>
    <phoneticPr fontId="4" type="noConversion"/>
  </si>
  <si>
    <t xml:space="preserve">200559078    1000-GY2C261-BAG    1000KG   22019057  0402      </t>
    <phoneticPr fontId="4" type="noConversion"/>
  </si>
  <si>
    <t xml:space="preserve">200558078    EL003-NC-BAG    1000KG   22022978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</si>
  <si>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</si>
  <si>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</si>
  <si>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200549224    GFN20F-7M1D101F-BAG    500KG   22096112  0402   Br.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</si>
  <si>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</si>
  <si>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</si>
  <si>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</si>
  <si>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200485078    2310-7301-BAG    5000KG   22017567  0402      </t>
    <phoneticPr fontId="4" type="noConversion"/>
  </si>
  <si>
    <t xml:space="preserve">200533469    1000-BL3122-BAG    1000KG   22033123  0402      </t>
    <phoneticPr fontId="4" type="noConversion"/>
  </si>
  <si>
    <t xml:space="preserve">200552317    TPN9221-GY1493T-BAG    10000KG   22037568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</si>
  <si>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</si>
  <si>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</si>
  <si>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</si>
  <si>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</si>
  <si>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</si>
  <si>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200556053    121R-GY1D201T-BAG    1000KG   22033283  0402      </t>
    <phoneticPr fontId="4" type="noConversion"/>
  </si>
  <si>
    <t xml:space="preserve">200560005    123R-WH5C051X-BAG    2000KG   22033096  0402      </t>
    <phoneticPr fontId="4" type="noConversion"/>
  </si>
  <si>
    <t xml:space="preserve">200554934    FXE121R-BK1A184T-BAG    100KG   22023219  0402   Br.     </t>
    <phoneticPr fontId="4" type="noConversion"/>
  </si>
  <si>
    <t xml:space="preserve">200536266    920A-GY2E081T-BAG    500KG   22039032  0402   Br.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</si>
  <si>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</si>
  <si>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</si>
  <si>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200537924    241R-GY5D607T-BAG    2000KG   22028401  0402   Br.     </t>
    <phoneticPr fontId="4" type="noConversion"/>
  </si>
  <si>
    <t xml:space="preserve">200553681    945A-7T1D059T-BAG    5000KG   22034279  0402      </t>
    <phoneticPr fontId="4" type="noConversion"/>
  </si>
  <si>
    <t xml:space="preserve">200549047    FXG121R-BL4F027G-BAG    100KG   22036274  0402   Br.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</si>
  <si>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</si>
  <si>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</si>
  <si>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</si>
  <si>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</si>
  <si>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200495918    143R-71257-BAG    2000KG   22037594  0402   Br.     </t>
    <phoneticPr fontId="4" type="noConversion"/>
  </si>
  <si>
    <t xml:space="preserve">200560346    357-WH2D026-BAG    2000KG   22033927  0402   Br.     </t>
    <phoneticPr fontId="4" type="noConversion"/>
  </si>
  <si>
    <t xml:space="preserve">200537659    357-WH5C033-BAG    300KG   22029684  0402   Br.     </t>
    <phoneticPr fontId="4" type="noConversion"/>
  </si>
  <si>
    <t xml:space="preserve">200560142    357-GY81044-BAG    1000KG   22019333  0402   Br.     </t>
    <phoneticPr fontId="4" type="noConversion"/>
  </si>
  <si>
    <t xml:space="preserve">200554586    553-OR5G078-BAG    2000KG   22038042  0402   Br.     </t>
    <phoneticPr fontId="4" type="noConversion"/>
  </si>
  <si>
    <t xml:space="preserve">200539013    357-7M7D049-BAG    1000KG   22044074  0402   Br.     </t>
    <phoneticPr fontId="4" type="noConversion"/>
  </si>
  <si>
    <t xml:space="preserve">200545349    4521-BK1066-BAG    2000KG   22028836  0402   Br.     </t>
    <phoneticPr fontId="4" type="noConversion"/>
  </si>
  <si>
    <t xml:space="preserve">200540765    457-GN4072-BAG    1000KG   22031214  0402   Br.     </t>
    <phoneticPr fontId="4" type="noConversion"/>
  </si>
  <si>
    <t xml:space="preserve">200537651    364-1001-BAG    500KG   22038585  0402   Br.     </t>
    <phoneticPr fontId="4" type="noConversion"/>
  </si>
  <si>
    <t xml:space="preserve">200547584    357M-BK1066-BAG    500KG   22029685  0402   Br.     </t>
    <phoneticPr fontId="4" type="noConversion"/>
  </si>
  <si>
    <t xml:space="preserve">200496046    420-WH6E281-BAG    5000KG   22031065  0402   Br.     </t>
    <phoneticPr fontId="4" type="noConversion"/>
  </si>
  <si>
    <t xml:space="preserve">200549070    DR48-7001-BAG    1000KG   22027892  0402   Br.     </t>
    <phoneticPr fontId="4" type="noConversion"/>
  </si>
  <si>
    <t xml:space="preserve">200533483    553U-2R4A1010-BAG    225KG   299901392  0402   Br.     </t>
    <phoneticPr fontId="4" type="noConversion"/>
  </si>
  <si>
    <t xml:space="preserve">200508789    CR7500-BK1041-BAG    2000KG   22019769  0402   Br.     </t>
    <phoneticPr fontId="4" type="noConversion"/>
  </si>
  <si>
    <t xml:space="preserve">200553584    457-GN4072-BAG    1000KG   22031214  0402   Br.     </t>
    <phoneticPr fontId="4" type="noConversion"/>
  </si>
  <si>
    <t xml:space="preserve">200554558    X4820-YW3D010-BAG    2000KG   22025024  0402   Br.     </t>
    <phoneticPr fontId="4" type="noConversion"/>
  </si>
  <si>
    <t xml:space="preserve">200547338    420-1001-BAG    1000KG   22021631  0402      </t>
    <phoneticPr fontId="4" type="noConversion"/>
  </si>
  <si>
    <t xml:space="preserve">200561550    457-GN4072-BAG    1000KG   22031214  0402   Br.     </t>
    <phoneticPr fontId="4" type="noConversion"/>
  </si>
  <si>
    <t xml:space="preserve">200558756    3414R-739-BAG    2000KG   22021743  0402   Br.     </t>
    <phoneticPr fontId="4" type="noConversion"/>
  </si>
  <si>
    <t xml:space="preserve">200558923    945-7M1D115-BAG    2000KG   22038377  0402   Br.     </t>
    <phoneticPr fontId="4" type="noConversion"/>
  </si>
  <si>
    <t xml:space="preserve">200561513    C6600-7R6D035-BAG    500KG   22034771  0402      </t>
    <phoneticPr fontId="4" type="noConversion"/>
  </si>
  <si>
    <t xml:space="preserve">200558303    C1200HF-BK3D018-BAG    2000KG   22031614  0402   Br.     </t>
    <phoneticPr fontId="4" type="noConversion"/>
  </si>
  <si>
    <t xml:space="preserve">200548674    940-701-BAG    2000KG   22019549  0402   Br.     </t>
    <phoneticPr fontId="4" type="noConversion"/>
  </si>
  <si>
    <t xml:space="preserve">200542541    920-WH9G206-BAG    100KG   22034343  0402   Br.     </t>
    <phoneticPr fontId="4" type="noConversion"/>
  </si>
  <si>
    <t xml:space="preserve">200524286    505RU-WH8E372-BAG    1000KG   22029849  0402      </t>
    <phoneticPr fontId="4" type="noConversion"/>
  </si>
  <si>
    <t xml:space="preserve">200558306    505RU-WH9F090-BAG    500KG   22033788  0402   Br.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</si>
  <si>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</si>
  <si>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</si>
  <si>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</si>
  <si>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</si>
  <si>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200556958    DF004-GY2D398-BAG    500KG   22031877  0402   Br.     </t>
    <phoneticPr fontId="4" type="noConversion"/>
  </si>
  <si>
    <t xml:space="preserve">200560281    500R-60355-BAG    300KG   22034089  0402   Br.     </t>
    <phoneticPr fontId="4" type="noConversion"/>
  </si>
  <si>
    <t xml:space="preserve">93270841    HRA170-GY6E500U-BAG    2000KG   22036440  0402   Br.     </t>
    <phoneticPr fontId="4" type="noConversion"/>
  </si>
  <si>
    <t xml:space="preserve">200559459    CX7211-GY5D329-BAG    1000KG   22035198  0402      </t>
    <phoneticPr fontId="4" type="noConversion"/>
  </si>
  <si>
    <t xml:space="preserve">200551218    EXL1414-9G7A2995-BAG    100KG   299903374  0402      </t>
    <phoneticPr fontId="4" type="noConversion"/>
  </si>
  <si>
    <t xml:space="preserve">200550355    EXL1414-8G6A2496-BAG    350KG   299902816  0402      </t>
    <phoneticPr fontId="4" type="noConversion"/>
  </si>
  <si>
    <t xml:space="preserve">200551295    EXL1414-6G7A2328-BAG    300KG   299902738  0402   Br.     </t>
    <phoneticPr fontId="4" type="noConversion"/>
  </si>
  <si>
    <t xml:space="preserve">200560551    LS2-7056-BAG    2000KG   22041034  0402   Br.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</si>
  <si>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</si>
  <si>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</si>
  <si>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</si>
  <si>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200517901    505RU-WH9F090-BAG    2000KG   22033788  0402   Br.     </t>
    <phoneticPr fontId="4" type="noConversion"/>
  </si>
  <si>
    <t xml:space="preserve">200537987    505RU-7T8D558-BAG    100KG   22031252  0402      </t>
    <phoneticPr fontId="4" type="noConversion"/>
  </si>
  <si>
    <t xml:space="preserve">200561041    500R-RD5D188-BAG    1000KG   22029841  0402   Br.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</si>
  <si>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</si>
  <si>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</si>
  <si>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</si>
  <si>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</si>
  <si>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200539771    XTWM206-WH6G187-BAG    10000KG   22086028  0402   Br.     </t>
    <phoneticPr fontId="4" type="noConversion"/>
  </si>
  <si>
    <t xml:space="preserve">200533558    HRA222F-GY8E417-BAG    5000KG   22032603  0402   Br.     </t>
    <phoneticPr fontId="4" type="noConversion"/>
  </si>
  <si>
    <t xml:space="preserve">200554585    C1200HF-WH8334-BAG    5000KG   22022244  0402   Br.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</si>
  <si>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</si>
  <si>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</si>
  <si>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</si>
  <si>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</si>
  <si>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</si>
  <si>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</si>
  <si>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</si>
  <si>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</si>
  <si>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</si>
  <si>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</si>
  <si>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200551388    241S-WH9G203-BAG    20000KG   22031084  0402   Br.     </t>
    <phoneticPr fontId="4" type="noConversion"/>
  </si>
  <si>
    <t xml:space="preserve">200553483    HRA222F-BK2E067-BAG    5000KG   22036450  0402   Br.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</si>
  <si>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</si>
  <si>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</si>
  <si>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</si>
  <si>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</si>
  <si>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</si>
  <si>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</si>
  <si>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</si>
  <si>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</si>
  <si>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</si>
  <si>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</si>
  <si>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</si>
  <si>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</si>
  <si>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</si>
  <si>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</si>
  <si>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</si>
  <si>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200535905    HRA222-BK1A021-BAG    4000KG   22032595  0402   Br.     </t>
    <phoneticPr fontId="4" type="noConversion"/>
  </si>
  <si>
    <t xml:space="preserve">200550024    C2950-7T1D300-BAG    20000KG   22039488  0402      </t>
    <phoneticPr fontId="4" type="noConversion"/>
  </si>
  <si>
    <t xml:space="preserve">200558238    925-7T2D216-BAG    5000KG   22031289  0402   Br.     </t>
    <phoneticPr fontId="4" type="noConversion"/>
  </si>
  <si>
    <t xml:space="preserve">200495218    CX7240-BK1D797-BAG    10000KG   22032078  0402      </t>
    <phoneticPr fontId="4" type="noConversion"/>
  </si>
  <si>
    <t xml:space="preserve">200498204    CY8630-701-BAG    5000KG   22089617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</si>
  <si>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</si>
  <si>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</si>
  <si>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</si>
  <si>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</si>
  <si>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</si>
  <si>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</si>
  <si>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</si>
  <si>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</si>
  <si>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200551387    241S-WH9G203-BAG    20000KG   22031084  0402   Br.     </t>
    <phoneticPr fontId="4" type="noConversion"/>
  </si>
  <si>
    <t xml:space="preserve">200494074    141R-111-BAG    10000KG   22018087  0402      </t>
    <phoneticPr fontId="4" type="noConversion"/>
  </si>
  <si>
    <t xml:space="preserve">200560458    LS2-6162-BAG    9300.002KG   22018730  0402   Br.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</si>
  <si>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</si>
  <si>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</si>
  <si>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200529033    121R-WH3A022X-BAG    10000KG   22021271  0402   Br.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</si>
  <si>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</si>
  <si>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</si>
  <si>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</si>
  <si>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</si>
  <si>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</si>
  <si>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</si>
  <si>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</si>
  <si>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</si>
  <si>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</si>
  <si>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</si>
  <si>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</si>
  <si>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</si>
  <si>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</si>
  <si>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</si>
  <si>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200553731    500R-73234-BAG    10000KG   22038722  0402   Br.     </t>
    <phoneticPr fontId="4" type="noConversion"/>
  </si>
  <si>
    <t xml:space="preserve">200516891    505RU-7T1D073-BAG    5000KG   22031251  0402      </t>
    <phoneticPr fontId="4" type="noConversion"/>
  </si>
  <si>
    <t xml:space="preserve">95996169    C2950-701-BAG    20000KG   22022271  0402      </t>
    <phoneticPr fontId="4" type="noConversion"/>
  </si>
  <si>
    <t xml:space="preserve">200554677    500R-GY6E402-BAG    10000KG   22033751  0402   Br.     </t>
    <phoneticPr fontId="4" type="noConversion"/>
  </si>
  <si>
    <t xml:space="preserve">200558308    505RU-GY2E539-BAG    5000KG   22031253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</si>
  <si>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</si>
  <si>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</si>
  <si>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</si>
  <si>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</si>
  <si>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</si>
  <si>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</si>
  <si>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</si>
  <si>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200559562    500R-73234-BAG    10000KG   22038722  0402   Br.     </t>
    <phoneticPr fontId="4" type="noConversion"/>
  </si>
  <si>
    <t xml:space="preserve">200554724    500R-GY6E402-BAG    10000KG   22033751  0402   Br.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</si>
  <si>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</si>
  <si>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</si>
  <si>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</si>
  <si>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200528408    925-GY1G168-BAG    8100KG   22034407  0402   Br.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</si>
  <si>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</si>
  <si>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</si>
  <si>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</si>
  <si>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</si>
  <si>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</si>
  <si>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</si>
  <si>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</si>
  <si>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</si>
  <si>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</si>
  <si>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</si>
  <si>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200558271    HRA170-BK2G008-BAG    5000KG   22036438  0402   Br.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</si>
  <si>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</si>
  <si>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</si>
  <si>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94716248    C1200HF-RD3G073-BAG    20000KG   22029056  0402   Br.     </t>
    <phoneticPr fontId="4" type="noConversion"/>
  </si>
  <si>
    <t xml:space="preserve">200549468    C1200HF-GY6G152-BAG    5000KG   22034465  0402      </t>
    <phoneticPr fontId="4" type="noConversion"/>
  </si>
  <si>
    <t xml:space="preserve">94716249    C1200HF-RD3G073-BAG    20000KG   22029056  0402   Br.     </t>
    <phoneticPr fontId="4" type="noConversion"/>
  </si>
  <si>
    <t xml:space="preserve">94716250    C1200HF-RD3G073-BAG    20000KG   22029056  0402   Br.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</si>
  <si>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</si>
  <si>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</si>
  <si>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</si>
  <si>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</si>
  <si>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</si>
  <si>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</si>
  <si>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</si>
  <si>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</si>
  <si>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</si>
  <si>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</si>
  <si>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</si>
  <si>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</si>
  <si>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</si>
  <si>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</si>
  <si>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</si>
  <si>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</si>
  <si>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</si>
  <si>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</si>
  <si>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</si>
  <si>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</si>
  <si>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</si>
  <si>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94700215    141R-701-BAG    20000KG   22021359  0402      </t>
    <phoneticPr fontId="4" type="noConversion"/>
  </si>
  <si>
    <t xml:space="preserve">94700214    141R-701-BAG    20000KG   22021359  0402      </t>
    <phoneticPr fontId="4" type="noConversion"/>
  </si>
  <si>
    <t xml:space="preserve">94700216    141R-701-BAG    20000KG   22021359  0402      </t>
    <phoneticPr fontId="4" type="noConversion"/>
  </si>
  <si>
    <t xml:space="preserve">94700217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</si>
  <si>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</si>
  <si>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</si>
  <si>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</si>
  <si>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</si>
  <si>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</si>
  <si>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</si>
  <si>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94053025    V3900WX-BK1066-BAG    10000KG   22024815  0402   Br.     </t>
    <phoneticPr fontId="4" type="noConversion"/>
  </si>
  <si>
    <t xml:space="preserve">200542606    V4860HR-BK1066-BAG    5050KG   22024826  0402   Br.     </t>
    <phoneticPr fontId="4" type="noConversion"/>
  </si>
  <si>
    <t xml:space="preserve">200549443    553-OR5G003-BAG    10000KG   22031160  0402   Br.     </t>
    <phoneticPr fontId="4" type="noConversion"/>
  </si>
  <si>
    <t xml:space="preserve">200549389    553-7001-BAG    10000KG   22034189  0402   Br.     </t>
    <phoneticPr fontId="4" type="noConversion"/>
  </si>
  <si>
    <t xml:space="preserve">200561605    364-WH7D376-BAG    5000KG   22038589  0402   Br.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</si>
  <si>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</si>
  <si>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</si>
  <si>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95432258    V3900WX-BK1066-BAG    10000KG   22024815  0402   Br.     </t>
    <phoneticPr fontId="4" type="noConversion"/>
  </si>
  <si>
    <t xml:space="preserve">95997378    V3900WX-BK1066-BAG    10000KG   22024815  0402   Br.     </t>
    <phoneticPr fontId="4" type="noConversion"/>
  </si>
  <si>
    <t xml:space="preserve">200553544    4521-8244-BAG    6000KG   22018193  0402   Br.     </t>
    <phoneticPr fontId="4" type="noConversion"/>
  </si>
  <si>
    <t xml:space="preserve">200558840    V4860HR-1001-BAG    5000KG   22037263  0402   Br.     </t>
    <phoneticPr fontId="4" type="noConversion"/>
  </si>
  <si>
    <t xml:space="preserve">200550428    855-1001-BAG    3000KG   22019477  0402   Br.     </t>
    <phoneticPr fontId="4" type="noConversion"/>
  </si>
  <si>
    <t xml:space="preserve">87586011    DR48-BK1066-BAG    20000KG   22017721  0402   Br.     </t>
    <phoneticPr fontId="4" type="noConversion"/>
  </si>
  <si>
    <t xml:space="preserve">200558839    V4860HR-BK1066-BAG    5000KG   22024826  0402   Br.     </t>
    <phoneticPr fontId="4" type="noConversion"/>
  </si>
  <si>
    <t xml:space="preserve">92430290    121R-GY8F074-SSS    10000KG   22105472  0402      </t>
    <phoneticPr fontId="4" type="noConversion"/>
  </si>
  <si>
    <t xml:space="preserve">200468016    357-BK1066-BAG    20376KG   22017581  0402   Br.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</si>
  <si>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</si>
  <si>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</si>
  <si>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</si>
  <si>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200547366    V3900WX-7M8D027-BAG    5000KG   22032797  0402   Br.     </t>
    <phoneticPr fontId="4" type="noConversion"/>
  </si>
  <si>
    <t xml:space="preserve">200542652    V3900WX-WH8E373-BAG    10000KG   22041108  0402   Br.     </t>
    <phoneticPr fontId="4" type="noConversion"/>
  </si>
  <si>
    <t xml:space="preserve">200556149    V3900WX-WH8E373-BAG    10000KG   22041108  0402   Br.     </t>
    <phoneticPr fontId="4" type="noConversion"/>
  </si>
  <si>
    <t xml:space="preserve">200495959    141R-WH8G792-BAG    5000KG   22033228  0402      </t>
    <phoneticPr fontId="4" type="noConversion"/>
  </si>
  <si>
    <t xml:space="preserve">200553727    121R-GY6G329-BAG    2000KG   22030899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</si>
  <si>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</si>
  <si>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</si>
  <si>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</si>
  <si>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</si>
  <si>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</si>
  <si>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</si>
  <si>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</si>
  <si>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</si>
  <si>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</si>
  <si>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</si>
  <si>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</si>
  <si>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</si>
  <si>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</si>
  <si>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</si>
  <si>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</si>
  <si>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</si>
  <si>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</si>
  <si>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82237946    HS2000X-111-BAG    20000KG   22023605  0402      </t>
    <phoneticPr fontId="4" type="noConversion"/>
  </si>
  <si>
    <t xml:space="preserve">83582097    HS2000X-111-BAG    20000KG   22023605  0402      </t>
    <phoneticPr fontId="4" type="noConversion"/>
  </si>
  <si>
    <t xml:space="preserve">200557252    3412ECR-WH8E395-BAG    5000KG   22037868  0402   Br.     </t>
    <phoneticPr fontId="4" type="noConversion"/>
  </si>
  <si>
    <t xml:space="preserve">200497257    C6200-WH9D397-BAG    10000KG   22039644  0402      </t>
    <phoneticPr fontId="4" type="noConversion"/>
  </si>
  <si>
    <t xml:space="preserve">87083640    PX9406P-7001-BAG    20000KG   22041318  0402      </t>
    <phoneticPr fontId="4" type="noConversion"/>
  </si>
  <si>
    <t xml:space="preserve">87083641    PX9406P-7001-BAG    20000KG   22041318  0402      </t>
    <phoneticPr fontId="4" type="noConversion"/>
  </si>
  <si>
    <t xml:space="preserve">200561562    SE1GFN1-701-BAG    1600KG   22024908  0402      </t>
    <phoneticPr fontId="4" type="noConversion"/>
  </si>
  <si>
    <t xml:space="preserve">200552284    CM6140-7R1D137-BAG    2000KG   22029311  0402      </t>
    <phoneticPr fontId="4" type="noConversion"/>
  </si>
  <si>
    <t xml:space="preserve">200552531    310SE0-7001-BAG    2000KG   22031109  0402   Br.     </t>
    <phoneticPr fontId="4" type="noConversion"/>
  </si>
  <si>
    <t xml:space="preserve">200559526    C2950HF-GY1D453-BAG    2000KG   22045238  0402   Br.     </t>
    <phoneticPr fontId="4" type="noConversion"/>
  </si>
  <si>
    <t xml:space="preserve">200556934    D20001-BK1A647-BAG    500KG   22032142  0402      </t>
    <phoneticPr fontId="4" type="noConversion"/>
  </si>
  <si>
    <t xml:space="preserve">200561289    C6200-7T1D394-BAG    1000KG   22043956  0402      </t>
    <phoneticPr fontId="4" type="noConversion"/>
  </si>
  <si>
    <t xml:space="preserve">94606504    141R-GY6A427-BAG    20000KG   22030748  0402      </t>
    <phoneticPr fontId="4" type="noConversion"/>
  </si>
  <si>
    <t xml:space="preserve">200552251    C6600-2T6D065-BAG    5000KG   22084468  0402   Br.     </t>
    <phoneticPr fontId="4" type="noConversion"/>
  </si>
  <si>
    <t xml:space="preserve">94038883    C2950-701-BAG    20000KG   22022271  0402      </t>
    <phoneticPr fontId="4" type="noConversion"/>
  </si>
  <si>
    <t xml:space="preserve">200554942    CX7240-701-BAG    20000KG   22017351  0402      </t>
    <phoneticPr fontId="4" type="noConversion"/>
  </si>
  <si>
    <t xml:space="preserve">83539334    141R-701-BAG    20000KG   22021359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</si>
  <si>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</si>
  <si>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</si>
  <si>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96000253    GFN20-701-BAG    10000KG   22095416  0402      </t>
    <phoneticPr fontId="4" type="noConversion"/>
  </si>
  <si>
    <t xml:space="preserve">87160091    PCN2910-BK1066-BAG    12000KG   22032814  0402      </t>
    <phoneticPr fontId="4" type="noConversion"/>
  </si>
  <si>
    <t xml:space="preserve">200431427    SE1GFN1-701-BAG    8619KG   22024908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</si>
  <si>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</si>
  <si>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</si>
  <si>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</si>
  <si>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87778113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</si>
  <si>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</si>
  <si>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</si>
  <si>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</si>
  <si>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</si>
  <si>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</si>
  <si>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</si>
  <si>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</si>
  <si>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</si>
  <si>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</si>
  <si>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</si>
  <si>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</si>
  <si>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</si>
  <si>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</si>
  <si>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94771336    HS2000X-111-BAG    20000KG   22023605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</si>
  <si>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</si>
  <si>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</si>
  <si>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</si>
  <si>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</si>
  <si>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200545584    N1250-BK1066-BAG    5000KG   22040824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</si>
  <si>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</si>
  <si>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</si>
  <si>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</si>
  <si>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200520284    GFN1F-701S-BAG    10000KG   22066660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</si>
  <si>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</si>
  <si>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</si>
  <si>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</si>
  <si>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</si>
  <si>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</si>
  <si>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92845169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</si>
  <si>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</si>
  <si>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</si>
  <si>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</si>
  <si>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200555006    121R-GY8F074-SSS    10000KG   22105472  0402      </t>
    <phoneticPr fontId="4" type="noConversion"/>
  </si>
  <si>
    <t xml:space="preserve">92463176    121R-GY8F074-SSS    10000KG   22105472  0402      </t>
    <phoneticPr fontId="4" type="noConversion"/>
  </si>
  <si>
    <t xml:space="preserve">200554972    121R-GY8F074-SSS    10000KG   22105472  0402      </t>
    <phoneticPr fontId="4" type="noConversion"/>
  </si>
  <si>
    <t xml:space="preserve">89022780    945-NC-BAG    20000KG   22022070  0402      </t>
    <phoneticPr fontId="4" type="noConversion"/>
  </si>
  <si>
    <t xml:space="preserve">200550085    CX7240-8N9D079-BAG    20000KG   22031866  0402      </t>
    <phoneticPr fontId="4" type="noConversion"/>
  </si>
  <si>
    <t xml:space="preserve">200480046    C2800-111-BAG    10000KG   22022249  0402 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</si>
  <si>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</si>
  <si>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</si>
  <si>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</si>
  <si>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</si>
  <si>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</si>
  <si>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</si>
  <si>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</si>
  <si>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</si>
  <si>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</si>
  <si>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</si>
  <si>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</si>
  <si>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</si>
  <si>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</si>
  <si>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83537443    SE100X-701-BAG    20000KG   22024902  0402      </t>
    <phoneticPr fontId="4" type="noConversion"/>
  </si>
  <si>
    <t xml:space="preserve">85134293    SE100X-701-BAG    20000KG   22024902  0402      </t>
    <phoneticPr fontId="4" type="noConversion"/>
  </si>
  <si>
    <t xml:space="preserve">83537442    SE100X-701-BAG    20000KG   22024902  0402      </t>
    <phoneticPr fontId="4" type="noConversion"/>
  </si>
  <si>
    <t xml:space="preserve">83537444    SE100X-701-BAG    20000KG   22024902  0402      </t>
    <phoneticPr fontId="4" type="noConversion"/>
  </si>
  <si>
    <t xml:space="preserve">96149719    SE1X-701-BAG    20000KG   22024919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</si>
  <si>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</si>
  <si>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</si>
  <si>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</si>
  <si>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93212678    PX9406P-7001-BAG    20000KG   22041318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</si>
  <si>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</si>
  <si>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</si>
  <si>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</si>
  <si>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</si>
  <si>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</si>
  <si>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</si>
  <si>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</si>
  <si>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</si>
  <si>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</si>
  <si>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</si>
  <si>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</si>
  <si>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</si>
  <si>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</si>
  <si>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</si>
  <si>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</si>
  <si>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</si>
  <si>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</si>
  <si>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</si>
  <si>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</si>
  <si>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</si>
  <si>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</si>
  <si>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</si>
  <si>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</si>
  <si>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</si>
  <si>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</si>
  <si>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</si>
  <si>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</si>
  <si>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</si>
  <si>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</si>
  <si>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</si>
  <si>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200497063    EX130-770-BAG    5000KG   22022815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</si>
  <si>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</si>
  <si>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</si>
  <si>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</si>
  <si>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200534688    1000-BL3122-BAG    2000KG   22033123  0402      </t>
    <phoneticPr fontId="4" type="noConversion"/>
  </si>
  <si>
    <t xml:space="preserve">200510318    1000-7101-BAG    100KG   22021106  0402      </t>
    <phoneticPr fontId="4" type="noConversion"/>
  </si>
  <si>
    <t xml:space="preserve">200546846    1000R-RD6B018-BAG    100KG   22033154  0402      </t>
    <phoneticPr fontId="4" type="noConversion"/>
  </si>
  <si>
    <t xml:space="preserve">200546893    1000R-GY2B087-BAG    100KG   22019073  0402      </t>
    <phoneticPr fontId="4" type="noConversion"/>
  </si>
  <si>
    <t xml:space="preserve">200536077    N300-701-BAG    500KG   22041234  0402      </t>
    <phoneticPr fontId="4" type="noConversion"/>
  </si>
  <si>
    <t xml:space="preserve">200559078    1000-GY2C261-BAG    1000KG   22019057  0402      </t>
    <phoneticPr fontId="4" type="noConversion"/>
  </si>
  <si>
    <t xml:space="preserve">200558078    EL003-NC-BAG    1000KG   22022978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</si>
  <si>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</si>
  <si>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</si>
  <si>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</si>
  <si>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</si>
  <si>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</si>
  <si>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200485078    2310-7301-BAG    5000KG   22017567  0402      </t>
    <phoneticPr fontId="4" type="noConversion"/>
  </si>
  <si>
    <t xml:space="preserve">200533469    1000-BL3122-BAG    1000KG   22033123  0402      </t>
    <phoneticPr fontId="4" type="noConversion"/>
  </si>
  <si>
    <t xml:space="preserve">200552317    TPN9221-GY1493T-BAG    10000KG   22037568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</si>
  <si>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</si>
  <si>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</si>
  <si>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</si>
  <si>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</si>
  <si>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</si>
  <si>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200556053    121R-GY1D201T-BAG    1000KG   22033283  0402      </t>
    <phoneticPr fontId="4" type="noConversion"/>
  </si>
  <si>
    <t xml:space="preserve">200560005    123R-WH5C051X-BAG    2000KG   22033096  0402 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</si>
  <si>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</si>
  <si>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</si>
  <si>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200553681    945A-7T1D059T-BAG    5000KG   22034279  0402 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</si>
  <si>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</si>
  <si>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</si>
  <si>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</si>
  <si>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</si>
  <si>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200547338    420-1001-BAG    1000KG   22021631  0402      </t>
    <phoneticPr fontId="4" type="noConversion"/>
  </si>
  <si>
    <t xml:space="preserve">200561513    C6600-7R6D035-BAG    500KG   22034771  0402      </t>
    <phoneticPr fontId="4" type="noConversion"/>
  </si>
  <si>
    <t xml:space="preserve">200524286    505RU-WH8E372-BAG    1000KG   22029849  0402 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</si>
  <si>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</si>
  <si>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</si>
  <si>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</si>
  <si>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</si>
  <si>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200559459    CX7211-GY5D329-BAG    1000KG   22035198  0402      </t>
    <phoneticPr fontId="4" type="noConversion"/>
  </si>
  <si>
    <t xml:space="preserve">200551218    EXL1414-9G7A2995-BAG    100KG   299903374  0402      </t>
    <phoneticPr fontId="4" type="noConversion"/>
  </si>
  <si>
    <t xml:space="preserve">200550355    EXL1414-8G6A2496-BAG    350KG   299902816  0402 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</si>
  <si>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</si>
  <si>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</si>
  <si>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</si>
  <si>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200537987    505RU-7T8D558-BAG    100KG   22031252  0402 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</si>
  <si>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</si>
  <si>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</si>
  <si>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</si>
  <si>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</si>
  <si>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</si>
  <si>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</si>
  <si>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</si>
  <si>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200494185    508-BK1066-BAG    20000KG   22021921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</si>
  <si>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</si>
  <si>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</si>
  <si>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</si>
  <si>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200529133    420-1001-BAG    3000KG   22021631  0402      </t>
    <phoneticPr fontId="4" type="noConversion"/>
  </si>
  <si>
    <t xml:space="preserve">200559120    5220U-1001-BAG    5000KG   22017603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</si>
  <si>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</si>
  <si>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</si>
  <si>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</si>
  <si>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</si>
  <si>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</si>
  <si>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</si>
  <si>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</si>
  <si>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</si>
  <si>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</si>
  <si>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</si>
  <si>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</si>
  <si>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200494168    508-BK1066-BAG    20000KG   22021921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</si>
  <si>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</si>
  <si>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</si>
  <si>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</si>
  <si>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</si>
  <si>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</si>
  <si>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</si>
  <si>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</si>
  <si>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</si>
  <si>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94769857    3412ECR-739-BAG    20000KG   22017144  0402      </t>
    <phoneticPr fontId="4" type="noConversion"/>
  </si>
  <si>
    <t xml:space="preserve">200550024    C2950-7T1D300-BAG    20000KG   22039488  0402      </t>
    <phoneticPr fontId="4" type="noConversion"/>
  </si>
  <si>
    <t xml:space="preserve">96098125    CX2244ME-7T5D428-BAG    4000KG   22088391  0402      </t>
    <phoneticPr fontId="4" type="noConversion"/>
  </si>
  <si>
    <t xml:space="preserve">200495218    CX7240-BK1D797-BAG    10000KG   22032078  0402      </t>
    <phoneticPr fontId="4" type="noConversion"/>
  </si>
  <si>
    <t xml:space="preserve">200498204    CY8630-701-BAG    5000KG   22089617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</si>
  <si>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</si>
  <si>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</si>
  <si>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</si>
  <si>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</si>
  <si>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</si>
  <si>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94038884    C2950-701-BAG    20000KG   22022271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</si>
  <si>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</si>
  <si>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</si>
  <si>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</si>
  <si>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200494074    141R-111-BAG    10000KG   22018087  0402 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</si>
  <si>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</si>
  <si>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</si>
  <si>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</si>
  <si>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</si>
  <si>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</si>
  <si>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</si>
  <si>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</si>
  <si>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</si>
  <si>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</si>
  <si>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</si>
  <si>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</si>
  <si>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</si>
  <si>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</si>
  <si>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</si>
  <si>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</si>
  <si>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</si>
  <si>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200516891    505RU-7T1D073-BAG    5000KG   22031251  0402      </t>
    <phoneticPr fontId="4" type="noConversion"/>
  </si>
  <si>
    <t xml:space="preserve">200546221    CX7240-BK1D420-BAG    15000KG   22019816  0402      </t>
    <phoneticPr fontId="4" type="noConversion"/>
  </si>
  <si>
    <t xml:space="preserve">95996169    C2950-701-BAG    20000KG   22022271  0402      </t>
    <phoneticPr fontId="4" type="noConversion"/>
  </si>
  <si>
    <t xml:space="preserve">200558308    505RU-GY2E539-BAG    5000KG   22031253  0402      </t>
    <phoneticPr fontId="4" type="noConversion"/>
  </si>
  <si>
    <t xml:space="preserve">95454669    C6200-701-BAG    20000KG   22018354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</si>
  <si>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</si>
  <si>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</si>
  <si>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</si>
  <si>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</si>
  <si>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</si>
  <si>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</si>
  <si>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</si>
  <si>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</si>
  <si>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</si>
  <si>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</si>
  <si>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</si>
  <si>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</si>
  <si>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</si>
  <si>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</si>
  <si>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</si>
  <si>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</si>
  <si>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</si>
  <si>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</si>
  <si>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</si>
  <si>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</si>
  <si>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</si>
  <si>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</si>
  <si>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200549468    C1200HF-GY6G152-BAG    5000KG   22034465  0402 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</si>
  <si>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</si>
  <si>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</si>
  <si>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</si>
  <si>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</si>
  <si>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</si>
  <si>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</si>
  <si>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</si>
  <si>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</si>
  <si>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</si>
  <si>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</si>
  <si>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</si>
  <si>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</si>
  <si>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</si>
  <si>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</si>
  <si>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</si>
  <si>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</si>
  <si>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</si>
  <si>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</si>
  <si>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</si>
  <si>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</si>
  <si>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</si>
  <si>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94700215    141R-701-BAG    20000KG   22021359  0402      </t>
    <phoneticPr fontId="4" type="noConversion"/>
  </si>
  <si>
    <t xml:space="preserve">94700214    141R-701-BAG    20000KG   22021359  0402      </t>
    <phoneticPr fontId="4" type="noConversion"/>
  </si>
  <si>
    <t xml:space="preserve">94700216    141R-701-BAG    20000KG   22021359  0402      </t>
    <phoneticPr fontId="4" type="noConversion"/>
  </si>
  <si>
    <t xml:space="preserve">94700217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</si>
  <si>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</si>
  <si>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</si>
  <si>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</si>
  <si>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</si>
  <si>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</si>
  <si>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</si>
  <si>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</si>
  <si>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</si>
  <si>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92430290    121R-GY8F074-SSS    10000KG   22105472  0402 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</si>
  <si>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</si>
  <si>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</si>
  <si>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</si>
  <si>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200495959    141R-WH8G792-BAG    5000KG   22033228  0402      </t>
    <phoneticPr fontId="4" type="noConversion"/>
  </si>
  <si>
    <t xml:space="preserve">200553727    121R-GY6G329-BAG    2000KG   22030899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</si>
  <si>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</si>
  <si>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</si>
  <si>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</si>
  <si>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</si>
  <si>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200496025    143R-WH9G485-    5000KG   22044333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</si>
  <si>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</si>
  <si>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</si>
  <si>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200559192    325-1001-BAG    2000KG   22026893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</si>
  <si>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</si>
  <si>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</si>
  <si>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</si>
  <si>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</si>
  <si>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</si>
  <si>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</si>
  <si>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</si>
  <si>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</si>
  <si>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</si>
  <si>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</si>
  <si>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</si>
  <si>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96013042    500R-131-BAG    10000KG   22018199  0402   Br. 1    </t>
    <phoneticPr fontId="4" type="noConversion"/>
  </si>
  <si>
    <t xml:space="preserve">96016083    943A-116-BAG    10000KG   22017080  0402   Br. 1    </t>
    <phoneticPr fontId="4" type="noConversion"/>
  </si>
  <si>
    <t xml:space="preserve">200543694    3412R-131-BAG    10000KG   22021728  0402   Br. 1    </t>
    <phoneticPr fontId="4" type="noConversion"/>
  </si>
  <si>
    <t xml:space="preserve">200547573    ML7694-WH8G785-BAG    20388KG   22037112  0402   Br. 1    </t>
    <phoneticPr fontId="4" type="noConversion"/>
  </si>
  <si>
    <t xml:space="preserve">96011837    940A-116-BAG    20000KG   22022020  0402   Br. 1    </t>
    <phoneticPr fontId="4" type="noConversion"/>
  </si>
  <si>
    <t xml:space="preserve">96103479    CX2244ME-8T8D280-BAG    3000KG   22088072  0402   Br. 1    </t>
    <phoneticPr fontId="4" type="noConversion"/>
  </si>
  <si>
    <t xml:space="preserve">200558307    925-7T6D157-BAG    5000KG   22038257  0402   Br. 1    </t>
    <phoneticPr fontId="4" type="noConversion"/>
  </si>
  <si>
    <t xml:space="preserve">200554685    920-WH4C129-BAG    6000KG   22031379  0402   Br. 1    </t>
    <phoneticPr fontId="4" type="noConversion"/>
  </si>
  <si>
    <t xml:space="preserve">96011956    500R-131-BAG    10000KG   22018199  0402   Br. 1    </t>
    <phoneticPr fontId="4" type="noConversion"/>
  </si>
  <si>
    <t xml:space="preserve">200549038    3413R-GY1D257-BAG    5000KG   22033634  0402   Br. 1    </t>
    <phoneticPr fontId="4" type="noConversion"/>
  </si>
  <si>
    <t xml:space="preserve">200559298    940-GY6123-BAG    10000KG   22019556  0402   Br. 1    </t>
    <phoneticPr fontId="4" type="noConversion"/>
  </si>
  <si>
    <t xml:space="preserve">96103090    CX2244ME-8T8D280-BAG    4000KG   22088072  0402   Br. 1    </t>
    <phoneticPr fontId="4" type="noConversion"/>
  </si>
  <si>
    <t xml:space="preserve">200562452    N300X-VT6E022-BAG    1000KG   22041244  0402   Br. 1    </t>
    <phoneticPr fontId="4" type="noConversion"/>
  </si>
  <si>
    <t xml:space="preserve">200561554    N300X-GN3E084-BAG    1000KG   22032647  0402   Br. 1    </t>
    <phoneticPr fontId="4" type="noConversion"/>
  </si>
  <si>
    <t xml:space="preserve">200556954    PX2801Z-OR8B008-BAG    100KG   22037004  0402   Br. 1    </t>
    <phoneticPr fontId="4" type="noConversion"/>
  </si>
  <si>
    <t xml:space="preserve">200546370    1000-BR7095-BAG    200KG   22030661  0402   Br. 1    </t>
    <phoneticPr fontId="4" type="noConversion"/>
  </si>
  <si>
    <t xml:space="preserve">200533505    1000-BL7079-BAG    1000KG   22033128  0402   Br. 1    </t>
    <phoneticPr fontId="4" type="noConversion"/>
  </si>
  <si>
    <t xml:space="preserve">200549224    GFN20F-7M1D101F-BAG    500KG   22096112  0402   Br. 1    </t>
    <phoneticPr fontId="4" type="noConversion"/>
  </si>
  <si>
    <t xml:space="preserve">200554934    FXE121R-BK1A184T-BAG    100KG   22023219  0402   Br. 1    </t>
    <phoneticPr fontId="4" type="noConversion"/>
  </si>
  <si>
    <t xml:space="preserve">200536266    920A-GY2E081T-BAG    500KG   22039032  0402   Br. 1    </t>
    <phoneticPr fontId="4" type="noConversion"/>
  </si>
  <si>
    <t xml:space="preserve">200537924    241R-GY5D607T-BAG    2000KG   22028401  0402   Br. 1    </t>
    <phoneticPr fontId="4" type="noConversion"/>
  </si>
  <si>
    <t xml:space="preserve">200549047    FXG121R-BL4F027G-BAG    100KG   22036274  0402   Br. 1    </t>
    <phoneticPr fontId="4" type="noConversion"/>
  </si>
  <si>
    <t xml:space="preserve">200495918    143R-71257-BAG    2000KG   22037594  0402   Br. 1    </t>
    <phoneticPr fontId="4" type="noConversion"/>
  </si>
  <si>
    <t xml:space="preserve">200560346    357-WH2D026-BAG    2000KG   22033927  0402   Br. 1    </t>
    <phoneticPr fontId="4" type="noConversion"/>
  </si>
  <si>
    <t xml:space="preserve">200537659    357-WH5C033-BAG    300KG   22029684  0402   Br. 1    </t>
    <phoneticPr fontId="4" type="noConversion"/>
  </si>
  <si>
    <t xml:space="preserve">200537653    DR48-8051-BAG    2000KG   22019885  0402   Br. 1    </t>
    <phoneticPr fontId="4" type="noConversion"/>
  </si>
  <si>
    <t xml:space="preserve">200560142    357-GY81044-BAG    1000KG   22019333  0402   Br. 1    </t>
    <phoneticPr fontId="4" type="noConversion"/>
  </si>
  <si>
    <t xml:space="preserve">200554586    553-OR5G078-BAG    2000KG   22038042  0402   Br. 1    </t>
    <phoneticPr fontId="4" type="noConversion"/>
  </si>
  <si>
    <t xml:space="preserve">200539013    357-7M7D049-BAG    1000KG   22044074  0402   Br. 1    </t>
    <phoneticPr fontId="4" type="noConversion"/>
  </si>
  <si>
    <t xml:space="preserve">200545349    4521-BK1066-BAG    2000KG   22028836  0402   Br. 1    </t>
    <phoneticPr fontId="4" type="noConversion"/>
  </si>
  <si>
    <t xml:space="preserve">200540765    457-GN4072-BAG    1000KG   22031214  0402   Br. 1    </t>
    <phoneticPr fontId="4" type="noConversion"/>
  </si>
  <si>
    <t xml:space="preserve">200537651    364-1001-BAG    500KG   22038585  0402   Br. 1    </t>
    <phoneticPr fontId="4" type="noConversion"/>
  </si>
  <si>
    <t xml:space="preserve">200547584    357M-BK1066-BAG    500KG   22029685  0402   Br. 1    </t>
    <phoneticPr fontId="4" type="noConversion"/>
  </si>
  <si>
    <t xml:space="preserve">200496046    420-WH6E281-BAG    5000KG   22031065  0402   Br. 1    </t>
    <phoneticPr fontId="4" type="noConversion"/>
  </si>
  <si>
    <t xml:space="preserve">200549070    DR48-7001-BAG    1000KG   22027892  0402   Br. 1    </t>
    <phoneticPr fontId="4" type="noConversion"/>
  </si>
  <si>
    <t xml:space="preserve">200533483    553U-2R4A1010-BAG    225KG   299901392  0402   Br. 1    </t>
    <phoneticPr fontId="4" type="noConversion"/>
  </si>
  <si>
    <t xml:space="preserve">200508789    CR7500-BK1041-BAG    2000KG   22019769  0402   Br. 1    </t>
    <phoneticPr fontId="4" type="noConversion"/>
  </si>
  <si>
    <t xml:space="preserve">200553584    457-GN4072-BAG    1000KG   22031214  0402   Br. 1    </t>
    <phoneticPr fontId="4" type="noConversion"/>
  </si>
  <si>
    <t xml:space="preserve">200554558    X4820-YW3D010-BAG    2000KG   22025024  0402   Br. 1    </t>
    <phoneticPr fontId="4" type="noConversion"/>
  </si>
  <si>
    <t xml:space="preserve">200561550    457-GN4072-BAG    1000KG   22031214  0402   Br. 1    </t>
    <phoneticPr fontId="4" type="noConversion"/>
  </si>
  <si>
    <t xml:space="preserve">200558756    3414R-739-BAG    2000KG   22021743  0402   Br. 1    </t>
    <phoneticPr fontId="4" type="noConversion"/>
  </si>
  <si>
    <t xml:space="preserve">200558923    945-7M1D115-BAG    2000KG   22038377  0402   Br. 1    </t>
    <phoneticPr fontId="4" type="noConversion"/>
  </si>
  <si>
    <t xml:space="preserve">200558303    C1200HF-BK3D018-BAG    2000KG   22031614  0402   Br. 1    </t>
    <phoneticPr fontId="4" type="noConversion"/>
  </si>
  <si>
    <t xml:space="preserve">200548674    940-701-BAG    2000KG   22019549  0402   Br. 1    </t>
    <phoneticPr fontId="4" type="noConversion"/>
  </si>
  <si>
    <t xml:space="preserve">200542541    920-WH9G206-BAG    100KG   22034343  0402   Br. 1    </t>
    <phoneticPr fontId="4" type="noConversion"/>
  </si>
  <si>
    <t xml:space="preserve">200558306    505RU-WH9F090-BAG    500KG   22033788  0402   Br. 1    </t>
    <phoneticPr fontId="4" type="noConversion"/>
  </si>
  <si>
    <t xml:space="preserve">200556958    DF004-GY2D398-BAG    500KG   22031877  0402   Br. 1    </t>
    <phoneticPr fontId="4" type="noConversion"/>
  </si>
  <si>
    <t xml:space="preserve">200560281    500R-60355-BAG    300KG   22034089  0402   Br. 1    </t>
    <phoneticPr fontId="4" type="noConversion"/>
  </si>
  <si>
    <t xml:space="preserve">93270841    HRA170-GY6E500U-BAG    2000KG   22036440  0402   Br. 1    </t>
    <phoneticPr fontId="4" type="noConversion"/>
  </si>
  <si>
    <t xml:space="preserve">200551295    EXL1414-6G7A2328-BAG    300KG   299902738  0402   Br. 1    </t>
    <phoneticPr fontId="4" type="noConversion"/>
  </si>
  <si>
    <t xml:space="preserve">200560551    LS2-7056-BAG    2000KG   22041034  0402   Br. 1    </t>
    <phoneticPr fontId="4" type="noConversion"/>
  </si>
  <si>
    <t xml:space="preserve">200517901    505RU-WH9F090-BAG    2000KG   22033788  0402   Br. 1    </t>
    <phoneticPr fontId="4" type="noConversion"/>
  </si>
  <si>
    <t xml:space="preserve">200561041    500R-RD5D188-BAG    1000KG   22029841  0402   Br. 1    </t>
    <phoneticPr fontId="4" type="noConversion"/>
  </si>
  <si>
    <t xml:space="preserve">200539771    XTWM206-WH6G187-BAG    10000KG   22086028  0402   Br. 1    </t>
    <phoneticPr fontId="4" type="noConversion"/>
  </si>
  <si>
    <t xml:space="preserve">200533558    HRA222F-GY8E417-BAG    5000KG   22032603  0402   Br. 1    </t>
    <phoneticPr fontId="4" type="noConversion"/>
  </si>
  <si>
    <t xml:space="preserve">200554585    C1200HF-WH8334-BAG    5000KG   22022244  0402   Br. 1    </t>
    <phoneticPr fontId="4" type="noConversion"/>
  </si>
  <si>
    <t xml:space="preserve">200551388    241S-WH9G203-BAG    20000KG   22031084  0402   Br. 1    </t>
    <phoneticPr fontId="4" type="noConversion"/>
  </si>
  <si>
    <t xml:space="preserve">200553483    HRA222F-BK2E067-BAG    5000KG   22036450  0402   Br. 1    </t>
    <phoneticPr fontId="4" type="noConversion"/>
  </si>
  <si>
    <t xml:space="preserve">200535905    HRA222-BK1A021-BAG    4000KG   22032595  0402   Br. 1    </t>
    <phoneticPr fontId="4" type="noConversion"/>
  </si>
  <si>
    <t xml:space="preserve">200558238    925-7T2D216-BAG    5000KG   22031289  0402   Br. 1    </t>
    <phoneticPr fontId="4" type="noConversion"/>
  </si>
  <si>
    <t xml:space="preserve">200554909    905-BK1G030-BAG    10000KG   22029773  0402   Br. 1    </t>
    <phoneticPr fontId="4" type="noConversion"/>
  </si>
  <si>
    <t xml:space="preserve">200551387    241S-WH9G203-BAG    20000KG   22031084  0402   Br. 1    </t>
    <phoneticPr fontId="4" type="noConversion"/>
  </si>
  <si>
    <t xml:space="preserve">200560458    LS2-6162-BAG    9300.002KG   22018730  0402   Br. 1    </t>
    <phoneticPr fontId="4" type="noConversion"/>
  </si>
  <si>
    <t xml:space="preserve">200529033    121R-WH3A022X-BAG    10000KG   22021271  0402   Br. 1    </t>
    <phoneticPr fontId="4" type="noConversion"/>
  </si>
  <si>
    <t xml:space="preserve">200553731    500R-73234-BAG    10000KG   22038722  0402   Br. 1    </t>
    <phoneticPr fontId="4" type="noConversion"/>
  </si>
  <si>
    <t xml:space="preserve">200553784    500R-73231-BAG    5000KG   22031231  0402   Br. 1    </t>
    <phoneticPr fontId="4" type="noConversion"/>
  </si>
  <si>
    <t xml:space="preserve">200554677    500R-GY6E402-BAG    10000KG   22033751  0402   Br. 1    </t>
    <phoneticPr fontId="4" type="noConversion"/>
  </si>
  <si>
    <t xml:space="preserve">200535104    500R-RD4A056-BAG    5000KG   22038741  0402   Br. 1    </t>
    <phoneticPr fontId="4" type="noConversion"/>
  </si>
  <si>
    <t xml:space="preserve">200559562    500R-73234-BAG    10000KG   22038722  0402   Br. 1    </t>
    <phoneticPr fontId="4" type="noConversion"/>
  </si>
  <si>
    <t xml:space="preserve">200554724    500R-GY6E402-BAG    10000KG   22033751  0402   Br. 1    </t>
    <phoneticPr fontId="4" type="noConversion"/>
  </si>
  <si>
    <t xml:space="preserve">200553729    500R-73231-BAG    5000KG   22031231  0402   Br. 1    </t>
    <phoneticPr fontId="4" type="noConversion"/>
  </si>
  <si>
    <t xml:space="preserve">200528408    925-GY1G168-BAG    8100KG   22034407  0402   Br. 1    </t>
    <phoneticPr fontId="4" type="noConversion"/>
  </si>
  <si>
    <t xml:space="preserve">200558271    HRA170-BK2G008-BAG    5000KG   22036438  0402   Br. 1    </t>
    <phoneticPr fontId="4" type="noConversion"/>
  </si>
  <si>
    <t xml:space="preserve">94716248    C1200HF-RD3G073-BAG    20000KG   22029056  0402   Br. 1    </t>
    <phoneticPr fontId="4" type="noConversion"/>
  </si>
  <si>
    <t xml:space="preserve">94716249    C1200HF-RD3G073-BAG    20000KG   22029056  0402   Br. 1    </t>
    <phoneticPr fontId="4" type="noConversion"/>
  </si>
  <si>
    <t xml:space="preserve">94716250    C1200HF-RD3G073-BAG    20000KG   22029056  0402   Br. 1    </t>
    <phoneticPr fontId="4" type="noConversion"/>
  </si>
  <si>
    <t xml:space="preserve">94053025    V3900WX-BK1066-BAG    10000KG   22024815  0402   Br. 1    </t>
    <phoneticPr fontId="4" type="noConversion"/>
  </si>
  <si>
    <t xml:space="preserve">95453572    357-1001-BAG    10000KG   22019323  0402   Br. 1    </t>
    <phoneticPr fontId="4" type="noConversion"/>
  </si>
  <si>
    <t xml:space="preserve">200542606    V4860HR-BK1066-BAG    5050KG   22024826  0402   Br. 1    </t>
    <phoneticPr fontId="4" type="noConversion"/>
  </si>
  <si>
    <t xml:space="preserve">200549443    553-OR5G003-BAG    10000KG   22031160  0402   Br. 1    </t>
    <phoneticPr fontId="4" type="noConversion"/>
  </si>
  <si>
    <t xml:space="preserve">200549389    553-7001-BAG    10000KG   22034189  0402   Br. 1    </t>
    <phoneticPr fontId="4" type="noConversion"/>
  </si>
  <si>
    <t xml:space="preserve">200561605    364-WH7D376-BAG    5000KG   22038589  0402   Br. 1    </t>
    <phoneticPr fontId="4" type="noConversion"/>
  </si>
  <si>
    <t xml:space="preserve">95432258    V3900WX-BK1066-BAG    10000KG   22024815  0402   Br. 1    </t>
    <phoneticPr fontId="4" type="noConversion"/>
  </si>
  <si>
    <t xml:space="preserve">95997378    V3900WX-BK1066-BAG    10000KG   22024815  0402   Br. 1    </t>
    <phoneticPr fontId="4" type="noConversion"/>
  </si>
  <si>
    <t xml:space="preserve">200553544    4521-8244-BAG    6000KG   22018193  0402   Br. 1    </t>
    <phoneticPr fontId="4" type="noConversion"/>
  </si>
  <si>
    <t xml:space="preserve">200558840    V4860HR-1001-BAG    5000KG   22037263  0402   Br. 1    </t>
    <phoneticPr fontId="4" type="noConversion"/>
  </si>
  <si>
    <t xml:space="preserve">200550428    855-1001-BAG    3000KG   22019477  0402   Br. 1    </t>
    <phoneticPr fontId="4" type="noConversion"/>
  </si>
  <si>
    <t xml:space="preserve">87586011    DR48-BK1066-BAG    20000KG   22017721  0402   Br. 1    </t>
    <phoneticPr fontId="4" type="noConversion"/>
  </si>
  <si>
    <t xml:space="preserve">200558839    V4860HR-BK1066-BAG    5000KG   22024826  0402   Br. 1    </t>
    <phoneticPr fontId="4" type="noConversion"/>
  </si>
  <si>
    <t xml:space="preserve">200468016    357-BK1066-BAG    20376KG   22017581  0402   Br. 1    </t>
    <phoneticPr fontId="4" type="noConversion"/>
  </si>
  <si>
    <t xml:space="preserve">200547366    V3900WX-7M8D027-BAG    5000KG   22032797  0402   Br. 1    </t>
    <phoneticPr fontId="4" type="noConversion"/>
  </si>
  <si>
    <t xml:space="preserve">200542652    V3900WX-WH8E373-BAG    10000KG   22041108  0402   Br. 1    </t>
    <phoneticPr fontId="4" type="noConversion"/>
  </si>
  <si>
    <t xml:space="preserve">200556149    V3900WX-WH8E373-BAG    10000KG   22041108  0402   Br. 1    </t>
    <phoneticPr fontId="4" type="noConversion"/>
  </si>
  <si>
    <t xml:space="preserve"> Br. </t>
  </si>
  <si>
    <t>Dur.</t>
  </si>
  <si>
    <t>Line</t>
  </si>
  <si>
    <t>No.</t>
  </si>
  <si>
    <t xml:space="preserve">0402  PVX0901-BK1066-BAG    5000KG   22036954    (200489904)      </t>
  </si>
  <si>
    <t xml:space="preserve">0402  GFN20-701-BAG    10000KG   22095416    (96000253)      </t>
  </si>
  <si>
    <t xml:space="preserve">0402  PCN2910-BK1066-BAG    12000KG   22032814    (87160091)      </t>
  </si>
  <si>
    <t xml:space="preserve">0402  SE1GFN1-701-BAG    8619KG   22024908    (200431427)      </t>
  </si>
  <si>
    <t xml:space="preserve">0402  V0150B-701-BAG    20000KG   22017123    (85130081)      </t>
  </si>
  <si>
    <t xml:space="preserve">0402  PX1600X-701-BAG    20000KG   22017944    (86323985)      </t>
  </si>
  <si>
    <t xml:space="preserve">0402  PX1600X-701-BAG    20000KG   22017944    (86324098)      </t>
  </si>
  <si>
    <t xml:space="preserve">0402  PX1600X-701-BAG    20000KG   22017944    (87778113)      </t>
  </si>
  <si>
    <t xml:space="preserve">0402  HM4025H-75001-BAG    20000KG   22040915    (92335692)      </t>
  </si>
  <si>
    <t xml:space="preserve">0402  V0150B-701-BAG    20000KG   22017123    (81792811)      </t>
  </si>
  <si>
    <t xml:space="preserve">0402  V0150B-701-BAG    20000KG   22017123    (79141668)      </t>
  </si>
  <si>
    <t xml:space="preserve">0402  SE1GFN1-701-BAG    20000KG   22024908    (200431428)      </t>
  </si>
  <si>
    <t xml:space="preserve">0402  HM3020H-75001-BAG    15000KG   22036424    (200548439)      </t>
  </si>
  <si>
    <t xml:space="preserve">0402  HM4025H-75001-BAG    20000KG   22040915    (92323059)      </t>
  </si>
  <si>
    <t xml:space="preserve">0402  PX9406-780-BAG    20000KG   22020783    (200526395)      </t>
  </si>
  <si>
    <t xml:space="preserve">0402  GFN20F-N780S-BAG    10000KG   22095737    (96000254)      </t>
  </si>
  <si>
    <t xml:space="preserve">0402  GFN30F-701S-BAG    10000KG   22095738    (95453257)      </t>
  </si>
  <si>
    <t xml:space="preserve">0402  N190X-7N4D004-BAG    10000KG   22030522    (200549321)      </t>
  </si>
  <si>
    <t xml:space="preserve">0402  N1250-BK1066-BAG    5000KG   22040824    (200545494)      </t>
  </si>
  <si>
    <t xml:space="preserve">0402  GFN1F-701S-BAG    10000KG   22066660    (200513144)      </t>
  </si>
  <si>
    <t xml:space="preserve">0402  HS2000X-111-BAG    20000KG   22023605    (94771336)      </t>
  </si>
  <si>
    <t xml:space="preserve">0402  HS2000X-WH8C022-BAG    20000KG   22036470    (92864583)      </t>
  </si>
  <si>
    <t xml:space="preserve">0402  N1250-BK1066-BAG    5000KG   22040824    (200545495)      </t>
  </si>
  <si>
    <t xml:space="preserve">0402  HS2000X-701-BAG    10000KG   22023606    (89722964)      </t>
  </si>
  <si>
    <t xml:space="preserve">0402  HS2000X-701-BAG    10000KG   22023606    (90238106)      </t>
  </si>
  <si>
    <t xml:space="preserve">0402  N1250-BK1066-BAG    5000KG   22040824    (200545584)      </t>
  </si>
  <si>
    <t xml:space="preserve">0402  HS2000X-111-BAG    20000KG   22023605    (94771335)      </t>
  </si>
  <si>
    <t xml:space="preserve">0402  HS2000X-111-BAG    20000KG   22023605    (94769879)      </t>
  </si>
  <si>
    <t xml:space="preserve">0402  N300X-701-BAG    20000KG   22018853    (95448250)      </t>
  </si>
  <si>
    <t xml:space="preserve">0402  GFN1F-701S-BAG    10000KG   22066660    (200520284)      </t>
  </si>
  <si>
    <t xml:space="preserve">0402  N1250-BK1066-BAG    5000KG   22040824    (200545535)      </t>
  </si>
  <si>
    <t xml:space="preserve">0402  HS2000X-WH8C022-BAG    20000KG   22036470    (95999286)      </t>
  </si>
  <si>
    <t xml:space="preserve">0402  HS2000X-WH8C022-BAG    20000KG   22036470    (95999287)      </t>
  </si>
  <si>
    <t xml:space="preserve">0402  N1250-BK1066-BAG    5000KG   22040824    (200545305)      </t>
  </si>
  <si>
    <t xml:space="preserve">0402  HS2000X-701-BAG    10000KG   22023606    (95999288)      </t>
  </si>
  <si>
    <t xml:space="preserve">0402  HS2000X-701-BAG    10000KG   22023606    (92845169)      </t>
  </si>
  <si>
    <t xml:space="preserve">0402  GFN20-801-BAG    20000KG   22095158    (200552256)      </t>
  </si>
  <si>
    <t xml:space="preserve">0402  N1250-BK1066-BAG    5000KG   22040824    (200545603)      </t>
  </si>
  <si>
    <t xml:space="preserve">0402  N1250-BK1066-BAG    5000KG   22040824    (200545255)      </t>
  </si>
  <si>
    <t xml:space="preserve">0402  3412R-131-BAG    10000KG   22021728    (200543694)     Br.   </t>
  </si>
  <si>
    <t xml:space="preserve">0402  121R-GY8F074-SSS    10000KG   22105472    (92463176)      </t>
  </si>
  <si>
    <t xml:space="preserve">0402  ML7694-WH8G785-BAG    20388KG   22037112    (200547573)     Br.   </t>
  </si>
  <si>
    <t xml:space="preserve">0402  940A-116-BAG    20000KG   22022020    (96011837)     Br.   </t>
  </si>
  <si>
    <t xml:space="preserve">0402  CX2244ME-8T8D280-BAG    3000KG   22088072    (96103479)     Br.   </t>
  </si>
  <si>
    <t xml:space="preserve">0402  925-7T6D157-BAG    5000KG   22038257    (200558307)     Br.   </t>
  </si>
  <si>
    <t xml:space="preserve">0402  121R-GY8F074-SSS    10000KG   22105472    (200554972)      </t>
  </si>
  <si>
    <t xml:space="preserve">0402  945-NC-BAG    20000KG   22022070    (89022780)      </t>
  </si>
  <si>
    <t xml:space="preserve">0402  920-WH4C129-BAG    6000KG   22031379    (200554685)     Br.   </t>
  </si>
  <si>
    <t xml:space="preserve">0402  CX7240-8N9D079-BAG    20000KG   22031866    (200550085)      </t>
  </si>
  <si>
    <t xml:space="preserve">0402  C2800-111-BAG    10000KG   22022249    (200480046)      </t>
  </si>
  <si>
    <t xml:space="preserve">0402  500R-131-BAG    10000KG   22018199    (96011956)     Br.   </t>
  </si>
  <si>
    <t xml:space="preserve">0402  3413R-GY1D257-BAG    5000KG   22033634    (200549038)     Br.   </t>
  </si>
  <si>
    <t xml:space="preserve">0402  940-GY6123-BAG    10000KG   22019556    (200559298)     Br.   </t>
  </si>
  <si>
    <t xml:space="preserve">0402  CX2244ME-8T8D280-BAG    4000KG   22088072    (96103090)     Br.   </t>
  </si>
  <si>
    <t xml:space="preserve">0402  CX7240-8N9D079-BAG    20000KG   22031866    (200550086)      </t>
  </si>
  <si>
    <t xml:space="preserve">0402  PX9406P-7001-BAG    20000KG   22041318    (93228794)      </t>
  </si>
  <si>
    <t xml:space="preserve">0402  PX9406P-7001-BAG    20000KG   22041318    (93230082)      </t>
  </si>
  <si>
    <t xml:space="preserve">0402  PX9406P-7001-BAG    20000KG   22041318    (200558980)      </t>
  </si>
  <si>
    <t xml:space="preserve">0402  PX9406P-7001-BAG    20000KG   22041318    (200558981)      </t>
  </si>
  <si>
    <t xml:space="preserve">0402  PX9406P-7001-BAG    20000KG   22041318    (87083635)      </t>
  </si>
  <si>
    <t xml:space="preserve">0402  PX9406P-7001-BAG    20000KG   22041318    (87083636)      </t>
  </si>
  <si>
    <t xml:space="preserve">0402  SE1X-701-BAG    20000KG   22024919    (96149712)      </t>
  </si>
  <si>
    <t xml:space="preserve">0402  SE1X-701-BAG    20000KG   22024919    (96149713)      </t>
  </si>
  <si>
    <t xml:space="preserve">0402  SE1X-701-BAG    20000KG   22024919    (96149718)      </t>
  </si>
  <si>
    <t xml:space="preserve">0402  SE1X-701-BAG    20000KG   22024919    (96149717)      </t>
  </si>
  <si>
    <t xml:space="preserve">0402  SE100X-701-BAG    20000KG   22024902    (83537443)      </t>
  </si>
  <si>
    <t xml:space="preserve">0402  SE100X-701-BAG    20000KG   22024902    (85134293)      </t>
  </si>
  <si>
    <t xml:space="preserve">0402  SE100X-701-BAG    20000KG   22024902    (83537442)      </t>
  </si>
  <si>
    <t xml:space="preserve">0402  SE100X-701-BAG    20000KG   22024902    (83537444)      </t>
  </si>
  <si>
    <t xml:space="preserve">0402  SE1X-701-BAG    20000KG   22024919    (96149719)      </t>
  </si>
  <si>
    <t xml:space="preserve">0402  SE100X-701-BAG    20000KG   22024902    (70104680)      </t>
  </si>
  <si>
    <t xml:space="preserve">0402  SE100X-701-BAG    20000KG   22024902    (80050915)      </t>
  </si>
  <si>
    <t xml:space="preserve">0402  SE1X-701-BAG    20000KG   22024919    (96149720)      </t>
  </si>
  <si>
    <t xml:space="preserve">0402  PX9406P-7001-BAG    20000KG   22041318    (93212678)      </t>
  </si>
  <si>
    <t xml:space="preserve">0402  PX9406P-7001-BAG    20000KG   22041318    (93228788)      </t>
  </si>
  <si>
    <t xml:space="preserve">0402  PX9406P-7001-BAG    20000KG   22041318    (93230023)      </t>
  </si>
  <si>
    <t xml:space="preserve">0402  PX1600X-701-BAG    20000KG   22017944    (86299668)      </t>
  </si>
  <si>
    <t xml:space="preserve">0402  PX9406P-7001-BAG    20000KG   22041318    (93176770)      </t>
  </si>
  <si>
    <t xml:space="preserve">0402  PX9406P-7001-BAG    20000KG   22041318    (93176772)      </t>
  </si>
  <si>
    <t xml:space="preserve">0402  PX9406P-7001-BAG    20000KG   22041318    (93212592)      </t>
  </si>
  <si>
    <t xml:space="preserve">0402  PX9406-GY8D396-BAG    5000KG   22037377    (200507022)      </t>
  </si>
  <si>
    <t xml:space="preserve">0402  PX9406P-GY5E492-BAG    1000KG   22032732    (200558294)      </t>
  </si>
  <si>
    <t xml:space="preserve">0402  SE1V-BK1066-BAG    1000KG   22037144    (200561393)      </t>
  </si>
  <si>
    <t xml:space="preserve">0402  FN215X-780-BAG    2000KG   22020062    (200551485)      </t>
  </si>
  <si>
    <t xml:space="preserve">0402  N300X-VT6E022-BAG    1000KG   22041244    (200562452)     Br.   </t>
  </si>
  <si>
    <t xml:space="preserve">0402  N300X-GN3E084-BAG    1000KG   22032647    (200561554)     Br.   </t>
  </si>
  <si>
    <t xml:space="preserve">0402  N300X-GY2E479-BAG    1000KG   22041242    (200561541)      </t>
  </si>
  <si>
    <t xml:space="preserve">0402  731S-701S-BAG    1000KG   22031186    (200549207)      </t>
  </si>
  <si>
    <t xml:space="preserve">0402  PX2801Z-BK1066-BAG    2000KG   22032844    (200545271)      </t>
  </si>
  <si>
    <t xml:space="preserve">0402  7310-701-BAG    2000KG   22095148    (200542757)      </t>
  </si>
  <si>
    <t xml:space="preserve">0402  WCD855-7A1D234-SBG    6000KG   22080588    (200554693)      </t>
  </si>
  <si>
    <t xml:space="preserve">0402  N1250-4N4D011-BAG    5000KG   22037195    (200554628)      </t>
  </si>
  <si>
    <t xml:space="preserve">0402  731S-701S-BAG    2000KG   22031186    (200521267)      </t>
  </si>
  <si>
    <t xml:space="preserve">0402  N1250-4N4D011-BAG    5000KG   22037195    (200554705)      </t>
  </si>
  <si>
    <t xml:space="preserve">0402  NH6020-100-BAG    20000KG   22060061    (200526498)      </t>
  </si>
  <si>
    <t xml:space="preserve">0402  N300-701-BAG    500KG   22041234    (200560140)      </t>
  </si>
  <si>
    <t xml:space="preserve">0402  N1050-BL2G084-BAG    5000KG   22040815    (93391781)      </t>
  </si>
  <si>
    <t xml:space="preserve">0402  NH6020-100-BAG    10000KG   22060061    (200526499)      </t>
  </si>
  <si>
    <t xml:space="preserve">0402  NH6020-100-BAG    20000KG   22060061    (200526497)      </t>
  </si>
  <si>
    <t xml:space="preserve">0402  FN215X-701-BAG    2000KG   22023022    (200556887)      </t>
  </si>
  <si>
    <t xml:space="preserve">0402  N300X-BR7E123-BAG    500KG   22036871    (200561480)      </t>
  </si>
  <si>
    <t xml:space="preserve">0402  GFN20-801-BAG    4000KG   22095158    (200552257)      </t>
  </si>
  <si>
    <t xml:space="preserve">0402  NH6020-100-BAG    20000KG   22060061    (200550112)      </t>
  </si>
  <si>
    <t xml:space="preserve">0402  NH6020-100-BAG    20000KG   22060061    (200550053)      </t>
  </si>
  <si>
    <t xml:space="preserve">0402  SE1GFN2-70699-BAG    500KG   22040973    (200560223)      </t>
  </si>
  <si>
    <t xml:space="preserve">0402  EX130-770-BAG    5000KG   22022815    (200497063)      </t>
  </si>
  <si>
    <t xml:space="preserve">0402  WCD933-5A2D002-SBG    4000KG   22079928    (200447176)      </t>
  </si>
  <si>
    <t xml:space="preserve">0402  WCA955-111-SBG    3000KG   22080186    (87853874)      </t>
  </si>
  <si>
    <t xml:space="preserve">0402  EX130-770-BAG    5000KG   22022815    (200497085)      </t>
  </si>
  <si>
    <t xml:space="preserve">0402  1000-BL3122-BAG    2000KG   22033123    (200534688)      </t>
  </si>
  <si>
    <t xml:space="preserve">0402  1000-BR7095-BAG    200KG   22030661    (200546370)     Br.   </t>
  </si>
  <si>
    <t xml:space="preserve">0402  1000-7101-BAG    100KG   22021106    (200510318)      </t>
  </si>
  <si>
    <t xml:space="preserve">0402  1000R-RD6B018-BAG    100KG   22033154    (200546846)      </t>
  </si>
  <si>
    <t xml:space="preserve">0402  1000R-GY2B087-BAG    100KG   22019073    (200546893)      </t>
  </si>
  <si>
    <t xml:space="preserve">0402  1000-BL7079-BAG    1000KG   22033128    (200533505)     Br.   </t>
  </si>
  <si>
    <t xml:space="preserve">0402  N300-701-BAG    500KG   22041234    (200536077)      </t>
  </si>
  <si>
    <t xml:space="preserve">0402  1000-GY2C261-BAG    1000KG   22019057    (200559078)      </t>
  </si>
  <si>
    <t xml:space="preserve">0402  EL003-NC-BAG    1000KG   22022978    (200558078)      </t>
  </si>
  <si>
    <t xml:space="preserve">0402  TPN9221-GY1493T-BAG    10000KG   22037568    (200532833)      </t>
  </si>
  <si>
    <t xml:space="preserve">0402  TPN9221-GY1493T-BAG    300KG   22037568    (200561543)      </t>
  </si>
  <si>
    <t xml:space="preserve">0402  GFN20F-7M1D101F-BAG    500KG   22096112    (200549224)     Br.   </t>
  </si>
  <si>
    <t xml:space="preserve">0402  1000R-7101-BAG    100KG   22021142    (200548568)      </t>
  </si>
  <si>
    <t xml:space="preserve">0402  HS2000X-6G4A1253-BAG    1000KG   299901425    (200533481)      </t>
  </si>
  <si>
    <t xml:space="preserve">0402  1000-BL1B081T-BAG    500KG   22037954    (200549162)      </t>
  </si>
  <si>
    <t xml:space="preserve">0402  2310-7301-BAG    5000KG   22017567    (200485078)      </t>
  </si>
  <si>
    <t xml:space="preserve">0402  1000-BL3122-BAG    1000KG   22033123    (200533469)      </t>
  </si>
  <si>
    <t xml:space="preserve">0402  TPN9221-GY1493T-BAG    10000KG   22037568    (200552317)      </t>
  </si>
  <si>
    <t xml:space="preserve">0402  1000R-21019-BAG    500KG   22033151    (200551343)      </t>
  </si>
  <si>
    <t xml:space="preserve">0402  1000R-BR7156-BAG    300KG   22037978    (200551266)      </t>
  </si>
  <si>
    <t xml:space="preserve">0402  ENH2900-7A8D036-BAG    9000KG   22035576    (200560204)      </t>
  </si>
  <si>
    <t xml:space="preserve">0402  121R-GY1D201T-BAG    1000KG   22033283    (200556053)      </t>
  </si>
  <si>
    <t xml:space="preserve">0402  123R-WH5C051X-BAG    2000KG   22033096    (200560005)      </t>
  </si>
  <si>
    <t xml:space="preserve">0402  FXE121R-BK1A184T-BAG    100KG   22023219    (200554934)     Br.   </t>
  </si>
  <si>
    <t xml:space="preserve">0402  920A-GY2E081T-BAG    500KG   22039032    (200536266)     Br.   </t>
  </si>
  <si>
    <t xml:space="preserve">0402  144H-111FC-BAG    1000KG   22033341    (200559300)      </t>
  </si>
  <si>
    <t xml:space="preserve">0402  FXD121R-NA8G018X-BAG    3000KG   22044315    (200549470)      </t>
  </si>
  <si>
    <t xml:space="preserve">0402  241R-GY5D607T-BAG    2000KG   22028401    (200537924)     Br.   </t>
  </si>
  <si>
    <t xml:space="preserve">0402  945A-7T1D059T-BAG    5000KG   22034279    (200553681)      </t>
  </si>
  <si>
    <t xml:space="preserve">0402  FXG121R-BL4F027G-BAG    100KG   22036274    (200549047)     Br.   </t>
  </si>
  <si>
    <t xml:space="preserve">0402  243R-111-BAG    2000KG   22019283    (200513278)      </t>
  </si>
  <si>
    <t xml:space="preserve">0402  EXL9414T-NA8E034T-BAG    100KG   22039947    (200542010)      </t>
  </si>
  <si>
    <t xml:space="preserve">0402  101R-111-BAG    2000KG   22027971    (200521952)      </t>
  </si>
  <si>
    <t xml:space="preserve">0402  243R-111-BAG    2000KG   22019283    (200545577)      </t>
  </si>
  <si>
    <t xml:space="preserve">0402  143R-71257-BAG    2000KG   22037594    (200495918)     Br.   </t>
  </si>
  <si>
    <t xml:space="preserve">0402  357-WH5C033-BAG    300KG   22029684    (200537659)     Br.   </t>
  </si>
  <si>
    <t xml:space="preserve">0402  DR48-8051-BAG    2000KG   22019885    (200537653)     Br.   </t>
  </si>
  <si>
    <t xml:space="preserve">0402  357-GY81044-BAG    1000KG   22019333    (200560142)     Br.   </t>
  </si>
  <si>
    <t xml:space="preserve">0402  553-OR5G078-BAG    2000KG   22038042    (200554586)     Br.   </t>
  </si>
  <si>
    <t xml:space="preserve">0402  357-7M7D049-BAG    1000KG   22044074    (200539013)     Br.   </t>
  </si>
  <si>
    <t xml:space="preserve">0402  4521-BK1066-BAG    2000KG   22028836    (200545349)     Br.   </t>
  </si>
  <si>
    <t xml:space="preserve">0402  457-GN4072-BAG    1000KG   22031214    (200540765)     Br.   </t>
  </si>
  <si>
    <t xml:space="preserve">0402  364-1001-BAG    500KG   22038585    (200537651)     Br.   </t>
  </si>
  <si>
    <t xml:space="preserve">0402  357M-BK1066-BAG    500KG   22029685    (200547584)     Br.   </t>
  </si>
  <si>
    <t xml:space="preserve">0402  420-WH6E281-BAG    5000KG   22031065    (200496046)     Br.   </t>
  </si>
  <si>
    <t xml:space="preserve">0402  DR48-7001-BAG    1000KG   22027892    (200549070)     Br.   </t>
  </si>
  <si>
    <t xml:space="preserve">0402  553U-2R4A1010-BAG    225KG   299901392    (200533483)     Br.   </t>
  </si>
  <si>
    <t xml:space="preserve">0402  CR7500-BK1041-BAG    2000KG   22019769    (200508789)     Br.   </t>
  </si>
  <si>
    <t xml:space="preserve">0402  457-GN4072-BAG    1000KG   22031214    (200553584)     Br.   </t>
  </si>
  <si>
    <t xml:space="preserve">0402  X4820-YW3D010-BAG    2000KG   22025024    (200554558)     Br.   </t>
  </si>
  <si>
    <t xml:space="preserve">0402  420-1001-BAG    1000KG   22021631    (200547338)      </t>
  </si>
  <si>
    <t xml:space="preserve">0402  457-GN4072-BAG    1000KG   22031214    (200561550)     Br.   </t>
  </si>
  <si>
    <t xml:space="preserve">0402  3414R-739-BAG    2000KG   22021743    (200558756)     Br.   </t>
  </si>
  <si>
    <t xml:space="preserve">0402  C6600-7R6D035-BAG    500KG   22034771    (200561513)      </t>
  </si>
  <si>
    <t xml:space="preserve">0402  C1200HF-BK3D018-BAG    2000KG   22031614    (200558303)     Br.   </t>
  </si>
  <si>
    <t xml:space="preserve">0402  940-701-BAG    2000KG   22019549    (200548674)     Br.   </t>
  </si>
  <si>
    <t xml:space="preserve">0402  920-WH9G206-BAG    100KG   22034343    (200542541)     Br.   </t>
  </si>
  <si>
    <t xml:space="preserve">0402  505RU-WH8E372-BAG    1000KG   22029849    (200524286)      </t>
  </si>
  <si>
    <t xml:space="preserve">0402  505RU-WH9F090-BAG    500KG   22033788    (200558306)     Br.   </t>
  </si>
  <si>
    <t xml:space="preserve">0402  C2800-96214-BAG    1000KG   22034988    (200561702)      </t>
  </si>
  <si>
    <t xml:space="preserve">0402  EFL36-BK1A603-BAG    3000KG   22035948    (200556023)      </t>
  </si>
  <si>
    <t xml:space="preserve">0402  505RU-BL2A254-BAG    500KG   22037998    (200558305)      </t>
  </si>
  <si>
    <t xml:space="preserve">0402  C1200HF-BL1G087-BAG    1000KG   22034420    (200562336)      </t>
  </si>
  <si>
    <t xml:space="preserve">0402  DF004-GY2D398-BAG    500KG   22031877    (200556958)     Br.   </t>
  </si>
  <si>
    <t xml:space="preserve">0402  500R-60355-BAG    300KG   22034089    (200560281)     Br.   </t>
  </si>
  <si>
    <t xml:space="preserve">0402  HRA170-GY6E500U-BAG    2000KG   22036440    (93270841)     Br.   </t>
  </si>
  <si>
    <t xml:space="preserve">0402  CX7211-GY5D329-BAG    1000KG   22035198    (200559459)      </t>
  </si>
  <si>
    <t xml:space="preserve">0402  EXL1414-9G7A2995-BAG    100KG   299903374    (200551218)      </t>
  </si>
  <si>
    <t xml:space="preserve">0402  EXL1414-8G6A2496-BAG    350KG   299902816    (200550355)      </t>
  </si>
  <si>
    <t xml:space="preserve">0402  EXL1414-6G7A2328-BAG    300KG   299902738    (200551295)     Br.   </t>
  </si>
  <si>
    <t xml:space="preserve">0402  LS2-7056-BAG    2000KG   22041034    (200560551)     Br.   </t>
  </si>
  <si>
    <t xml:space="preserve">0402  123R-701-BAG    1994.814KG   22017535    (200554876)      </t>
  </si>
  <si>
    <t xml:space="preserve">0402  C2950-WH9D358-BAG    300KG   22034621    (200561531)      </t>
  </si>
  <si>
    <t xml:space="preserve">0402  505RU-WH8E372-BAG    1000KG   22029849    (200541914)      </t>
  </si>
  <si>
    <t xml:space="preserve">0402  505RU-WH9F090-BAG    2000KG   22033788    (200517901)     Br.   </t>
  </si>
  <si>
    <t xml:space="preserve">0402  505RU-7T8D558-BAG    100KG   22031252    (200537987)      </t>
  </si>
  <si>
    <t xml:space="preserve">0402  500R-RD5D188-BAG    1000KG   22029841    (200561041)     Br.   </t>
  </si>
  <si>
    <t xml:space="preserve">0402  505RU-7T8D558-BAG    1000KG   22031252    (200548614)      </t>
  </si>
  <si>
    <t xml:space="preserve">0402  141R-111-BAG    10000KG   22018087    (200428510)      </t>
  </si>
  <si>
    <t xml:space="preserve">0402  XTWM206-WH6G187-BAG    10000KG   22086028    (200539771)     Br.   </t>
  </si>
  <si>
    <t xml:space="preserve">0402  HRA222F-GY8E417-BAG    5000KG   22032603    (200533558)     Br.   </t>
  </si>
  <si>
    <t xml:space="preserve">0402  C1200HF-WH8334-BAG    5000KG   22022244    (200554585)     Br.   </t>
  </si>
  <si>
    <t xml:space="preserve">0402  CY8630-701-BAG    20000KG   22089617    (200553354)      </t>
  </si>
  <si>
    <t xml:space="preserve">0402  141R-GY6A427-BAG    20000KG   22030748    (94717410)      </t>
  </si>
  <si>
    <t xml:space="preserve">0402  DR51-1001-BAG    15000KG   22017180    (200561481)      </t>
  </si>
  <si>
    <t xml:space="preserve">0402  508-BK1066-BAG    20000KG   22021921    (200494185)      </t>
  </si>
  <si>
    <t xml:space="preserve">0402  141R-GY6A427-BAG    20000KG   22030748    (94717412)      </t>
  </si>
  <si>
    <t xml:space="preserve">0402  141R-GY6A427-BAG    20000KG   22030748    (94717411)      </t>
  </si>
  <si>
    <t xml:space="preserve">0402  DR51-1001-BAG    5000KG   22017180    (200537161)      </t>
  </si>
  <si>
    <t xml:space="preserve">0402  420-1001-BAG    3000KG   22021631    (200529133)      </t>
  </si>
  <si>
    <t xml:space="preserve">0402  5220U-1001-BAG    5000KG   22017603    (200559120)      </t>
  </si>
  <si>
    <t xml:space="preserve">0402  141R-GY6A427-BAG    20000KG   22030748    (94717413)      </t>
  </si>
  <si>
    <t xml:space="preserve">0402  243R-WH4B198-BAG    20000KG   22038486    (200534990)      </t>
  </si>
  <si>
    <t xml:space="preserve">0402  420-BK1066-BAG    10000KG   22021633    (200495978)      </t>
  </si>
  <si>
    <t xml:space="preserve">0402  CY8630-701-BAG    20000KG   22089617    (200553374)      </t>
  </si>
  <si>
    <t xml:space="preserve">0402  241S-WH9G203-BAG    20000KG   22031084    (200551388)     Br.   </t>
  </si>
  <si>
    <t xml:space="preserve">0402  HRA222F-BK2E067-BAG    5000KG   22036450    (200553483)     Br.   </t>
  </si>
  <si>
    <t xml:space="preserve">0402  420-1001-BAG    10000KG   22021631    (200495921)      </t>
  </si>
  <si>
    <t xml:space="preserve">0402  141R-GY5G126-BAG    10000KG   22028666    (200547777)      </t>
  </si>
  <si>
    <t xml:space="preserve">0402  1105-78211-BAG    10000KG   22030691    (200498223)      </t>
  </si>
  <si>
    <t xml:space="preserve">0402  420-BK1066-BAG    10000KG   22021633    (200496030)      </t>
  </si>
  <si>
    <t xml:space="preserve">0402  C1200HF-GY6G152-BAG    5000KG   22034465    (200549469)      </t>
  </si>
  <si>
    <t xml:space="preserve">0402  CY8630-701-BAG    20000KG   22089617    (200553321)      </t>
  </si>
  <si>
    <t xml:space="preserve">0402  243R-WH4B198-BAG    20000KG   22038486    (200534991)      </t>
  </si>
  <si>
    <t xml:space="preserve">0402  508-BK1066-BAG    20000KG   22021921    (200494168)      </t>
  </si>
  <si>
    <t xml:space="preserve">0402  420-1001-BAG    3000KG   22021631    (200542038)      </t>
  </si>
  <si>
    <t xml:space="preserve">0402  CY8630-701-BAG    20000KG   22089617    (200553402)      </t>
  </si>
  <si>
    <t xml:space="preserve">0402  420-BK1066-BAG    10000KG   22021633    (200496009)      </t>
  </si>
  <si>
    <t xml:space="preserve">0402  CY8630-701-BAG    20000KG   22089617    (200553403)      </t>
  </si>
  <si>
    <t xml:space="preserve">0402  420-1001-BAG    10000KG   22021631    (200496006)      </t>
  </si>
  <si>
    <t xml:space="preserve">0402  420-BK1066-BAG    10000KG   22021633    (200496045)      </t>
  </si>
  <si>
    <t xml:space="preserve">0402  508-BK1066-BAG    20000KG   22021921    (200544218)      </t>
  </si>
  <si>
    <t xml:space="preserve">0402  C1200HF-GY1D457U-BAG    10000KG   22029050    (200496028)      </t>
  </si>
  <si>
    <t xml:space="preserve">0402  3412ECR-739-BAG    20000KG   22017144    (94769857)      </t>
  </si>
  <si>
    <t xml:space="preserve">0402  C2950-7T1D300-BAG    20000KG   22039488    (200550024)      </t>
  </si>
  <si>
    <t xml:space="preserve">0402  CX2244ME-7T5D428-BAG    4000KG   22088391    (96098125)      </t>
  </si>
  <si>
    <t xml:space="preserve">0402  925-7T2D216-BAG    5000KG   22031289    (200558238)     Br.   </t>
  </si>
  <si>
    <t xml:space="preserve">0402  CX7240-BK1D797-BAG    10000KG   22032078    (200495218)      </t>
  </si>
  <si>
    <t xml:space="preserve">0402  CY8630-701-BAG    5000KG   22089617    (200498204)      </t>
  </si>
  <si>
    <t xml:space="preserve">0402  945-GY2E572-BAG    5000KG   22034256    (200551527)      </t>
  </si>
  <si>
    <t xml:space="preserve">0402  C6200-701-BAG    20000KG   22018354    (88470614)      </t>
  </si>
  <si>
    <t xml:space="preserve">0402  CX2244ME-7T5D428-BAG    3000KG   22088391    (96103083)      </t>
  </si>
  <si>
    <t xml:space="preserve">0402  905-BK1G030-BAG    10000KG   22029773    (200554909)     Br.   </t>
  </si>
  <si>
    <t xml:space="preserve">0402  945-GY2E572-BAG    5000KG   22034256    (200551452)      </t>
  </si>
  <si>
    <t xml:space="preserve">0402  C2950-701-BAG    20000KG   22022271    (94038884)      </t>
  </si>
  <si>
    <t xml:space="preserve">0402  945-701-BAG    10000KG   22019581    (94510312)      </t>
  </si>
  <si>
    <t xml:space="preserve">0402  CX7211-BK1005-BAG    20000KG   22022719    (200561039)      </t>
  </si>
  <si>
    <t xml:space="preserve">0402  143R-GY8G467X-BAG    10000KG   22043850    (200533479)      </t>
  </si>
  <si>
    <t xml:space="preserve">0402  241S-WH9G203-BAG    20000KG   22031084    (200551387)     Br.   </t>
  </si>
  <si>
    <t xml:space="preserve">0402  141R-111-BAG    10000KG   22018087    (200494074)      </t>
  </si>
  <si>
    <t xml:space="preserve">0402  LS2-6162-BAG    9300.002KG   22018730    (200560458)     Br.   </t>
  </si>
  <si>
    <t xml:space="preserve">0402  HF1130-111-BAG    20000KG   22023563    (200499057)      </t>
  </si>
  <si>
    <t xml:space="preserve">0402  HF1130-111-BAG    20000KG   22023563    (200559316)      </t>
  </si>
  <si>
    <t xml:space="preserve">0402  121R-WH3A022X-BAG    10000KG   22021271    (200529033)     Br.   </t>
  </si>
  <si>
    <t xml:space="preserve">0402  LS2-RD4B057T-BAG    20000KG   22036922    (200498097)      </t>
  </si>
  <si>
    <t xml:space="preserve">0402  144R-111FC-BAG    10000KG   22021418    (200494107)      </t>
  </si>
  <si>
    <t xml:space="preserve">0402  121R-111-BAG    10000KG   22019125    (200494073)      </t>
  </si>
  <si>
    <t xml:space="preserve">0402  143R-111-BAG    10000KG   22021389    (200494125)      </t>
  </si>
  <si>
    <t xml:space="preserve">0402  143R-WH8G674-BAG    20000KG   22088923    (200531850)      </t>
  </si>
  <si>
    <t xml:space="preserve">0402  143R-111-BAG    5000KG   22021389    (200560212)      </t>
  </si>
  <si>
    <t xml:space="preserve">0402  121R-111-BAG    15000KG   22019125    (200560234)      </t>
  </si>
  <si>
    <t xml:space="preserve">0402  141R-111-BAG    10000KG   22018087    (200494075)      </t>
  </si>
  <si>
    <t xml:space="preserve">0402  LS2-4158-BAG    5000KG   22020459    (200498073)      </t>
  </si>
  <si>
    <t xml:space="preserve">0402  LS2-RD4B057T-BAG    20000KG   22036922    (200498098)      </t>
  </si>
  <si>
    <t xml:space="preserve">0402  141R-111-BAG    10000KG   22018087    (200494021)      </t>
  </si>
  <si>
    <t xml:space="preserve">0402  121R-111-BAG    10000KG   22019125    (200497082)      </t>
  </si>
  <si>
    <t xml:space="preserve">0402  121R-111-BAG    10000KG   22019125    (200507105)      </t>
  </si>
  <si>
    <t xml:space="preserve">0402  241R-111-BAG    10000KG   22019277    (200506650)      </t>
  </si>
  <si>
    <t xml:space="preserve">0402  500R-73231-BAG    5000KG   22031231    (200553784)     Br.   </t>
  </si>
  <si>
    <t xml:space="preserve">0402  CX7240-BK1D420-BAG    15000KG   22019816    (200546221)      </t>
  </si>
  <si>
    <t xml:space="preserve">0402  C2950-701-BAG    20000KG   22022271    (95996169)      </t>
  </si>
  <si>
    <t xml:space="preserve">0402  500R-GY6E402-BAG    10000KG   22033751    (200554677)     Br.   </t>
  </si>
  <si>
    <t xml:space="preserve">0402  505RU-GY2E539-BAG    5000KG   22031253    (200558308)      </t>
  </si>
  <si>
    <t xml:space="preserve">0402  500R-RD4A056-BAG    5000KG   22038741    (200535104)     Br.   </t>
  </si>
  <si>
    <t xml:space="preserve">0402  C6200-701-BAG    20000KG   22018354    (95454669)      </t>
  </si>
  <si>
    <t xml:space="preserve">0402  945-GY2E572-BAG    8000KG   22034256    (200537119)      </t>
  </si>
  <si>
    <t xml:space="preserve">0402  3412ECR-739-BAG    20000KG   22017144    (95454756)      </t>
  </si>
  <si>
    <t xml:space="preserve">0402  C6200-701-BAG    20000KG   22018354    (95454671)      </t>
  </si>
  <si>
    <t xml:space="preserve">0402  C2950-701-BAG    20000KG   22022271    (95996170)      </t>
  </si>
  <si>
    <t xml:space="preserve">0402  505RU-GY2E539-BAG    5000KG   22031253    (200558309)      </t>
  </si>
  <si>
    <t xml:space="preserve">0402  505RU-GY2E539-BAG    10000KG   22031253    (200562457)      </t>
  </si>
  <si>
    <t xml:space="preserve">0402  C6200-701-BAG    20000KG   22018354    (200550121)      </t>
  </si>
  <si>
    <t xml:space="preserve">0402  500R-73234-BAG    10000KG   22038722    (200559562)     Br.   </t>
  </si>
  <si>
    <t xml:space="preserve">0402  500R-GY6E402-BAG    10000KG   22033751    (200554724)     Br.   </t>
  </si>
  <si>
    <t xml:space="preserve">0402  3412ECR-739-BAG    20000KG   22017144    (95454757)      </t>
  </si>
  <si>
    <t xml:space="preserve">0402  500R-73231-BAG    5000KG   22031231    (200553729)     Br.   </t>
  </si>
  <si>
    <t xml:space="preserve">0402  505RU-7T1D073-BAG    5000KG   22031251    (200562479)      </t>
  </si>
  <si>
    <t xml:space="preserve">0402  C6600-7B1D005-BAG    5000KG   22039683    (200550555)      </t>
  </si>
  <si>
    <t xml:space="preserve">0402  925-GY1G168-BAG    8100KG   22034407    (200528408)     Br.   </t>
  </si>
  <si>
    <t xml:space="preserve">0402  141R-701-BAG    20000KG   22021359    (83539335)      </t>
  </si>
  <si>
    <t xml:space="preserve">0402  141R-701-BAG    20000KG   22021359    (83539337)      </t>
  </si>
  <si>
    <t xml:space="preserve">0402  141R-701-BAG    20000KG   22021359    (83539336)      </t>
  </si>
  <si>
    <t xml:space="preserve">0402  221R-701-BAG    20000KG   22019254    (200555873)      </t>
  </si>
  <si>
    <t xml:space="preserve">0402  141R-701-BAG    20000KG   22021359    (75337392)      </t>
  </si>
  <si>
    <t xml:space="preserve">0402  141R-701-BAG    20000KG   22021359    (83586924)      </t>
  </si>
  <si>
    <t xml:space="preserve">0402  141R-701-BAG    20000KG   22021359    (80845712)      </t>
  </si>
  <si>
    <t xml:space="preserve">0402  141R-701-BAG    20000KG   22021359    (80845714)      </t>
  </si>
  <si>
    <t xml:space="preserve">0402  141R-701-BAG    20000KG   22021359    (80845715)      </t>
  </si>
  <si>
    <t xml:space="preserve">0402  HRA170-BK2G008-BAG    5000KG   22036438    (200558271)     Br.   </t>
  </si>
  <si>
    <t xml:space="preserve">0402  C1200HF-GY4H029-BAG    5000KG   299900552    (200500367)      </t>
  </si>
  <si>
    <t xml:space="preserve">0402  141R-701-BAG    20000KG   22021359    (75337388)      </t>
  </si>
  <si>
    <t xml:space="preserve">0402  C1200HF-RD3G073-BAG    20000KG   22029056    (94716248)     Br.   </t>
  </si>
  <si>
    <t xml:space="preserve">0402  C1200HF-GY6G152-BAG    5000KG   22034465    (200549468)      </t>
  </si>
  <si>
    <t xml:space="preserve">0402  C1200HF-RD3G073-BAG    20000KG   22029056    (94716249)     Br.   </t>
  </si>
  <si>
    <t xml:space="preserve">0402  C1200HF-RD3G073-BAG    20000KG   22029056    (94716250)     Br.   </t>
  </si>
  <si>
    <t xml:space="preserve">0402  MC8002-701-BAG    15000KG   22023863    (200462904)      </t>
  </si>
  <si>
    <t xml:space="preserve">0402  MC8002-701-BAG    5000KG   22023863    (200526550)      </t>
  </si>
  <si>
    <t xml:space="preserve">0402  C6200-701-BAG    20000KG   22018354    (200550262)      </t>
  </si>
  <si>
    <t xml:space="preserve">0402  141R-701-BAG    20000KG   22021359    (70066339)      </t>
  </si>
  <si>
    <t xml:space="preserve">0402  141R-701-BAG    20000KG   22021359    (77255852)      </t>
  </si>
  <si>
    <t xml:space="preserve">0402  C6200-701-BAG    20000KG   22018354    (200550263)      </t>
  </si>
  <si>
    <t xml:space="preserve">0402  C6200-701-BAG    20364KG   22018354    (200548433)      </t>
  </si>
  <si>
    <t xml:space="preserve">0402  141R-701-BAG    20000KG   22021359    (77255854)      </t>
  </si>
  <si>
    <t xml:space="preserve">0402  141R-701-BAG    20000KG   22021359    (77255853)      </t>
  </si>
  <si>
    <t xml:space="preserve">0402  141R-701-BAG    20000KG   22021359    (94716241)      </t>
  </si>
  <si>
    <t xml:space="preserve">0402  141R-701-BAG    20000KG   22021359    (94716242)      </t>
  </si>
  <si>
    <t xml:space="preserve">0402  141R-701-BAG    20000KG   22021359    (94716243)      </t>
  </si>
  <si>
    <t xml:space="preserve">0402  141R-701-BAG    20000KG   22021359    (94716244)      </t>
  </si>
  <si>
    <t xml:space="preserve">0402  141R-701-BAG    20000KG   22021359    (94715499)      </t>
  </si>
  <si>
    <t xml:space="preserve">0402  123R-GY2G415-BAG    10000KG   22043778    (200493234)      </t>
  </si>
  <si>
    <t xml:space="preserve">0402  141R-701-BAG    20000KG   22021359    (94715498)      </t>
  </si>
  <si>
    <t xml:space="preserve">0402  141R-701-BAG    20000KG   22021359    (83539338)      </t>
  </si>
  <si>
    <t xml:space="preserve">0402  141R-701-BAG    20000KG   22021359    (75336080)      </t>
  </si>
  <si>
    <t xml:space="preserve">0402  141R-701-BAG    20000KG   22021359    (94715500)      </t>
  </si>
  <si>
    <t xml:space="preserve">0402  141R-701-BAG    20000KG   22021359    (94715501)      </t>
  </si>
  <si>
    <t xml:space="preserve">0402  C1200HF-GY4H029-BAG    5000KG   299900552    (200500423)      </t>
  </si>
  <si>
    <t xml:space="preserve">0402  141R-701-BAG    20000KG   22021359    (94700215)      </t>
  </si>
  <si>
    <t xml:space="preserve">0402  141R-701-BAG    20000KG   22021359    (94700214)      </t>
  </si>
  <si>
    <t xml:space="preserve">0402  141R-701-BAG    20000KG   22021359    (94700216)      </t>
  </si>
  <si>
    <t xml:space="preserve">0402  141R-701-BAG    20000KG   22021359    (94700217)      </t>
  </si>
  <si>
    <t xml:space="preserve">0402  141R-701-BAG    20000KG   22021359    (94700218)      </t>
  </si>
  <si>
    <t xml:space="preserve">0402  141R-701-BAG    20000KG   22021359    (94700219)      </t>
  </si>
  <si>
    <t xml:space="preserve">0402  141R-701-BAG    20000KG   22021359    (94700223)      </t>
  </si>
  <si>
    <t xml:space="preserve">0402  141R-701-BAG    20000KG   22021359    (94700222)      </t>
  </si>
  <si>
    <t xml:space="preserve">0402  141R-701-BAG    20000KG   22021359    (94700220)      </t>
  </si>
  <si>
    <t xml:space="preserve">0402  141R-701-BAG    20000KG   22021359    (94700221)      </t>
  </si>
  <si>
    <t xml:space="preserve">0402  V4860HR-BK1066-BAG    5050KG   22024826    (200542606)     Br.   </t>
  </si>
  <si>
    <t xml:space="preserve">0402  553-OR5G003-BAG    10000KG   22031160    (200549443)     Br.   </t>
  </si>
  <si>
    <t xml:space="preserve">0402  553-7001-BAG    10000KG   22034189    (200549389)     Br.   </t>
  </si>
  <si>
    <t xml:space="preserve">0402  364-WH7D376-BAG    5000KG   22038589    (200561605)     Br.   </t>
  </si>
  <si>
    <t xml:space="preserve">0402  121R-GY8F074-SSS    10000KG   22105472    (92430289)      </t>
  </si>
  <si>
    <t xml:space="preserve">0402  325FC-1001-BAG    20000KG   22037852    (200542607)      </t>
  </si>
  <si>
    <t xml:space="preserve">0402  V3900WX-BK1066-BAG    10000KG   22024815    (95432258)     Br.   </t>
  </si>
  <si>
    <t xml:space="preserve">0402  V3900WX-BK1066-BAG    10000KG   22024815    (95997378)     Br.   </t>
  </si>
  <si>
    <t xml:space="preserve">0402  4521-8244-BAG    6000KG   22018193    (200553544)     Br.   </t>
  </si>
  <si>
    <t xml:space="preserve">0402  V4860HR-1001-BAG    5000KG   22037263    (200558840)     Br.   </t>
  </si>
  <si>
    <t xml:space="preserve">0402  855-1001-BAG    3000KG   22019477    (200550428)     Br.   </t>
  </si>
  <si>
    <t xml:space="preserve">0402  DR48-BK1066-BAG    20000KG   22017721    (87586011)     Br.   </t>
  </si>
  <si>
    <t xml:space="preserve">0402  V4860HR-BK1066-BAG    5000KG   22024826    (200558839)     Br.   </t>
  </si>
  <si>
    <t xml:space="preserve">0402  121R-GY8F074-SSS    10000KG   22105472    (92430290)      </t>
  </si>
  <si>
    <t xml:space="preserve">0402  357-BK1066-BAG    20376KG   22017581    (200468016)     Br.   </t>
  </si>
  <si>
    <t xml:space="preserve">0402  CL100-7001-BAG    10000KG   22039079    (200560326)      </t>
  </si>
  <si>
    <t xml:space="preserve">0402  121R-GY8F074-SSS    10000KG   22105472    (92463393)      </t>
  </si>
  <si>
    <t xml:space="preserve">0402  121R-GY8F074-SSS    10000KG   22105472    (92463394)      </t>
  </si>
  <si>
    <t xml:space="preserve">0402  V3900WX-7M8D027-BAG    5000KG   22032797    (200547366)     Br.   </t>
  </si>
  <si>
    <t xml:space="preserve">0402  V3900WX-WH8E373-BAG    10000KG   22041108    (200542652)     Br.   </t>
  </si>
  <si>
    <t xml:space="preserve">0402  V3900WX-WH8E373-BAG    10000KG   22041108    (200556149)     Br.   </t>
  </si>
  <si>
    <t xml:space="preserve">0402  141R-WH8G792-BAG    5000KG   22033228    (200495959)      </t>
  </si>
  <si>
    <t xml:space="preserve">0402  121R-GY6G329-BAG    2000KG   22030899    (200553727)      </t>
  </si>
  <si>
    <t xml:space="preserve">0402  141R-WH8G792-BAG    5000KG   22033228    (200495972)      </t>
  </si>
  <si>
    <t xml:space="preserve">0402  ENH2900-8A9D020-BAG    1000KG   22022996    (200557945)      </t>
  </si>
  <si>
    <t xml:space="preserve">0402  C6600-WH9A311-BAG    2000KG   22018379    (200543516)      </t>
  </si>
  <si>
    <t xml:space="preserve">0402  141R-WH8G792-BAG    5000KG   22033228    (200495961)      </t>
  </si>
  <si>
    <t xml:space="preserve">0402  143R-WH9G485-    5000KG   22044333    (200496025)      </t>
  </si>
  <si>
    <t xml:space="preserve">0402  C6600-WH9A311-BAG    2000KG   22018379    (200557304)      </t>
  </si>
  <si>
    <t xml:space="preserve">0402  C6600-7T6D253-BAG    1000KG   22084473    (200552305)      </t>
  </si>
  <si>
    <t xml:space="preserve">0402  3412ECR-GY2E372-BAG    2000KG   22033602    (200539746)      </t>
  </si>
  <si>
    <t xml:space="preserve">0402  CX7211-7T1D166-BAG    5000KG   22035192    (200515849)      </t>
  </si>
  <si>
    <t xml:space="preserve">0402  EXL1414-WH9G658-BAG    2000KG   22040495    (200560285)      </t>
  </si>
  <si>
    <t xml:space="preserve">0402  141R-BL3A238-BAG    1000KG   22030739    (200561405)      </t>
  </si>
  <si>
    <t xml:space="preserve">0402  CL100-78211-BAG    2000KG   22028144    (200561866)      </t>
  </si>
  <si>
    <t xml:space="preserve">0402  C6600-7T6D253-BAG    1000KG   22084473    (200534819)      </t>
  </si>
  <si>
    <t xml:space="preserve">0402  5220U-BL1A569-BAG    1000KG   22019416    (200559101)      </t>
  </si>
  <si>
    <t xml:space="preserve">0402  CL100-7001-BAG    5000KG   22039079    (200499146)      </t>
  </si>
  <si>
    <t xml:space="preserve">0402  DR51-7001-BAG    2000KG   22028156    (200535980)      </t>
  </si>
  <si>
    <t>0002312082</t>
  </si>
  <si>
    <t>000200562618</t>
  </si>
  <si>
    <t>000200562573</t>
  </si>
  <si>
    <t>0/13:13:39</t>
  </si>
  <si>
    <t>000200562768</t>
  </si>
  <si>
    <t>0002448866</t>
  </si>
  <si>
    <t>0002412873</t>
  </si>
  <si>
    <t>0002436395</t>
  </si>
  <si>
    <t>0002270996</t>
  </si>
  <si>
    <t>0096264774</t>
  </si>
  <si>
    <t>4502908836</t>
  </si>
  <si>
    <t>0/04:35:31</t>
  </si>
  <si>
    <t>000200562925</t>
  </si>
  <si>
    <t>22021723</t>
  </si>
  <si>
    <t>3412ECR-131-BAG-00-00-00</t>
  </si>
  <si>
    <t>0002446698</t>
  </si>
  <si>
    <t>0002236033</t>
  </si>
  <si>
    <t>0002448546</t>
  </si>
  <si>
    <t>000200562635</t>
  </si>
  <si>
    <t>299905753</t>
  </si>
  <si>
    <t>731S-7N6A4661F</t>
  </si>
  <si>
    <t>0002448663</t>
  </si>
  <si>
    <t>7N6A4661F</t>
  </si>
  <si>
    <t>0/18:42:50</t>
  </si>
  <si>
    <t>4503065190</t>
  </si>
  <si>
    <t>0097081041</t>
  </si>
  <si>
    <t>0097082058</t>
  </si>
  <si>
    <t>0097081359</t>
  </si>
  <si>
    <t>0097082057</t>
  </si>
  <si>
    <t>0097082056</t>
  </si>
  <si>
    <t>0097081360</t>
  </si>
  <si>
    <t>0097081538</t>
  </si>
  <si>
    <t>000200562574</t>
  </si>
  <si>
    <t>0/01:59:32</t>
  </si>
  <si>
    <t>000200562799</t>
  </si>
  <si>
    <t>0002449031</t>
  </si>
  <si>
    <t>000200562796</t>
  </si>
  <si>
    <t>22045773</t>
  </si>
  <si>
    <t>NH7010-7N8D030-BAG-00-00-00</t>
  </si>
  <si>
    <t>0002442615</t>
  </si>
  <si>
    <t>7N8D030</t>
  </si>
  <si>
    <t>000200562829</t>
  </si>
  <si>
    <t>0002448996</t>
  </si>
  <si>
    <t>000200562540</t>
  </si>
  <si>
    <t>22018117</t>
  </si>
  <si>
    <t>2100-7301-BAG-00-00-00</t>
  </si>
  <si>
    <t>0002448629</t>
  </si>
  <si>
    <t>000200563986</t>
  </si>
  <si>
    <t>22029462</t>
  </si>
  <si>
    <t>SE100P-WH7C062-BAG-00-00-00</t>
  </si>
  <si>
    <t>0002450467</t>
  </si>
  <si>
    <t>SE100P</t>
  </si>
  <si>
    <t>WH7C062</t>
  </si>
  <si>
    <t>000200562649</t>
  </si>
  <si>
    <t>000200562696</t>
  </si>
  <si>
    <t>22018207</t>
  </si>
  <si>
    <t>5220U-8A9D003-BAG-00-00-00</t>
  </si>
  <si>
    <t>0002441156</t>
  </si>
  <si>
    <t>8A9D003</t>
  </si>
  <si>
    <t>000200565967</t>
  </si>
  <si>
    <t>0002453170</t>
  </si>
  <si>
    <t>0/07:32:52</t>
  </si>
  <si>
    <t>000200562749</t>
  </si>
  <si>
    <t>000200562641</t>
  </si>
  <si>
    <t>299905765</t>
  </si>
  <si>
    <t>143R-3G7A4190T</t>
  </si>
  <si>
    <t>0002448784</t>
  </si>
  <si>
    <t>3G7A4190T</t>
  </si>
  <si>
    <t>000200562565</t>
  </si>
  <si>
    <t>22031292</t>
  </si>
  <si>
    <t>925-8T8D062-BAG-00-00-00</t>
  </si>
  <si>
    <t>0/20:32:53</t>
  </si>
  <si>
    <t>0002448570</t>
  </si>
  <si>
    <t>8T8D062</t>
  </si>
  <si>
    <t>0/14:22:41</t>
  </si>
  <si>
    <t>1/14:39:37</t>
  </si>
  <si>
    <t>000200562562</t>
  </si>
  <si>
    <t>0002448540</t>
  </si>
  <si>
    <t>0002449065</t>
  </si>
  <si>
    <t>0/05:18:32</t>
  </si>
  <si>
    <t>0/06:38:57</t>
  </si>
  <si>
    <t>0/03:58:25</t>
  </si>
  <si>
    <t>000200562804</t>
  </si>
  <si>
    <t>0002448988</t>
  </si>
  <si>
    <t>0002448498</t>
  </si>
  <si>
    <t>000200564021</t>
  </si>
  <si>
    <t>22035584</t>
  </si>
  <si>
    <t>ENH4560-BK1066-BAG-00-00-00</t>
  </si>
  <si>
    <t>0002450952</t>
  </si>
  <si>
    <t>ENH4560</t>
  </si>
  <si>
    <t>000200562694</t>
  </si>
  <si>
    <t>22055155</t>
  </si>
  <si>
    <t>ENH4530-7T1D167L-BAG-00-00-00</t>
  </si>
  <si>
    <t>0002448840</t>
  </si>
  <si>
    <t>ENH4530</t>
  </si>
  <si>
    <t>7T1D167L</t>
  </si>
  <si>
    <t>000200562651</t>
  </si>
  <si>
    <t>0/23:40:52</t>
  </si>
  <si>
    <t>000200562713</t>
  </si>
  <si>
    <t>0002448797</t>
  </si>
  <si>
    <t>0/12:16:37</t>
  </si>
  <si>
    <t>0/11:07:24</t>
  </si>
  <si>
    <t>000200563882</t>
  </si>
  <si>
    <t>0/03:18:14</t>
  </si>
  <si>
    <t>0002448846</t>
  </si>
  <si>
    <t>0/05:05:17</t>
  </si>
  <si>
    <t>000200562756</t>
  </si>
  <si>
    <t>0002400345</t>
  </si>
  <si>
    <t>000200562708</t>
  </si>
  <si>
    <t>0002448675</t>
  </si>
  <si>
    <t>000200564816</t>
  </si>
  <si>
    <t>22028109</t>
  </si>
  <si>
    <t>553U-BK1066-BAG-00-00-00</t>
  </si>
  <si>
    <t>0002451994</t>
  </si>
  <si>
    <t>000200564922</t>
  </si>
  <si>
    <t>0002451990</t>
  </si>
  <si>
    <t>000200562827</t>
  </si>
  <si>
    <t>22017146</t>
  </si>
  <si>
    <t>357U-GY7G281-BAG-00-00-00</t>
  </si>
  <si>
    <t>0002448881</t>
  </si>
  <si>
    <t>GY7G281</t>
  </si>
  <si>
    <t>0/04:45:18</t>
  </si>
  <si>
    <t>0/11:44:39</t>
  </si>
  <si>
    <t>0/05:56:12</t>
  </si>
  <si>
    <t>0/02:23:02</t>
  </si>
  <si>
    <t>0/21:28:33</t>
  </si>
  <si>
    <t>0/11:55:52</t>
  </si>
  <si>
    <t>0/07:03:53</t>
  </si>
  <si>
    <t>000200562587</t>
  </si>
  <si>
    <t>0002448595</t>
  </si>
  <si>
    <t>000200562636</t>
  </si>
  <si>
    <t xml:space="preserve">0402  HM4025H-75001-BAG    20000KG   22040915    (95998002)      </t>
  </si>
  <si>
    <t xml:space="preserve">0402  SE1GFN1-701-BAG    10000KG   22024908    (200431356)      </t>
  </si>
  <si>
    <t xml:space="preserve">0402  N300X-701-BAG    10000KG   22018853    (96264774)      </t>
  </si>
  <si>
    <t xml:space="preserve">0402  N190X-701-BAG    1000KG   22018844    (200562784)      </t>
  </si>
  <si>
    <t xml:space="preserve">0402  C6600-7R3D023-BAG    5000KG   22045266    (200562816)      </t>
  </si>
  <si>
    <t xml:space="preserve">0402  IGN5531-71003-SSS    10000KG   22073242    (97081360)      </t>
  </si>
  <si>
    <t xml:space="preserve">0402  IGN5531-71003-SSS    10000KG   22073242    (97081538)      </t>
  </si>
  <si>
    <t xml:space="preserve">0402  IGN5531-71003-SSS    10000KG   22073242    (97081042)      </t>
  </si>
  <si>
    <t xml:space="preserve">0402  IGN5531-71003-SSS    10000KG   22073242    (97081043)      </t>
  </si>
  <si>
    <t xml:space="preserve">0402  IGN5531-71003-SSS    10000KG   22073242    (97080826)      </t>
  </si>
  <si>
    <t xml:space="preserve">0402  IGN5531-71003-SSS    10000KG   22073242    (97081539)      </t>
  </si>
  <si>
    <t xml:space="preserve">0402  IGN5531-71003-SSS    10000KG   22073242    (97082134)      </t>
  </si>
  <si>
    <t xml:space="preserve">0402  IGN5531-71003-SSS    10000KG   22073242    (97081044)      </t>
  </si>
  <si>
    <t xml:space="preserve">0402  IGN5531-71003-SSS    10000KG   22073242    (97081045)      </t>
  </si>
  <si>
    <t xml:space="preserve">0402  IGN5531-71003-SSS    10000KG   22073242    (97082135)      </t>
  </si>
  <si>
    <t xml:space="preserve">0402  IGN5531-71003-SSS    10000KG   22073242    (97081046)      </t>
  </si>
  <si>
    <t xml:space="preserve">0402  IGN5531-71003-SSS    10000KG   22073242    (97080830)      </t>
  </si>
  <si>
    <t xml:space="preserve">0402  IGN5531-71003-SSS    10000KG   22073242    (97080829)      </t>
  </si>
  <si>
    <t xml:space="preserve">0402  IGN5531-71003-SSS    10000KG   22073242    (97080827)      </t>
  </si>
  <si>
    <t xml:space="preserve">0402  1000-7101-BAG    100KG   22021106    (200549958)      </t>
  </si>
  <si>
    <t xml:space="preserve">0402  143R-3G7A4190T-BAG    2000KG   299905765    (200562641)      </t>
  </si>
  <si>
    <t xml:space="preserve">0402  143R-3G7A4190T-BAG    2000KG   299905765    (200562725)      </t>
  </si>
  <si>
    <t xml:space="preserve">0402  420-1001-BAG    3000KG   22021631    (200563947)      </t>
  </si>
  <si>
    <t xml:space="preserve">0402  505RU-WH9F090-BAG    2000KG   22033788    (200542879)     Br.   </t>
  </si>
  <si>
    <t xml:space="preserve">0402  CY8630-701-BAG    20000KG   22089617    (200553404)      </t>
  </si>
  <si>
    <t xml:space="preserve">0402  ENH4560-BK1066-BAG    3000KG   22035584    (200564021)      </t>
  </si>
  <si>
    <t xml:space="preserve">0402  ENH4530-7T1D167L-BAG    3000KG   22055155    (200562694)      </t>
  </si>
  <si>
    <t xml:space="preserve">0402  123R-111-BAG    20000KG   22021280    (200563792)      </t>
  </si>
  <si>
    <t xml:space="preserve">0402  241R-111-BAG    10000KG   22019277    (200562639)      </t>
  </si>
  <si>
    <t xml:space="preserve">0402  241S-WH4113-BAG    20000KG   22031083    (94604318)      </t>
  </si>
  <si>
    <t xml:space="preserve">0402  241S-WH4113-BAG    20000KG   22031083    (94604319)      </t>
  </si>
  <si>
    <t xml:space="preserve">0402  241S-WH4113-BAG    20000KG   22031083    (94604320)      </t>
  </si>
  <si>
    <t xml:space="preserve">0402  LS2-4158-BAG    5000KG   22020459    (200498096)      </t>
  </si>
  <si>
    <t xml:space="preserve">0402  C2950-4T6D005-BAG    3000KG   22035018    (200562713)     Br.   </t>
  </si>
  <si>
    <t xml:space="preserve">0402  HRA170-BK2G008-BAG    3000KG   22036438    (200563882)     Br.   </t>
  </si>
  <si>
    <t xml:space="preserve">0402  MC8002-701-BAG    5000KG   22023863    (200562885)      </t>
  </si>
  <si>
    <t xml:space="preserve">0402  G3220A-10000-BAG    19000KG   22017397    (200563931)      </t>
  </si>
  <si>
    <t xml:space="preserve">0402  G3220A-10000-BAG    3000KG   22017397    (200563865)      </t>
  </si>
  <si>
    <t xml:space="preserve">0402  G3220A-10000-BAG    19000KG   22017397    (200563932)      </t>
  </si>
  <si>
    <t xml:space="preserve">0402  G3220A-10000-BAG    20000KG   22017397    (200563905)      </t>
  </si>
  <si>
    <t xml:space="preserve">0402  141R-701-BAG    20000KG   22021359    (94700224)      </t>
  </si>
  <si>
    <t xml:space="preserve">0402  141R-701-BAG    20000KG   22021359    (94700225)      </t>
  </si>
  <si>
    <t xml:space="preserve">0402  357U-GY8F076-BAG    20000KG   22033942    (200565895)     Br.   </t>
  </si>
  <si>
    <t xml:space="preserve">0402  357U-GY8F076-BAG    20000KG   22033942    (200562844)     Br.   </t>
  </si>
  <si>
    <t>MFGdatabaseName</t>
  </si>
  <si>
    <t>Timestamp</t>
  </si>
  <si>
    <t>Net Op. Duration</t>
  </si>
  <si>
    <t>0008471972</t>
  </si>
  <si>
    <t>4503067742</t>
  </si>
  <si>
    <t>0008415963</t>
  </si>
  <si>
    <t>000200567210</t>
  </si>
  <si>
    <t>0008532228</t>
  </si>
  <si>
    <t>0008366211</t>
  </si>
  <si>
    <t>0008375257</t>
  </si>
  <si>
    <t>0007527967</t>
  </si>
  <si>
    <t>0097082493</t>
  </si>
  <si>
    <t>0008415938</t>
  </si>
  <si>
    <t>0008415956</t>
  </si>
  <si>
    <t>0008242233</t>
  </si>
  <si>
    <t>0008314148</t>
  </si>
  <si>
    <t>0008490508</t>
  </si>
  <si>
    <t>000200567151</t>
  </si>
  <si>
    <t>0008532253</t>
  </si>
  <si>
    <t>000200567150</t>
  </si>
  <si>
    <t>0008532238</t>
  </si>
  <si>
    <t>0/08:49:34</t>
  </si>
  <si>
    <t>0007817803</t>
  </si>
  <si>
    <t>0008306298</t>
  </si>
  <si>
    <t>0008397636</t>
  </si>
  <si>
    <t>0008490505</t>
  </si>
  <si>
    <t>0008491428</t>
  </si>
  <si>
    <t>0008488784</t>
  </si>
  <si>
    <t>000200567200</t>
  </si>
  <si>
    <t>0008532229</t>
  </si>
  <si>
    <t>000200567242</t>
  </si>
  <si>
    <t>0008532240</t>
  </si>
  <si>
    <t>0008314155</t>
  </si>
  <si>
    <t>0008314158</t>
  </si>
  <si>
    <t>000200566230</t>
  </si>
  <si>
    <t>0002436718</t>
  </si>
  <si>
    <t>0008526209</t>
  </si>
  <si>
    <t>0002450493</t>
  </si>
  <si>
    <t>0008025268</t>
  </si>
  <si>
    <t>0097084273</t>
  </si>
  <si>
    <t>0007775909</t>
  </si>
  <si>
    <t>0097083479</t>
  </si>
  <si>
    <t>0008240275</t>
  </si>
  <si>
    <t>0008357514</t>
  </si>
  <si>
    <t>0008240848</t>
  </si>
  <si>
    <t>0008316764</t>
  </si>
  <si>
    <t>0008240884</t>
  </si>
  <si>
    <t>0008356968</t>
  </si>
  <si>
    <t>000200567213</t>
  </si>
  <si>
    <t>0008532246</t>
  </si>
  <si>
    <t>000200567212</t>
  </si>
  <si>
    <t>0008532235</t>
  </si>
  <si>
    <t>000200566000</t>
  </si>
  <si>
    <t>0008524428</t>
  </si>
  <si>
    <t>000200566026</t>
  </si>
  <si>
    <t>0008524436</t>
  </si>
  <si>
    <t>0008321221</t>
  </si>
  <si>
    <t>0007852513</t>
  </si>
  <si>
    <t>000200567243</t>
  </si>
  <si>
    <t>0008532251</t>
  </si>
  <si>
    <t>000200567201</t>
  </si>
  <si>
    <t>0008532241</t>
  </si>
  <si>
    <t>0008322489</t>
  </si>
  <si>
    <t>0008435915</t>
  </si>
  <si>
    <t>0008320516</t>
  </si>
  <si>
    <t>0008376471</t>
  </si>
  <si>
    <t>0007866391</t>
  </si>
  <si>
    <t>0008351685</t>
  </si>
  <si>
    <t>0008351687</t>
  </si>
  <si>
    <t>000200567226</t>
  </si>
  <si>
    <t>0008532090</t>
  </si>
  <si>
    <t>0007662044</t>
  </si>
  <si>
    <t>0007032280</t>
  </si>
  <si>
    <t>0008443524</t>
  </si>
  <si>
    <t>0008372055</t>
  </si>
  <si>
    <t>0008376441</t>
  </si>
  <si>
    <t>0007614539</t>
  </si>
  <si>
    <t>0008493567</t>
  </si>
  <si>
    <t>0008384894</t>
  </si>
  <si>
    <t>0008306443</t>
  </si>
  <si>
    <t>0008415977</t>
  </si>
  <si>
    <t>0008415982</t>
  </si>
  <si>
    <t>0008415992</t>
  </si>
  <si>
    <t>0008415954</t>
  </si>
  <si>
    <t>0008415940</t>
  </si>
  <si>
    <t>0008471969</t>
  </si>
  <si>
    <t>0008415967</t>
  </si>
  <si>
    <t>0008415973</t>
  </si>
  <si>
    <t>000200567232</t>
  </si>
  <si>
    <t>4502840449</t>
  </si>
  <si>
    <t>0008532258</t>
  </si>
  <si>
    <t>000200567231</t>
  </si>
  <si>
    <t>0002414687</t>
  </si>
  <si>
    <t>0008532242</t>
  </si>
  <si>
    <t>000200567233</t>
  </si>
  <si>
    <t>0008532261</t>
  </si>
  <si>
    <t>000200567236</t>
  </si>
  <si>
    <t>0008532268</t>
  </si>
  <si>
    <t>000200567234</t>
  </si>
  <si>
    <t>0008532264</t>
  </si>
  <si>
    <t>000200567235</t>
  </si>
  <si>
    <t>0008532266</t>
  </si>
  <si>
    <t>0008415971</t>
  </si>
  <si>
    <t>0008415979</t>
  </si>
  <si>
    <t>0008214150</t>
  </si>
  <si>
    <t>000200567230</t>
  </si>
  <si>
    <t>0008532252</t>
  </si>
  <si>
    <t>0002286315</t>
  </si>
  <si>
    <t>0002174735</t>
  </si>
  <si>
    <t>0008415943</t>
  </si>
  <si>
    <t>0008415960</t>
  </si>
  <si>
    <t>0008383523</t>
  </si>
  <si>
    <t>0008309856</t>
  </si>
  <si>
    <t>000200566014</t>
  </si>
  <si>
    <t>0/05:14:57</t>
  </si>
  <si>
    <t>0008524814</t>
  </si>
  <si>
    <t>0008320469</t>
  </si>
  <si>
    <t>000200567219</t>
  </si>
  <si>
    <t>0008532378</t>
  </si>
  <si>
    <t>0/15:03:23</t>
  </si>
  <si>
    <t>0008371822</t>
  </si>
  <si>
    <t>0008376659</t>
  </si>
  <si>
    <t>0/06:03:36</t>
  </si>
  <si>
    <t>0008376472</t>
  </si>
  <si>
    <t>0008306410</t>
  </si>
  <si>
    <t>0008313713</t>
  </si>
  <si>
    <t>2/07:29:29</t>
  </si>
  <si>
    <t>0008415948</t>
  </si>
  <si>
    <t>0008488962</t>
  </si>
  <si>
    <t>0008297601</t>
  </si>
  <si>
    <t>0007611279</t>
  </si>
  <si>
    <t>0/07:22:39</t>
  </si>
  <si>
    <t>0008371829</t>
  </si>
  <si>
    <t>0008383660</t>
  </si>
  <si>
    <t>0008375189</t>
  </si>
  <si>
    <t>0008375172</t>
  </si>
  <si>
    <t>0008379132</t>
  </si>
  <si>
    <t>000200567171</t>
  </si>
  <si>
    <t>0008532233</t>
  </si>
  <si>
    <t>0008402456</t>
  </si>
  <si>
    <t>0008221184</t>
  </si>
  <si>
    <t>000200566149</t>
  </si>
  <si>
    <t>22037164</t>
  </si>
  <si>
    <t>SE1X-GY5C030-BAG-00-00-00</t>
  </si>
  <si>
    <t>0002448908</t>
  </si>
  <si>
    <t>0008525426</t>
  </si>
  <si>
    <t>GY5C030</t>
  </si>
  <si>
    <t>0007610660</t>
  </si>
  <si>
    <t>0008306258</t>
  </si>
  <si>
    <t>0008323011</t>
  </si>
  <si>
    <t>0008419896</t>
  </si>
  <si>
    <t>0007504054</t>
  </si>
  <si>
    <t>0007479401</t>
  </si>
  <si>
    <t>0008383346</t>
  </si>
  <si>
    <t>0008375194</t>
  </si>
  <si>
    <t>0008375204</t>
  </si>
  <si>
    <t>0008384423</t>
  </si>
  <si>
    <t>0008351673</t>
  </si>
  <si>
    <t>0007708988</t>
  </si>
  <si>
    <t>0008403253</t>
  </si>
  <si>
    <t>000200567350</t>
  </si>
  <si>
    <t>0002382637</t>
  </si>
  <si>
    <t>0/07:27:12</t>
  </si>
  <si>
    <t>0007958461</t>
  </si>
  <si>
    <t>1/00:50:42</t>
  </si>
  <si>
    <t>0008346927</t>
  </si>
  <si>
    <t>1/01:02:09</t>
  </si>
  <si>
    <t>0008442499</t>
  </si>
  <si>
    <t>0/02:30:13</t>
  </si>
  <si>
    <t>0008473489</t>
  </si>
  <si>
    <t>0/05:00:26</t>
  </si>
  <si>
    <t>0008374704</t>
  </si>
  <si>
    <t>000200567199</t>
  </si>
  <si>
    <t>0008532232</t>
  </si>
  <si>
    <t>0/11:46:35</t>
  </si>
  <si>
    <t>0008371118</t>
  </si>
  <si>
    <t>000200567198</t>
  </si>
  <si>
    <t>0/07:18:11</t>
  </si>
  <si>
    <t>4502969276</t>
  </si>
  <si>
    <t>0008532230</t>
  </si>
  <si>
    <t>0007623678</t>
  </si>
  <si>
    <t>4503067889</t>
  </si>
  <si>
    <t>4503067812</t>
  </si>
  <si>
    <t>000200566069</t>
  </si>
  <si>
    <t>0/14:19:11</t>
  </si>
  <si>
    <t>0002453263</t>
  </si>
  <si>
    <t>0008525115</t>
  </si>
  <si>
    <t>0008374728</t>
  </si>
  <si>
    <t>4503067810</t>
  </si>
  <si>
    <t>4503067809</t>
  </si>
  <si>
    <t>4503067808</t>
  </si>
  <si>
    <t>0008473567</t>
  </si>
  <si>
    <t>4503067811</t>
  </si>
  <si>
    <t>4503067888</t>
  </si>
  <si>
    <t>0008301404</t>
  </si>
  <si>
    <t>0008344140</t>
  </si>
  <si>
    <t>0008371136</t>
  </si>
  <si>
    <t>0008381248</t>
  </si>
  <si>
    <t>0008346801</t>
  </si>
  <si>
    <t>0008078204</t>
  </si>
  <si>
    <t>0008492602</t>
  </si>
  <si>
    <t>0008247677</t>
  </si>
  <si>
    <t>0007995265</t>
  </si>
  <si>
    <t>0008365793</t>
  </si>
  <si>
    <t>0008490507</t>
  </si>
  <si>
    <t>0008309118</t>
  </si>
  <si>
    <t>0008380948</t>
  </si>
  <si>
    <t>0008415226</t>
  </si>
  <si>
    <t>0008356976</t>
  </si>
  <si>
    <t>0/00:44:27</t>
  </si>
  <si>
    <t>0008380660</t>
  </si>
  <si>
    <t>0/10:11:23</t>
  </si>
  <si>
    <t>0008371850</t>
  </si>
  <si>
    <t>0008371183</t>
  </si>
  <si>
    <t>0008320297</t>
  </si>
  <si>
    <t>0007866767</t>
  </si>
  <si>
    <t>0/05:28:43</t>
  </si>
  <si>
    <t>0008345988</t>
  </si>
  <si>
    <t>0008477910</t>
  </si>
  <si>
    <t>0008383323</t>
  </si>
  <si>
    <t>0008472433</t>
  </si>
  <si>
    <t>0008490463</t>
  </si>
  <si>
    <t>000200565999</t>
  </si>
  <si>
    <t>0002453156</t>
  </si>
  <si>
    <t>0008524424</t>
  </si>
  <si>
    <t>000200565899</t>
  </si>
  <si>
    <t>0002453160</t>
  </si>
  <si>
    <t>0008524433</t>
  </si>
  <si>
    <t>0007791390</t>
  </si>
  <si>
    <t>0008488151</t>
  </si>
  <si>
    <t>0008375416</t>
  </si>
  <si>
    <t>000200567177</t>
  </si>
  <si>
    <t>22041241</t>
  </si>
  <si>
    <t>N300X-BR2E195-BAG-00-00-00</t>
  </si>
  <si>
    <t>0/00:41:40</t>
  </si>
  <si>
    <t>NOR5DO</t>
  </si>
  <si>
    <t>0002402817</t>
  </si>
  <si>
    <t>0008532574</t>
  </si>
  <si>
    <t>BR2E195</t>
  </si>
  <si>
    <t>000200567304</t>
  </si>
  <si>
    <t>22036873</t>
  </si>
  <si>
    <t>N300X-RD2E063-BAG-00-00-00</t>
  </si>
  <si>
    <t>NOR6DO</t>
  </si>
  <si>
    <t>0002396307</t>
  </si>
  <si>
    <t>0008532575</t>
  </si>
  <si>
    <t>RD2E063</t>
  </si>
  <si>
    <t>0097167074</t>
  </si>
  <si>
    <t>22021143</t>
  </si>
  <si>
    <t>1000R-BL3122-BAG-00-00-00</t>
  </si>
  <si>
    <t>0002422374</t>
  </si>
  <si>
    <t>0097177235</t>
  </si>
  <si>
    <t>22040957</t>
  </si>
  <si>
    <t>SE100V-GY8886-BAG-00-00-00</t>
  </si>
  <si>
    <t>GY8886</t>
  </si>
  <si>
    <t>000200567416</t>
  </si>
  <si>
    <t>290018756</t>
  </si>
  <si>
    <t>2400F-1000</t>
  </si>
  <si>
    <t>0002455014</t>
  </si>
  <si>
    <t>2400F</t>
  </si>
  <si>
    <t>0008492358</t>
  </si>
  <si>
    <t>0008343183</t>
  </si>
  <si>
    <t>0008223581</t>
  </si>
  <si>
    <t>0008217927</t>
  </si>
  <si>
    <t>0008217940</t>
  </si>
  <si>
    <t>0008416726</t>
  </si>
  <si>
    <t>0008217895</t>
  </si>
  <si>
    <t>0008474103</t>
  </si>
  <si>
    <t>0008471292</t>
  </si>
  <si>
    <t>0008490203</t>
  </si>
  <si>
    <t>0008500152</t>
  </si>
  <si>
    <t>000200567196</t>
  </si>
  <si>
    <t>2/12:11:10</t>
  </si>
  <si>
    <t>0002453398</t>
  </si>
  <si>
    <t>0008532192</t>
  </si>
  <si>
    <t>0008383492</t>
  </si>
  <si>
    <t>000200567363</t>
  </si>
  <si>
    <t>22096118</t>
  </si>
  <si>
    <t>7310-111-BAG-00-00-00</t>
  </si>
  <si>
    <t>0/01:09:27</t>
  </si>
  <si>
    <t>0002455001</t>
  </si>
  <si>
    <t>0008227798</t>
  </si>
  <si>
    <t>0008316565</t>
  </si>
  <si>
    <t>0008318610</t>
  </si>
  <si>
    <t>0008318605</t>
  </si>
  <si>
    <t>0008232110</t>
  </si>
  <si>
    <t>0007760145</t>
  </si>
  <si>
    <t>0008237307</t>
  </si>
  <si>
    <t>0008398168</t>
  </si>
  <si>
    <t>0008415258</t>
  </si>
  <si>
    <t>0008490527</t>
  </si>
  <si>
    <t>0008375262</t>
  </si>
  <si>
    <t>0008439339</t>
  </si>
  <si>
    <t>0007789240</t>
  </si>
  <si>
    <t>000200567301</t>
  </si>
  <si>
    <t>0002454988</t>
  </si>
  <si>
    <t>0008316806</t>
  </si>
  <si>
    <t>0008305782</t>
  </si>
  <si>
    <t>0008365113</t>
  </si>
  <si>
    <t>0008469450</t>
  </si>
  <si>
    <t>0/03:47:06</t>
  </si>
  <si>
    <t>0008491532</t>
  </si>
  <si>
    <t>0008241523</t>
  </si>
  <si>
    <t>0007574542</t>
  </si>
  <si>
    <t>0008469337</t>
  </si>
  <si>
    <t>0008365520</t>
  </si>
  <si>
    <t>0008130506</t>
  </si>
  <si>
    <t>0008079081</t>
  </si>
  <si>
    <t>0008402326</t>
  </si>
  <si>
    <t>0008439326</t>
  </si>
  <si>
    <t>0008312762</t>
  </si>
  <si>
    <t>0008309040</t>
  </si>
  <si>
    <t>0008316290</t>
  </si>
  <si>
    <t>0008383643</t>
  </si>
  <si>
    <t>0008316672</t>
  </si>
  <si>
    <t>000200566197</t>
  </si>
  <si>
    <t>22032770</t>
  </si>
  <si>
    <t>ML7681-7R3D005X-BAG-00-00-00</t>
  </si>
  <si>
    <t>0/00:21:26</t>
  </si>
  <si>
    <t>LEXFGDX</t>
  </si>
  <si>
    <t>0002453507</t>
  </si>
  <si>
    <t>0008525968</t>
  </si>
  <si>
    <t>ML7681</t>
  </si>
  <si>
    <t>7R3D005X</t>
  </si>
  <si>
    <t>0097081094</t>
  </si>
  <si>
    <t>0/13:55:43</t>
  </si>
  <si>
    <t>0008301676</t>
  </si>
  <si>
    <t>0008299986</t>
  </si>
  <si>
    <t>000200566644</t>
  </si>
  <si>
    <t>22035996</t>
  </si>
  <si>
    <t>EXL9414T-7T1D346S-BAG-00-00-00</t>
  </si>
  <si>
    <t>0002454128</t>
  </si>
  <si>
    <t>0008528185</t>
  </si>
  <si>
    <t>7T1D346S</t>
  </si>
  <si>
    <t>0008293735</t>
  </si>
  <si>
    <t>0008379301</t>
  </si>
  <si>
    <t>0008270541</t>
  </si>
  <si>
    <t>0008334089</t>
  </si>
  <si>
    <t>0008384152</t>
  </si>
  <si>
    <t>0008380399</t>
  </si>
  <si>
    <t>0008434532</t>
  </si>
  <si>
    <t>0008491062</t>
  </si>
  <si>
    <t>0008297530</t>
  </si>
  <si>
    <t>0008297546</t>
  </si>
  <si>
    <t>0008489378</t>
  </si>
  <si>
    <t>0008366051</t>
  </si>
  <si>
    <t>0008372407</t>
  </si>
  <si>
    <t>0/07:11:21</t>
  </si>
  <si>
    <t>0008371960</t>
  </si>
  <si>
    <t>0008351169</t>
  </si>
  <si>
    <t>0008301463</t>
  </si>
  <si>
    <t>0/18:56:53</t>
  </si>
  <si>
    <t>0008375465</t>
  </si>
  <si>
    <t>0008312143</t>
  </si>
  <si>
    <t>0006875000</t>
  </si>
  <si>
    <t>0008416618</t>
  </si>
  <si>
    <t>0008371345</t>
  </si>
  <si>
    <t>000200566090</t>
  </si>
  <si>
    <t>22035501</t>
  </si>
  <si>
    <t>DR48-WH5112-BAG-00-00-00</t>
  </si>
  <si>
    <t>0002453233</t>
  </si>
  <si>
    <t>0008525279</t>
  </si>
  <si>
    <t>WH5112</t>
  </si>
  <si>
    <t>0008219232</t>
  </si>
  <si>
    <t>0008007839</t>
  </si>
  <si>
    <t>0008301618</t>
  </si>
  <si>
    <t>0008366101</t>
  </si>
  <si>
    <t>0008132344</t>
  </si>
  <si>
    <t>0008236689</t>
  </si>
  <si>
    <t>0008383651</t>
  </si>
  <si>
    <t>0008489303</t>
  </si>
  <si>
    <t>0008397338</t>
  </si>
  <si>
    <t>0097179190</t>
  </si>
  <si>
    <t>0008440240</t>
  </si>
  <si>
    <t>000200567349</t>
  </si>
  <si>
    <t>22038581</t>
  </si>
  <si>
    <t>357U-WH9D216-BAG-00-00-00</t>
  </si>
  <si>
    <t>0/00:10:16</t>
  </si>
  <si>
    <t>0002421843</t>
  </si>
  <si>
    <t>WH9D216</t>
  </si>
  <si>
    <t>000200567264</t>
  </si>
  <si>
    <t>299903691</t>
  </si>
  <si>
    <t>EXL4419-6G7A3322</t>
  </si>
  <si>
    <t>0002454802</t>
  </si>
  <si>
    <t>0008532472</t>
  </si>
  <si>
    <t>EXL4419</t>
  </si>
  <si>
    <t>6G7A3322</t>
  </si>
  <si>
    <t>0008415324</t>
  </si>
  <si>
    <t>0008381336</t>
  </si>
  <si>
    <t>0008415247</t>
  </si>
  <si>
    <t>0008415412</t>
  </si>
  <si>
    <t>0008415330</t>
  </si>
  <si>
    <t>0/03:15:12</t>
  </si>
  <si>
    <t>0008293537</t>
  </si>
  <si>
    <t>0007601301</t>
  </si>
  <si>
    <t>0008383243</t>
  </si>
  <si>
    <t>0008475411</t>
  </si>
  <si>
    <t>0008475393</t>
  </si>
  <si>
    <t>0008366127</t>
  </si>
  <si>
    <t>0008025326</t>
  </si>
  <si>
    <t>000200566425</t>
  </si>
  <si>
    <t>22038552</t>
  </si>
  <si>
    <t>357-GY2G313-BAG-00-00-00</t>
  </si>
  <si>
    <t>0002453901</t>
  </si>
  <si>
    <t>0008527271</t>
  </si>
  <si>
    <t>GY2G313</t>
  </si>
  <si>
    <t>0008379363</t>
  </si>
  <si>
    <t>0008422947</t>
  </si>
  <si>
    <t>0008488130</t>
  </si>
  <si>
    <t>0008471129</t>
  </si>
  <si>
    <t>0008473700</t>
  </si>
  <si>
    <t>0008443762</t>
  </si>
  <si>
    <t>0008248420</t>
  </si>
  <si>
    <t>0008345979</t>
  </si>
  <si>
    <t>1/01:59:24</t>
  </si>
  <si>
    <t>0008316956</t>
  </si>
  <si>
    <t>0008443983</t>
  </si>
  <si>
    <t>0008290920</t>
  </si>
  <si>
    <t>0008297883</t>
  </si>
  <si>
    <t>0008232412</t>
  </si>
  <si>
    <t>0008352070</t>
  </si>
  <si>
    <t>0008377668</t>
  </si>
  <si>
    <t>0/03:16:09</t>
  </si>
  <si>
    <t>0008371937</t>
  </si>
  <si>
    <t>0/03:16:17</t>
  </si>
  <si>
    <t>0008316559</t>
  </si>
  <si>
    <t>0008371502</t>
  </si>
  <si>
    <t>0/12:59:42</t>
  </si>
  <si>
    <t>0008309242</t>
  </si>
  <si>
    <t>0008343842</t>
  </si>
  <si>
    <t>0008241137</t>
  </si>
  <si>
    <t>000200567312</t>
  </si>
  <si>
    <t>299905816</t>
  </si>
  <si>
    <t>EXL1414-8T9A4820</t>
  </si>
  <si>
    <t>0/02:57:01</t>
  </si>
  <si>
    <t>0002454968</t>
  </si>
  <si>
    <t>8T9A4820</t>
  </si>
  <si>
    <t>0008374907</t>
  </si>
  <si>
    <t>0008376025</t>
  </si>
  <si>
    <t>0008377880</t>
  </si>
  <si>
    <t>000200566180</t>
  </si>
  <si>
    <t>299905757</t>
  </si>
  <si>
    <t>925-6T5A4664</t>
  </si>
  <si>
    <t>0002453502</t>
  </si>
  <si>
    <t>0008525953</t>
  </si>
  <si>
    <t>6T5A4664</t>
  </si>
  <si>
    <t>0008380883</t>
  </si>
  <si>
    <t>0008399718</t>
  </si>
  <si>
    <t>0008384915</t>
  </si>
  <si>
    <t>0008383300</t>
  </si>
  <si>
    <t>0008384291</t>
  </si>
  <si>
    <t>0008380120</t>
  </si>
  <si>
    <t>0008379341</t>
  </si>
  <si>
    <t>0008471343</t>
  </si>
  <si>
    <t>0008489921</t>
  </si>
  <si>
    <t>0008415059</t>
  </si>
  <si>
    <t>0008463885</t>
  </si>
  <si>
    <t>000200566019</t>
  </si>
  <si>
    <t>0/09:56:16</t>
  </si>
  <si>
    <t>0008524955</t>
  </si>
  <si>
    <t>0008420275</t>
  </si>
  <si>
    <t>0008473611</t>
  </si>
  <si>
    <t>000200567237</t>
  </si>
  <si>
    <t>0/05:26:05</t>
  </si>
  <si>
    <t>0002454761</t>
  </si>
  <si>
    <t>0008532331</t>
  </si>
  <si>
    <t>000200566126</t>
  </si>
  <si>
    <t>22044077</t>
  </si>
  <si>
    <t>357U-GY1G418-BAG-00-00-00</t>
  </si>
  <si>
    <t>0002450433</t>
  </si>
  <si>
    <t>0008525429</t>
  </si>
  <si>
    <t>GY1G418</t>
  </si>
  <si>
    <t>0008370720</t>
  </si>
  <si>
    <t>0008354626</t>
  </si>
  <si>
    <t>0008442851</t>
  </si>
  <si>
    <t>0008313486</t>
  </si>
  <si>
    <t>0008413768</t>
  </si>
  <si>
    <t>0008236765</t>
  </si>
  <si>
    <t>0007995182</t>
  </si>
  <si>
    <t>0/02:19:45</t>
  </si>
  <si>
    <t>0008439432</t>
  </si>
  <si>
    <t>0008402729</t>
  </si>
  <si>
    <t>0008402708</t>
  </si>
  <si>
    <t>0008421469</t>
  </si>
  <si>
    <t>0008492353</t>
  </si>
  <si>
    <t>0008402944</t>
  </si>
  <si>
    <t>0008489733</t>
  </si>
  <si>
    <t>0008397377</t>
  </si>
  <si>
    <t>0008122169</t>
  </si>
  <si>
    <t>0008400901</t>
  </si>
  <si>
    <t>0008415287</t>
  </si>
  <si>
    <t>0008345913</t>
  </si>
  <si>
    <t>0008415307</t>
  </si>
  <si>
    <t>0008300114</t>
  </si>
  <si>
    <t>000200566027</t>
  </si>
  <si>
    <t>22038707</t>
  </si>
  <si>
    <t>500-YW5C027-BAG-00-00-00</t>
  </si>
  <si>
    <t>0002453212</t>
  </si>
  <si>
    <t>0008524631</t>
  </si>
  <si>
    <t>YW5C027</t>
  </si>
  <si>
    <t>0008383585</t>
  </si>
  <si>
    <t>000200567179</t>
  </si>
  <si>
    <t>299901369</t>
  </si>
  <si>
    <t>C6600-BL1513</t>
  </si>
  <si>
    <t>0002454798</t>
  </si>
  <si>
    <t>BL1513</t>
  </si>
  <si>
    <t>000200566256</t>
  </si>
  <si>
    <t>0002453316</t>
  </si>
  <si>
    <t>0008526280</t>
  </si>
  <si>
    <t>000200565921</t>
  </si>
  <si>
    <t>0/04:58:08</t>
  </si>
  <si>
    <t>0002453182</t>
  </si>
  <si>
    <t>0008524261</t>
  </si>
  <si>
    <t>000200566340</t>
  </si>
  <si>
    <t>299904423</t>
  </si>
  <si>
    <t>CM6140-7T7A3687</t>
  </si>
  <si>
    <t>0002453869</t>
  </si>
  <si>
    <t>0008527137</t>
  </si>
  <si>
    <t>7T7A3687</t>
  </si>
  <si>
    <t>000200567218</t>
  </si>
  <si>
    <t>22034792</t>
  </si>
  <si>
    <t>BPL1000-BK1C340-BAG-00-00-00</t>
  </si>
  <si>
    <t>0002454781</t>
  </si>
  <si>
    <t>0008532374</t>
  </si>
  <si>
    <t>0008491151</t>
  </si>
  <si>
    <t>0008402946</t>
  </si>
  <si>
    <t>0008498498</t>
  </si>
  <si>
    <t>0008311980</t>
  </si>
  <si>
    <t>000200567205</t>
  </si>
  <si>
    <t>1/02:12:06</t>
  </si>
  <si>
    <t>0008532083</t>
  </si>
  <si>
    <t>0008350260</t>
  </si>
  <si>
    <t>1/02:05:53</t>
  </si>
  <si>
    <t>0008241060</t>
  </si>
  <si>
    <t>0008379178</t>
  </si>
  <si>
    <t>0008375267</t>
  </si>
  <si>
    <t>0008375276</t>
  </si>
  <si>
    <t>000200567209</t>
  </si>
  <si>
    <t>0008532249</t>
  </si>
  <si>
    <t>000200567229</t>
  </si>
  <si>
    <t>0008532236</t>
  </si>
  <si>
    <t>0097179191</t>
  </si>
  <si>
    <t>0008450810</t>
  </si>
  <si>
    <t>0097082343</t>
  </si>
  <si>
    <t>0008305859</t>
  </si>
  <si>
    <t>0008372119</t>
  </si>
  <si>
    <t>0007601240</t>
  </si>
  <si>
    <t>0008322644</t>
  </si>
  <si>
    <t>0007665038</t>
  </si>
  <si>
    <t>0008356966</t>
  </si>
  <si>
    <t>0008356936</t>
  </si>
  <si>
    <t>0008233745</t>
  </si>
  <si>
    <t>0008357021</t>
  </si>
  <si>
    <t>0008416092</t>
  </si>
  <si>
    <t>0008416087</t>
  </si>
  <si>
    <t>0008492344</t>
  </si>
  <si>
    <t>0007622331</t>
  </si>
  <si>
    <t>0007601251</t>
  </si>
  <si>
    <t>0007659183</t>
  </si>
  <si>
    <t>0008367382</t>
  </si>
  <si>
    <t>0008367388</t>
  </si>
  <si>
    <t>0002424170</t>
  </si>
  <si>
    <t>0008280725</t>
  </si>
  <si>
    <t>0008228800</t>
  </si>
  <si>
    <t>0008374774</t>
  </si>
  <si>
    <t>0008370737</t>
  </si>
  <si>
    <t>0008474845</t>
  </si>
  <si>
    <t>0007575031</t>
  </si>
  <si>
    <t>0008297756</t>
  </si>
  <si>
    <t>0008365424</t>
  </si>
  <si>
    <t>0008365428</t>
  </si>
  <si>
    <t>0008365426</t>
  </si>
  <si>
    <t>0/06:35:03</t>
  </si>
  <si>
    <t>0008436236</t>
  </si>
  <si>
    <t>000200567135</t>
  </si>
  <si>
    <t>0008532248</t>
  </si>
  <si>
    <t>000200567138</t>
  </si>
  <si>
    <t>0002425895</t>
  </si>
  <si>
    <t>0008532260</t>
  </si>
  <si>
    <t>0008236733</t>
  </si>
  <si>
    <t>0008344389</t>
  </si>
  <si>
    <t>0097166648</t>
  </si>
  <si>
    <t>0/07:49:22</t>
  </si>
  <si>
    <t>0008323775</t>
  </si>
  <si>
    <t>0/06:35:52</t>
  </si>
  <si>
    <t>0008322475</t>
  </si>
  <si>
    <t>0008322471</t>
  </si>
  <si>
    <t>0008349446</t>
  </si>
  <si>
    <t>0008517816</t>
  </si>
  <si>
    <t>0008517801</t>
  </si>
  <si>
    <t>0008342430</t>
  </si>
  <si>
    <t>0/12:42:43</t>
  </si>
  <si>
    <t>0008491906</t>
  </si>
  <si>
    <t>0008491266</t>
  </si>
  <si>
    <t>0002332973</t>
  </si>
  <si>
    <t>0007260228</t>
  </si>
  <si>
    <t>0008375944</t>
  </si>
  <si>
    <t>0008344460</t>
  </si>
  <si>
    <t>0008501569</t>
  </si>
  <si>
    <t>0008365178</t>
  </si>
  <si>
    <t>000200566163</t>
  </si>
  <si>
    <t>0002453334</t>
  </si>
  <si>
    <t>0008525423</t>
  </si>
  <si>
    <t>0008236492</t>
  </si>
  <si>
    <t>0097082341</t>
  </si>
  <si>
    <t>0002414507</t>
  </si>
  <si>
    <t>0097082342</t>
  </si>
  <si>
    <t>0008357429</t>
  </si>
  <si>
    <t>0/17:55:24</t>
  </si>
  <si>
    <t>0008399466</t>
  </si>
  <si>
    <t>0008469020</t>
  </si>
  <si>
    <t>0002422857</t>
  </si>
  <si>
    <t>000200567132</t>
  </si>
  <si>
    <t>0002454740</t>
  </si>
  <si>
    <t>0008532117</t>
  </si>
  <si>
    <t>000200567194</t>
  </si>
  <si>
    <t>0002454736</t>
  </si>
  <si>
    <t>0008532102</t>
  </si>
  <si>
    <t>0008490542</t>
  </si>
  <si>
    <t>0008306330</t>
  </si>
  <si>
    <t>0008415309</t>
  </si>
  <si>
    <t>0007621456</t>
  </si>
  <si>
    <t>0007238182</t>
  </si>
  <si>
    <t>000200567136</t>
  </si>
  <si>
    <t>0008532255</t>
  </si>
  <si>
    <t>0008236975</t>
  </si>
  <si>
    <t>0008306813</t>
  </si>
  <si>
    <t>0/11:53:23</t>
  </si>
  <si>
    <t>0007574053</t>
  </si>
  <si>
    <t>0008219001</t>
  </si>
  <si>
    <t>0008358953</t>
  </si>
  <si>
    <t>0008296367</t>
  </si>
  <si>
    <t>0007576811</t>
  </si>
  <si>
    <t>0007131147</t>
  </si>
  <si>
    <t>0007574222</t>
  </si>
  <si>
    <t>0007574189</t>
  </si>
  <si>
    <t>0008267931</t>
  </si>
  <si>
    <t>0007574255</t>
  </si>
  <si>
    <t>0008022056</t>
  </si>
  <si>
    <t>0008130605</t>
  </si>
  <si>
    <t>0008449877</t>
  </si>
  <si>
    <t>0007621466</t>
  </si>
  <si>
    <t>0/06:09:36</t>
  </si>
  <si>
    <t>0008347447</t>
  </si>
  <si>
    <t>0/12:23:56</t>
  </si>
  <si>
    <t>0008321151</t>
  </si>
  <si>
    <t>0/07:59:56</t>
  </si>
  <si>
    <t>0008442374</t>
  </si>
  <si>
    <t>0008376309</t>
  </si>
  <si>
    <t>0008421355</t>
  </si>
  <si>
    <t>0007817569</t>
  </si>
  <si>
    <t>0008372100</t>
  </si>
  <si>
    <t>0008316164</t>
  </si>
  <si>
    <t>0008416094</t>
  </si>
  <si>
    <t>0008416089</t>
  </si>
  <si>
    <t>0007280280</t>
  </si>
  <si>
    <t>000200567367</t>
  </si>
  <si>
    <t>000200567211</t>
  </si>
  <si>
    <t>0008532256</t>
  </si>
  <si>
    <t>000200567214</t>
  </si>
  <si>
    <t>0008532263</t>
  </si>
  <si>
    <t>0008384033</t>
  </si>
  <si>
    <t>0008384043</t>
  </si>
  <si>
    <t>0008419090</t>
  </si>
  <si>
    <t>000200566647</t>
  </si>
  <si>
    <t>0002454156</t>
  </si>
  <si>
    <t>0008528252</t>
  </si>
  <si>
    <t>0/12:38:52</t>
  </si>
  <si>
    <t>0008372256</t>
  </si>
  <si>
    <t>0008320370</t>
  </si>
  <si>
    <t>0007260247</t>
  </si>
  <si>
    <t>0/07:37:41</t>
  </si>
  <si>
    <t>0008297621</t>
  </si>
  <si>
    <t>0008320081</t>
  </si>
  <si>
    <t>000200567172</t>
  </si>
  <si>
    <t>0008532234</t>
  </si>
  <si>
    <t>0008416081</t>
  </si>
  <si>
    <t>1/01:07:27</t>
  </si>
  <si>
    <t>0008372284</t>
  </si>
  <si>
    <t>0008383619</t>
  </si>
  <si>
    <t>1/01:25:36</t>
  </si>
  <si>
    <t>0008383606</t>
  </si>
  <si>
    <t>000200567197</t>
  </si>
  <si>
    <t>0008532245</t>
  </si>
  <si>
    <t>000200567137</t>
  </si>
  <si>
    <t>0008532247</t>
  </si>
  <si>
    <t>0002438663</t>
  </si>
  <si>
    <t>0008383613</t>
  </si>
  <si>
    <t>0/06:04:46</t>
  </si>
  <si>
    <t>0008402721</t>
  </si>
  <si>
    <t>0008223595</t>
  </si>
  <si>
    <t>0008490928</t>
  </si>
  <si>
    <t>0002428236</t>
  </si>
  <si>
    <t>0008306059</t>
  </si>
  <si>
    <t>0008471079</t>
  </si>
  <si>
    <t>0007659141</t>
  </si>
  <si>
    <t>0008492287</t>
  </si>
  <si>
    <t>0008383653</t>
  </si>
  <si>
    <t>0008299583</t>
  </si>
  <si>
    <t>0008376338</t>
  </si>
  <si>
    <t>0008380635</t>
  </si>
  <si>
    <t>0008374695</t>
  </si>
  <si>
    <t>0008383316</t>
  </si>
  <si>
    <t>0/06:32:11</t>
  </si>
  <si>
    <t>0008344626</t>
  </si>
  <si>
    <t>0/04:44:59</t>
  </si>
  <si>
    <t>0008238078</t>
  </si>
  <si>
    <t>0008442712</t>
  </si>
  <si>
    <t>1/19:01:54</t>
  </si>
  <si>
    <t>0008400895</t>
  </si>
  <si>
    <t>0008312339</t>
  </si>
  <si>
    <t>0008441050</t>
  </si>
  <si>
    <t>000200566125</t>
  </si>
  <si>
    <t>0/04:46:03</t>
  </si>
  <si>
    <t>0002453299</t>
  </si>
  <si>
    <t>0008525319</t>
  </si>
  <si>
    <t>000200565996</t>
  </si>
  <si>
    <t>0002453188</t>
  </si>
  <si>
    <t>0008524379</t>
  </si>
  <si>
    <t>0008444601</t>
  </si>
  <si>
    <t>0007795573</t>
  </si>
  <si>
    <t>000200566092</t>
  </si>
  <si>
    <t>1/17:51:38</t>
  </si>
  <si>
    <t>0002453302</t>
  </si>
  <si>
    <t>0008525330</t>
  </si>
  <si>
    <t>0007601076</t>
  </si>
  <si>
    <t>000200567450</t>
  </si>
  <si>
    <t>22022500</t>
  </si>
  <si>
    <t>CX2244ME-111-BAG-00-00-00</t>
  </si>
  <si>
    <t>0/01:09:46</t>
  </si>
  <si>
    <t>0002455108</t>
  </si>
  <si>
    <t>0008372021</t>
  </si>
  <si>
    <t>0007601086</t>
  </si>
  <si>
    <t>0008320384</t>
  </si>
  <si>
    <t>0007692688</t>
  </si>
  <si>
    <t>0008312284</t>
  </si>
  <si>
    <t>0008237562</t>
  </si>
  <si>
    <t>0008491306</t>
  </si>
  <si>
    <t>0008471814</t>
  </si>
  <si>
    <t>0008473665</t>
  </si>
  <si>
    <t>0008384045</t>
  </si>
  <si>
    <t>1/04:36:25</t>
  </si>
  <si>
    <t>0008297149</t>
  </si>
  <si>
    <t>0/04:42:46</t>
  </si>
  <si>
    <t>0008419562</t>
  </si>
  <si>
    <t>0008490014</t>
  </si>
  <si>
    <t>0/09:23:58</t>
  </si>
  <si>
    <t>0008376356</t>
  </si>
  <si>
    <t>0/04:42:04</t>
  </si>
  <si>
    <t>0008309256</t>
  </si>
  <si>
    <t>0008419410</t>
  </si>
  <si>
    <t>0/04:47:35</t>
  </si>
  <si>
    <t>0008345767</t>
  </si>
  <si>
    <t>0/04:42:47</t>
  </si>
  <si>
    <t>0007774751</t>
  </si>
  <si>
    <t>0/23:41:06</t>
  </si>
  <si>
    <t>0008312232</t>
  </si>
  <si>
    <t>0008379399</t>
  </si>
  <si>
    <t>0008436275</t>
  </si>
  <si>
    <t>0007566743</t>
  </si>
  <si>
    <t>0008524173</t>
  </si>
  <si>
    <t>0/04:46:12</t>
  </si>
  <si>
    <t>0008305592</t>
  </si>
  <si>
    <t>0008218814</t>
  </si>
  <si>
    <t>0008376352</t>
  </si>
  <si>
    <t>0008365137</t>
  </si>
  <si>
    <t>0008419126</t>
  </si>
  <si>
    <t>0007601197</t>
  </si>
  <si>
    <t>0007634135</t>
  </si>
  <si>
    <t>0008292713</t>
  </si>
  <si>
    <t>0007763376</t>
  </si>
  <si>
    <t>0008417099</t>
  </si>
  <si>
    <t>0008365181</t>
  </si>
  <si>
    <t>0008280370</t>
  </si>
  <si>
    <t>0/03:18:22</t>
  </si>
  <si>
    <t>0008490525</t>
  </si>
  <si>
    <t>WSHAVEL51_PC51_008</t>
  </si>
  <si>
    <t>000200549099</t>
  </si>
  <si>
    <t>22064333</t>
  </si>
  <si>
    <t>612MK10EE-00900-OCT-00-00-00</t>
  </si>
  <si>
    <t>0/14:18:51</t>
  </si>
  <si>
    <t>0008346332</t>
  </si>
  <si>
    <t>612MK10EE</t>
  </si>
  <si>
    <t>000200549098</t>
  </si>
  <si>
    <t>0008346326</t>
  </si>
  <si>
    <t xml:space="preserve">0008471972  N300X-701-BAG    20000KG   22018853    (200561431)      </t>
  </si>
  <si>
    <t xml:space="preserve">0008415963  HS2000X-701-BAG    10140KG   22023606    (200559034)      </t>
  </si>
  <si>
    <t xml:space="preserve">0008532228  HS2000X-701-BAG    10000KG   22023606    (200567210)      </t>
  </si>
  <si>
    <t xml:space="preserve">0008366211  N190X-701-BAG    10140KG   22018844    (200552480)      </t>
  </si>
  <si>
    <t xml:space="preserve">  SE1GFN2-701-BAG    20000KG   22024913    (96044402)      </t>
  </si>
  <si>
    <t xml:space="preserve">  SE1GFN2-701-BAG    20000KG   22024913    (96169138)      </t>
  </si>
  <si>
    <t xml:space="preserve">  GFN20-701-BAG    10000KG   22095416    (95999290)      </t>
  </si>
  <si>
    <t xml:space="preserve">  PCN2910-BK1D694-BAG    20000KG   22030621    (87158635)      </t>
  </si>
  <si>
    <t xml:space="preserve">0008375257  PCN2910-BK1D694-BAG    20000KG   22030621    (200554631)      </t>
  </si>
  <si>
    <t xml:space="preserve">  SE1GFN2-701-BAG    20000KG   22024913    (96169139)      </t>
  </si>
  <si>
    <t xml:space="preserve">  V0150B-701-BAG    20000KG   22017123    (79141761)      </t>
  </si>
  <si>
    <t xml:space="preserve">  V0150B-701-BAG    20000KG   22017123    (85130029)      </t>
  </si>
  <si>
    <t xml:space="preserve">  V0150B-701-BAG    20000KG   22017123    (85130030)      </t>
  </si>
  <si>
    <t xml:space="preserve">0007527967  PVX0901-BK1066-BAG    5000KG   22036954    (200489904)      </t>
  </si>
  <si>
    <t xml:space="preserve">  PCN2910-BK1D694-BAG    20000KG   22030621    (97082493)      </t>
  </si>
  <si>
    <t xml:space="preserve">  GFN20-701-BAG    10000KG   22095416    (96000253)      </t>
  </si>
  <si>
    <t xml:space="preserve">0008415938  GFN20F-701S-BAG    10247KG   22095736    (200559062)      </t>
  </si>
  <si>
    <t xml:space="preserve">0008415956  GFN20F-701S-BAG    10247KG   22095736    (200559065)      </t>
  </si>
  <si>
    <t xml:space="preserve">0008242233  731S-701S-BAG    5123.5KG   22031186    (200537094)      </t>
  </si>
  <si>
    <t xml:space="preserve">0008314148  N1250-BK1066-BAG    5123.5KG   22040824    (200545602)      </t>
  </si>
  <si>
    <t xml:space="preserve">0008490508  GFN20F-N780S-BAG    5123.5KG   22095737    (200562618)      </t>
  </si>
  <si>
    <t xml:space="preserve">0008532253  HS2000X-WH8C022-BAG    20000KG   22036470    (200567151)      </t>
  </si>
  <si>
    <t xml:space="preserve">0008532238  HS2000X-WH8C022-BAG    20000KG   22036470    (200567150)      </t>
  </si>
  <si>
    <t xml:space="preserve">0007817803  FNH2160-780-BAG    10256KG   22017766    (200516975)      </t>
  </si>
  <si>
    <t xml:space="preserve">0008306298  PX9406P-BK2D115-BAG    5000KG   22037390    (200543652)      </t>
  </si>
  <si>
    <t xml:space="preserve">0008397636  N225X-7G2A4392-    10247KG   299905280    (200557908)      </t>
  </si>
  <si>
    <t xml:space="preserve">0008490505  PX9406-780-BAG    15370.5KG   22020783    (200562573)      </t>
  </si>
  <si>
    <t xml:space="preserve">0008491428  GFN30F-801S-BAG    10247KG   22096205    (200562768)      </t>
  </si>
  <si>
    <t xml:space="preserve">0008488784  GFN30F-801S-BAG    10247KG   22096205    (200562529)      </t>
  </si>
  <si>
    <t xml:space="preserve">0008532229  HS2000X-111-BAG    20000KG   22023605    (200567200)      </t>
  </si>
  <si>
    <t xml:space="preserve">0008532240  HS2000X-111-BAG    20000KG   22023605    (200567242)      </t>
  </si>
  <si>
    <t xml:space="preserve">  HS2000X-111-BAG    20000KG   22023605    (87157860)      </t>
  </si>
  <si>
    <t xml:space="preserve">0008314155  N1250-BK1066-BAG    5123.5KG   22040824    (200545492)      </t>
  </si>
  <si>
    <t xml:space="preserve">  SE1GFN2-701-BAG    20000KG   22024913    (93843561)      </t>
  </si>
  <si>
    <t xml:space="preserve">  GFN20-701-BAG    10000KG   22095416    (95999289)      </t>
  </si>
  <si>
    <t xml:space="preserve">  HS2000X-111-BAG    20000KG   22023605    (82237946)      </t>
  </si>
  <si>
    <t xml:space="preserve">  N300X-701-BAG    20000KG   22018853    (82817976)      </t>
  </si>
  <si>
    <t xml:space="preserve">  HS2000X-111-BAG    20000KG   22023605    (83582097)      </t>
  </si>
  <si>
    <t xml:space="preserve">  GFN20F-N780S-BAG    10000KG   22095737    (95453418)      </t>
  </si>
  <si>
    <t xml:space="preserve">  GFN30F-701S-BAG    12000KG   22095738    (95432261)      </t>
  </si>
  <si>
    <t xml:space="preserve">0008314158  N1250-BK1066-BAG    5000KG   22040824    (200545493)      </t>
  </si>
  <si>
    <t xml:space="preserve">  GFN20F-701S-BAG    10000KG   22095736    (95453254)      </t>
  </si>
  <si>
    <t xml:space="preserve">0008526209  GFN30F-873S-BAG    10000KG   22096206    (200566230)      </t>
  </si>
  <si>
    <t xml:space="preserve">  GFN30F-701S-BAG    10000KG   22095738    (94872437)      </t>
  </si>
  <si>
    <t xml:space="preserve">  GFN20F-701S-BAG    10000KG   22095736    (95448251)      </t>
  </si>
  <si>
    <t xml:space="preserve">  GFN20F-701S-BAG    10000KG   22095736    (95448308)      </t>
  </si>
  <si>
    <t xml:space="preserve">0008025268  PX9406-780-BAG    20000KG   22020783    (200526395)      </t>
  </si>
  <si>
    <t xml:space="preserve">  HS2000X-WH8C022-BAG    20000KG   22036470    (92864582)      </t>
  </si>
  <si>
    <t xml:space="preserve">  GFN20F-N780S-BAG    10000KG   22095737    (96000254)      </t>
  </si>
  <si>
    <t xml:space="preserve">  GFN20F-701S-BAG    10000KG   22095736    (97084273)      </t>
  </si>
  <si>
    <t xml:space="preserve">0007775909  GFN1F-701S-BAG    10000KG   22066660    (200513144)      </t>
  </si>
  <si>
    <t xml:space="preserve">  GFN30F-701S-BAG    10000KG   22095738    (95453257)      </t>
  </si>
  <si>
    <t xml:space="preserve">  N300X-701-BAG    10000KG   22018853    (96264774)      </t>
  </si>
  <si>
    <t xml:space="preserve">  GFN20F-701S-BAG    10000KG   22095736    (97083479)      </t>
  </si>
  <si>
    <t xml:space="preserve">0008240275  500R-GY5G048-BAG    5097KG   22018200    (200536950)     Br.   </t>
  </si>
  <si>
    <t xml:space="preserve">0008357514  3412R-8375-BAG    10194KG   22033617    (200551565)     Br.   </t>
  </si>
  <si>
    <t xml:space="preserve">0008240848  505RU-WH8E372-BAG    5097KG   22029849    (200537043)      </t>
  </si>
  <si>
    <t xml:space="preserve">0008316764  C2800-7T8D612-BAG    10194KG   22034983    (200546358)      </t>
  </si>
  <si>
    <t xml:space="preserve">0008240884  945-WH5185-BAG    5097KG   22038419    (200536971)      </t>
  </si>
  <si>
    <t xml:space="preserve">0008356968  FXD171R-WH6E057X-BAG    5000KG   22032291    (200551300)      </t>
  </si>
  <si>
    <t xml:space="preserve">0008532246  945A-116-BAG    20000KG   22017646    (200567213)      </t>
  </si>
  <si>
    <t xml:space="preserve">0008532235  945A-116-BAG    20000KG   22017646    (200567212)      </t>
  </si>
  <si>
    <t xml:space="preserve">0008524428  103R-111-BAG    20388KG   22019104    (200566000)      </t>
  </si>
  <si>
    <t xml:space="preserve">0008524436  103R-111-BAG    20388KG   22019104    (200566026)      </t>
  </si>
  <si>
    <t xml:space="preserve">0008321221  ML7694-WH8G785-BAG    20388KG   22037112    (200547573)     Br.   </t>
  </si>
  <si>
    <t xml:space="preserve">0007852513  ML7694-GY8E536-BAG    20000KG   22037110    (200519213)     Br.   </t>
  </si>
  <si>
    <t xml:space="preserve">0008532251  121R-GY8F074-SSS    10000KG   22105472    (200567243)      </t>
  </si>
  <si>
    <t xml:space="preserve">0008532241  121R-GY8F074-SSS    10000KG   22105472    (200567201)      </t>
  </si>
  <si>
    <t xml:space="preserve">0008322489  C6200-WH9E666-BAG    10000KG   22039645    (200547785)      </t>
  </si>
  <si>
    <t xml:space="preserve">0008435915  CX7240-8T9D310-BAG    10000KG   22030085    (200560043)      </t>
  </si>
  <si>
    <t xml:space="preserve">  C6600-111-BAG    20000KG   22018361    (95454849)      </t>
  </si>
  <si>
    <t xml:space="preserve">0008320516  C2950-YW8295S-BAG    5000KG   22022286    (200547486)      </t>
  </si>
  <si>
    <t xml:space="preserve">0008376471  505RU-YW6E070-BAG    5000KG   22031255    (200554937)     Br.   </t>
  </si>
  <si>
    <t xml:space="preserve">0007866391  925-GY1G168-BAG    8000KG   22034407    (200520138)     Br.   </t>
  </si>
  <si>
    <t xml:space="preserve">0008351685  943-GY8D440-BAG    20000KG   22039171    (200550430)     Br.   </t>
  </si>
  <si>
    <t xml:space="preserve">0008351687  943-GY8D440-BAG    15000KG   22039171    (200550431)     Br.   </t>
  </si>
  <si>
    <t xml:space="preserve">  C2950-111-BAG    20000KG   22022267    (96011833)      </t>
  </si>
  <si>
    <t xml:space="preserve">0008532090  FXD171R-WH6E057X-BAG    5000KG   22032291    (200567226)      </t>
  </si>
  <si>
    <t xml:space="preserve">  940A-116-BAG    10000KG   22022020    (95455774)     Br.   </t>
  </si>
  <si>
    <t xml:space="preserve">  943A-116-BAG    10000KG   22017080    (96016083)     Br.   </t>
  </si>
  <si>
    <t xml:space="preserve">  945-NC-BAG    20000KG   22022070    (89048709)      </t>
  </si>
  <si>
    <t xml:space="preserve">0007662044  241R-111-BAG    20000KG   22019277    (200503184)      </t>
  </si>
  <si>
    <t xml:space="preserve">0007032280  LS2-6162-BAG    8000KG   22018730    (200410338)     Br.   </t>
  </si>
  <si>
    <t xml:space="preserve">0008443524  3413R-739-BAG    10000KG   22017072    (200560330)     Br.   </t>
  </si>
  <si>
    <t xml:space="preserve">0008372055  500R-73231-BAG    5000KG   22031231    (200553784)     Br.   </t>
  </si>
  <si>
    <t xml:space="preserve">0008376441  121R-GY8F074-SSS    10000KG   22105472    (200555006)      </t>
  </si>
  <si>
    <t xml:space="preserve">  121R-GY8F074-SSS    10000KG   22105472    (92461786)      </t>
  </si>
  <si>
    <t xml:space="preserve">0007614539  C6200-WH9D397-BAG    10000KG   22039644    (200497257)      </t>
  </si>
  <si>
    <t xml:space="preserve">  121R-GY8F074-SSS    10000KG   22105472    (92463176)      </t>
  </si>
  <si>
    <t xml:space="preserve">0008493567  3412ECR-131-BAG    10000KG   22021723    (200562925)      </t>
  </si>
  <si>
    <t xml:space="preserve">0008384894  3412ECR-WH8E395-BAG    5000KG   22037868    (200557252)     Br.   </t>
  </si>
  <si>
    <t xml:space="preserve">0008306443  3412R-131-BAG    10000KG   22021728    (200543694)     Br.   </t>
  </si>
  <si>
    <t xml:space="preserve">  500R-131-BAG    10000KG   22018199    (96013042)     Br.   </t>
  </si>
  <si>
    <t xml:space="preserve">  C6600-111-BAG    20000KG   22018361    (96011677)      </t>
  </si>
  <si>
    <t xml:space="preserve">  945-NC-BAG    20000KG   22022070    (89022780)      </t>
  </si>
  <si>
    <t xml:space="preserve">0008415977  PX9406P-7001-BAG    20190KG   22041318    (200559087)      </t>
  </si>
  <si>
    <t xml:space="preserve">0008415982  PX9406P-7001-BAG    20190KG   22041318    (200559089)      </t>
  </si>
  <si>
    <t xml:space="preserve">0008415992  PX9406P-7001-BAG    20190KG   22041318    (200559092)      </t>
  </si>
  <si>
    <t xml:space="preserve">0008415954  PX1600X-701-BAG    20000KG   22017944    (200559039)      </t>
  </si>
  <si>
    <t xml:space="preserve">0008415940  PX1600X-701-BAG    20000KG   22017944    (200559036)      </t>
  </si>
  <si>
    <t xml:space="preserve">0008471969  PX1600X-701-BAG    20190KG   22017944    (200561429)      </t>
  </si>
  <si>
    <t xml:space="preserve">0008415967  PX1600X-701-BAG    20190KG   22017944    (200559041)      </t>
  </si>
  <si>
    <t xml:space="preserve">0008415973  PX1600X-701-BAG    20190KG   22017944    (200559102)      </t>
  </si>
  <si>
    <t xml:space="preserve">0008532258  SE1X-701-BAG    20000KG   22024919    (200567232)      </t>
  </si>
  <si>
    <t xml:space="preserve">0008532242  SE1X-701-BAG    20000KG   22024919    (200567231)      </t>
  </si>
  <si>
    <t xml:space="preserve">0008532261  SE1X-701-BAG    20000KG   22024919    (200567233)      </t>
  </si>
  <si>
    <t xml:space="preserve">0008532268  SE1X-701-BAG    20000KG   22024919    (200567236)      </t>
  </si>
  <si>
    <t xml:space="preserve">0008532264  SE1X-701-BAG    20000KG   22024919    (200567234)      </t>
  </si>
  <si>
    <t xml:space="preserve">0008532266  SE1X-701-BAG    20000KG   22024919    (200567235)      </t>
  </si>
  <si>
    <t xml:space="preserve">0008415971  PX9406P-7001-BAG    20190KG   22041318    (200559085)      </t>
  </si>
  <si>
    <t xml:space="preserve">0008415979  PX9406P-7001-BAG    20190KG   22041318    (200559088)      </t>
  </si>
  <si>
    <t xml:space="preserve">0008214150  PX1600X-701-BAG    20000KG   22017944    (200530716)      </t>
  </si>
  <si>
    <t xml:space="preserve">0008532252  PX1600X-701-BAG    20000KG   22017944    (200567230)      </t>
  </si>
  <si>
    <t xml:space="preserve">  PX1600X-701-BAG    20000KG   22017944    (86323195)      </t>
  </si>
  <si>
    <t xml:space="preserve">  PX1600X-701-BAG    20000KG   22017944    (88211724)      </t>
  </si>
  <si>
    <t xml:space="preserve">  SE100X-701-BAG    20000KG   22024902    (85134294)      </t>
  </si>
  <si>
    <t xml:space="preserve">  PX1600X-701-BAG    20000KG   22017944    (86323578)      </t>
  </si>
  <si>
    <t xml:space="preserve">  SE100X-701-BAG    20000KG   22024902    (82808246)      </t>
  </si>
  <si>
    <t xml:space="preserve">  SE100X-701-BAG    20000KG   22024902    (85135126)      </t>
  </si>
  <si>
    <t xml:space="preserve">  SE100X-701-BAG    20000KG   22024902    (82807105)      </t>
  </si>
  <si>
    <t xml:space="preserve">  SE100X-701-BAG    20000KG   22024902    (82808247)      </t>
  </si>
  <si>
    <t xml:space="preserve">  PX1600X-701-BAG    20000KG   22017944    (86323579)      </t>
  </si>
  <si>
    <t xml:space="preserve">  PX1600X-701-BAG    20000KG   22017944    (86323984)      </t>
  </si>
  <si>
    <t xml:space="preserve">  PX9406P-7001-BAG    20000KG   22041318    (95436690)      </t>
  </si>
  <si>
    <t xml:space="preserve">  PX9406P-7001-BAG    20000KG   22041318    (95434597)      </t>
  </si>
  <si>
    <t xml:space="preserve">  PX9406P-7001-BAG    20000KG   22041318    (95436691)      </t>
  </si>
  <si>
    <t xml:space="preserve">  PX9406P-7001-BAG    20000KG   22041318    (87083637)      </t>
  </si>
  <si>
    <t xml:space="preserve">  PX9406P-7001-BAG    20000KG   22041318    (95436692)      </t>
  </si>
  <si>
    <t xml:space="preserve">  PX9406P-7001-BAG    20000KG   22041318    (87083638)      </t>
  </si>
  <si>
    <t xml:space="preserve">  PX9406P-7001-BAG    20000KG   22041318    (87083639)      </t>
  </si>
  <si>
    <t xml:space="preserve">  PX9406P-7001-BAG    20000KG   22041318    (87083640)      </t>
  </si>
  <si>
    <t xml:space="preserve">  PX9406P-7001-BAG    20000KG   22041318    (87083641)      </t>
  </si>
  <si>
    <t xml:space="preserve">  PX9406P-7001-BAG    20000KG   22041318    (87586004)      </t>
  </si>
  <si>
    <t xml:space="preserve">  PX9406P-7001-BAG    20000KG   22041318    (89698607)      </t>
  </si>
  <si>
    <t xml:space="preserve">  PX9406P-7001-BAG    20000KG   22041318    (93228794)      </t>
  </si>
  <si>
    <t xml:space="preserve">  PX9406P-7001-BAG    20000KG   22041318    (93230082)      </t>
  </si>
  <si>
    <t xml:space="preserve">0008415943  PX9406P-7001-BAG    20000KG   22041318    (200558980)      </t>
  </si>
  <si>
    <t xml:space="preserve">0008415960  PX9406P-7001-BAG    20000KG   22041318    (200558981)      </t>
  </si>
  <si>
    <t xml:space="preserve">  PX9406P-7001-BAG    20000KG   22041318    (87083635)      </t>
  </si>
  <si>
    <t xml:space="preserve">  PX9406P-7001-BAG    20000KG   22041318    (87083636)      </t>
  </si>
  <si>
    <t xml:space="preserve">  SE1X-701-BAG    20000KG   22024919    (96149712)      </t>
  </si>
  <si>
    <t xml:space="preserve">0008383523  IGN5531-71003-BAG    10419KG   22040939    (200556933)      </t>
  </si>
  <si>
    <t xml:space="preserve">0008309856  HS2000X-GY3E193-BAG    2082KG   22036466    (200544534)      </t>
  </si>
  <si>
    <t xml:space="preserve">0008524814  SE1GFN2-RD4E104-BAG    1816.2KG   22030590    (200566014)     Br.   </t>
  </si>
  <si>
    <t xml:space="preserve">0008320469  500R-GY2G074-BAG    2083.8KG   22038732    (200547449)     Br.   </t>
  </si>
  <si>
    <t xml:space="preserve">0008532378  CN1134-BK1066-BAG    1041.9KG   22035092    (200567219)      </t>
  </si>
  <si>
    <t xml:space="preserve">0008371822  SE1GFN2-VT1G005-BAG    5209.5KG   22040982    (200553690)      </t>
  </si>
  <si>
    <t xml:space="preserve">0008376659  943-701-BAG    2083.8KG   22022046    (200554920)     Br.   </t>
  </si>
  <si>
    <t xml:space="preserve">0008376472  3412R-GY4B623-BAG    2096.8KG   22033622    (200554974)     Br.   </t>
  </si>
  <si>
    <t xml:space="preserve">0008306410  C6600-7M7D027-BAG    1000KG   22022553    (200543580)     Br.   </t>
  </si>
  <si>
    <t xml:space="preserve">0008313713  940-WH9C004-BAG    2083.8KG   22034162    (200545473)     Br.   </t>
  </si>
  <si>
    <t xml:space="preserve">0008415948  WCA105-111-SBG    19200KG   22041126    (200559046)      </t>
  </si>
  <si>
    <t xml:space="preserve">0008488962  GFN20F-801S-BAG    2083.8KG   22096111    (200562531)      </t>
  </si>
  <si>
    <t xml:space="preserve">0008297601  SE1GFN2-960-BAG    2083.8KG   22037127    (200541918)      </t>
  </si>
  <si>
    <t xml:space="preserve">0007611279  EX130-770-BAG    5209.5KG   22022815    (200497083)      </t>
  </si>
  <si>
    <t xml:space="preserve">0008371829  SE1GFN2-OR6H001-BAG    2552.655KG   22065527    (200553710)      </t>
  </si>
  <si>
    <t xml:space="preserve">0008383660  PX0844-WH7G057-BAG    2083.8KG   22040882    (200556897)      </t>
  </si>
  <si>
    <t xml:space="preserve">0008375189  N1250-4N4D011-BAG    4850KG   22037195    (200554650)      </t>
  </si>
  <si>
    <t xml:space="preserve">0008375172  N1250-4N4D011-BAG    5000KG   22037195    (200554613)      </t>
  </si>
  <si>
    <t xml:space="preserve">0008379132  N1250-4N4D011-BAG    5725KG   22037195    (200555830)      </t>
  </si>
  <si>
    <t xml:space="preserve">0008532233  N1050-BL2G084-BAG    5000KG   22040815    (200567171)      </t>
  </si>
  <si>
    <t xml:space="preserve">0008402456  PX0844-7001-BAG    2000KG   22036957    (200558160)      </t>
  </si>
  <si>
    <t xml:space="preserve">0008221184  N1150-BK1066-BAG    1300KG   22037192    (200532482)      </t>
  </si>
  <si>
    <t xml:space="preserve">  WCA875-111-SBG    1000KG   22079713    (96206518)      </t>
  </si>
  <si>
    <t xml:space="preserve">0008525426  SE1X-GY5C030-BAG    1000KG   22037164    (200566149)      </t>
  </si>
  <si>
    <t xml:space="preserve">0007610660  HS2000X-GY8D625-BAG    5000KG   22020355    (200497023)      </t>
  </si>
  <si>
    <t xml:space="preserve">0008306258  FN215X-780-BAG    1000KG   22020062    (200543574)      </t>
  </si>
  <si>
    <t xml:space="preserve">0008323011  PX2907-75008-BAG    2000KG   22030635    (200547846)     Br.   </t>
  </si>
  <si>
    <t xml:space="preserve">0008419896  PX9406P-BL5G048-BAG    5000KG   22029453    (200559349)     Br.   </t>
  </si>
  <si>
    <t xml:space="preserve">0007504054  WCD915-8A7D027-SBG    6000KG   22080572    (200488681)      </t>
  </si>
  <si>
    <t xml:space="preserve">0007479401  WCD915-7A1D285-SBG    5000KG   22080571    (200487847)      </t>
  </si>
  <si>
    <t xml:space="preserve">0008383346  FN215X-701-BAG    2000KG   22023022    (200556887)      </t>
  </si>
  <si>
    <t xml:space="preserve">0008375194  N1250-4N4D011-BAG    5000KG   22037195    (200554616)      </t>
  </si>
  <si>
    <t xml:space="preserve">0008375204  N1250-4N4D011-BAG    5000KG   22037195    (200554684)      </t>
  </si>
  <si>
    <t xml:space="preserve">0008384423  HS2000X-8952-BAG    1000KG   22023608    (200557202)      </t>
  </si>
  <si>
    <t xml:space="preserve">0008351673  FN215X-111-BAG    6475KG   22028763    (200550354)      </t>
  </si>
  <si>
    <t xml:space="preserve">0007708988  PX9406-GY8D396-BAG    5000KG   22037377    (200507022)      </t>
  </si>
  <si>
    <t xml:space="preserve">0008403253  PX9406P-GY5E492-BAG    1000KG   22032732    (200558294)      </t>
  </si>
  <si>
    <t xml:space="preserve">0007958461  731S-7G6A0882F-    3123KG   299901228    (200523386)      </t>
  </si>
  <si>
    <t xml:space="preserve">0008346927  ENG265F-8746S-BAG    10410KG   22074238    (200549304)      </t>
  </si>
  <si>
    <t xml:space="preserve">0008442499  WCD841U-7A8D032-SBG    10490KG   22080585    (200560251)      </t>
  </si>
  <si>
    <t xml:space="preserve">0008473489  WCD841U-7A8D032-SBG    1049KG   22080585    (200561542)      </t>
  </si>
  <si>
    <t xml:space="preserve">0008374704  WCD841U-7A8D032-SBG    2098KG   22080585    (200554583)      </t>
  </si>
  <si>
    <t xml:space="preserve">0008532232  WCD841U-7A8D032-SBG    500KG   22080585    (200567199)      </t>
  </si>
  <si>
    <t xml:space="preserve">0008371118  WCD855-BK1066-SBG    4934.34KG   22032998    (200553492)      </t>
  </si>
  <si>
    <t xml:space="preserve">0008532230  WCD931-BK1066-SBG    3060KG   22041386    (200567198)      </t>
  </si>
  <si>
    <t xml:space="preserve">  IGN5531-71003-SSS    10000KG   22073242    (89115169)      </t>
  </si>
  <si>
    <t xml:space="preserve">  IGN5531-71003-SSS    10000KG   22073242    (89115170)      </t>
  </si>
  <si>
    <t xml:space="preserve">  IGN5531-71003-SSS    10000KG   22073242    (89115171)      </t>
  </si>
  <si>
    <t xml:space="preserve">  IGN5531-71003-SSS    10000KG   22073242    (89115172)      </t>
  </si>
  <si>
    <t xml:space="preserve">  IGN5531-71003-SSS    10000KG   22073242    (89117216)      </t>
  </si>
  <si>
    <t xml:space="preserve">0007623678  WCD933-4A8D008-SBG    300KG   22080201    (200498241)      </t>
  </si>
  <si>
    <t xml:space="preserve">  IGN5531-71003-SSS    10000KG   22073242    (97081041)      </t>
  </si>
  <si>
    <t xml:space="preserve">  IGN5531-71003-SSS    10000KG   22073242    (97082058)      </t>
  </si>
  <si>
    <t xml:space="preserve">0008525115  WCD841U-7A8D032-SBG    6000KG   22080585    (200566069)      </t>
  </si>
  <si>
    <t xml:space="preserve">0008374728  NH7010-GY6G005-BAG    1975KG   22024528    (200554533)      </t>
  </si>
  <si>
    <t xml:space="preserve">  IGN5531-71003-SSS    10000KG   22073242    (97081359)      </t>
  </si>
  <si>
    <t xml:space="preserve">  IGN5531-71003-SSS    10000KG   22073242    (97082057)      </t>
  </si>
  <si>
    <t xml:space="preserve">  IGN5531-71003-SSS    10000KG   22073242    (97082056)      </t>
  </si>
  <si>
    <t xml:space="preserve">0008473567  SE1GFN1-701-BAG    1600KG   22024908    (200561562)      </t>
  </si>
  <si>
    <t xml:space="preserve">  IGN5531-71003-SSS    10000KG   22073242    (97081360)      </t>
  </si>
  <si>
    <t xml:space="preserve">  IGN5531-71003-SSS    10000KG   22073242    (97081538)      </t>
  </si>
  <si>
    <t xml:space="preserve">0008301404  EF004XXP-7A2A3913-BAG    8100KG   22106119    (200542798)      </t>
  </si>
  <si>
    <t xml:space="preserve">0008344140  HM3020H-75001-BAG    1500KG   22036424    (200548688)      </t>
  </si>
  <si>
    <t xml:space="preserve">0008371136  1000-7A1D252-BAG    1183.38KG   22021108    (200553431)      </t>
  </si>
  <si>
    <t xml:space="preserve">0008381248  1000-7A1D252-BAG    322.74KG   22021108    (200556186)      </t>
  </si>
  <si>
    <t xml:space="preserve">0008346801  PVX0901-GY3E986-BAG    130KG   22032822    (200549302)      </t>
  </si>
  <si>
    <t xml:space="preserve">0008078204  PX2790C-7001-BAG    1000KG   22036995    (200528329)      </t>
  </si>
  <si>
    <t xml:space="preserve">0008492602  N1250-BK1066-BAG    100KG   22040824    (200562799)      </t>
  </si>
  <si>
    <t xml:space="preserve">0008247677  2110EPR-7301-BAG    537.9KG   22029747    (200537537)      </t>
  </si>
  <si>
    <t xml:space="preserve">0007995265  2110EPR-7301-BAG    537.9KG   22029747    (200525397)      </t>
  </si>
  <si>
    <t xml:space="preserve">0008365793  GFN20-GY61131-    537.9KG   299903594    (200552413)      </t>
  </si>
  <si>
    <t xml:space="preserve">0008490507  GFN30F-873S-BAG    215.16KG   22096206    (200562574)      </t>
  </si>
  <si>
    <t xml:space="preserve">0008309118  N190X-111-BAG    1075.8KG   22037213    (200544366)      </t>
  </si>
  <si>
    <t xml:space="preserve">0008380948  731S-WH4C053F-BAG    1000KG   22029876    (200556058)      </t>
  </si>
  <si>
    <t xml:space="preserve">0008415226  SE1X-8G8A2562-    537.9KG   299902974    (200559005)      </t>
  </si>
  <si>
    <t xml:space="preserve">0008356976  FN215X-GY9B297-BAG    1000KG   22040658    (200551354)      </t>
  </si>
  <si>
    <t xml:space="preserve">0008380660  HS2000X-7G2A4340-    80KG   299905197    (200556038)      </t>
  </si>
  <si>
    <t xml:space="preserve">0008371850  SE1GFN2-GY2E307-BAG    1100.5KG   22037129    (200553742)      </t>
  </si>
  <si>
    <t xml:space="preserve">0008371183  SE100V-BK1066-BAG    537.9KG   22032902    (200553525)      </t>
  </si>
  <si>
    <t xml:space="preserve">0008320297  SE100V-BK1066-BAG    537.9KG   22032902    (200547390)      </t>
  </si>
  <si>
    <t xml:space="preserve">0007866767  N190X-701-BAG    1075.8KG   22018844    (200520322)      </t>
  </si>
  <si>
    <t xml:space="preserve">0008345988  N225Z-BK1066-BAG    591.69KG   22032641    (200549056)      </t>
  </si>
  <si>
    <t xml:space="preserve">0008477910  N190X-YW7A245-BAG    537.9KG   22032636    (200561716)      </t>
  </si>
  <si>
    <t xml:space="preserve">0008383323  PVX1201-BK1066-BAG    1000KG   22036955    (200556875)      </t>
  </si>
  <si>
    <t xml:space="preserve">0008472433  731S-701S-BAG    1000KG   22031186    (200561374)      </t>
  </si>
  <si>
    <t xml:space="preserve">0008490463  731S-7N6A4661F-    1000KG   299905753    (200562635)      </t>
  </si>
  <si>
    <t xml:space="preserve">0008524424  1000-BL7079-BAG    500KG   22033128    (200565999)     Br.   </t>
  </si>
  <si>
    <t xml:space="preserve">0008524433  1000-BL3122-BAG    500KG   22033123    (200565899)      </t>
  </si>
  <si>
    <t xml:space="preserve">0007791390  1000R-GN3B032-BAG    150KG   22033153    (200514624)     Br.   </t>
  </si>
  <si>
    <t xml:space="preserve">0008488151  ZX06315-BK8115-BAG    100KG   22037362    (200562465)      </t>
  </si>
  <si>
    <t xml:space="preserve">0008375416  1000R-7101-BAG    300KG   22021142    (200554696)      </t>
  </si>
  <si>
    <t xml:space="preserve">0008532574  N300X-BR2E195-BAG    75KG   22041241    (200567177)      </t>
  </si>
  <si>
    <t xml:space="preserve">0008532575  N300X-RD2E063-BAG    25KG   22036873    (200567304)     Br.   </t>
  </si>
  <si>
    <t xml:space="preserve">  1000R-BL3122-BAG    100KG   22021143    (97167074)      </t>
  </si>
  <si>
    <t xml:space="preserve">0008492358  NH7010-7N8D030-BAG    1000KG   22045773    (200562796)      </t>
  </si>
  <si>
    <t xml:space="preserve">0008343183  N225Z-BK1066-BAG    500KG   22032641    (200548583)      </t>
  </si>
  <si>
    <t xml:space="preserve">0008223581  731S-701S-BAG    500KG   22031186    (200532787)      </t>
  </si>
  <si>
    <t xml:space="preserve">0008217927  1000R-GN6D040-BAG    150KG   22037979    (200531593)      </t>
  </si>
  <si>
    <t xml:space="preserve">0008217940  1000R-RD6B018-BAG    100KG   22033154    (200531540)      </t>
  </si>
  <si>
    <t xml:space="preserve">0008416726  2110R-7301-BAG    300KG   22018121    (200559148)      </t>
  </si>
  <si>
    <t xml:space="preserve">0008217895  1000R-GY2B087-BAG    200KG   22019073    (200531538)      </t>
  </si>
  <si>
    <t xml:space="preserve">0008474103  PX1005X-BK1A186-BAG    500KG   22036966    (200561534)     Br.   </t>
  </si>
  <si>
    <t xml:space="preserve">0008471292  SE1V-BK1066-BAG    500KG   22037144    (200561345)      </t>
  </si>
  <si>
    <t xml:space="preserve">0008490203  2100-7301-BAG    25KG   22018117    (200562540)      </t>
  </si>
  <si>
    <t xml:space="preserve">0008500152  SE100P-WH7C062-BAG    300KG   22029462    (200563986)     Br.   </t>
  </si>
  <si>
    <t xml:space="preserve">0008532192  1010-7101-BAG    6500.107KG   22021162    (200567196)      </t>
  </si>
  <si>
    <t xml:space="preserve">0008383492  PX2801Z-OR8B008-BAG    100KG   22037004    (200556954)     Br.   </t>
  </si>
  <si>
    <t xml:space="preserve">0008227798  1000-BL7079-BAG    1000KG   22033128    (200533505)     Br.   </t>
  </si>
  <si>
    <t xml:space="preserve">0008316565  1000-BR7095-BAG    200KG   22030661    (200546370)     Br.   </t>
  </si>
  <si>
    <t xml:space="preserve">0008318610  1000R-RD6B018-BAG    100KG   22033154    (200546846)      </t>
  </si>
  <si>
    <t xml:space="preserve">0008318605  1000R-GY2B087-BAG    100KG   22019073    (200546893)      </t>
  </si>
  <si>
    <t xml:space="preserve">0008232110  1000-BL3122-BAG    2000KG   22033123    (200534688)      </t>
  </si>
  <si>
    <t xml:space="preserve">0007760145  1000-7101-BAG    100KG   22021106    (200510318)      </t>
  </si>
  <si>
    <t xml:space="preserve">0008237307  N300-701-BAG    500KG   22041234    (200536077)      </t>
  </si>
  <si>
    <t xml:space="preserve">0008398168  505RU-7A1D069-BAG    75KG   22033780    (200557840)      </t>
  </si>
  <si>
    <t xml:space="preserve">0008415258  505RU-8A8D114-BAG    1175KG   22044799    (200559008)      </t>
  </si>
  <si>
    <t xml:space="preserve">0008490527  5220UC-6A3A2760-BAG    519KG   22106541    (200562649)      </t>
  </si>
  <si>
    <t xml:space="preserve">0008375262  5220UC-6A3A2760-BAG    519KG   22106541    (200554619)      </t>
  </si>
  <si>
    <t xml:space="preserve">0008439339  5220U-7A1D383-    25.95KG   299900099    (200560092)      </t>
  </si>
  <si>
    <t xml:space="preserve">0007789240  ENH2900-8P9D011-BAG    1000KG   22030185    (200514409)      </t>
  </si>
  <si>
    <t xml:space="preserve">0008316806  945-7P1D051-BAG    1000KG   22038378    (200546458)      </t>
  </si>
  <si>
    <t xml:space="preserve">0008305782  ENH2900-8A9D020-BAG    18000KG   22022996    (200543607)      </t>
  </si>
  <si>
    <t xml:space="preserve">0008365113  CM6140-7R1D137-BAG    2000KG   22029311    (200552284)      </t>
  </si>
  <si>
    <t xml:space="preserve">0008469450  EXL9414T-NC-BAG    100KG   22029412    (200561269)      </t>
  </si>
  <si>
    <t xml:space="preserve">0008491532  EXL9414T-NC-BAG    529.9KG   22029412    (200562749)      </t>
  </si>
  <si>
    <t xml:space="preserve">0008241523  HF1110-112-BAG    1056.7KG   22023546    (200537019)      </t>
  </si>
  <si>
    <t xml:space="preserve">0007574542  EXL9414T-NA8E034T-BAG    100KG   22039947    (200494036)      </t>
  </si>
  <si>
    <t xml:space="preserve">0008469337  SLX2432T-NA9D083T-BAG    100KG   22037559    (200561316)      </t>
  </si>
  <si>
    <t xml:space="preserve">0008365520  SLX2432T-NA9D082T-BAG    3170.1KG   22018962    (200552374)      </t>
  </si>
  <si>
    <t xml:space="preserve">0008130506  LS2-414KO-BAG    2113.4KG   22029373    (200529087)     Br.   </t>
  </si>
  <si>
    <t xml:space="preserve">0008079081  EXL1433T-GY4G001T-BAG    5283.5KG   22032380    (200528256)      </t>
  </si>
  <si>
    <t xml:space="preserve">0008402326  905-NC-BAG    1056.7KG   22034315    (200558228)      </t>
  </si>
  <si>
    <t xml:space="preserve">0008439326  FXD171R-WH4501X-BAG    1056.7KG   22032290    (200560049)      </t>
  </si>
  <si>
    <t xml:space="preserve">0008312762  121R-WH3A022X-BAG    2113.4KG   22021271    (200545382)     Br.   </t>
  </si>
  <si>
    <t xml:space="preserve">0008309040  121R-31142-BAG    2000KG   22033256    (200544346)      </t>
  </si>
  <si>
    <t xml:space="preserve">0008316290  123R-71257-BAG    2000KG   22027914    (200546346)     Br.   </t>
  </si>
  <si>
    <t xml:space="preserve">0008383643  EXL1413T-7B1D026T-BAG    1000KG   22036067    (200556916)      </t>
  </si>
  <si>
    <t xml:space="preserve">0008316672  123R-GY4G232T-BAG    1000KG   22030942    (200546424)      </t>
  </si>
  <si>
    <t xml:space="preserve">0008525968  ML7681-7R3D005X-BAG    50KG   22032770    (200566197)      </t>
  </si>
  <si>
    <t xml:space="preserve">  121R-31142-BAG    1950KG   22033256    (97081094)      </t>
  </si>
  <si>
    <t xml:space="preserve">0008301676  FXD921A-WH6D190X-BAG    500KG   22029428    (200542949)     Br.   </t>
  </si>
  <si>
    <t xml:space="preserve">0008299986  940A-BL1A529T-BAG    300KG   22034507    (200542649)     Br.   </t>
  </si>
  <si>
    <t xml:space="preserve">0008528185  EXL9414T-7T1D346S-BAG    500KG   22035996    (200566644)     Br.   </t>
  </si>
  <si>
    <t xml:space="preserve">0008293735  920A-GY6D710T-BAG    500KG   22034364    (200541037)     Br.   </t>
  </si>
  <si>
    <t xml:space="preserve">0008379301  SLX2432T-NA9D082T-BAG    2000KG   22018962    (200555890)      </t>
  </si>
  <si>
    <t xml:space="preserve">0008270541  141R-111-BAG    1950KG   22018087    (200539005)      </t>
  </si>
  <si>
    <t xml:space="preserve">0008334089  EXL1433T-GY4G001T-BAG    5000KG   22032380    (200548309)      </t>
  </si>
  <si>
    <t xml:space="preserve">0008384152  131-111N-BAG    1000KG   22019159    (200557034)      </t>
  </si>
  <si>
    <t xml:space="preserve">0008380399  121R-GY1D201T-BAG    1000KG   22033283    (200556053)      </t>
  </si>
  <si>
    <t xml:space="preserve">0008434532  123R-WH5C051X-BAG    2000KG   22033096    (200560005)      </t>
  </si>
  <si>
    <t xml:space="preserve">0008491062  143R-3G7A4190T-    2000KG   299905765    (200562641)      </t>
  </si>
  <si>
    <t xml:space="preserve">0008297530  925-7T2D216-BAG    2000KG   22031289    (200541860)     Br.   </t>
  </si>
  <si>
    <t xml:space="preserve">0008297546  925-7T6D157-BAG    2099.2KG   22038257    (200541917)     Br.   </t>
  </si>
  <si>
    <t xml:space="preserve">0008489378  FXC630SK-GY8B048M-    150KG   290026608    (200562516)     Br.   </t>
  </si>
  <si>
    <t xml:space="preserve">0008366051  EXL1434-WH9G202-BAG    150KG   22029383    (200552512)      </t>
  </si>
  <si>
    <t xml:space="preserve">0008372407  CX7240-8T8D018U-BAG    2099.2KG   22039243    (200553846)     Br.   </t>
  </si>
  <si>
    <t xml:space="preserve">0008371960  C6600-71938-BAG    1049.6KG   22028423    (200553745)     Br.   </t>
  </si>
  <si>
    <t xml:space="preserve">0008351169  357U-GY5G054-BAG    1057.4KG   22033939    (200550397)     Br.   </t>
  </si>
  <si>
    <t xml:space="preserve">0008301463  364-GY2E661-BAG    150KG   22038586    (200542740)     Br.   </t>
  </si>
  <si>
    <t xml:space="preserve">0008375465  357M-BK1066-BAG    2766.4KG   22029685    (200554749)     Br.   </t>
  </si>
  <si>
    <t xml:space="preserve">0008312143  357U-BK1066-BAG    528.7KG   22021779    (200545180)     Br.   </t>
  </si>
  <si>
    <t xml:space="preserve">0006875000  357-GY6D612-BAG    2000KG   22038556    (200377896)     Br.   </t>
  </si>
  <si>
    <t xml:space="preserve">0008416618  4521-1001-BAG    2000KG   22038686    (200559074)     Br.   </t>
  </si>
  <si>
    <t xml:space="preserve">0008371345  V4860HR-WH8D255-BAG    1000KG   22041114    (200553566)     Br.   </t>
  </si>
  <si>
    <t xml:space="preserve">0008525279  DR48-WH5112-BAG    500KG   22035501    (200566090)     Br.   </t>
  </si>
  <si>
    <t xml:space="preserve">0008219232  553-OR5G078-BAG    2000KG   22038042    (200531875)     Br.   </t>
  </si>
  <si>
    <t xml:space="preserve">0008007839  3414R-739-BAG    1275KG   22021743    (200525812)     Br.   </t>
  </si>
  <si>
    <t xml:space="preserve">0008301618  4521-BK1066-BAG    500KG   22028836    (200542910)     Br.   </t>
  </si>
  <si>
    <t xml:space="preserve">0008366101  310SE0-7001-BAG    1000KG   22031109    (200552460)     Br.   </t>
  </si>
  <si>
    <t xml:space="preserve">0008132344  357U-BR5E150-BAG    100KG   22033935    (200529184)     Br.   </t>
  </si>
  <si>
    <t xml:space="preserve">0008236689  V3900WX-GY4E387-BAG    500KG   22030610    (200536002)     Br.   </t>
  </si>
  <si>
    <t xml:space="preserve">0008383651  3706-GY7G497-BAG    2000KG   22038594    (200556896)     Br.   </t>
  </si>
  <si>
    <t xml:space="preserve">0008489303  V3900WX-WH6G137-BAG    500KG   22032805    (200562414)     Br.   </t>
  </si>
  <si>
    <t xml:space="preserve">0008397338  V3900WX-GY1G149-BAG    1000KG   22028833    (200557880)     Br.   </t>
  </si>
  <si>
    <t xml:space="preserve">0008440240  EXL1414-WH9E195-BAG    1000KG   22036166    (200560184)      </t>
  </si>
  <si>
    <t xml:space="preserve">0008532472  EXL4419-6G7A3322-    500KG   299903691    (200567264)     Br.   </t>
  </si>
  <si>
    <t xml:space="preserve">0008415324  357U-GY7B303-BAG    2000KG   22033941    (200558988)     Br.   </t>
  </si>
  <si>
    <t xml:space="preserve">0008381336  357U-WH5E122-BAG    2000KG   22038579    (200556222)     Br.   </t>
  </si>
  <si>
    <t xml:space="preserve">0008415247  V3900WX-WH8E373-BAG    1000KG   22041108    (200558963)     Br.   </t>
  </si>
  <si>
    <t xml:space="preserve">0008415412  HRA222F-BL5E120-BAG    2000KG   22040384    (200558948)     Br.   </t>
  </si>
  <si>
    <t xml:space="preserve">0008415330  357U-4262-BAG    2000KG   22021775    (200559010)     Br.   </t>
  </si>
  <si>
    <t xml:space="preserve">0008293537  DR48-GY6D523-BAG    475KG   22031904    (200541013)     Br.   </t>
  </si>
  <si>
    <t xml:space="preserve">0007601301  420-WH6E281-BAG    5000KG   22031065    (200496010)     Br.   </t>
  </si>
  <si>
    <t xml:space="preserve">0008383243  553-OR5G078-BAG    2000KG   22038042    (200556942)     Br.   </t>
  </si>
  <si>
    <t xml:space="preserve">0008475411  DR48-GN5G003-BAG    1000KG   22035494    (200561560)     Br.   </t>
  </si>
  <si>
    <t xml:space="preserve">0008475393  DR48-BL4G186-BAG    1000KG   22045424    (200561580)     Br.   </t>
  </si>
  <si>
    <t xml:space="preserve">0008366127  310SE0-7001-BAG    2000KG   22031109    (200552531)     Br.   </t>
  </si>
  <si>
    <t xml:space="preserve">0008025326  553-7001-BAG    1000KG   22034189    (200526375)     Br.   </t>
  </si>
  <si>
    <t xml:space="preserve">0008527271  357-GY2G313-BAG    300KG   22038552    (200566425)     Br.   </t>
  </si>
  <si>
    <t xml:space="preserve">0008379363  C2950-7T1D250-BAG    2000KG   22031532    (200555895)     Br.   </t>
  </si>
  <si>
    <t xml:space="preserve">0008422947  C2950HF-GY1D453-BAG    2000KG   22045238    (200559526)     Br.   </t>
  </si>
  <si>
    <t xml:space="preserve">0008488130  HRA222-WH4C030U-BAG    5000KG   22040377    (200562435)     Br.   </t>
  </si>
  <si>
    <t xml:space="preserve">0008471129  C6200-7T1D394-BAG    1000KG   22043956    (200561289)      </t>
  </si>
  <si>
    <t xml:space="preserve">0008473700  C6600-7R6D035-BAG    500KG   22034771    (200561513)      </t>
  </si>
  <si>
    <t xml:space="preserve">0008443762  357-WH2D026-BAG    2000KG   22033927    (200560346)     Br.   </t>
  </si>
  <si>
    <t xml:space="preserve">  CX2244ME-8T8D280-BAG    3000KG   22088072    (96103479)     Br.   </t>
  </si>
  <si>
    <t xml:space="preserve">0008248420  357-WH5C033-BAG    300KG   22029684    (200537659)     Br.   </t>
  </si>
  <si>
    <t xml:space="preserve">0008345979  C2950-GY2C171-BAG    537.9KG   22029947    (200549076)      </t>
  </si>
  <si>
    <t xml:space="preserve">0008316956  HRA170-WH4324-BAG    4184.4KG   22032594    (200546505)     Br.   </t>
  </si>
  <si>
    <t xml:space="preserve">0008443983  940A-WH9A138-BAG    25KG   22034518    (200560364)     Br.   </t>
  </si>
  <si>
    <t xml:space="preserve">0008290920  CX7240-BL7D169-BAG    150KG   22030245    (200540671)     Br.   </t>
  </si>
  <si>
    <t xml:space="preserve">0008297883  141R-BR4A174-BAG    1046.1KG   22029126    (200542106)     Br.   </t>
  </si>
  <si>
    <t xml:space="preserve">0008232412  945-3T4D023-BAG    523.05KG   22031448    (200534789)     Br.   </t>
  </si>
  <si>
    <t xml:space="preserve">0008352070  CX7211-2T2D127-BAG    523.05KG   22086962    (200550473)      </t>
  </si>
  <si>
    <t xml:space="preserve">0008377668  LF1520A-BK1005-BAG    6224.295KG   22023993    (200555292)     Br.   </t>
  </si>
  <si>
    <t xml:space="preserve">0008371937  C7230P-BK1C340-BAG    526.35KG   22031951    (200553717)      </t>
  </si>
  <si>
    <t xml:space="preserve">0008316559  D20001-BK8833-BAG    526.7KG   22035357    (200546330)     Br.   </t>
  </si>
  <si>
    <t xml:space="preserve">0008371502  505RU-739-BAG    1046.1KG   22037995    (200553609)      </t>
  </si>
  <si>
    <t xml:space="preserve">0008309242  LF1520A-BK1005-BAG    2092.2KG   22023993    (200544403)     Br.   </t>
  </si>
  <si>
    <t xml:space="preserve">0008343842  945-7M1D115-BAG    1046.1KG   22038377    (200548664)     Br.   </t>
  </si>
  <si>
    <t xml:space="preserve">0008241137  C2950HF-GY5122-BAG    500KG   22038764    (200537048)      </t>
  </si>
  <si>
    <t xml:space="preserve">0008374907  C2950-4T6D073-BAG    2000KG   22035019    (200554517)     Br.   </t>
  </si>
  <si>
    <t xml:space="preserve">0008376025  C2950-BR6B060-BAG    1000KG   22034596    (200554813)      </t>
  </si>
  <si>
    <t xml:space="preserve">0008377880  945-2T5D080-BAG    125KG   22046139    (200555460)     Br.   </t>
  </si>
  <si>
    <t xml:space="preserve">0008525953  925-6T5A4664-    100KG   299905757    (200566180)      </t>
  </si>
  <si>
    <t xml:space="preserve">0008380883  C7410-BK1C340-BAG    500KG   22028704    (200556115)      </t>
  </si>
  <si>
    <t xml:space="preserve">0008399718  940-GY6123-BAG    1000KG   22019556    (200557989)     Br.   </t>
  </si>
  <si>
    <t xml:space="preserve">0008384915  CM6220-7M7A3374-BAG    1000KG   22104976    (200557253)      </t>
  </si>
  <si>
    <t xml:space="preserve">0008383300  BFL4000U-WH3150-BAG    1000KG   22017663    (200556885)      </t>
  </si>
  <si>
    <t xml:space="preserve">0008384291  920-WH9G206-BAG    100KG   22034343    (200557163)     Br.   </t>
  </si>
  <si>
    <t xml:space="preserve">0008380120  C6600-8R9D069-BAG    500KG   22035257    (200556020)      </t>
  </si>
  <si>
    <t xml:space="preserve">0008379341  CR7520-901-BAG    1000KG   22019773    (200555894)     Br.   </t>
  </si>
  <si>
    <t xml:space="preserve">0008471343  C6600-7M7D027-BAG    1000KG   22022553    (200561272)     Br.   </t>
  </si>
  <si>
    <t xml:space="preserve">0008489921  925-8T8D062-BAG    3000KG   22031292    (200562565)     Br.   </t>
  </si>
  <si>
    <t xml:space="preserve">0008415059  945-7M1D115-BAG    2000KG   22038377    (200558923)     Br.   </t>
  </si>
  <si>
    <t xml:space="preserve">0008463885  925-7T6D230-BAG    1000KG   22085720    (200561225)     Br.   </t>
  </si>
  <si>
    <t xml:space="preserve">0008524955  ML7470R-GY4G192-BAG    1600KG   22037059    (200566019)      </t>
  </si>
  <si>
    <t xml:space="preserve">0008420275  3412R-GY2E372-BAG    100KG   22033621    (200559234)     Br.   </t>
  </si>
  <si>
    <t xml:space="preserve">0008473611  C6303-BK1066-BAG    100KG   22039650    (200561491)      </t>
  </si>
  <si>
    <t xml:space="preserve">0008532331  EXL1414-8T9A4820-    875KG   299905816    (200567237)      </t>
  </si>
  <si>
    <t xml:space="preserve">0008525429  357U-GY1G418-BAG    600KG   22044077    (200566126)     Br.   </t>
  </si>
  <si>
    <t xml:space="preserve">0008370720  CX7240-8T4D044-BAG    2000KG   22035234    (200553335)     Br.   </t>
  </si>
  <si>
    <t xml:space="preserve">0008354626  920-WH9C021-BAG    500KG   22031380    (200551345)     Br.   </t>
  </si>
  <si>
    <t xml:space="preserve">0008442851  CX7211-WH9A224-BAG    500KG   22028491    (200560302)      </t>
  </si>
  <si>
    <t xml:space="preserve">0008313486  C2950-GY1D193-BAG    1000KG   22086929    (200545418)     Br.   </t>
  </si>
  <si>
    <t xml:space="preserve">0008413768  HRA222-WH7D349-BAG    1000KG   22030425    (200558894)     Br.   </t>
  </si>
  <si>
    <t xml:space="preserve">0008236765  CX2244ME-8T9D023-BAG    500KG   22022709    (200535950)      </t>
  </si>
  <si>
    <t xml:space="preserve">0007995182  943A-7G7A2842-    600KG   299904225    (200525340)     Br.   </t>
  </si>
  <si>
    <t xml:space="preserve">0008439432  CM6240-701-BAG    375KG   22022433    (200560037)      </t>
  </si>
  <si>
    <t xml:space="preserve">0008402729  C2950-4T6D005-BAG    2000KG   22035018    (200558287)     Br.   </t>
  </si>
  <si>
    <t xml:space="preserve">0008402708  C2950-4T6D073-BAG    1000KG   22035019    (200558217)     Br.   </t>
  </si>
  <si>
    <t xml:space="preserve">0008421469  945-BL3D150-BAG    200KG   22038408    (200559379)      </t>
  </si>
  <si>
    <t xml:space="preserve">0008492353  C2950-7T1D250-BAG    500KG   22031532    (200562829)     Br.   </t>
  </si>
  <si>
    <t xml:space="preserve">0008402944  D20001-BK8833-BAG    500KG   22035357    (200558288)     Br.   </t>
  </si>
  <si>
    <t xml:space="preserve">0008489733  C7410-BK1C340-BAG    500KG   22028704    (200562562)      </t>
  </si>
  <si>
    <t xml:space="preserve">0008397377  CX7240-BK1D420-BAG    375KG   22019816    (200557902)      </t>
  </si>
  <si>
    <t xml:space="preserve">0008122169  LS2-7056-BAG    2000KG   22041034    (200529021)     Br.   </t>
  </si>
  <si>
    <t xml:space="preserve">0008400901  505RU-7T8D558-BAG    200KG   22031252    (200558162)      </t>
  </si>
  <si>
    <t xml:space="preserve">0008415287  500R-WH9G709-BAG    2000KG   22044789    (200559009)     Br.   </t>
  </si>
  <si>
    <t xml:space="preserve">0008345913  500R-RD5D188-BAG    1000KG   22029841    (200549073)     Br.   </t>
  </si>
  <si>
    <t xml:space="preserve">0008415307  C6600-8M9D029-BAG    3000KG   22022574    (200558985)     Br.   </t>
  </si>
  <si>
    <t xml:space="preserve">0008300114  500-739-BAG    25KG   22021690    (200542686)     Br.   </t>
  </si>
  <si>
    <t xml:space="preserve">0008524631  500-YW5C027-BAG    500KG   22038707    (200566027)     Br.   </t>
  </si>
  <si>
    <t xml:space="preserve">0008383585  D20001-BK1A647-BAG    500KG   22032142    (200556934)      </t>
  </si>
  <si>
    <t xml:space="preserve">0008526280  C6600-7M7D027-BAG    1000KG   22022553    (200566256)     Br.   </t>
  </si>
  <si>
    <t xml:space="preserve">0008524261  C7230P-BK1C340-BAG    800KG   22031951    (200565921)      </t>
  </si>
  <si>
    <t xml:space="preserve">0008527137  CM6140-7T7A3687-    100KG   299904423    (200566340)      </t>
  </si>
  <si>
    <t xml:space="preserve">0008532374  BPL1000-BK1C340-BAG    150KG   22034792    (200567218)      </t>
  </si>
  <si>
    <t xml:space="preserve">0008491151  C2950-4T6D005-BAG    3000KG   22035018    (200562713)     Br.   </t>
  </si>
  <si>
    <t xml:space="preserve">0008402946  C1200HF-BK3D018-BAG    2000KG   22031614    (200558303)     Br.   </t>
  </si>
  <si>
    <t xml:space="preserve">0008498498  HRA170-BK2G008-BAG    3000KG   22036438    (200563882)     Br.   </t>
  </si>
  <si>
    <t xml:space="preserve">0008311980  ML7470R-GY4G192-BAG    20400KG   22037059    (200545213)      </t>
  </si>
  <si>
    <t xml:space="preserve">0008532083  141R-GY6A427-BAG    20280KG   22030748    (200567205)      </t>
  </si>
  <si>
    <t xml:space="preserve">0008350260  C2950-WH8G587-BAG    10100KG   22039528    (200550306)     Br.   </t>
  </si>
  <si>
    <t xml:space="preserve">0008241060  CX7240-8N9D079-BAG    20200KG   22031866    (200537035)      </t>
  </si>
  <si>
    <t xml:space="preserve">0008379178  C2800-111-BAG    10200KG   22022249    (200555869)      </t>
  </si>
  <si>
    <t xml:space="preserve">0008375267  C6200-111-BAG    20400KG   22019707    (200554618)      </t>
  </si>
  <si>
    <t xml:space="preserve">0008375276  C6200-111-BAG    20400KG   22019707    (200554620)      </t>
  </si>
  <si>
    <t xml:space="preserve">0008532249  C6200-111-BAG    20000KG   22019707    (200567209)      </t>
  </si>
  <si>
    <t xml:space="preserve">0008532236  C2950-111-BAG    20000KG   22022267    (200567229)      </t>
  </si>
  <si>
    <t xml:space="preserve">0008450810  C7230P-7M2D039-BAG    4450KG   22039048    (200560662)     Br.   </t>
  </si>
  <si>
    <t xml:space="preserve">  C6600-111-BAG    20000KG   22018361    (96171996)      </t>
  </si>
  <si>
    <t xml:space="preserve">  357-BK1066-BAG    20000KG   22017581    (97082343)     Br.   </t>
  </si>
  <si>
    <t xml:space="preserve">0008305859  1731-BK1066-BAG    20200KG   22021432    (200543535)      </t>
  </si>
  <si>
    <t xml:space="preserve">0008372119  X4820-BK1066-BAG    3047.7KG   22041402    (200553751)      </t>
  </si>
  <si>
    <t xml:space="preserve">0007601240  420-BK1066-BAG    10100KG   22021633    (200496007)      </t>
  </si>
  <si>
    <t xml:space="preserve">0008322644  241R-GY3395-BAG    5100KG   22030868    (200547714)     Br.   </t>
  </si>
  <si>
    <t xml:space="preserve">0007665038  243R-GY7G380-BAG    4072KG   22031093    (200504211)     Br.   </t>
  </si>
  <si>
    <t xml:space="preserve">0008356966  241S-WH9G203-BAG    20316KG   22031084    (200551299)     Br.   </t>
  </si>
  <si>
    <t xml:space="preserve">0008356936  241S-WH9G203-BAG    20316KG   22031084    (200551341)     Br.   </t>
  </si>
  <si>
    <t xml:space="preserve">0008233745  241S-WH9G203-BAG    20316KG   22031084    (200534960)     Br.   </t>
  </si>
  <si>
    <t xml:space="preserve">0008357021  241S-WH9G203-BAG    20316KG   22031084    (200551384)     Br.   </t>
  </si>
  <si>
    <t xml:space="preserve">0008416092  5220U-YW6A028-BAG    20000KG   22019425    (200559096)     Br.   </t>
  </si>
  <si>
    <t xml:space="preserve">0008416087  5220U-YW6A028-BAG    10000KG   22019425    (200559095)     Br.   </t>
  </si>
  <si>
    <t xml:space="preserve">0008492344  5220U-1001-BAG    10000KG   22017603    (200562804)      </t>
  </si>
  <si>
    <t xml:space="preserve">0007622331  1105-78211-BAG    10000KG   22030691    (200498161)      </t>
  </si>
  <si>
    <t xml:space="preserve">0007601251  420-BK1066-BAG    10000KG   22021633    (200495977)      </t>
  </si>
  <si>
    <t xml:space="preserve">0007659183  508-BK1066-BAG    10000KG   22021921    (200502179)      </t>
  </si>
  <si>
    <t xml:space="preserve">0008367382  CY8630-701-BAG    20000KG   22089617    (200552728)      </t>
  </si>
  <si>
    <t xml:space="preserve">0008367388  CY8630-701-BAG    20000KG   22089617    (200552711)      </t>
  </si>
  <si>
    <t xml:space="preserve">  C1200HF-RD3G073-BAG    20000KG   22029056    (94716247)     Br.   </t>
  </si>
  <si>
    <t xml:space="preserve">  141R-GY6A427-BAG    20000KG   22030748    (94606504)      </t>
  </si>
  <si>
    <t xml:space="preserve">  141R-GY6A427-BAG    20000KG   22030748    (94717410)      </t>
  </si>
  <si>
    <t xml:space="preserve">0008280725  XTWM206-WH6G187-BAG    10000KG   22086028    (200539771)     Br.   </t>
  </si>
  <si>
    <t xml:space="preserve">0008228800  HRA222F-GY8E417-BAG    5000KG   22032603    (200533558)     Br.   </t>
  </si>
  <si>
    <t xml:space="preserve">0008374774  C1200HF-WH8334-BAG    5000KG   22022244    (200554585)     Br.   </t>
  </si>
  <si>
    <t xml:space="preserve">0008370737  CY8630-701-BAG    20000KG   22089617    (200553354)      </t>
  </si>
  <si>
    <t xml:space="preserve">0008474845  DR51-1001-BAG    15000KG   22017180    (200561481)      </t>
  </si>
  <si>
    <t xml:space="preserve">0007575031  508-BK1066-BAG    20000KG   22021921    (200494185)      </t>
  </si>
  <si>
    <t xml:space="preserve">0008297756  505RU-GY2E539-BAG    12268.8KG   22031253    (200542067)      </t>
  </si>
  <si>
    <t xml:space="preserve">0008365424  CX7240-7T1D193-BAG    20200KG   22039232    (200552328)      </t>
  </si>
  <si>
    <t xml:space="preserve">0008365428  CX7240-7T1D193-BAG    10100KG   22039232    (200552330)      </t>
  </si>
  <si>
    <t xml:space="preserve">0008365426  CX7240-7T1D193-BAG    20200KG   22039232    (200552329)      </t>
  </si>
  <si>
    <t xml:space="preserve">0008436236  EXL4019-GY1G382-BAG    5050KG   22045196    (200560062)     Br.   </t>
  </si>
  <si>
    <t xml:space="preserve">0008532248  3412ECR-739-BAG    20200KG   22017144    (200567135)      </t>
  </si>
  <si>
    <t xml:space="preserve">0008532260  3412ECR-739-BAG    20200KG   22017144    (200567138)      </t>
  </si>
  <si>
    <t xml:space="preserve">0008236733  500R-73215-BAG    20000KG   22029835    (200535947)     Br.   </t>
  </si>
  <si>
    <t xml:space="preserve">0008344389  CX7240-7M1D051-BAG    10100KG   22022725    (200548762)      </t>
  </si>
  <si>
    <t xml:space="preserve">0008323775  C2800-7T1D203-BAG    10100KG   22034977    (200547923)     Br.   </t>
  </si>
  <si>
    <t xml:space="preserve">0008322475  C6200-GY2E474-BAG    5060.5KG   22030099    (200547784)     Br.   </t>
  </si>
  <si>
    <t xml:space="preserve">0008322471  C6200-GY2E474-BAG    20000KG   22030099    (200547782)     Br.   </t>
  </si>
  <si>
    <t xml:space="preserve">0008349446  C2950-7T1D300-BAG    20000KG   22039488    (200550024)      </t>
  </si>
  <si>
    <t xml:space="preserve">0008517816  553U-BK1066-BAG    5000KG   22028109    (200564816)     Br.   </t>
  </si>
  <si>
    <t xml:space="preserve">0008517801  553U-BK1066-BAG    5000KG   22028109    (200564922)     Br.   </t>
  </si>
  <si>
    <t xml:space="preserve">  DR48-BK1066-BAG    20000KG   22017721    (86716001)     Br.   </t>
  </si>
  <si>
    <t xml:space="preserve">0008342430  310SE0-7001-BAG    3000KG   22031109    (200548488)     Br.   </t>
  </si>
  <si>
    <t xml:space="preserve">0008491906  357U-BK1066-BAG    9750KG   22021779    (200562756)     Br.   </t>
  </si>
  <si>
    <t xml:space="preserve">0008491266  ENH4530-7T1D167L-BAG    3000KG   22055155    (200562694)      </t>
  </si>
  <si>
    <t xml:space="preserve">  DR48-BK1066-BAG    20000KG   22017721    (87172456)     Br.   </t>
  </si>
  <si>
    <t xml:space="preserve">0007260228  553-7001-BAG    10000KG   22034189    (200457955)     Br.   </t>
  </si>
  <si>
    <t xml:space="preserve">0008375944  553-BK1066-BAG    5000KG   22017303    (200554826)     Br.   </t>
  </si>
  <si>
    <t xml:space="preserve">0008344460  ENH4550-BK1066-BAG    5000KG   22018474    (200548710)      </t>
  </si>
  <si>
    <t xml:space="preserve">0008501569  ENH4560-BK1066-BAG    3000KG   22035584    (200564021)      </t>
  </si>
  <si>
    <t xml:space="preserve">  3412ECR-739-BAG    20000KG   22017144    (94769856)      </t>
  </si>
  <si>
    <t xml:space="preserve">0008365178  C6600-2T6D065-BAG    5000KG   22084468    (200552251)     Br.   </t>
  </si>
  <si>
    <t xml:space="preserve">0008525423  CX7240-BK1D797-BAG    5000KG   22032078    (200566163)      </t>
  </si>
  <si>
    <t xml:space="preserve">0008236492  HRA222-BK1A021-BAG    4000KG   22032595    (200535905)     Br.   </t>
  </si>
  <si>
    <t xml:space="preserve">  3412ECR-739-BAG    20000KG   22017144    (97082341)      </t>
  </si>
  <si>
    <t xml:space="preserve">  3412ECR-739-BAG    20000KG   22017144    (94769857)      </t>
  </si>
  <si>
    <t xml:space="preserve">  3412ECR-739-BAG    20000KG   22017144    (97082342)      </t>
  </si>
  <si>
    <t xml:space="preserve">  945-701-BAG    10000KG   22019581    (93845579)      </t>
  </si>
  <si>
    <t xml:space="preserve">  945-701-BAG    10000KG   22019581    (93845578)      </t>
  </si>
  <si>
    <t xml:space="preserve">  945-701-BAG    10000KG   22019581    (94510313)      </t>
  </si>
  <si>
    <t xml:space="preserve">0008357429  EF004XXP-7A2A3913-BAG    12000KG   22106119    (200551494)      </t>
  </si>
  <si>
    <t xml:space="preserve">0008399466  EF004XXP-7A2A3913-BAG    14500KG   22106119    (200558023)      </t>
  </si>
  <si>
    <t xml:space="preserve">0008469020  CX7211-BK1005-BAG    20000KG   22022719    (200561311)      </t>
  </si>
  <si>
    <t xml:space="preserve">  C6200-701-BAG    25000KG   22018354    (94543728)      </t>
  </si>
  <si>
    <t xml:space="preserve">  C2950-701-BAG    20000KG   22022271    (94038883)      </t>
  </si>
  <si>
    <t xml:space="preserve">  C2950-701-BAG    20000KG   22022271    (94038884)      </t>
  </si>
  <si>
    <t xml:space="preserve">0008532117  2110-7301-BAG    10000KG   22021479    (200567132)      </t>
  </si>
  <si>
    <t xml:space="preserve">0008532102  2110-7301-BAG    10000KG   22021479    (200567194)      </t>
  </si>
  <si>
    <t xml:space="preserve">0008490542  103R-111-BAG    20000KG   22019104    (200562651)      </t>
  </si>
  <si>
    <t xml:space="preserve">0008306330  243R-111-BAG    10000KG   22019283    (200543690)      </t>
  </si>
  <si>
    <t xml:space="preserve">0008415309  HF1130-RD5E094T-BAG    5000KG   22030479    (200558966)     Br.   </t>
  </si>
  <si>
    <t xml:space="preserve">0007621456  LS2-RD4B057T-BAG    20200KG   22036922    (200498109)      </t>
  </si>
  <si>
    <t xml:space="preserve">0007238182  LS2-4158-BAG    5050KG   22020459    (200452664)      </t>
  </si>
  <si>
    <t xml:space="preserve">0008532255  141R-GY6A427-BAG    20000KG   22030748    (200567136)      </t>
  </si>
  <si>
    <t xml:space="preserve">0008236975  141R-111-BAG    15000KG   22018087    (200535993)      </t>
  </si>
  <si>
    <t xml:space="preserve">0008306813  143R-111-BAG    20200KG   22021389    (200543720)      </t>
  </si>
  <si>
    <t xml:space="preserve">0007574053  121R-111-BAG    10142KG   22019125    (200494072)      </t>
  </si>
  <si>
    <t xml:space="preserve">  141R-GY6A427-BAG    20000KG   22030748    (86447054)      </t>
  </si>
  <si>
    <t xml:space="preserve">0008219001  143R-WH8G674-BAG    20000KG   22088923    (200531849)      </t>
  </si>
  <si>
    <t xml:space="preserve">0008358953  143R-111-BAG    20000KG   22021389    (200551657)      </t>
  </si>
  <si>
    <t xml:space="preserve">0008296367  HF1130-111-BAG    10000KG   22023563    (200541727)      </t>
  </si>
  <si>
    <t xml:space="preserve">0007576811  141R-111-BAG    10000KG   22018087    (200494321)      </t>
  </si>
  <si>
    <t xml:space="preserve">0007131147  141R-111-BAG    10000KG   22018087    (200428401)      </t>
  </si>
  <si>
    <t xml:space="preserve">0007574222  144R-111FC-BAG    10000KG   22021418    (200494106)      </t>
  </si>
  <si>
    <t xml:space="preserve">0007574189  143R-111-BAG    10000KG   22021389    (200494124)      </t>
  </si>
  <si>
    <t xml:space="preserve">0008267931  241R-111-BAG    10000KG   22019277    (200538642)      </t>
  </si>
  <si>
    <t xml:space="preserve">0007574255  241R-111-BAG    10000KG   22019277    (200494095)      </t>
  </si>
  <si>
    <t xml:space="preserve">0008022056  121R-111-BAG    10000KG   22019125    (200526414)      </t>
  </si>
  <si>
    <t xml:space="preserve">0008130605  LS2-6162-BAG    5000KG   22018730    (200529130)     Br.   </t>
  </si>
  <si>
    <t xml:space="preserve">0008449877  LS2-6162-BAG    9300.002KG   22018730    (200560458)     Br.   </t>
  </si>
  <si>
    <t xml:space="preserve">0007621466  LS2-RD4B057T-BAG    20000KG   22036922    (200498097)      </t>
  </si>
  <si>
    <t xml:space="preserve">0008347447  C1200HF-GY6G152-BAG    5063.5KG   22034465    (200549451)      </t>
  </si>
  <si>
    <t xml:space="preserve">0008321151  940-701-BAG    10192KG   22019549    (200547602)     Br.   </t>
  </si>
  <si>
    <t xml:space="preserve">0008442374  BPL1000-BK1C294-BAG    6575KG   22038527    (200560237)      </t>
  </si>
  <si>
    <t xml:space="preserve">0008376309  CX7240-701-BAG    20000KG   22017351    (200554942)      </t>
  </si>
  <si>
    <t xml:space="preserve">  C2950-701-BAG    20000KG   22022271    (95455658)      </t>
  </si>
  <si>
    <t xml:space="preserve">  C2950-701-BAG    20000KG   22022271    (95996168)      </t>
  </si>
  <si>
    <t xml:space="preserve">  C2950-701-BAG    20000KG   22022271    (95453260)      </t>
  </si>
  <si>
    <t xml:space="preserve">  C6200-701-BAG    20000KG   22018354    (96011831)      </t>
  </si>
  <si>
    <t xml:space="preserve">  C6200-701-BAG    20000KG   22018354    (95454670)      </t>
  </si>
  <si>
    <t xml:space="preserve">0008421355  500R-73215-BAG    20000KG   22029835    (200559360)     Br.   </t>
  </si>
  <si>
    <t xml:space="preserve">  500R-739-BAG    10000KG   22021700    (96018333)     Br.   </t>
  </si>
  <si>
    <t xml:space="preserve">  3412R-739-BAG    10000KG   22021730    (96016662)     Br.   </t>
  </si>
  <si>
    <t xml:space="preserve">  C2950-701-BAG    20000KG   22022271    (95453261)      </t>
  </si>
  <si>
    <t xml:space="preserve">  C6600-701-BAG    10000KG   22039680    (96011918)      </t>
  </si>
  <si>
    <t xml:space="preserve">0007817569  505RU-7T1D073-BAG    5000KG   22031251    (200516891)      </t>
  </si>
  <si>
    <t xml:space="preserve">0008372100  500R-73234-BAG    10000KG   22038722    (200553731)     Br.   </t>
  </si>
  <si>
    <t xml:space="preserve">0008316164  CX7240-BK1D420-BAG    15000KG   22019816    (200546221)      </t>
  </si>
  <si>
    <t xml:space="preserve">  C2950-701-BAG    20000KG   22022271    (95996169)      </t>
  </si>
  <si>
    <t xml:space="preserve">0008416094  C2950-701-BAG    20200KG   22022271    (200559124)      </t>
  </si>
  <si>
    <t xml:space="preserve">0008416089  C1200HF-701-BAG    11147.4KG   22022222    (200559104)      </t>
  </si>
  <si>
    <t xml:space="preserve">0007280280  MC8002-701-BAG    10100KG   22023863    (200462924)      </t>
  </si>
  <si>
    <t xml:space="preserve">0008532256  C1200HF-RD3G073-BAG    20000KG   22029056    (200567211)     Br.   </t>
  </si>
  <si>
    <t xml:space="preserve">0008532263  C1200HF-RD3G073-BAG    20000KG   22029056    (200567214)     Br.   </t>
  </si>
  <si>
    <t xml:space="preserve">  141R-701-BAG    20000KG   22021359    (86376347)      </t>
  </si>
  <si>
    <t xml:space="preserve">  141R-701-BAG    20000KG   22021359    (83539334)      </t>
  </si>
  <si>
    <t xml:space="preserve">  141R-701-BAG    20000KG   22021359    (75336078)      </t>
  </si>
  <si>
    <t xml:space="preserve">  141R-701-BAG    20000KG   22021359    (83539335)      </t>
  </si>
  <si>
    <t xml:space="preserve">  141R-701-BAG    20000KG   22021359    (83539336)      </t>
  </si>
  <si>
    <t xml:space="preserve">0008384033  5450-13200-BAG    15000KG   22034186    (200557069)      </t>
  </si>
  <si>
    <t xml:space="preserve">0008384043  5450-13200-BAG    10000KG   22034186    (200557012)      </t>
  </si>
  <si>
    <t xml:space="preserve">0008419090  7530-14600-BAG    10000KG   22033905    (200559255)      </t>
  </si>
  <si>
    <t xml:space="preserve">0008528252  945-7M1D115-BAG    3000KG   22038377    (200566647)     Br.   </t>
  </si>
  <si>
    <t xml:space="preserve">  9140-10055-BAG    20000KG   22038965    (94509295)      </t>
  </si>
  <si>
    <t xml:space="preserve">  141R-701-BAG    20000KG   22021359    (75337392)      </t>
  </si>
  <si>
    <t xml:space="preserve">  141R-701-BAG    20000KG   22021359    (83586924)      </t>
  </si>
  <si>
    <t xml:space="preserve">  141R-701-BAG    20000KG   22021359    (80845712)      </t>
  </si>
  <si>
    <t xml:space="preserve">0008372256  310SE0-GY5D518-BAG    10194KG   22031116    (200553737)     Br.   </t>
  </si>
  <si>
    <t xml:space="preserve">0008320370  3706-GY8G367-BAG    4101.03KG   22033643    (200547463)     Br.   </t>
  </si>
  <si>
    <t xml:space="preserve">0007260247  553-OR5G003-BAG    10247KG   22031160    (200457858)     Br.   </t>
  </si>
  <si>
    <t xml:space="preserve">0008297621  553-GY2D099-BAG    6148.2KG   22034193    (200541994)     Br.   </t>
  </si>
  <si>
    <t xml:space="preserve">0008320081  310SE0-BL3E215-BAG    10194KG   22033578    (200547278)     Br.   </t>
  </si>
  <si>
    <t xml:space="preserve">0008532234  V3900WX-BK1066-BAG    5000KG   22024815    (200567172)     Br.   </t>
  </si>
  <si>
    <t xml:space="preserve">0008416081  141R-GY6A427-BAG    20000KG   22030748    (200559122)      </t>
  </si>
  <si>
    <t xml:space="preserve">0008372284  DR48-1001-BAG    20250KG   22019884    (200553810)     Br.   </t>
  </si>
  <si>
    <t xml:space="preserve">0008383619  357U-1001-BAG    10247KG   22031037    (200556960)     Br.   </t>
  </si>
  <si>
    <t xml:space="preserve">0008383606  357U-1001-BAG    20494KG   22031037    (200556935)     Br.   </t>
  </si>
  <si>
    <t xml:space="preserve">0008532245  357-1001-BAG    20000KG   22019323    (200567197)     Br.   </t>
  </si>
  <si>
    <t xml:space="preserve">0008532247  357-BK1066-BAG    5000KG   22017581    (200567137)     Br.   </t>
  </si>
  <si>
    <t xml:space="preserve">0008383613  357U-BK1066-BAG    20000KG   22021779    (200556914)     Br.   </t>
  </si>
  <si>
    <t xml:space="preserve">0008402721  364-GY5G100-BAG    4900KG   22033955    (200558232)     Br.   </t>
  </si>
  <si>
    <t xml:space="preserve">0008223595  4521-8244-BAG    6000KG   22018193    (200532822)     Br.   </t>
  </si>
  <si>
    <t xml:space="preserve">0008490928  DR48-1001-BAG    10000KG   22019884    (200562708)     Br.   </t>
  </si>
  <si>
    <t xml:space="preserve">  457-1001-BAG    4500KG   22021676    (90795443)     Br.   </t>
  </si>
  <si>
    <t xml:space="preserve">  553-1001-BAG    5000KG   22019426    (95448144)     Br.   </t>
  </si>
  <si>
    <t xml:space="preserve">  357-1001-BAG    11000KG   22019323    (95448143)     Br.   </t>
  </si>
  <si>
    <t xml:space="preserve">  357-1001-BAG    10000KG   22019323    (95453572)     Br.   </t>
  </si>
  <si>
    <t xml:space="preserve">0008306059  325-1001-BAG    10000KG   22026893    (200543539)      </t>
  </si>
  <si>
    <t xml:space="preserve">0008471079  V3900WX-GY8H043-BAG    10000KG   22084142    (200561342)     Br.   </t>
  </si>
  <si>
    <t xml:space="preserve">0007659141  357U-GY8F076-BAG    20000KG   22033942    (200502152)     Br.   </t>
  </si>
  <si>
    <t xml:space="preserve">0008492287  357U-GY7G281-BAG    5000KG   22017146    (200562827)     Br.   </t>
  </si>
  <si>
    <t xml:space="preserve">0008383653  3706-GY8G367-BAG    18000KG   22033643    (200556919)     Br.   </t>
  </si>
  <si>
    <t xml:space="preserve">  V3900WX-BK1066-BAG    10000KG   22024815    (94053025)     Br.   </t>
  </si>
  <si>
    <t xml:space="preserve">0008299583  V4860HR-BK1066-BAG    5050KG   22024826    (200542606)     Br.   </t>
  </si>
  <si>
    <t xml:space="preserve">0008376338  ENH2900-8A9D020-BAG    20446KG   22022996    (200554944)      </t>
  </si>
  <si>
    <t xml:space="preserve">0008380635  ENH2900-8A9D020-BAG    2044.6KG   22022996    (200556087)      </t>
  </si>
  <si>
    <t xml:space="preserve">0008374695  C2950HF-111-BAG    2020KG   22022287    (200554511)      </t>
  </si>
  <si>
    <t xml:space="preserve">0008383316  C6600E-WH7C027-BAG    5050KG   22035409    (200556924)      </t>
  </si>
  <si>
    <t xml:space="preserve">0008344626  BFL4000U-WH3150-BAG    2810.7KG   22017663    (200548721)      </t>
  </si>
  <si>
    <t xml:space="preserve">0008238078  EXL1414-WH9G658-BAG    2042.4KG   22040495    (200536342)      </t>
  </si>
  <si>
    <t xml:space="preserve">0008442712  EXL1414-WH9G658-BAG    2042.4KG   22040495    (200560240)      </t>
  </si>
  <si>
    <t xml:space="preserve">0008400895  ENH2900-8A9D020-BAG    18503.63KG   22022996    (200558080)      </t>
  </si>
  <si>
    <t xml:space="preserve">0008312339  ENH2900-8A9D020-BAG    20446KG   22022996    (200545325)      </t>
  </si>
  <si>
    <t xml:space="preserve">0008441050  ENH2900-8A9D020-BAG    20000KG   22022996    (200560246)      </t>
  </si>
  <si>
    <t xml:space="preserve">0008525319  ENH2900-7A8D036-BAG    2050KG   22035576    (200566125)      </t>
  </si>
  <si>
    <t xml:space="preserve">0008524379  ENH2900-7A8D036-BAG    1000KG   22035576    (200565996)      </t>
  </si>
  <si>
    <t xml:space="preserve">0008444601  CX7240-GY8D096-BAG    2000KG   22028160    (200560368)      </t>
  </si>
  <si>
    <t xml:space="preserve">0007795573  CX7211-8T4D055-BAG    5000KG   22028715    (200515805)      </t>
  </si>
  <si>
    <t xml:space="preserve">0008525330  ENH2900-8A9D020-BAG    18000KG   22022996    (200566092)      </t>
  </si>
  <si>
    <t xml:space="preserve">0007601076  141R-WH8G792-BAG    5000KG   22033228    (200495971)      </t>
  </si>
  <si>
    <t xml:space="preserve">0008372021  121R-GY6G329-BAG    2000KG   22030899    (200553727)      </t>
  </si>
  <si>
    <t xml:space="preserve">0007601086  141R-WH8G792-BAG    5000KG   22033228    (200495959)      </t>
  </si>
  <si>
    <t xml:space="preserve">0008320384  C6600-7R8D045-BAG    5095.5KG   22031796    (200547464)      </t>
  </si>
  <si>
    <t xml:space="preserve">0007692688  420-1001-BAG    3073.2KG   22021631    (200506682)      </t>
  </si>
  <si>
    <t xml:space="preserve">0008312284  5220U-1001-BAG    9342KG   22017603    (200545322)      </t>
  </si>
  <si>
    <t xml:space="preserve">0008237562  5220U-1001-BAG    5190KG   22017603    (200536182)      </t>
  </si>
  <si>
    <t xml:space="preserve">0008491306  5220U-8A9D003-BAG    4152KG   22018207    (200562696)      </t>
  </si>
  <si>
    <t xml:space="preserve">0008471814  5220U-7A1D007-BAG    2076KG   22033797    (200561295)      </t>
  </si>
  <si>
    <t xml:space="preserve">0008473665  ENH2900-7A1D286-BAG    2582.5KG   22044561    (200561546)      </t>
  </si>
  <si>
    <t xml:space="preserve">0008384045  CL100-78211-BAG    1037KG   22028144    (200556979)      </t>
  </si>
  <si>
    <t xml:space="preserve">0008297149  CL100-7001-BAG    12444KG   22039079    (200541820)      </t>
  </si>
  <si>
    <t xml:space="preserve">0008419562  C1200HF-BL1G087-BAG    2050KG   22034420    (200559259)      </t>
  </si>
  <si>
    <t xml:space="preserve">0008490014  CX7240-7A1D002-BAG    1037.3KG   22019812    (200562587)      </t>
  </si>
  <si>
    <t xml:space="preserve">0008376356  EXL1414T-7A1D040-BAG    4088.8KG   22039729    (200554898)      </t>
  </si>
  <si>
    <t xml:space="preserve">0008309256  143R-701-BAG    2045KG   22021393    (200544404)      </t>
  </si>
  <si>
    <t xml:space="preserve">0008419410  BPL1000-BK1C294-BAG    2000KG   22038527    (200559299)      </t>
  </si>
  <si>
    <t xml:space="preserve">0008345767  3412ECR-GY2E372-BAG    2085KG   22033602    (200549083)      </t>
  </si>
  <si>
    <t xml:space="preserve">0007774751  C2950HF-701-BAG    2050.2KG   22018347    (200513096)      </t>
  </si>
  <si>
    <t xml:space="preserve">0008312232  141R-GY5G126-BAG    10303KG   22028666    (200545306)      </t>
  </si>
  <si>
    <t xml:space="preserve">0008379399  325-1001-BAG    5000KG   22026893    (200555880)      </t>
  </si>
  <si>
    <t xml:space="preserve">0008436275  C6200-OR3C107-BAG    2000KG   22031763    (200560025)      </t>
  </si>
  <si>
    <t xml:space="preserve">0007566743  123R-GY2G415-BAG    10000KG   22043778    (200493232)      </t>
  </si>
  <si>
    <t xml:space="preserve">0008524173  5220UC-6A3A2760-BAG    1000KG   22106541    (200565967)      </t>
  </si>
  <si>
    <t xml:space="preserve">0008305592  505RU-7A1D069-BAG    2075KG   22033780    (200543470)      </t>
  </si>
  <si>
    <t xml:space="preserve">0008218814  505RU-GY2E539-BAG    3000KG   22031253    (200531739)      </t>
  </si>
  <si>
    <t xml:space="preserve">0008376352  CX7240-7A1D002-BAG    2925KG   22019812    (200554897)      </t>
  </si>
  <si>
    <t xml:space="preserve">0008365137  C6600-7R3D023-BAG    3050KG   22045266    (200552238)      </t>
  </si>
  <si>
    <t xml:space="preserve">0008419126  505RU-7T8D558-BAG    2000KG   22031252    (200559230)      </t>
  </si>
  <si>
    <t xml:space="preserve">0007601197  420-1001-BAG    10000KG   22021631    (200495920)      </t>
  </si>
  <si>
    <t xml:space="preserve">0007634135  5220U-BK1066-BAG    2000KG   22019415    (200499262)      </t>
  </si>
  <si>
    <t xml:space="preserve">0008292713  MC8002-701-BAG    5000KG   22023863    (200540790)      </t>
  </si>
  <si>
    <t xml:space="preserve">0007763376  123R-701-BAG    8000KG   22017535    (200510624)      </t>
  </si>
  <si>
    <t xml:space="preserve">0008417099  325-1001-BAG    2000KG   22026893    (200559192)      </t>
  </si>
  <si>
    <t xml:space="preserve">0008365181  C6600-7T6D253-BAG    1000KG   22084473    (200552305)      </t>
  </si>
  <si>
    <t xml:space="preserve">0008280370  3412ECR-GY2E372-BAG    2000KG   22033602    (200539746)      </t>
  </si>
  <si>
    <t xml:space="preserve">0008490525  60YM241-10000-OCT    38570KG   22088738    (200562636)      </t>
  </si>
  <si>
    <t xml:space="preserve">0008346332  612MK10EE-900-OCT    50100KG   22064333    (200549099)      </t>
  </si>
  <si>
    <t xml:space="preserve">0008346326  612MK10EE-900-OCT    50100KG   22064333    (200549098)      </t>
  </si>
  <si>
    <t>L51</t>
  </si>
  <si>
    <t xml:space="preserve">  NH6020-100-BAG    20000KG   22060061    (200567350)      </t>
  </si>
  <si>
    <t xml:space="preserve">  SE100V-GY8886-BAG    25KG   22040957    (97177235)     Br.   </t>
  </si>
  <si>
    <t xml:space="preserve">  2400F-1000-    25KG   290018756    (200567416)      </t>
  </si>
  <si>
    <t xml:space="preserve">  7310-111-BAG    125KG   22096118    (200567363)      </t>
  </si>
  <si>
    <t xml:space="preserve">  5220U-BK1066-BAG    25KG   22019415    (200567301)      </t>
  </si>
  <si>
    <t xml:space="preserve">  925-8T9D148-BAG    2000KG   22067305    (97179190)     Br.   </t>
  </si>
  <si>
    <t xml:space="preserve">  357U-WH9D216-BAG    25KG   22038581    (200567349)     Br.   </t>
  </si>
  <si>
    <t xml:space="preserve">  EXL1414-8T9A4820-    475KG   299905816    (200567312)      </t>
  </si>
  <si>
    <t xml:space="preserve">  C6600-BL1513-    500KG   299901369    (200567179)      </t>
  </si>
  <si>
    <t xml:space="preserve">  CX7240-8B6D009-BAG    20000KG   22035230    (97179191)      </t>
  </si>
  <si>
    <t xml:space="preserve">  4521-8244-BAG    6000KG   22018193    (97166648)     Br.   </t>
  </si>
  <si>
    <t xml:space="preserve">  C1200HF-GY6G152-BAG    5000KG   22034465    (200567367)      </t>
  </si>
  <si>
    <t xml:space="preserve">  CX2244ME-111-BAG    500KG   22022500    (200567450)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</si>
</sst>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400]h:mm:ss\ AM/PM"/>
    <numFmt numFmtId="165" formatCode="#,##0.000"/>
    <numFmt numFmtId="166" formatCode="h:mm;@"/>
  </numFmts>
  <fonts count="11">
    <font>
      <sz val="10"/>
      <name val="Arial"/>
    </font>
    <font>
      <sz val="10"/>
      <name val="Arial"/>
      <family val="2"/>
    </font>
    <font>
      <sz val="11"/>
      <color rgb="FF000000"/>
      <name val="Calibri"/>
      <family val="2"/>
    </font>
    <font>
      <b/>
      <sz val="10"/>
      <name val="Arial"/>
      <family val="2"/>
    </font>
    <font>
      <sz val="9"/>
      <name val="宋体"/>
      <family val="3"/>
      <charset val="134"/>
    </font>
    <font>
      <i/>
      <sz val="10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theme="2"/>
      </right>
      <top/>
      <bottom/>
      <diagonal/>
    </border>
    <border>
      <left/>
      <right style="dotted">
        <color rgb="FF0070C0"/>
      </right>
      <top/>
      <bottom/>
      <diagonal/>
    </border>
    <border>
      <left style="dotted">
        <color rgb="FF0070C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9">
    <xf numFmtId="0" fontId="0" fillId="0" borderId="0" xfId="0" applyAlignment="1">
      <alignment vertical="top"/>
    </xf>
    <xf numFmtId="0" fontId="0" fillId="2" borderId="1" xfId="0" applyFill="1" applyBorder="1" applyAlignment="1">
      <alignment vertical="top"/>
    </xf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64" fontId="0" fillId="0" borderId="0" xfId="0" applyNumberForma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0" fillId="2" borderId="1" xfId="0" applyFill="1" applyBorder="1" applyAlignment="1">
      <alignment vertical="top" wrapText="1"/>
    </xf>
    <xf numFmtId="0" fontId="1" fillId="0" borderId="0" xfId="0" applyFont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Fill="1" applyBorder="1" applyAlignment="1">
      <alignment vertical="top"/>
    </xf>
    <xf numFmtId="14" fontId="0" fillId="0" borderId="0" xfId="0" applyNumberFormat="1" applyBorder="1" applyAlignment="1">
      <alignment vertical="top"/>
    </xf>
    <xf numFmtId="0" fontId="0" fillId="0" borderId="0" xfId="0" applyBorder="1" applyAlignment="1">
      <alignment horizontal="left" vertical="top" readingOrder="1"/>
    </xf>
    <xf numFmtId="0" fontId="0" fillId="0" borderId="0" xfId="0" applyBorder="1" applyAlignment="1">
      <alignment horizontal="left" vertical="top"/>
    </xf>
    <xf numFmtId="0" fontId="1" fillId="0" borderId="0" xfId="0" applyFont="1" applyBorder="1" applyAlignment="1">
      <alignment vertical="top"/>
    </xf>
    <xf numFmtId="0" fontId="1" fillId="3" borderId="0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14" fontId="0" fillId="0" borderId="0" xfId="0" applyNumberFormat="1" applyFill="1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3" xfId="0" applyFill="1" applyBorder="1" applyAlignment="1">
      <alignment vertical="top"/>
    </xf>
    <xf numFmtId="14" fontId="1" fillId="0" borderId="0" xfId="0" applyNumberFormat="1" applyFont="1" applyAlignment="1">
      <alignment vertical="top"/>
    </xf>
    <xf numFmtId="0" fontId="3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7" fillId="0" borderId="0" xfId="1" applyAlignment="1">
      <alignment vertical="top"/>
    </xf>
    <xf numFmtId="0" fontId="8" fillId="0" borderId="0" xfId="0" applyFont="1" applyBorder="1" applyAlignment="1">
      <alignment vertical="top"/>
    </xf>
    <xf numFmtId="166" fontId="1" fillId="0" borderId="0" xfId="0" applyNumberFormat="1" applyFont="1" applyAlignment="1">
      <alignment vertical="top"/>
    </xf>
    <xf numFmtId="166" fontId="0" fillId="0" borderId="0" xfId="0" applyNumberFormat="1" applyAlignment="1">
      <alignment vertical="top"/>
    </xf>
    <xf numFmtId="0" fontId="0" fillId="0" borderId="0" xfId="0"/>
    <xf numFmtId="14" fontId="1" fillId="0" borderId="0" xfId="0" applyNumberFormat="1" applyFont="1" applyBorder="1" applyAlignment="1">
      <alignment vertical="top"/>
    </xf>
    <xf numFmtId="0" fontId="0" fillId="0" borderId="0" xfId="0" applyFill="1"/>
    <xf numFmtId="22" fontId="0" fillId="0" borderId="0" xfId="0" applyNumberFormat="1" applyAlignment="1">
      <alignment vertical="top"/>
    </xf>
    <xf numFmtId="14" fontId="0" fillId="4" borderId="4" xfId="0" applyNumberFormat="1" applyFill="1" applyBorder="1" applyAlignment="1">
      <alignment horizontal="center" vertical="top"/>
    </xf>
    <xf numFmtId="0" fontId="0" fillId="4" borderId="0" xfId="0" applyFill="1" applyBorder="1" applyAlignment="1">
      <alignment horizontal="center" vertical="top"/>
    </xf>
    <xf numFmtId="0" fontId="0" fillId="4" borderId="3" xfId="0" applyFill="1" applyBorder="1" applyAlignment="1">
      <alignment horizontal="center" vertical="top"/>
    </xf>
    <xf numFmtId="14" fontId="0" fillId="5" borderId="4" xfId="0" applyNumberFormat="1" applyFill="1" applyBorder="1" applyAlignment="1">
      <alignment horizontal="center" vertical="top"/>
    </xf>
    <xf numFmtId="0" fontId="0" fillId="5" borderId="0" xfId="0" applyFill="1" applyBorder="1" applyAlignment="1">
      <alignment horizontal="center" vertical="top"/>
    </xf>
    <xf numFmtId="0" fontId="0" fillId="5" borderId="3" xfId="0" applyFill="1" applyBorder="1" applyAlignment="1">
      <alignment horizontal="center" vertical="top"/>
    </xf>
    <xf numFmtId="14" fontId="0" fillId="4" borderId="0" xfId="0" applyNumberFormat="1" applyFill="1" applyBorder="1" applyAlignment="1">
      <alignment horizontal="center" vertical="top"/>
    </xf>
  </cellXfs>
  <cellStyles count="2">
    <cellStyle name="Hyperlink" xfId="1" builtinId="8"/>
    <cellStyle name="Normal" xfId="0" builtinId="0"/>
  </cellStyles>
  <dxfs count="5">
    <dxf>
      <fill>
        <patternFill>
          <fgColor indexed="64"/>
          <bgColor rgb="FFC0000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>
          <fgColor indexed="64"/>
          <bgColor rgb="FF00B0F0"/>
        </patternFill>
      </fill>
      <border>
        <left/>
        <right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0</xdr:rowOff>
        </xdr:from>
        <xdr:to>
          <xdr:col>14</xdr:col>
          <xdr:colOff>0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10</xdr:row>
          <xdr:rowOff>28575</xdr:rowOff>
        </xdr:from>
        <xdr:to>
          <xdr:col>2</xdr:col>
          <xdr:colOff>1257300</xdr:colOff>
          <xdr:row>12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MFG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omments" Target="../comments2.xml"/><Relationship Id="rId2" Type="http://schemas.openxmlformats.org/officeDocument/2006/relationships/hyperlink" Target="file:///\\saprc007\Efax\Admin" TargetMode="External"/><Relationship Id="rId1" Type="http://schemas.openxmlformats.org/officeDocument/2006/relationships/hyperlink" Target="file:///\\saprc007\Efax\Admin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636"/>
  <sheetViews>
    <sheetView zoomScaleNormal="100" workbookViewId="0">
      <pane ySplit="1" topLeftCell="A2" activePane="bottomLeft" state="frozen"/>
      <selection pane="bottomLeft" activeCell="D564" sqref="D564"/>
    </sheetView>
  </sheetViews>
  <sheetFormatPr defaultRowHeight="12.75"/>
  <cols>
    <col min="1" max="1" width="20" bestFit="1" customWidth="1"/>
    <col min="2" max="2" width="14" bestFit="1" customWidth="1"/>
    <col min="3" max="3" width="16" bestFit="1" customWidth="1"/>
    <col min="4" max="4" width="32" bestFit="1" customWidth="1"/>
    <col min="5" max="5" width="16" bestFit="1" customWidth="1"/>
    <col min="6" max="6" width="19" bestFit="1" customWidth="1"/>
    <col min="7" max="10" width="13" bestFit="1" customWidth="1"/>
    <col min="11" max="11" width="10" bestFit="1" customWidth="1"/>
    <col min="12" max="12" width="13" bestFit="1" customWidth="1"/>
    <col min="13" max="13" width="22" bestFit="1" customWidth="1"/>
    <col min="14" max="14" width="13" bestFit="1" customWidth="1"/>
    <col min="15" max="15" width="16" bestFit="1" customWidth="1"/>
    <col min="16" max="16" width="13" bestFit="1" customWidth="1"/>
    <col min="17" max="17" width="12" bestFit="1" customWidth="1"/>
    <col min="18" max="18" width="13" bestFit="1" customWidth="1"/>
    <col min="19" max="19" width="18" bestFit="1" customWidth="1"/>
    <col min="20" max="20" width="20.140625" customWidth="1"/>
    <col min="21" max="23" width="9" bestFit="1" customWidth="1"/>
    <col min="24" max="24" width="15" bestFit="1" customWidth="1"/>
    <col min="25" max="25" width="13" bestFit="1" customWidth="1"/>
    <col min="26" max="26" width="7" bestFit="1" customWidth="1"/>
    <col min="27" max="27" width="25" bestFit="1" customWidth="1"/>
    <col min="28" max="28" width="21" bestFit="1" customWidth="1"/>
  </cols>
  <sheetData>
    <row r="1" spans="1:38" ht="51">
      <c r="A1" s="1" t="s">
        <v>34</v>
      </c>
      <c r="B1" s="1" t="s">
        <v>35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  <c r="H1" s="1" t="s">
        <v>41</v>
      </c>
      <c r="I1" s="1" t="s">
        <v>42</v>
      </c>
      <c r="J1" s="1" t="s">
        <v>43</v>
      </c>
      <c r="K1" s="1" t="s">
        <v>44</v>
      </c>
      <c r="L1" s="6" t="s">
        <v>45</v>
      </c>
      <c r="M1" s="1" t="s">
        <v>7188</v>
      </c>
      <c r="N1" s="1" t="s">
        <v>802</v>
      </c>
      <c r="O1" s="1" t="s">
        <v>46</v>
      </c>
      <c r="P1" s="1" t="s">
        <v>49</v>
      </c>
      <c r="Q1" s="6" t="s">
        <v>48</v>
      </c>
      <c r="R1" s="1" t="s">
        <v>818</v>
      </c>
      <c r="S1" s="1" t="s">
        <v>47</v>
      </c>
      <c r="T1" s="6" t="s">
        <v>50</v>
      </c>
      <c r="U1" s="1" t="s">
        <v>2426</v>
      </c>
      <c r="V1" s="1" t="s">
        <v>2427</v>
      </c>
      <c r="W1" s="1" t="s">
        <v>2428</v>
      </c>
      <c r="X1" s="1" t="s">
        <v>52</v>
      </c>
      <c r="Y1" s="1" t="s">
        <v>53</v>
      </c>
      <c r="Z1" s="1" t="s">
        <v>54</v>
      </c>
      <c r="AA1" s="6" t="s">
        <v>51</v>
      </c>
      <c r="AB1" s="1" t="s">
        <v>55</v>
      </c>
      <c r="AG1" t="s">
        <v>4872</v>
      </c>
      <c r="AH1" t="s">
        <v>4878</v>
      </c>
      <c r="AI1" t="s">
        <v>4873</v>
      </c>
      <c r="AJ1" t="s">
        <v>4874</v>
      </c>
      <c r="AK1" t="s">
        <v>4875</v>
      </c>
      <c r="AL1" t="s">
        <v>4876</v>
      </c>
    </row>
    <row r="2" spans="1:38">
      <c r="A2" t="s">
        <v>2429</v>
      </c>
      <c r="B2" t="s">
        <v>5695</v>
      </c>
      <c r="C2" t="s">
        <v>2540</v>
      </c>
      <c r="D2" t="s">
        <v>2541</v>
      </c>
      <c r="E2" s="2">
        <v>0</v>
      </c>
      <c r="F2" s="2">
        <v>20000</v>
      </c>
      <c r="G2" s="3">
        <v>43270</v>
      </c>
      <c r="H2" s="4">
        <v>0.875</v>
      </c>
      <c r="I2" s="3">
        <v>43271</v>
      </c>
      <c r="J2" s="4">
        <v>0.55638888888889004</v>
      </c>
      <c r="K2" s="2">
        <v>0</v>
      </c>
      <c r="L2" t="s">
        <v>0</v>
      </c>
      <c r="M2" t="s">
        <v>2450</v>
      </c>
      <c r="N2" s="3"/>
      <c r="O2" s="3">
        <v>43273</v>
      </c>
      <c r="P2" t="s">
        <v>2435</v>
      </c>
      <c r="Q2" t="s">
        <v>1</v>
      </c>
      <c r="R2" t="s">
        <v>819</v>
      </c>
      <c r="S2" s="3"/>
      <c r="T2" t="s">
        <v>7189</v>
      </c>
      <c r="U2" t="s">
        <v>2542</v>
      </c>
      <c r="V2">
        <v>701</v>
      </c>
      <c r="W2" t="s">
        <v>2434</v>
      </c>
      <c r="X2" s="2">
        <v>1223</v>
      </c>
      <c r="Y2" t="s">
        <v>2</v>
      </c>
      <c r="Z2" t="s">
        <v>3</v>
      </c>
      <c r="AA2" s="5">
        <v>0</v>
      </c>
      <c r="AB2" t="s">
        <v>4</v>
      </c>
      <c r="AL2" t="s">
        <v>7970</v>
      </c>
    </row>
    <row r="3" spans="1:38">
      <c r="A3" t="s">
        <v>2429</v>
      </c>
      <c r="B3" t="s">
        <v>4993</v>
      </c>
      <c r="C3" t="s">
        <v>2455</v>
      </c>
      <c r="D3" t="s">
        <v>2456</v>
      </c>
      <c r="E3" s="2">
        <v>10140</v>
      </c>
      <c r="F3" s="2">
        <v>10140</v>
      </c>
      <c r="G3" s="3">
        <v>43271</v>
      </c>
      <c r="H3" s="4">
        <v>0.65592592592593002</v>
      </c>
      <c r="I3" s="3">
        <v>43272</v>
      </c>
      <c r="J3" s="4">
        <v>1.38888888889E-3</v>
      </c>
      <c r="K3" s="2">
        <v>0</v>
      </c>
      <c r="L3" t="s">
        <v>0</v>
      </c>
      <c r="M3" t="s">
        <v>5691</v>
      </c>
      <c r="N3" s="3"/>
      <c r="O3" s="3">
        <v>43274</v>
      </c>
      <c r="P3" t="s">
        <v>2435</v>
      </c>
      <c r="Q3" t="s">
        <v>7190</v>
      </c>
      <c r="R3" t="s">
        <v>820</v>
      </c>
      <c r="S3" s="3">
        <v>43276</v>
      </c>
      <c r="T3" t="s">
        <v>7191</v>
      </c>
      <c r="U3" t="s">
        <v>2458</v>
      </c>
      <c r="V3">
        <v>701</v>
      </c>
      <c r="W3" t="s">
        <v>2434</v>
      </c>
      <c r="X3" s="2">
        <v>1223</v>
      </c>
      <c r="Y3" t="s">
        <v>2</v>
      </c>
      <c r="Z3" t="s">
        <v>3</v>
      </c>
      <c r="AA3" s="5">
        <v>0</v>
      </c>
      <c r="AB3" t="s">
        <v>4</v>
      </c>
      <c r="AL3" t="s">
        <v>7971</v>
      </c>
    </row>
    <row r="4" spans="1:38">
      <c r="A4" t="s">
        <v>2429</v>
      </c>
      <c r="B4" t="s">
        <v>7192</v>
      </c>
      <c r="C4" t="s">
        <v>2455</v>
      </c>
      <c r="D4" t="s">
        <v>2456</v>
      </c>
      <c r="E4" s="2">
        <v>10000</v>
      </c>
      <c r="F4" s="2">
        <v>10000</v>
      </c>
      <c r="G4" s="3">
        <v>43272</v>
      </c>
      <c r="H4" s="4">
        <v>8.3333333333329998E-2</v>
      </c>
      <c r="I4" s="3">
        <v>43272</v>
      </c>
      <c r="J4" s="4">
        <v>0.42402777777778</v>
      </c>
      <c r="K4" s="2">
        <v>0</v>
      </c>
      <c r="L4" t="s">
        <v>0</v>
      </c>
      <c r="M4" t="s">
        <v>2457</v>
      </c>
      <c r="N4" s="3"/>
      <c r="O4" s="3">
        <v>43274</v>
      </c>
      <c r="P4" t="s">
        <v>2435</v>
      </c>
      <c r="Q4" t="s">
        <v>7011</v>
      </c>
      <c r="R4" t="s">
        <v>820</v>
      </c>
      <c r="S4" s="3">
        <v>43300</v>
      </c>
      <c r="T4" t="s">
        <v>7193</v>
      </c>
      <c r="U4" t="s">
        <v>2458</v>
      </c>
      <c r="V4">
        <v>701</v>
      </c>
      <c r="W4" t="s">
        <v>2434</v>
      </c>
      <c r="X4" s="2">
        <v>1223</v>
      </c>
      <c r="Y4" t="s">
        <v>2</v>
      </c>
      <c r="Z4" t="s">
        <v>3</v>
      </c>
      <c r="AA4" s="5">
        <v>0</v>
      </c>
      <c r="AB4" t="s">
        <v>17</v>
      </c>
      <c r="AL4" t="s">
        <v>7972</v>
      </c>
    </row>
    <row r="5" spans="1:38">
      <c r="A5" t="s">
        <v>2429</v>
      </c>
      <c r="B5" t="s">
        <v>2543</v>
      </c>
      <c r="C5" t="s">
        <v>2544</v>
      </c>
      <c r="D5" t="s">
        <v>2545</v>
      </c>
      <c r="E5" s="2">
        <v>10140</v>
      </c>
      <c r="F5" s="2">
        <v>10140</v>
      </c>
      <c r="G5" s="3">
        <v>43272</v>
      </c>
      <c r="H5" s="4">
        <v>0.5</v>
      </c>
      <c r="I5" s="3">
        <v>43272</v>
      </c>
      <c r="J5" s="4">
        <v>0.84546296296295997</v>
      </c>
      <c r="K5" s="2">
        <v>20</v>
      </c>
      <c r="L5" t="s">
        <v>0</v>
      </c>
      <c r="M5" t="s">
        <v>5691</v>
      </c>
      <c r="N5" s="3"/>
      <c r="O5" s="3">
        <v>43274</v>
      </c>
      <c r="P5" t="s">
        <v>2435</v>
      </c>
      <c r="Q5" t="s">
        <v>1</v>
      </c>
      <c r="R5" t="s">
        <v>819</v>
      </c>
      <c r="S5" s="3"/>
      <c r="T5" t="s">
        <v>7194</v>
      </c>
      <c r="U5" t="s">
        <v>2546</v>
      </c>
      <c r="V5">
        <v>701</v>
      </c>
      <c r="W5" t="s">
        <v>2434</v>
      </c>
      <c r="X5" s="2">
        <v>1223</v>
      </c>
      <c r="Y5" t="s">
        <v>2</v>
      </c>
      <c r="Z5" t="s">
        <v>3</v>
      </c>
      <c r="AA5" s="5">
        <v>0</v>
      </c>
      <c r="AB5" t="s">
        <v>4</v>
      </c>
      <c r="AL5" t="s">
        <v>7973</v>
      </c>
    </row>
    <row r="6" spans="1:38">
      <c r="A6" t="s">
        <v>2429</v>
      </c>
      <c r="B6" t="s">
        <v>4998</v>
      </c>
      <c r="C6" t="s">
        <v>2448</v>
      </c>
      <c r="D6" t="s">
        <v>2449</v>
      </c>
      <c r="E6" s="2">
        <v>20000</v>
      </c>
      <c r="F6" s="2">
        <v>20000</v>
      </c>
      <c r="G6" s="3">
        <v>43280</v>
      </c>
      <c r="H6" s="4">
        <v>0.61638888888888999</v>
      </c>
      <c r="I6" s="3">
        <v>43281</v>
      </c>
      <c r="J6" s="4">
        <v>0.29777777777777997</v>
      </c>
      <c r="K6" s="2">
        <v>0</v>
      </c>
      <c r="L6" t="s">
        <v>0</v>
      </c>
      <c r="M6" t="s">
        <v>2450</v>
      </c>
      <c r="N6" s="3">
        <v>43289</v>
      </c>
      <c r="O6" s="3">
        <v>43288</v>
      </c>
      <c r="P6" t="s">
        <v>2432</v>
      </c>
      <c r="Q6" t="s">
        <v>1</v>
      </c>
      <c r="R6" t="s">
        <v>821</v>
      </c>
      <c r="S6" s="3">
        <v>43288</v>
      </c>
      <c r="T6" t="s">
        <v>1</v>
      </c>
      <c r="U6" t="s">
        <v>2451</v>
      </c>
      <c r="V6">
        <v>701</v>
      </c>
      <c r="W6" t="s">
        <v>2434</v>
      </c>
      <c r="X6" s="2">
        <v>0</v>
      </c>
      <c r="Y6" t="s">
        <v>2</v>
      </c>
      <c r="Z6" t="s">
        <v>3</v>
      </c>
      <c r="AA6" s="5">
        <v>0</v>
      </c>
      <c r="AB6" t="s">
        <v>29</v>
      </c>
      <c r="AL6" t="s">
        <v>7974</v>
      </c>
    </row>
    <row r="7" spans="1:38">
      <c r="A7" t="s">
        <v>2429</v>
      </c>
      <c r="B7" t="s">
        <v>5693</v>
      </c>
      <c r="C7" t="s">
        <v>2448</v>
      </c>
      <c r="D7" t="s">
        <v>2449</v>
      </c>
      <c r="E7" s="2">
        <v>20000</v>
      </c>
      <c r="F7" s="2">
        <v>20000</v>
      </c>
      <c r="G7" s="3">
        <v>43281</v>
      </c>
      <c r="H7" s="4">
        <v>0.31861111111111001</v>
      </c>
      <c r="I7" s="3">
        <v>43282</v>
      </c>
      <c r="J7" s="4">
        <v>0</v>
      </c>
      <c r="K7" s="2">
        <v>0</v>
      </c>
      <c r="L7" t="s">
        <v>0</v>
      </c>
      <c r="M7" t="s">
        <v>2450</v>
      </c>
      <c r="N7" s="3">
        <v>43289</v>
      </c>
      <c r="O7" s="3">
        <v>43288</v>
      </c>
      <c r="P7" t="s">
        <v>2432</v>
      </c>
      <c r="Q7" t="s">
        <v>1</v>
      </c>
      <c r="R7" t="s">
        <v>821</v>
      </c>
      <c r="S7" s="3">
        <v>43288</v>
      </c>
      <c r="T7" t="s">
        <v>1</v>
      </c>
      <c r="U7" t="s">
        <v>2451</v>
      </c>
      <c r="V7">
        <v>701</v>
      </c>
      <c r="W7" t="s">
        <v>2434</v>
      </c>
      <c r="X7" s="2">
        <v>0</v>
      </c>
      <c r="Y7" t="s">
        <v>2</v>
      </c>
      <c r="Z7" t="s">
        <v>3</v>
      </c>
      <c r="AA7" s="5">
        <v>0</v>
      </c>
      <c r="AB7" t="s">
        <v>29</v>
      </c>
      <c r="AL7" t="s">
        <v>7975</v>
      </c>
    </row>
    <row r="8" spans="1:38">
      <c r="A8" t="s">
        <v>2429</v>
      </c>
      <c r="B8" t="s">
        <v>5000</v>
      </c>
      <c r="C8" t="s">
        <v>2464</v>
      </c>
      <c r="D8" t="s">
        <v>2465</v>
      </c>
      <c r="E8" s="2">
        <v>10000</v>
      </c>
      <c r="F8" s="2">
        <v>10000</v>
      </c>
      <c r="G8" s="3">
        <v>43288</v>
      </c>
      <c r="H8" s="4">
        <v>0.65930555555556003</v>
      </c>
      <c r="I8" s="3">
        <v>43289</v>
      </c>
      <c r="J8" s="4">
        <v>0</v>
      </c>
      <c r="K8" s="2">
        <v>0</v>
      </c>
      <c r="L8" t="s">
        <v>0</v>
      </c>
      <c r="M8" t="s">
        <v>2457</v>
      </c>
      <c r="N8" s="3">
        <v>43290</v>
      </c>
      <c r="O8" s="3">
        <v>43290</v>
      </c>
      <c r="P8" t="s">
        <v>13</v>
      </c>
      <c r="Q8" t="s">
        <v>1</v>
      </c>
      <c r="R8" t="s">
        <v>821</v>
      </c>
      <c r="S8" s="3">
        <v>43288</v>
      </c>
      <c r="T8" t="s">
        <v>1</v>
      </c>
      <c r="U8" t="s">
        <v>2466</v>
      </c>
      <c r="V8">
        <v>701</v>
      </c>
      <c r="W8" t="s">
        <v>2434</v>
      </c>
      <c r="X8" s="2">
        <v>0</v>
      </c>
      <c r="Y8" t="s">
        <v>2</v>
      </c>
      <c r="Z8" t="s">
        <v>3</v>
      </c>
      <c r="AA8" s="5">
        <v>0</v>
      </c>
      <c r="AB8" t="s">
        <v>29</v>
      </c>
      <c r="AL8" t="s">
        <v>7976</v>
      </c>
    </row>
    <row r="9" spans="1:38">
      <c r="A9" t="s">
        <v>2429</v>
      </c>
      <c r="B9" t="s">
        <v>2472</v>
      </c>
      <c r="C9" t="s">
        <v>2438</v>
      </c>
      <c r="D9" t="s">
        <v>2439</v>
      </c>
      <c r="E9" s="2">
        <v>20000</v>
      </c>
      <c r="F9" s="2">
        <v>20000</v>
      </c>
      <c r="G9" s="3">
        <v>43289</v>
      </c>
      <c r="H9" s="4">
        <v>0.31861111111111001</v>
      </c>
      <c r="I9" s="3">
        <v>43290</v>
      </c>
      <c r="J9" s="4">
        <v>0</v>
      </c>
      <c r="K9" s="2">
        <v>0</v>
      </c>
      <c r="L9" t="s">
        <v>0</v>
      </c>
      <c r="M9" t="s">
        <v>2450</v>
      </c>
      <c r="N9" s="3"/>
      <c r="O9" s="3">
        <v>43291</v>
      </c>
      <c r="P9" t="s">
        <v>2435</v>
      </c>
      <c r="Q9" t="s">
        <v>1</v>
      </c>
      <c r="R9" t="s">
        <v>821</v>
      </c>
      <c r="S9" s="3">
        <v>43288</v>
      </c>
      <c r="T9" t="s">
        <v>1</v>
      </c>
      <c r="U9" t="s">
        <v>2436</v>
      </c>
      <c r="V9" t="s">
        <v>2440</v>
      </c>
      <c r="W9" t="s">
        <v>2434</v>
      </c>
      <c r="X9" s="2">
        <v>0</v>
      </c>
      <c r="Y9" t="s">
        <v>2</v>
      </c>
      <c r="Z9" t="s">
        <v>3</v>
      </c>
      <c r="AA9" s="5">
        <v>0</v>
      </c>
      <c r="AB9" t="s">
        <v>29</v>
      </c>
      <c r="AL9" t="s">
        <v>7977</v>
      </c>
    </row>
    <row r="10" spans="1:38">
      <c r="A10" t="s">
        <v>2429</v>
      </c>
      <c r="B10" t="s">
        <v>2476</v>
      </c>
      <c r="C10" t="s">
        <v>2438</v>
      </c>
      <c r="D10" t="s">
        <v>2439</v>
      </c>
      <c r="E10" s="2">
        <v>20000</v>
      </c>
      <c r="F10" s="2">
        <v>20000</v>
      </c>
      <c r="G10" s="3">
        <v>43290</v>
      </c>
      <c r="H10" s="4">
        <v>0.31861111111111001</v>
      </c>
      <c r="I10" s="3">
        <v>43291</v>
      </c>
      <c r="J10" s="4">
        <v>0</v>
      </c>
      <c r="K10" s="2">
        <v>0</v>
      </c>
      <c r="L10" t="s">
        <v>0</v>
      </c>
      <c r="M10" t="s">
        <v>2450</v>
      </c>
      <c r="N10" s="3"/>
      <c r="O10" s="3">
        <v>43292</v>
      </c>
      <c r="P10" t="s">
        <v>2435</v>
      </c>
      <c r="Q10" t="s">
        <v>1</v>
      </c>
      <c r="R10" t="s">
        <v>821</v>
      </c>
      <c r="S10" s="3">
        <v>43288</v>
      </c>
      <c r="T10" t="s">
        <v>7195</v>
      </c>
      <c r="U10" t="s">
        <v>2436</v>
      </c>
      <c r="V10" t="s">
        <v>2440</v>
      </c>
      <c r="W10" t="s">
        <v>2434</v>
      </c>
      <c r="X10" s="2">
        <v>1223</v>
      </c>
      <c r="Y10" t="s">
        <v>2</v>
      </c>
      <c r="Z10" t="s">
        <v>3</v>
      </c>
      <c r="AA10" s="5">
        <v>0</v>
      </c>
      <c r="AB10" t="s">
        <v>17</v>
      </c>
      <c r="AL10" t="s">
        <v>7978</v>
      </c>
    </row>
    <row r="11" spans="1:38">
      <c r="A11" t="s">
        <v>2429</v>
      </c>
      <c r="B11" t="s">
        <v>5694</v>
      </c>
      <c r="C11" t="s">
        <v>2448</v>
      </c>
      <c r="D11" t="s">
        <v>2449</v>
      </c>
      <c r="E11" s="2">
        <v>20000</v>
      </c>
      <c r="F11" s="2">
        <v>20000</v>
      </c>
      <c r="G11" s="3">
        <v>43290</v>
      </c>
      <c r="H11" s="4">
        <v>0.31861111111111001</v>
      </c>
      <c r="I11" s="3">
        <v>43291</v>
      </c>
      <c r="J11" s="4">
        <v>0</v>
      </c>
      <c r="K11" s="2">
        <v>0</v>
      </c>
      <c r="L11" t="s">
        <v>0</v>
      </c>
      <c r="M11" t="s">
        <v>2450</v>
      </c>
      <c r="N11" s="3">
        <v>43298</v>
      </c>
      <c r="O11" s="3">
        <v>43297</v>
      </c>
      <c r="P11" t="s">
        <v>2432</v>
      </c>
      <c r="Q11" t="s">
        <v>1</v>
      </c>
      <c r="R11" t="s">
        <v>821</v>
      </c>
      <c r="S11" s="3">
        <v>43288</v>
      </c>
      <c r="T11" t="s">
        <v>1</v>
      </c>
      <c r="U11" t="s">
        <v>2451</v>
      </c>
      <c r="V11">
        <v>701</v>
      </c>
      <c r="W11" t="s">
        <v>2434</v>
      </c>
      <c r="X11" s="2">
        <v>0</v>
      </c>
      <c r="Y11" t="s">
        <v>2</v>
      </c>
      <c r="Z11" t="s">
        <v>3</v>
      </c>
      <c r="AA11" s="5">
        <v>0</v>
      </c>
      <c r="AB11" t="s">
        <v>29</v>
      </c>
      <c r="AL11" t="s">
        <v>7979</v>
      </c>
    </row>
    <row r="12" spans="1:38">
      <c r="A12" t="s">
        <v>2429</v>
      </c>
      <c r="B12" t="s">
        <v>2473</v>
      </c>
      <c r="C12" t="s">
        <v>2469</v>
      </c>
      <c r="D12" t="s">
        <v>2470</v>
      </c>
      <c r="E12" s="2">
        <v>20000</v>
      </c>
      <c r="F12" s="2">
        <v>20000</v>
      </c>
      <c r="G12" s="3">
        <v>43291</v>
      </c>
      <c r="H12" s="4">
        <v>0.31861111111111001</v>
      </c>
      <c r="I12" s="3">
        <v>43292</v>
      </c>
      <c r="J12" s="4">
        <v>0</v>
      </c>
      <c r="K12" s="2">
        <v>0</v>
      </c>
      <c r="L12" t="s">
        <v>0</v>
      </c>
      <c r="M12" t="s">
        <v>2450</v>
      </c>
      <c r="N12" s="3"/>
      <c r="O12" s="3">
        <v>43293</v>
      </c>
      <c r="P12" t="s">
        <v>2435</v>
      </c>
      <c r="Q12" t="s">
        <v>1</v>
      </c>
      <c r="R12" t="s">
        <v>821</v>
      </c>
      <c r="S12" s="3">
        <v>43288</v>
      </c>
      <c r="T12" t="s">
        <v>1</v>
      </c>
      <c r="U12" t="s">
        <v>2471</v>
      </c>
      <c r="V12">
        <v>701</v>
      </c>
      <c r="W12" t="s">
        <v>2434</v>
      </c>
      <c r="X12" s="2">
        <v>0</v>
      </c>
      <c r="Y12" t="s">
        <v>2</v>
      </c>
      <c r="Z12" t="s">
        <v>3</v>
      </c>
      <c r="AA12" s="5">
        <v>0</v>
      </c>
      <c r="AB12" t="s">
        <v>29</v>
      </c>
      <c r="AL12" t="s">
        <v>7980</v>
      </c>
    </row>
    <row r="13" spans="1:38">
      <c r="A13" t="s">
        <v>2429</v>
      </c>
      <c r="B13" t="s">
        <v>2475</v>
      </c>
      <c r="C13" t="s">
        <v>2469</v>
      </c>
      <c r="D13" t="s">
        <v>2470</v>
      </c>
      <c r="E13" s="2">
        <v>20000</v>
      </c>
      <c r="F13" s="2">
        <v>20000</v>
      </c>
      <c r="G13" s="3">
        <v>43292</v>
      </c>
      <c r="H13" s="4">
        <v>0.31861111111111001</v>
      </c>
      <c r="I13" s="3">
        <v>43293</v>
      </c>
      <c r="J13" s="4">
        <v>0</v>
      </c>
      <c r="K13" s="2">
        <v>0</v>
      </c>
      <c r="L13" t="s">
        <v>0</v>
      </c>
      <c r="M13" t="s">
        <v>2450</v>
      </c>
      <c r="N13" s="3"/>
      <c r="O13" s="3">
        <v>43294</v>
      </c>
      <c r="P13" t="s">
        <v>2435</v>
      </c>
      <c r="Q13" t="s">
        <v>1</v>
      </c>
      <c r="R13" t="s">
        <v>821</v>
      </c>
      <c r="S13" s="3">
        <v>43288</v>
      </c>
      <c r="T13" t="s">
        <v>1</v>
      </c>
      <c r="U13" t="s">
        <v>2471</v>
      </c>
      <c r="V13">
        <v>701</v>
      </c>
      <c r="W13" t="s">
        <v>2434</v>
      </c>
      <c r="X13" s="2">
        <v>0</v>
      </c>
      <c r="Y13" t="s">
        <v>2</v>
      </c>
      <c r="Z13" t="s">
        <v>3</v>
      </c>
      <c r="AA13" s="5">
        <v>0</v>
      </c>
      <c r="AB13" t="s">
        <v>29</v>
      </c>
      <c r="AL13" t="s">
        <v>7981</v>
      </c>
    </row>
    <row r="14" spans="1:38">
      <c r="A14" t="s">
        <v>2429</v>
      </c>
      <c r="B14" t="s">
        <v>2477</v>
      </c>
      <c r="C14" t="s">
        <v>2469</v>
      </c>
      <c r="D14" t="s">
        <v>2470</v>
      </c>
      <c r="E14" s="2">
        <v>20000</v>
      </c>
      <c r="F14" s="2">
        <v>20000</v>
      </c>
      <c r="G14" s="3">
        <v>43293</v>
      </c>
      <c r="H14" s="4">
        <v>0.31861111111111001</v>
      </c>
      <c r="I14" s="3">
        <v>43294</v>
      </c>
      <c r="J14" s="4">
        <v>0</v>
      </c>
      <c r="K14" s="2">
        <v>0</v>
      </c>
      <c r="L14" t="s">
        <v>0</v>
      </c>
      <c r="M14" t="s">
        <v>2450</v>
      </c>
      <c r="N14" s="3"/>
      <c r="O14" s="3">
        <v>43295</v>
      </c>
      <c r="P14" t="s">
        <v>2435</v>
      </c>
      <c r="Q14" t="s">
        <v>2474</v>
      </c>
      <c r="R14" t="s">
        <v>820</v>
      </c>
      <c r="S14" s="3">
        <v>43301</v>
      </c>
      <c r="T14" t="s">
        <v>1</v>
      </c>
      <c r="U14" t="s">
        <v>2471</v>
      </c>
      <c r="V14">
        <v>701</v>
      </c>
      <c r="W14" t="s">
        <v>2434</v>
      </c>
      <c r="X14" s="2">
        <v>0</v>
      </c>
      <c r="Y14" t="s">
        <v>2</v>
      </c>
      <c r="Z14" t="s">
        <v>3</v>
      </c>
      <c r="AA14" s="5">
        <v>0</v>
      </c>
      <c r="AB14" t="s">
        <v>29</v>
      </c>
      <c r="AL14" t="s">
        <v>7982</v>
      </c>
    </row>
    <row r="15" spans="1:38">
      <c r="A15" t="s">
        <v>2429</v>
      </c>
      <c r="B15" t="s">
        <v>2478</v>
      </c>
      <c r="C15" t="s">
        <v>2441</v>
      </c>
      <c r="D15" t="s">
        <v>2442</v>
      </c>
      <c r="E15" s="2">
        <v>5000</v>
      </c>
      <c r="F15" s="2">
        <v>5000</v>
      </c>
      <c r="G15" s="3">
        <v>43296</v>
      </c>
      <c r="H15" s="4">
        <v>0.82965277777778002</v>
      </c>
      <c r="I15" s="3">
        <v>43297</v>
      </c>
      <c r="J15" s="4">
        <v>0</v>
      </c>
      <c r="K15" s="2">
        <v>0</v>
      </c>
      <c r="L15" t="s">
        <v>0</v>
      </c>
      <c r="M15" t="s">
        <v>2447</v>
      </c>
      <c r="N15" s="3">
        <v>43299</v>
      </c>
      <c r="O15" s="3">
        <v>43298</v>
      </c>
      <c r="P15" t="s">
        <v>2435</v>
      </c>
      <c r="Q15" t="s">
        <v>2479</v>
      </c>
      <c r="R15" t="s">
        <v>820</v>
      </c>
      <c r="S15" s="3">
        <v>43299</v>
      </c>
      <c r="T15" t="s">
        <v>7196</v>
      </c>
      <c r="U15" t="s">
        <v>2443</v>
      </c>
      <c r="V15" t="s">
        <v>2437</v>
      </c>
      <c r="W15" t="s">
        <v>2434</v>
      </c>
      <c r="X15" s="2">
        <v>1223</v>
      </c>
      <c r="Y15" t="s">
        <v>2</v>
      </c>
      <c r="Z15" t="s">
        <v>3</v>
      </c>
      <c r="AA15" s="5">
        <v>0</v>
      </c>
      <c r="AB15" t="s">
        <v>17</v>
      </c>
      <c r="AL15" t="s">
        <v>7983</v>
      </c>
    </row>
    <row r="16" spans="1:38">
      <c r="A16" t="s">
        <v>2429</v>
      </c>
      <c r="B16" t="s">
        <v>7197</v>
      </c>
      <c r="C16" t="s">
        <v>2438</v>
      </c>
      <c r="D16" t="s">
        <v>2439</v>
      </c>
      <c r="E16" s="2">
        <v>20000</v>
      </c>
      <c r="F16" s="2">
        <v>20000</v>
      </c>
      <c r="G16" s="3">
        <v>43297</v>
      </c>
      <c r="H16" s="4">
        <v>0.95708333333332996</v>
      </c>
      <c r="I16" s="3">
        <v>43298</v>
      </c>
      <c r="J16" s="4">
        <v>0.63847222222222</v>
      </c>
      <c r="K16" s="2">
        <v>0</v>
      </c>
      <c r="L16" t="s">
        <v>0</v>
      </c>
      <c r="M16" t="s">
        <v>2450</v>
      </c>
      <c r="N16" s="3">
        <v>43300</v>
      </c>
      <c r="O16" s="3">
        <v>43300</v>
      </c>
      <c r="P16" t="s">
        <v>2435</v>
      </c>
      <c r="Q16" t="s">
        <v>1</v>
      </c>
      <c r="R16" t="s">
        <v>821</v>
      </c>
      <c r="S16" s="3">
        <v>43288</v>
      </c>
      <c r="T16" t="s">
        <v>1</v>
      </c>
      <c r="U16" t="s">
        <v>2436</v>
      </c>
      <c r="V16" t="s">
        <v>2440</v>
      </c>
      <c r="W16" t="s">
        <v>2434</v>
      </c>
      <c r="X16" s="2">
        <v>0</v>
      </c>
      <c r="Y16" t="s">
        <v>2</v>
      </c>
      <c r="Z16" t="s">
        <v>3</v>
      </c>
      <c r="AA16" s="5">
        <v>0</v>
      </c>
      <c r="AB16" t="s">
        <v>29</v>
      </c>
      <c r="AL16" t="s">
        <v>7984</v>
      </c>
    </row>
    <row r="17" spans="1:38">
      <c r="A17" t="s">
        <v>2429</v>
      </c>
      <c r="B17" t="s">
        <v>5002</v>
      </c>
      <c r="C17" t="s">
        <v>2464</v>
      </c>
      <c r="D17" t="s">
        <v>2465</v>
      </c>
      <c r="E17" s="2">
        <v>10000</v>
      </c>
      <c r="F17" s="2">
        <v>10000</v>
      </c>
      <c r="G17" s="3">
        <v>43298</v>
      </c>
      <c r="H17" s="4">
        <v>0.65930555555556003</v>
      </c>
      <c r="I17" s="3">
        <v>43299</v>
      </c>
      <c r="J17" s="4">
        <v>0</v>
      </c>
      <c r="K17" s="2">
        <v>0</v>
      </c>
      <c r="L17" t="s">
        <v>0</v>
      </c>
      <c r="M17" t="s">
        <v>2457</v>
      </c>
      <c r="N17" s="3">
        <v>43301</v>
      </c>
      <c r="O17" s="3">
        <v>43300</v>
      </c>
      <c r="P17" t="s">
        <v>13</v>
      </c>
      <c r="Q17" t="s">
        <v>5001</v>
      </c>
      <c r="R17" t="s">
        <v>820</v>
      </c>
      <c r="S17" s="3">
        <v>43305</v>
      </c>
      <c r="T17" t="s">
        <v>1</v>
      </c>
      <c r="U17" t="s">
        <v>2466</v>
      </c>
      <c r="V17">
        <v>701</v>
      </c>
      <c r="W17" t="s">
        <v>2434</v>
      </c>
      <c r="X17" s="2">
        <v>0</v>
      </c>
      <c r="Y17" t="s">
        <v>2</v>
      </c>
      <c r="Z17" t="s">
        <v>3</v>
      </c>
      <c r="AA17" s="5">
        <v>0</v>
      </c>
      <c r="AB17" t="s">
        <v>29</v>
      </c>
      <c r="AL17" t="s">
        <v>7985</v>
      </c>
    </row>
    <row r="18" spans="1:38">
      <c r="A18" t="s">
        <v>2480</v>
      </c>
      <c r="B18" t="s">
        <v>5005</v>
      </c>
      <c r="C18" t="s">
        <v>2520</v>
      </c>
      <c r="D18" t="s">
        <v>2521</v>
      </c>
      <c r="E18" s="2">
        <v>197</v>
      </c>
      <c r="F18" s="2">
        <v>10247</v>
      </c>
      <c r="G18" s="3">
        <v>43271</v>
      </c>
      <c r="H18" s="4">
        <v>0.54166666666666996</v>
      </c>
      <c r="I18" s="3">
        <v>43271</v>
      </c>
      <c r="J18" s="4">
        <v>0.90909722222222</v>
      </c>
      <c r="K18" s="2">
        <v>0</v>
      </c>
      <c r="L18" t="s">
        <v>0</v>
      </c>
      <c r="M18" t="s">
        <v>5003</v>
      </c>
      <c r="N18" s="3"/>
      <c r="O18" s="3">
        <v>43273</v>
      </c>
      <c r="P18" t="s">
        <v>2483</v>
      </c>
      <c r="Q18" t="s">
        <v>1</v>
      </c>
      <c r="R18" t="s">
        <v>819</v>
      </c>
      <c r="S18" s="3"/>
      <c r="T18" t="s">
        <v>7198</v>
      </c>
      <c r="U18" t="s">
        <v>2487</v>
      </c>
      <c r="V18" t="s">
        <v>2513</v>
      </c>
      <c r="W18" t="s">
        <v>2434</v>
      </c>
      <c r="X18" s="2">
        <v>1162</v>
      </c>
      <c r="Y18" t="s">
        <v>2</v>
      </c>
      <c r="Z18" t="s">
        <v>3</v>
      </c>
      <c r="AA18" s="5">
        <v>0</v>
      </c>
      <c r="AB18" t="s">
        <v>4</v>
      </c>
      <c r="AL18" t="s">
        <v>7986</v>
      </c>
    </row>
    <row r="19" spans="1:38">
      <c r="A19" t="s">
        <v>2480</v>
      </c>
      <c r="B19" t="s">
        <v>5004</v>
      </c>
      <c r="C19" t="s">
        <v>2520</v>
      </c>
      <c r="D19" t="s">
        <v>2521</v>
      </c>
      <c r="E19" s="2">
        <v>247</v>
      </c>
      <c r="F19" s="2">
        <v>10247</v>
      </c>
      <c r="G19" s="3">
        <v>43272</v>
      </c>
      <c r="H19" s="4">
        <v>4.1666666666670002E-2</v>
      </c>
      <c r="I19" s="3">
        <v>43272</v>
      </c>
      <c r="J19" s="4">
        <v>0.40909722222222</v>
      </c>
      <c r="K19" s="2">
        <v>0</v>
      </c>
      <c r="L19" t="s">
        <v>0</v>
      </c>
      <c r="M19" t="s">
        <v>5003</v>
      </c>
      <c r="N19" s="3"/>
      <c r="O19" s="3">
        <v>43274</v>
      </c>
      <c r="P19" t="s">
        <v>2483</v>
      </c>
      <c r="Q19" t="s">
        <v>1</v>
      </c>
      <c r="R19" t="s">
        <v>819</v>
      </c>
      <c r="S19" s="3"/>
      <c r="T19" t="s">
        <v>7199</v>
      </c>
      <c r="U19" t="s">
        <v>2487</v>
      </c>
      <c r="V19" t="s">
        <v>2513</v>
      </c>
      <c r="W19" t="s">
        <v>2434</v>
      </c>
      <c r="X19" s="2">
        <v>1162</v>
      </c>
      <c r="Y19" t="s">
        <v>2</v>
      </c>
      <c r="Z19" t="s">
        <v>3</v>
      </c>
      <c r="AA19" s="5">
        <v>0</v>
      </c>
      <c r="AB19" t="s">
        <v>4</v>
      </c>
      <c r="AL19" t="s">
        <v>7987</v>
      </c>
    </row>
    <row r="20" spans="1:38">
      <c r="A20" t="s">
        <v>2480</v>
      </c>
      <c r="B20" t="s">
        <v>2522</v>
      </c>
      <c r="C20" t="s">
        <v>2523</v>
      </c>
      <c r="D20" t="s">
        <v>2524</v>
      </c>
      <c r="E20" s="5">
        <v>1073.5</v>
      </c>
      <c r="F20" s="5">
        <v>5123.5</v>
      </c>
      <c r="G20" s="3">
        <v>43272</v>
      </c>
      <c r="H20" s="4">
        <v>0.54166666666666996</v>
      </c>
      <c r="I20" s="3">
        <v>43272</v>
      </c>
      <c r="J20" s="4">
        <v>0.72538194444444004</v>
      </c>
      <c r="K20" s="2">
        <v>0</v>
      </c>
      <c r="L20" t="s">
        <v>0</v>
      </c>
      <c r="M20" t="s">
        <v>2503</v>
      </c>
      <c r="N20" s="3">
        <v>43273</v>
      </c>
      <c r="O20" s="3">
        <v>43274</v>
      </c>
      <c r="P20" t="s">
        <v>2435</v>
      </c>
      <c r="Q20" t="s">
        <v>2525</v>
      </c>
      <c r="R20" t="s">
        <v>820</v>
      </c>
      <c r="S20" s="3">
        <v>43273</v>
      </c>
      <c r="T20" t="s">
        <v>7200</v>
      </c>
      <c r="U20" t="s">
        <v>2526</v>
      </c>
      <c r="V20" t="s">
        <v>2513</v>
      </c>
      <c r="W20" t="s">
        <v>2434</v>
      </c>
      <c r="X20" s="2">
        <v>1162</v>
      </c>
      <c r="Y20" t="s">
        <v>2</v>
      </c>
      <c r="Z20" t="s">
        <v>3</v>
      </c>
      <c r="AA20" s="5">
        <v>0</v>
      </c>
      <c r="AB20" t="s">
        <v>4</v>
      </c>
      <c r="AL20" t="s">
        <v>7988</v>
      </c>
    </row>
    <row r="21" spans="1:38">
      <c r="A21" t="s">
        <v>2480</v>
      </c>
      <c r="B21" t="s">
        <v>2527</v>
      </c>
      <c r="C21" t="s">
        <v>2528</v>
      </c>
      <c r="D21" t="s">
        <v>2529</v>
      </c>
      <c r="E21" s="5">
        <v>5123.5</v>
      </c>
      <c r="F21" s="5">
        <v>5123.5</v>
      </c>
      <c r="G21" s="3">
        <v>43272</v>
      </c>
      <c r="H21" s="4">
        <v>0.83333333333333004</v>
      </c>
      <c r="I21" s="3">
        <v>43273</v>
      </c>
      <c r="J21" s="4">
        <v>1.7048611111110001E-2</v>
      </c>
      <c r="K21" s="2">
        <v>0</v>
      </c>
      <c r="L21" t="s">
        <v>0</v>
      </c>
      <c r="M21" t="s">
        <v>2503</v>
      </c>
      <c r="N21" s="3">
        <v>43276</v>
      </c>
      <c r="O21" s="3">
        <v>43275</v>
      </c>
      <c r="P21" t="s">
        <v>2435</v>
      </c>
      <c r="Q21" t="s">
        <v>2530</v>
      </c>
      <c r="R21" t="s">
        <v>820</v>
      </c>
      <c r="S21" s="3">
        <v>43276</v>
      </c>
      <c r="T21" t="s">
        <v>7201</v>
      </c>
      <c r="U21" t="s">
        <v>2491</v>
      </c>
      <c r="V21" t="s">
        <v>2437</v>
      </c>
      <c r="W21" t="s">
        <v>2434</v>
      </c>
      <c r="X21" s="2">
        <v>1162</v>
      </c>
      <c r="Y21" t="s">
        <v>2</v>
      </c>
      <c r="Z21" t="s">
        <v>3</v>
      </c>
      <c r="AA21" s="5">
        <v>0</v>
      </c>
      <c r="AB21" t="s">
        <v>4</v>
      </c>
      <c r="AL21" t="s">
        <v>7989</v>
      </c>
    </row>
    <row r="22" spans="1:38">
      <c r="A22" t="s">
        <v>2480</v>
      </c>
      <c r="B22" t="s">
        <v>7012</v>
      </c>
      <c r="C22" t="s">
        <v>2537</v>
      </c>
      <c r="D22" t="s">
        <v>2538</v>
      </c>
      <c r="E22" s="5">
        <v>5123.5</v>
      </c>
      <c r="F22" s="5">
        <v>5123.5</v>
      </c>
      <c r="G22" s="3">
        <v>43273</v>
      </c>
      <c r="H22" s="4">
        <v>0.125</v>
      </c>
      <c r="I22" s="3">
        <v>43273</v>
      </c>
      <c r="J22" s="4">
        <v>0.30871527777778002</v>
      </c>
      <c r="K22" s="2">
        <v>0</v>
      </c>
      <c r="L22" t="s">
        <v>0</v>
      </c>
      <c r="M22" t="s">
        <v>2503</v>
      </c>
      <c r="N22" s="3"/>
      <c r="O22" s="3">
        <v>43275</v>
      </c>
      <c r="P22" t="s">
        <v>2483</v>
      </c>
      <c r="Q22" t="s">
        <v>2580</v>
      </c>
      <c r="R22" t="s">
        <v>820</v>
      </c>
      <c r="S22" s="3">
        <v>43286</v>
      </c>
      <c r="T22" t="s">
        <v>7202</v>
      </c>
      <c r="U22" t="s">
        <v>2487</v>
      </c>
      <c r="V22" t="s">
        <v>2539</v>
      </c>
      <c r="W22" t="s">
        <v>2434</v>
      </c>
      <c r="X22" s="2">
        <v>1162</v>
      </c>
      <c r="Y22" t="s">
        <v>2</v>
      </c>
      <c r="Z22" t="s">
        <v>3</v>
      </c>
      <c r="AA22" s="5">
        <v>0</v>
      </c>
      <c r="AB22" t="s">
        <v>4</v>
      </c>
      <c r="AL22" t="s">
        <v>7990</v>
      </c>
    </row>
    <row r="23" spans="1:38">
      <c r="A23" t="s">
        <v>2480</v>
      </c>
      <c r="B23" t="s">
        <v>7203</v>
      </c>
      <c r="C23" t="s">
        <v>2505</v>
      </c>
      <c r="D23" t="s">
        <v>2506</v>
      </c>
      <c r="E23" s="2">
        <v>20000</v>
      </c>
      <c r="F23" s="2">
        <v>20000</v>
      </c>
      <c r="G23" s="3">
        <v>43273</v>
      </c>
      <c r="H23" s="4">
        <v>0.45833333333332998</v>
      </c>
      <c r="I23" s="3">
        <v>43274</v>
      </c>
      <c r="J23" s="4">
        <v>0.17548611111111001</v>
      </c>
      <c r="K23" s="2">
        <v>0</v>
      </c>
      <c r="L23" t="s">
        <v>0</v>
      </c>
      <c r="M23" t="s">
        <v>2485</v>
      </c>
      <c r="N23" s="3"/>
      <c r="O23" s="3">
        <v>43276</v>
      </c>
      <c r="P23" t="s">
        <v>2507</v>
      </c>
      <c r="Q23" t="s">
        <v>1</v>
      </c>
      <c r="R23" t="s">
        <v>821</v>
      </c>
      <c r="S23" s="3">
        <v>43288</v>
      </c>
      <c r="T23" t="s">
        <v>7204</v>
      </c>
      <c r="U23" t="s">
        <v>2458</v>
      </c>
      <c r="V23" t="s">
        <v>2508</v>
      </c>
      <c r="W23" t="s">
        <v>2434</v>
      </c>
      <c r="X23" s="2">
        <v>1162</v>
      </c>
      <c r="Y23" t="s">
        <v>2</v>
      </c>
      <c r="Z23" t="s">
        <v>3</v>
      </c>
      <c r="AA23" s="5">
        <v>0</v>
      </c>
      <c r="AB23" t="s">
        <v>17</v>
      </c>
      <c r="AL23" t="s">
        <v>7991</v>
      </c>
    </row>
    <row r="24" spans="1:38">
      <c r="A24" t="s">
        <v>2480</v>
      </c>
      <c r="B24" t="s">
        <v>7205</v>
      </c>
      <c r="C24" t="s">
        <v>2505</v>
      </c>
      <c r="D24" t="s">
        <v>2506</v>
      </c>
      <c r="E24" s="2">
        <v>20000</v>
      </c>
      <c r="F24" s="2">
        <v>20000</v>
      </c>
      <c r="G24" s="3">
        <v>43274</v>
      </c>
      <c r="H24" s="4">
        <v>0.20833333333333001</v>
      </c>
      <c r="I24" s="3">
        <v>43274</v>
      </c>
      <c r="J24" s="4">
        <v>0.92548611111111001</v>
      </c>
      <c r="K24" s="2">
        <v>0</v>
      </c>
      <c r="L24" t="s">
        <v>0</v>
      </c>
      <c r="M24" t="s">
        <v>2485</v>
      </c>
      <c r="N24" s="3"/>
      <c r="O24" s="3">
        <v>43276</v>
      </c>
      <c r="P24" t="s">
        <v>2507</v>
      </c>
      <c r="Q24" t="s">
        <v>2565</v>
      </c>
      <c r="R24" t="s">
        <v>820</v>
      </c>
      <c r="S24" s="3">
        <v>43300</v>
      </c>
      <c r="T24" t="s">
        <v>7206</v>
      </c>
      <c r="U24" t="s">
        <v>2458</v>
      </c>
      <c r="V24" t="s">
        <v>2508</v>
      </c>
      <c r="W24" t="s">
        <v>2434</v>
      </c>
      <c r="X24" s="2">
        <v>1162</v>
      </c>
      <c r="Y24" t="s">
        <v>2</v>
      </c>
      <c r="Z24" t="s">
        <v>3</v>
      </c>
      <c r="AA24" s="5">
        <v>0</v>
      </c>
      <c r="AB24" t="s">
        <v>17</v>
      </c>
      <c r="AL24" t="s">
        <v>7992</v>
      </c>
    </row>
    <row r="25" spans="1:38">
      <c r="A25" t="s">
        <v>2480</v>
      </c>
      <c r="B25" t="s">
        <v>2566</v>
      </c>
      <c r="C25" t="s">
        <v>2567</v>
      </c>
      <c r="D25" t="s">
        <v>2568</v>
      </c>
      <c r="E25" s="2">
        <v>10256</v>
      </c>
      <c r="F25" s="2">
        <v>10256</v>
      </c>
      <c r="G25" s="3">
        <v>43275</v>
      </c>
      <c r="H25" s="4">
        <v>8.3333333333329998E-2</v>
      </c>
      <c r="I25" s="3">
        <v>43275</v>
      </c>
      <c r="J25" s="4">
        <v>0.45108796296296</v>
      </c>
      <c r="K25" s="2">
        <v>20</v>
      </c>
      <c r="L25" t="s">
        <v>0</v>
      </c>
      <c r="M25" t="s">
        <v>7207</v>
      </c>
      <c r="N25" s="3">
        <v>43284</v>
      </c>
      <c r="O25" s="3">
        <v>43277</v>
      </c>
      <c r="P25" t="s">
        <v>2483</v>
      </c>
      <c r="Q25" t="s">
        <v>2569</v>
      </c>
      <c r="R25" t="s">
        <v>820</v>
      </c>
      <c r="S25" s="3">
        <v>43284</v>
      </c>
      <c r="T25" t="s">
        <v>7208</v>
      </c>
      <c r="U25" t="s">
        <v>2570</v>
      </c>
      <c r="V25">
        <v>780</v>
      </c>
      <c r="W25" t="s">
        <v>2434</v>
      </c>
      <c r="X25" s="2">
        <v>1162</v>
      </c>
      <c r="Y25" t="s">
        <v>2</v>
      </c>
      <c r="Z25" t="s">
        <v>3</v>
      </c>
      <c r="AA25" s="5">
        <v>0</v>
      </c>
      <c r="AB25" t="s">
        <v>4</v>
      </c>
      <c r="AL25" t="s">
        <v>7993</v>
      </c>
    </row>
    <row r="26" spans="1:38">
      <c r="A26" t="s">
        <v>2480</v>
      </c>
      <c r="B26" t="s">
        <v>2591</v>
      </c>
      <c r="C26" t="s">
        <v>2592</v>
      </c>
      <c r="D26" t="s">
        <v>2593</v>
      </c>
      <c r="E26" s="2">
        <v>5000</v>
      </c>
      <c r="F26" s="2">
        <v>5000</v>
      </c>
      <c r="G26" s="3">
        <v>43275</v>
      </c>
      <c r="H26" s="4">
        <v>0.58333333333333004</v>
      </c>
      <c r="I26" s="3">
        <v>43275</v>
      </c>
      <c r="J26" s="4">
        <v>0.76262731481481005</v>
      </c>
      <c r="K26" s="2">
        <v>0</v>
      </c>
      <c r="L26" t="s">
        <v>0</v>
      </c>
      <c r="M26" t="s">
        <v>2481</v>
      </c>
      <c r="N26" s="3">
        <v>43300</v>
      </c>
      <c r="O26" s="3">
        <v>43277</v>
      </c>
      <c r="P26" t="s">
        <v>2490</v>
      </c>
      <c r="Q26" t="s">
        <v>2594</v>
      </c>
      <c r="R26" t="s">
        <v>820</v>
      </c>
      <c r="S26" s="3">
        <v>43300</v>
      </c>
      <c r="T26" t="s">
        <v>7209</v>
      </c>
      <c r="U26" t="s">
        <v>2595</v>
      </c>
      <c r="V26" t="s">
        <v>2596</v>
      </c>
      <c r="W26" t="s">
        <v>2434</v>
      </c>
      <c r="X26" s="2">
        <v>1162</v>
      </c>
      <c r="Y26" t="s">
        <v>2</v>
      </c>
      <c r="Z26" t="s">
        <v>3</v>
      </c>
      <c r="AA26" s="5">
        <v>0</v>
      </c>
      <c r="AB26" t="s">
        <v>17</v>
      </c>
      <c r="AL26" t="s">
        <v>7994</v>
      </c>
    </row>
    <row r="27" spans="1:38">
      <c r="A27" t="s">
        <v>2480</v>
      </c>
      <c r="B27" t="s">
        <v>2558</v>
      </c>
      <c r="C27" t="s">
        <v>2559</v>
      </c>
      <c r="D27" t="s">
        <v>2560</v>
      </c>
      <c r="E27" s="2">
        <v>10247</v>
      </c>
      <c r="F27" s="2">
        <v>10247</v>
      </c>
      <c r="G27" s="3">
        <v>43276</v>
      </c>
      <c r="H27" s="4">
        <v>8.3333333333329998E-2</v>
      </c>
      <c r="I27" s="3">
        <v>43276</v>
      </c>
      <c r="J27" s="4">
        <v>0.45076388888889002</v>
      </c>
      <c r="K27" s="2">
        <v>0</v>
      </c>
      <c r="L27" t="s">
        <v>0</v>
      </c>
      <c r="M27" t="s">
        <v>5003</v>
      </c>
      <c r="N27" s="3">
        <v>43287</v>
      </c>
      <c r="O27" s="3">
        <v>43278</v>
      </c>
      <c r="P27" t="s">
        <v>2483</v>
      </c>
      <c r="Q27" t="s">
        <v>2561</v>
      </c>
      <c r="R27" t="s">
        <v>820</v>
      </c>
      <c r="S27" s="3">
        <v>43287</v>
      </c>
      <c r="T27" t="s">
        <v>7210</v>
      </c>
      <c r="U27" t="s">
        <v>2482</v>
      </c>
      <c r="V27" t="s">
        <v>2562</v>
      </c>
      <c r="X27" s="2">
        <v>1162</v>
      </c>
      <c r="Y27" t="s">
        <v>2</v>
      </c>
      <c r="Z27" t="s">
        <v>3</v>
      </c>
      <c r="AA27" s="5">
        <v>0</v>
      </c>
      <c r="AB27" t="s">
        <v>4</v>
      </c>
      <c r="AL27" t="s">
        <v>7995</v>
      </c>
    </row>
    <row r="28" spans="1:38">
      <c r="A28" t="s">
        <v>2480</v>
      </c>
      <c r="B28" t="s">
        <v>7013</v>
      </c>
      <c r="C28" t="s">
        <v>2554</v>
      </c>
      <c r="D28" t="s">
        <v>2555</v>
      </c>
      <c r="E28" s="5">
        <v>15370.5</v>
      </c>
      <c r="F28" s="5">
        <v>15370.5</v>
      </c>
      <c r="G28" s="3">
        <v>43276</v>
      </c>
      <c r="H28" s="4">
        <v>0.53409722222222</v>
      </c>
      <c r="I28" s="3">
        <v>43277</v>
      </c>
      <c r="J28" s="4">
        <v>8.5243055555559999E-2</v>
      </c>
      <c r="K28" s="2">
        <v>0</v>
      </c>
      <c r="L28" t="s">
        <v>0</v>
      </c>
      <c r="M28" t="s">
        <v>7014</v>
      </c>
      <c r="N28" s="3"/>
      <c r="O28" s="3">
        <v>43279</v>
      </c>
      <c r="P28" t="s">
        <v>2490</v>
      </c>
      <c r="Q28" t="s">
        <v>2556</v>
      </c>
      <c r="R28" t="s">
        <v>820</v>
      </c>
      <c r="S28" s="3">
        <v>43297</v>
      </c>
      <c r="T28" t="s">
        <v>7211</v>
      </c>
      <c r="U28" t="s">
        <v>2557</v>
      </c>
      <c r="V28">
        <v>780</v>
      </c>
      <c r="W28" t="s">
        <v>2434</v>
      </c>
      <c r="X28" s="2">
        <v>1162</v>
      </c>
      <c r="Y28" t="s">
        <v>2</v>
      </c>
      <c r="Z28" t="s">
        <v>3</v>
      </c>
      <c r="AA28" s="5">
        <v>0</v>
      </c>
      <c r="AB28" t="s">
        <v>4</v>
      </c>
      <c r="AL28" t="s">
        <v>7996</v>
      </c>
    </row>
    <row r="29" spans="1:38">
      <c r="A29" t="s">
        <v>2480</v>
      </c>
      <c r="B29" t="s">
        <v>7015</v>
      </c>
      <c r="C29" t="s">
        <v>2497</v>
      </c>
      <c r="D29" t="s">
        <v>2498</v>
      </c>
      <c r="E29" s="2">
        <v>10247</v>
      </c>
      <c r="F29" s="2">
        <v>10247</v>
      </c>
      <c r="G29" s="3">
        <v>43277</v>
      </c>
      <c r="H29" s="4">
        <v>0.16857638888889001</v>
      </c>
      <c r="I29" s="3">
        <v>43277</v>
      </c>
      <c r="J29" s="4">
        <v>0.53600694444443997</v>
      </c>
      <c r="K29" s="2">
        <v>20</v>
      </c>
      <c r="L29" t="s">
        <v>0</v>
      </c>
      <c r="M29" t="s">
        <v>5003</v>
      </c>
      <c r="N29" s="3">
        <v>43294</v>
      </c>
      <c r="O29" s="3">
        <v>43284</v>
      </c>
      <c r="P29" t="s">
        <v>2483</v>
      </c>
      <c r="Q29" t="s">
        <v>7016</v>
      </c>
      <c r="R29" t="s">
        <v>820</v>
      </c>
      <c r="S29" s="3">
        <v>43294</v>
      </c>
      <c r="T29" t="s">
        <v>7212</v>
      </c>
      <c r="U29" t="s">
        <v>2495</v>
      </c>
      <c r="V29" t="s">
        <v>2499</v>
      </c>
      <c r="W29" t="s">
        <v>2434</v>
      </c>
      <c r="X29" s="2">
        <v>1162</v>
      </c>
      <c r="Y29" t="s">
        <v>2</v>
      </c>
      <c r="Z29" t="s">
        <v>3</v>
      </c>
      <c r="AA29" s="5">
        <v>0</v>
      </c>
      <c r="AB29" t="s">
        <v>4</v>
      </c>
      <c r="AL29" t="s">
        <v>7997</v>
      </c>
    </row>
    <row r="30" spans="1:38">
      <c r="A30" t="s">
        <v>2480</v>
      </c>
      <c r="B30" t="s">
        <v>5696</v>
      </c>
      <c r="C30" t="s">
        <v>2497</v>
      </c>
      <c r="D30" t="s">
        <v>2498</v>
      </c>
      <c r="E30" s="2">
        <v>10247</v>
      </c>
      <c r="F30" s="2">
        <v>10247</v>
      </c>
      <c r="G30" s="3">
        <v>43277</v>
      </c>
      <c r="H30" s="4">
        <v>0.55684027777778</v>
      </c>
      <c r="I30" s="3">
        <v>43277</v>
      </c>
      <c r="J30" s="4">
        <v>0.92427083333333004</v>
      </c>
      <c r="K30" s="2">
        <v>20</v>
      </c>
      <c r="L30" t="s">
        <v>0</v>
      </c>
      <c r="M30" t="s">
        <v>5003</v>
      </c>
      <c r="N30" s="3">
        <v>43293</v>
      </c>
      <c r="O30" s="3">
        <v>43284</v>
      </c>
      <c r="P30" t="s">
        <v>2483</v>
      </c>
      <c r="Q30" t="s">
        <v>2500</v>
      </c>
      <c r="R30" t="s">
        <v>822</v>
      </c>
      <c r="S30" s="3">
        <v>43293</v>
      </c>
      <c r="T30" t="s">
        <v>7213</v>
      </c>
      <c r="U30" t="s">
        <v>2495</v>
      </c>
      <c r="V30" t="s">
        <v>2499</v>
      </c>
      <c r="W30" t="s">
        <v>2434</v>
      </c>
      <c r="X30" s="2">
        <v>1162</v>
      </c>
      <c r="Y30" t="s">
        <v>2</v>
      </c>
      <c r="Z30" t="s">
        <v>3</v>
      </c>
      <c r="AA30" s="5">
        <v>0</v>
      </c>
      <c r="AB30" t="s">
        <v>4</v>
      </c>
      <c r="AL30" t="s">
        <v>7998</v>
      </c>
    </row>
    <row r="31" spans="1:38">
      <c r="A31" t="s">
        <v>2480</v>
      </c>
      <c r="B31" t="s">
        <v>7214</v>
      </c>
      <c r="C31" t="s">
        <v>2572</v>
      </c>
      <c r="D31" t="s">
        <v>2573</v>
      </c>
      <c r="E31" s="2">
        <v>20000</v>
      </c>
      <c r="F31" s="2">
        <v>20000</v>
      </c>
      <c r="G31" s="3">
        <v>43277</v>
      </c>
      <c r="H31" s="4">
        <v>0.94510416666666996</v>
      </c>
      <c r="I31" s="3">
        <v>43278</v>
      </c>
      <c r="J31" s="4">
        <v>0.66225694444444005</v>
      </c>
      <c r="K31" s="2">
        <v>0</v>
      </c>
      <c r="L31" t="s">
        <v>0</v>
      </c>
      <c r="M31" t="s">
        <v>2485</v>
      </c>
      <c r="N31" s="3"/>
      <c r="O31" s="3">
        <v>43280</v>
      </c>
      <c r="P31" t="s">
        <v>2483</v>
      </c>
      <c r="Q31" t="s">
        <v>1</v>
      </c>
      <c r="R31" t="s">
        <v>819</v>
      </c>
      <c r="S31" s="3"/>
      <c r="T31" t="s">
        <v>7215</v>
      </c>
      <c r="U31" t="s">
        <v>2458</v>
      </c>
      <c r="V31">
        <v>111</v>
      </c>
      <c r="W31" t="s">
        <v>2434</v>
      </c>
      <c r="X31" s="2">
        <v>1162</v>
      </c>
      <c r="Y31" t="s">
        <v>2</v>
      </c>
      <c r="Z31" t="s">
        <v>3</v>
      </c>
      <c r="AA31" s="5">
        <v>0</v>
      </c>
      <c r="AB31" t="s">
        <v>17</v>
      </c>
      <c r="AL31" t="s">
        <v>7999</v>
      </c>
    </row>
    <row r="32" spans="1:38">
      <c r="A32" t="s">
        <v>2480</v>
      </c>
      <c r="B32" t="s">
        <v>7216</v>
      </c>
      <c r="C32" t="s">
        <v>2572</v>
      </c>
      <c r="D32" t="s">
        <v>2573</v>
      </c>
      <c r="E32" s="2">
        <v>20000</v>
      </c>
      <c r="F32" s="2">
        <v>20000</v>
      </c>
      <c r="G32" s="3">
        <v>43278</v>
      </c>
      <c r="H32" s="4">
        <v>0.68309027777777998</v>
      </c>
      <c r="I32" s="3">
        <v>43279</v>
      </c>
      <c r="J32" s="4">
        <v>0.40024305555556</v>
      </c>
      <c r="K32" s="2">
        <v>0</v>
      </c>
      <c r="L32" t="s">
        <v>0</v>
      </c>
      <c r="M32" t="s">
        <v>2485</v>
      </c>
      <c r="N32" s="3"/>
      <c r="O32" s="3">
        <v>43281</v>
      </c>
      <c r="P32" t="s">
        <v>2483</v>
      </c>
      <c r="Q32" t="s">
        <v>7017</v>
      </c>
      <c r="R32" t="s">
        <v>820</v>
      </c>
      <c r="S32" s="3">
        <v>43291</v>
      </c>
      <c r="T32" t="s">
        <v>7217</v>
      </c>
      <c r="U32" t="s">
        <v>2458</v>
      </c>
      <c r="V32">
        <v>111</v>
      </c>
      <c r="W32" t="s">
        <v>2434</v>
      </c>
      <c r="X32" s="2">
        <v>1162</v>
      </c>
      <c r="Y32" t="s">
        <v>2</v>
      </c>
      <c r="Z32" t="s">
        <v>3</v>
      </c>
      <c r="AA32" s="5">
        <v>0</v>
      </c>
      <c r="AB32" t="s">
        <v>17</v>
      </c>
      <c r="AL32" t="s">
        <v>8000</v>
      </c>
    </row>
    <row r="33" spans="1:38">
      <c r="A33" t="s">
        <v>2480</v>
      </c>
      <c r="B33" t="s">
        <v>2571</v>
      </c>
      <c r="C33" t="s">
        <v>2572</v>
      </c>
      <c r="D33" t="s">
        <v>2573</v>
      </c>
      <c r="E33" s="2">
        <v>20000</v>
      </c>
      <c r="F33" s="2">
        <v>20000</v>
      </c>
      <c r="G33" s="3">
        <v>43279</v>
      </c>
      <c r="H33" s="4">
        <v>0.42107638888888999</v>
      </c>
      <c r="I33" s="3">
        <v>43280</v>
      </c>
      <c r="J33" s="4">
        <v>0.13822916666667001</v>
      </c>
      <c r="K33" s="2">
        <v>0</v>
      </c>
      <c r="L33" t="s">
        <v>0</v>
      </c>
      <c r="M33" t="s">
        <v>2485</v>
      </c>
      <c r="N33" s="3"/>
      <c r="O33" s="3">
        <v>43282</v>
      </c>
      <c r="P33" t="s">
        <v>2483</v>
      </c>
      <c r="Q33" t="s">
        <v>2583</v>
      </c>
      <c r="R33" t="s">
        <v>820</v>
      </c>
      <c r="S33" s="3">
        <v>43304</v>
      </c>
      <c r="T33" t="s">
        <v>1</v>
      </c>
      <c r="U33" t="s">
        <v>2458</v>
      </c>
      <c r="V33">
        <v>111</v>
      </c>
      <c r="W33" t="s">
        <v>2434</v>
      </c>
      <c r="X33" s="2">
        <v>0</v>
      </c>
      <c r="Y33" t="s">
        <v>2</v>
      </c>
      <c r="Z33" t="s">
        <v>3</v>
      </c>
      <c r="AA33" s="5">
        <v>0</v>
      </c>
      <c r="AB33" t="s">
        <v>29</v>
      </c>
      <c r="AL33" t="s">
        <v>8001</v>
      </c>
    </row>
    <row r="34" spans="1:38">
      <c r="A34" t="s">
        <v>2480</v>
      </c>
      <c r="B34" t="s">
        <v>2563</v>
      </c>
      <c r="C34" t="s">
        <v>2528</v>
      </c>
      <c r="D34" t="s">
        <v>2529</v>
      </c>
      <c r="E34" s="5">
        <v>5123.5</v>
      </c>
      <c r="F34" s="5">
        <v>5123.5</v>
      </c>
      <c r="G34" s="3">
        <v>43280</v>
      </c>
      <c r="H34" s="4">
        <v>0.2215625</v>
      </c>
      <c r="I34" s="3">
        <v>43280</v>
      </c>
      <c r="J34" s="4">
        <v>0.40527777777778001</v>
      </c>
      <c r="K34" s="2">
        <v>0</v>
      </c>
      <c r="L34" t="s">
        <v>0</v>
      </c>
      <c r="M34" t="s">
        <v>2503</v>
      </c>
      <c r="N34" s="3">
        <v>43284</v>
      </c>
      <c r="O34" s="3">
        <v>43282</v>
      </c>
      <c r="P34" t="s">
        <v>2435</v>
      </c>
      <c r="Q34" t="s">
        <v>2564</v>
      </c>
      <c r="R34" t="s">
        <v>820</v>
      </c>
      <c r="S34" s="3">
        <v>43284</v>
      </c>
      <c r="T34" t="s">
        <v>7218</v>
      </c>
      <c r="U34" t="s">
        <v>2491</v>
      </c>
      <c r="V34" t="s">
        <v>2437</v>
      </c>
      <c r="W34" t="s">
        <v>2434</v>
      </c>
      <c r="X34" s="2">
        <v>1162</v>
      </c>
      <c r="Y34" t="s">
        <v>2</v>
      </c>
      <c r="Z34" t="s">
        <v>3</v>
      </c>
      <c r="AA34" s="5">
        <v>0</v>
      </c>
      <c r="AB34" t="s">
        <v>4</v>
      </c>
      <c r="AL34" t="s">
        <v>8002</v>
      </c>
    </row>
    <row r="35" spans="1:38">
      <c r="A35" t="s">
        <v>2480</v>
      </c>
      <c r="B35" t="s">
        <v>2467</v>
      </c>
      <c r="C35" t="s">
        <v>2448</v>
      </c>
      <c r="D35" t="s">
        <v>2449</v>
      </c>
      <c r="E35" s="2">
        <v>20000</v>
      </c>
      <c r="F35" s="2">
        <v>20000</v>
      </c>
      <c r="G35" s="3">
        <v>43280</v>
      </c>
      <c r="H35" s="4">
        <v>0.42611111111111</v>
      </c>
      <c r="I35" s="3">
        <v>43281</v>
      </c>
      <c r="J35" s="4">
        <v>0.14326388888889</v>
      </c>
      <c r="K35" s="2">
        <v>0</v>
      </c>
      <c r="L35" t="s">
        <v>0</v>
      </c>
      <c r="M35" t="s">
        <v>2485</v>
      </c>
      <c r="N35" s="3"/>
      <c r="O35" s="3">
        <v>43288</v>
      </c>
      <c r="P35" t="s">
        <v>2432</v>
      </c>
      <c r="Q35" t="s">
        <v>2468</v>
      </c>
      <c r="R35" t="s">
        <v>823</v>
      </c>
      <c r="S35" s="3">
        <v>43283</v>
      </c>
      <c r="T35" t="s">
        <v>1</v>
      </c>
      <c r="U35" t="s">
        <v>2451</v>
      </c>
      <c r="V35">
        <v>701</v>
      </c>
      <c r="W35" t="s">
        <v>2434</v>
      </c>
      <c r="X35" s="2">
        <v>0</v>
      </c>
      <c r="Y35" t="s">
        <v>2</v>
      </c>
      <c r="Z35" t="s">
        <v>3</v>
      </c>
      <c r="AA35" s="5">
        <v>0</v>
      </c>
      <c r="AB35" t="s">
        <v>29</v>
      </c>
      <c r="AL35" t="s">
        <v>8003</v>
      </c>
    </row>
    <row r="36" spans="1:38">
      <c r="A36" t="s">
        <v>2480</v>
      </c>
      <c r="B36" t="s">
        <v>4999</v>
      </c>
      <c r="C36" t="s">
        <v>2464</v>
      </c>
      <c r="D36" t="s">
        <v>2465</v>
      </c>
      <c r="E36" s="2">
        <v>10000</v>
      </c>
      <c r="F36" s="2">
        <v>10000</v>
      </c>
      <c r="G36" s="3">
        <v>43281</v>
      </c>
      <c r="H36" s="4">
        <v>0.25</v>
      </c>
      <c r="I36" s="3">
        <v>43281</v>
      </c>
      <c r="J36" s="4">
        <v>0.60857638888888999</v>
      </c>
      <c r="K36" s="2">
        <v>0</v>
      </c>
      <c r="L36" t="s">
        <v>0</v>
      </c>
      <c r="M36" t="s">
        <v>2509</v>
      </c>
      <c r="N36" s="3">
        <v>43283</v>
      </c>
      <c r="O36" s="3">
        <v>43283</v>
      </c>
      <c r="P36" t="s">
        <v>2483</v>
      </c>
      <c r="Q36" t="s">
        <v>1</v>
      </c>
      <c r="R36" t="s">
        <v>821</v>
      </c>
      <c r="S36" s="3">
        <v>43288</v>
      </c>
      <c r="T36" t="s">
        <v>1</v>
      </c>
      <c r="U36" t="s">
        <v>2466</v>
      </c>
      <c r="V36">
        <v>701</v>
      </c>
      <c r="W36" t="s">
        <v>2434</v>
      </c>
      <c r="X36" s="2">
        <v>0</v>
      </c>
      <c r="Y36" t="s">
        <v>2</v>
      </c>
      <c r="Z36" t="s">
        <v>3</v>
      </c>
      <c r="AA36" s="5">
        <v>0</v>
      </c>
      <c r="AB36" t="s">
        <v>29</v>
      </c>
      <c r="AL36" t="s">
        <v>8004</v>
      </c>
    </row>
    <row r="37" spans="1:38">
      <c r="A37" t="s">
        <v>2480</v>
      </c>
      <c r="B37" t="s">
        <v>2586</v>
      </c>
      <c r="C37" t="s">
        <v>2572</v>
      </c>
      <c r="D37" t="s">
        <v>2573</v>
      </c>
      <c r="E37" s="2">
        <v>20000</v>
      </c>
      <c r="F37" s="2">
        <v>20000</v>
      </c>
      <c r="G37" s="3">
        <v>43287</v>
      </c>
      <c r="H37" s="4">
        <v>0.28284722222221997</v>
      </c>
      <c r="I37" s="3">
        <v>43288</v>
      </c>
      <c r="J37" s="4">
        <v>0</v>
      </c>
      <c r="K37" s="2">
        <v>0</v>
      </c>
      <c r="L37" t="s">
        <v>0</v>
      </c>
      <c r="M37" t="s">
        <v>2485</v>
      </c>
      <c r="N37" s="3"/>
      <c r="O37" s="3">
        <v>43289</v>
      </c>
      <c r="P37" t="s">
        <v>2483</v>
      </c>
      <c r="Q37" t="s">
        <v>1</v>
      </c>
      <c r="R37" t="s">
        <v>821</v>
      </c>
      <c r="S37" s="3">
        <v>43313</v>
      </c>
      <c r="T37" t="s">
        <v>1</v>
      </c>
      <c r="U37" t="s">
        <v>2458</v>
      </c>
      <c r="V37">
        <v>111</v>
      </c>
      <c r="W37" t="s">
        <v>2434</v>
      </c>
      <c r="X37" s="2">
        <v>0</v>
      </c>
      <c r="Y37" t="s">
        <v>2</v>
      </c>
      <c r="Z37" t="s">
        <v>3</v>
      </c>
      <c r="AA37" s="5">
        <v>0</v>
      </c>
      <c r="AB37" t="s">
        <v>29</v>
      </c>
      <c r="AL37" t="s">
        <v>8005</v>
      </c>
    </row>
    <row r="38" spans="1:38">
      <c r="A38" t="s">
        <v>2480</v>
      </c>
      <c r="B38" t="s">
        <v>2547</v>
      </c>
      <c r="C38" t="s">
        <v>2540</v>
      </c>
      <c r="D38" t="s">
        <v>2541</v>
      </c>
      <c r="E38" s="2">
        <v>20000</v>
      </c>
      <c r="F38" s="2">
        <v>20000</v>
      </c>
      <c r="G38" s="3">
        <v>43288</v>
      </c>
      <c r="H38" s="4">
        <v>0.28284722222221997</v>
      </c>
      <c r="I38" s="3">
        <v>43289</v>
      </c>
      <c r="J38" s="4">
        <v>0</v>
      </c>
      <c r="K38" s="2">
        <v>0</v>
      </c>
      <c r="L38" t="s">
        <v>0</v>
      </c>
      <c r="M38" t="s">
        <v>2485</v>
      </c>
      <c r="N38" s="3"/>
      <c r="O38" s="3">
        <v>43290</v>
      </c>
      <c r="P38" t="s">
        <v>2435</v>
      </c>
      <c r="Q38" t="s">
        <v>7021</v>
      </c>
      <c r="R38" t="s">
        <v>820</v>
      </c>
      <c r="S38" s="3">
        <v>43306</v>
      </c>
      <c r="T38" t="s">
        <v>1</v>
      </c>
      <c r="U38" t="s">
        <v>2542</v>
      </c>
      <c r="V38">
        <v>701</v>
      </c>
      <c r="W38" t="s">
        <v>2434</v>
      </c>
      <c r="X38" s="2">
        <v>0</v>
      </c>
      <c r="Y38" t="s">
        <v>2</v>
      </c>
      <c r="Z38" t="s">
        <v>3</v>
      </c>
      <c r="AA38" s="5">
        <v>0</v>
      </c>
      <c r="AB38" t="s">
        <v>29</v>
      </c>
      <c r="AL38" t="s">
        <v>8006</v>
      </c>
    </row>
    <row r="39" spans="1:38">
      <c r="A39" t="s">
        <v>2480</v>
      </c>
      <c r="B39" t="s">
        <v>2588</v>
      </c>
      <c r="C39" t="s">
        <v>2572</v>
      </c>
      <c r="D39" t="s">
        <v>2573</v>
      </c>
      <c r="E39" s="2">
        <v>20000</v>
      </c>
      <c r="F39" s="2">
        <v>20000</v>
      </c>
      <c r="G39" s="3">
        <v>43288</v>
      </c>
      <c r="H39" s="4">
        <v>0.28284722222221997</v>
      </c>
      <c r="I39" s="3">
        <v>43289</v>
      </c>
      <c r="J39" s="4">
        <v>0</v>
      </c>
      <c r="K39" s="2">
        <v>0</v>
      </c>
      <c r="L39" t="s">
        <v>0</v>
      </c>
      <c r="M39" t="s">
        <v>2485</v>
      </c>
      <c r="N39" s="3"/>
      <c r="O39" s="3">
        <v>43290</v>
      </c>
      <c r="P39" t="s">
        <v>2483</v>
      </c>
      <c r="Q39" t="s">
        <v>1</v>
      </c>
      <c r="R39" t="s">
        <v>821</v>
      </c>
      <c r="S39" s="3">
        <v>43313</v>
      </c>
      <c r="T39" t="s">
        <v>1</v>
      </c>
      <c r="U39" t="s">
        <v>2458</v>
      </c>
      <c r="V39">
        <v>111</v>
      </c>
      <c r="W39" t="s">
        <v>2434</v>
      </c>
      <c r="X39" s="2">
        <v>0</v>
      </c>
      <c r="Y39" t="s">
        <v>2</v>
      </c>
      <c r="Z39" t="s">
        <v>3</v>
      </c>
      <c r="AA39" s="5">
        <v>0</v>
      </c>
      <c r="AB39" t="s">
        <v>29</v>
      </c>
      <c r="AL39" t="s">
        <v>8007</v>
      </c>
    </row>
    <row r="40" spans="1:38">
      <c r="A40" t="s">
        <v>2480</v>
      </c>
      <c r="B40" t="s">
        <v>2579</v>
      </c>
      <c r="C40" t="s">
        <v>2537</v>
      </c>
      <c r="D40" t="s">
        <v>2538</v>
      </c>
      <c r="E40" s="2">
        <v>10000</v>
      </c>
      <c r="F40" s="2">
        <v>10000</v>
      </c>
      <c r="G40" s="3">
        <v>43289</v>
      </c>
      <c r="H40" s="4">
        <v>0</v>
      </c>
      <c r="I40" s="3">
        <v>43289</v>
      </c>
      <c r="J40" s="4">
        <v>0.35857638888888999</v>
      </c>
      <c r="K40" s="2">
        <v>0</v>
      </c>
      <c r="L40" t="s">
        <v>0</v>
      </c>
      <c r="M40" t="s">
        <v>2509</v>
      </c>
      <c r="N40" s="3">
        <v>43276</v>
      </c>
      <c r="O40" s="3">
        <v>43291</v>
      </c>
      <c r="P40" t="s">
        <v>2483</v>
      </c>
      <c r="Q40" t="s">
        <v>1</v>
      </c>
      <c r="R40" t="s">
        <v>821</v>
      </c>
      <c r="S40" s="3">
        <v>43288</v>
      </c>
      <c r="T40" t="s">
        <v>1</v>
      </c>
      <c r="U40" t="s">
        <v>2487</v>
      </c>
      <c r="V40" t="s">
        <v>2539</v>
      </c>
      <c r="W40" t="s">
        <v>2434</v>
      </c>
      <c r="X40" s="2">
        <v>0</v>
      </c>
      <c r="Y40" t="s">
        <v>2</v>
      </c>
      <c r="Z40" t="s">
        <v>3</v>
      </c>
      <c r="AA40" s="5">
        <v>0</v>
      </c>
      <c r="AB40" t="s">
        <v>29</v>
      </c>
      <c r="AL40" t="s">
        <v>8008</v>
      </c>
    </row>
    <row r="41" spans="1:38">
      <c r="A41" t="s">
        <v>2480</v>
      </c>
      <c r="B41" t="s">
        <v>2574</v>
      </c>
      <c r="C41" t="s">
        <v>2511</v>
      </c>
      <c r="D41" t="s">
        <v>2512</v>
      </c>
      <c r="E41" s="2">
        <v>12000</v>
      </c>
      <c r="F41" s="2">
        <v>12000</v>
      </c>
      <c r="G41" s="3">
        <v>43289</v>
      </c>
      <c r="H41" s="4">
        <v>0.56971064814814998</v>
      </c>
      <c r="I41" s="3">
        <v>43290</v>
      </c>
      <c r="J41" s="4">
        <v>0</v>
      </c>
      <c r="K41" s="2">
        <v>0</v>
      </c>
      <c r="L41" t="s">
        <v>0</v>
      </c>
      <c r="M41" t="s">
        <v>2575</v>
      </c>
      <c r="N41" s="3">
        <v>43292</v>
      </c>
      <c r="O41" s="3">
        <v>43291</v>
      </c>
      <c r="P41" t="s">
        <v>2483</v>
      </c>
      <c r="Q41" t="s">
        <v>2514</v>
      </c>
      <c r="R41" t="s">
        <v>820</v>
      </c>
      <c r="S41" s="3">
        <v>43294</v>
      </c>
      <c r="T41" t="s">
        <v>1</v>
      </c>
      <c r="U41" t="s">
        <v>2495</v>
      </c>
      <c r="V41" t="s">
        <v>2513</v>
      </c>
      <c r="W41" t="s">
        <v>2434</v>
      </c>
      <c r="X41" s="2">
        <v>0</v>
      </c>
      <c r="Y41" t="s">
        <v>2</v>
      </c>
      <c r="Z41" t="s">
        <v>3</v>
      </c>
      <c r="AA41" s="5">
        <v>0</v>
      </c>
      <c r="AB41" t="s">
        <v>29</v>
      </c>
      <c r="AL41" t="s">
        <v>8009</v>
      </c>
    </row>
    <row r="42" spans="1:38">
      <c r="A42" t="s">
        <v>2480</v>
      </c>
      <c r="B42" t="s">
        <v>2576</v>
      </c>
      <c r="C42" t="s">
        <v>2528</v>
      </c>
      <c r="D42" t="s">
        <v>2529</v>
      </c>
      <c r="E42" s="2">
        <v>5000</v>
      </c>
      <c r="F42" s="2">
        <v>5000</v>
      </c>
      <c r="G42" s="3">
        <v>43289</v>
      </c>
      <c r="H42" s="4">
        <v>0.82070601851851999</v>
      </c>
      <c r="I42" s="3">
        <v>43290</v>
      </c>
      <c r="J42" s="4">
        <v>0</v>
      </c>
      <c r="K42" s="2">
        <v>0</v>
      </c>
      <c r="L42" t="s">
        <v>0</v>
      </c>
      <c r="M42" t="s">
        <v>2481</v>
      </c>
      <c r="N42" s="3">
        <v>43294</v>
      </c>
      <c r="O42" s="3">
        <v>43291</v>
      </c>
      <c r="P42" t="s">
        <v>2435</v>
      </c>
      <c r="Q42" t="s">
        <v>2577</v>
      </c>
      <c r="R42" t="s">
        <v>820</v>
      </c>
      <c r="S42" s="3">
        <v>43294</v>
      </c>
      <c r="T42" t="s">
        <v>7219</v>
      </c>
      <c r="U42" t="s">
        <v>2491</v>
      </c>
      <c r="V42" t="s">
        <v>2437</v>
      </c>
      <c r="W42" t="s">
        <v>2434</v>
      </c>
      <c r="X42" s="2">
        <v>1162</v>
      </c>
      <c r="Y42" t="s">
        <v>2</v>
      </c>
      <c r="Z42" t="s">
        <v>3</v>
      </c>
      <c r="AA42" s="5">
        <v>0</v>
      </c>
      <c r="AB42" t="s">
        <v>17</v>
      </c>
      <c r="AL42" t="s">
        <v>8010</v>
      </c>
    </row>
    <row r="43" spans="1:38">
      <c r="A43" t="s">
        <v>2480</v>
      </c>
      <c r="B43" t="s">
        <v>2578</v>
      </c>
      <c r="C43" t="s">
        <v>2520</v>
      </c>
      <c r="D43" t="s">
        <v>2521</v>
      </c>
      <c r="E43" s="2">
        <v>10000</v>
      </c>
      <c r="F43" s="2">
        <v>10000</v>
      </c>
      <c r="G43" s="3">
        <v>43290</v>
      </c>
      <c r="H43" s="4">
        <v>0.64142361111111001</v>
      </c>
      <c r="I43" s="3">
        <v>43291</v>
      </c>
      <c r="J43" s="4">
        <v>0</v>
      </c>
      <c r="K43" s="2">
        <v>0</v>
      </c>
      <c r="L43" t="s">
        <v>0</v>
      </c>
      <c r="M43" t="s">
        <v>2509</v>
      </c>
      <c r="N43" s="3">
        <v>43276</v>
      </c>
      <c r="O43" s="3">
        <v>43292</v>
      </c>
      <c r="P43" t="s">
        <v>2483</v>
      </c>
      <c r="Q43" t="s">
        <v>1</v>
      </c>
      <c r="R43" t="s">
        <v>819</v>
      </c>
      <c r="S43" s="3"/>
      <c r="T43" t="s">
        <v>1</v>
      </c>
      <c r="U43" t="s">
        <v>2487</v>
      </c>
      <c r="V43" t="s">
        <v>2513</v>
      </c>
      <c r="W43" t="s">
        <v>2434</v>
      </c>
      <c r="X43" s="2">
        <v>0</v>
      </c>
      <c r="Y43" t="s">
        <v>2</v>
      </c>
      <c r="Z43" t="s">
        <v>3</v>
      </c>
      <c r="AA43" s="5">
        <v>0</v>
      </c>
      <c r="AB43" t="s">
        <v>29</v>
      </c>
      <c r="AL43" t="s">
        <v>8011</v>
      </c>
    </row>
    <row r="44" spans="1:38">
      <c r="A44" t="s">
        <v>2480</v>
      </c>
      <c r="B44" t="s">
        <v>7220</v>
      </c>
      <c r="C44" t="s">
        <v>2493</v>
      </c>
      <c r="D44" t="s">
        <v>2494</v>
      </c>
      <c r="E44" s="2">
        <v>10000</v>
      </c>
      <c r="F44" s="2">
        <v>10000</v>
      </c>
      <c r="G44" s="3">
        <v>43291</v>
      </c>
      <c r="H44" s="4">
        <v>0.64142361111111001</v>
      </c>
      <c r="I44" s="3">
        <v>43292</v>
      </c>
      <c r="J44" s="4">
        <v>0</v>
      </c>
      <c r="K44" s="2">
        <v>0</v>
      </c>
      <c r="L44" t="s">
        <v>0</v>
      </c>
      <c r="M44" t="s">
        <v>2509</v>
      </c>
      <c r="N44" s="3"/>
      <c r="O44" s="3">
        <v>43298</v>
      </c>
      <c r="P44" t="s">
        <v>2483</v>
      </c>
      <c r="Q44" t="s">
        <v>7221</v>
      </c>
      <c r="R44" t="s">
        <v>820</v>
      </c>
      <c r="S44" s="3">
        <v>43285</v>
      </c>
      <c r="T44" t="s">
        <v>7222</v>
      </c>
      <c r="U44" t="s">
        <v>2495</v>
      </c>
      <c r="V44" t="s">
        <v>2496</v>
      </c>
      <c r="W44" t="s">
        <v>2434</v>
      </c>
      <c r="X44" s="2">
        <v>1162</v>
      </c>
      <c r="Y44" t="s">
        <v>2</v>
      </c>
      <c r="Z44" t="s">
        <v>3</v>
      </c>
      <c r="AA44" s="5">
        <v>0</v>
      </c>
      <c r="AB44" t="s">
        <v>17</v>
      </c>
      <c r="AL44" t="s">
        <v>8012</v>
      </c>
    </row>
    <row r="45" spans="1:38">
      <c r="A45" t="s">
        <v>2480</v>
      </c>
      <c r="B45" t="s">
        <v>2584</v>
      </c>
      <c r="C45" t="s">
        <v>2511</v>
      </c>
      <c r="D45" t="s">
        <v>2512</v>
      </c>
      <c r="E45" s="2">
        <v>10000</v>
      </c>
      <c r="F45" s="2">
        <v>10000</v>
      </c>
      <c r="G45" s="3">
        <v>43292</v>
      </c>
      <c r="H45" s="4">
        <v>0.64142361111111001</v>
      </c>
      <c r="I45" s="3">
        <v>43293</v>
      </c>
      <c r="J45" s="4">
        <v>0</v>
      </c>
      <c r="K45" s="2">
        <v>0</v>
      </c>
      <c r="L45" t="s">
        <v>0</v>
      </c>
      <c r="M45" t="s">
        <v>2509</v>
      </c>
      <c r="N45" s="3">
        <v>43367</v>
      </c>
      <c r="O45" s="3">
        <v>43294</v>
      </c>
      <c r="P45" t="s">
        <v>2483</v>
      </c>
      <c r="Q45" t="s">
        <v>7223</v>
      </c>
      <c r="R45" t="s">
        <v>820</v>
      </c>
      <c r="S45" s="3">
        <v>43304</v>
      </c>
      <c r="T45" t="s">
        <v>1</v>
      </c>
      <c r="U45" t="s">
        <v>2495</v>
      </c>
      <c r="V45" t="s">
        <v>2513</v>
      </c>
      <c r="W45" t="s">
        <v>2434</v>
      </c>
      <c r="X45" s="2">
        <v>0</v>
      </c>
      <c r="Y45" t="s">
        <v>2</v>
      </c>
      <c r="Z45" t="s">
        <v>3</v>
      </c>
      <c r="AA45" s="5">
        <v>0</v>
      </c>
      <c r="AB45" t="s">
        <v>29</v>
      </c>
      <c r="AL45" t="s">
        <v>8013</v>
      </c>
    </row>
    <row r="46" spans="1:38">
      <c r="A46" t="s">
        <v>2480</v>
      </c>
      <c r="B46" t="s">
        <v>2585</v>
      </c>
      <c r="C46" t="s">
        <v>2520</v>
      </c>
      <c r="D46" t="s">
        <v>2521</v>
      </c>
      <c r="E46" s="2">
        <v>10000</v>
      </c>
      <c r="F46" s="2">
        <v>10000</v>
      </c>
      <c r="G46" s="3">
        <v>43292</v>
      </c>
      <c r="H46" s="4">
        <v>0.64142361111111001</v>
      </c>
      <c r="I46" s="3">
        <v>43293</v>
      </c>
      <c r="J46" s="4">
        <v>0</v>
      </c>
      <c r="K46" s="2">
        <v>0</v>
      </c>
      <c r="L46" t="s">
        <v>0</v>
      </c>
      <c r="M46" t="s">
        <v>2509</v>
      </c>
      <c r="N46" s="3">
        <v>43295</v>
      </c>
      <c r="O46" s="3">
        <v>43294</v>
      </c>
      <c r="P46" t="s">
        <v>2483</v>
      </c>
      <c r="Q46" t="s">
        <v>7018</v>
      </c>
      <c r="R46" t="s">
        <v>822</v>
      </c>
      <c r="S46" s="3">
        <v>43296</v>
      </c>
      <c r="T46" t="s">
        <v>1</v>
      </c>
      <c r="U46" t="s">
        <v>2487</v>
      </c>
      <c r="V46" t="s">
        <v>2513</v>
      </c>
      <c r="W46" t="s">
        <v>2434</v>
      </c>
      <c r="X46" s="2">
        <v>0</v>
      </c>
      <c r="Y46" t="s">
        <v>2</v>
      </c>
      <c r="Z46" t="s">
        <v>3</v>
      </c>
      <c r="AA46" s="5">
        <v>0</v>
      </c>
      <c r="AB46" t="s">
        <v>29</v>
      </c>
      <c r="AL46" t="s">
        <v>8014</v>
      </c>
    </row>
    <row r="47" spans="1:38">
      <c r="A47" t="s">
        <v>2480</v>
      </c>
      <c r="B47" t="s">
        <v>2587</v>
      </c>
      <c r="C47" t="s">
        <v>2520</v>
      </c>
      <c r="D47" t="s">
        <v>2521</v>
      </c>
      <c r="E47" s="2">
        <v>10000</v>
      </c>
      <c r="F47" s="2">
        <v>10000</v>
      </c>
      <c r="G47" s="3">
        <v>43293</v>
      </c>
      <c r="H47" s="4">
        <v>0.64142361111111001</v>
      </c>
      <c r="I47" s="3">
        <v>43294</v>
      </c>
      <c r="J47" s="4">
        <v>0</v>
      </c>
      <c r="K47" s="2">
        <v>0</v>
      </c>
      <c r="L47" t="s">
        <v>0</v>
      </c>
      <c r="M47" t="s">
        <v>2509</v>
      </c>
      <c r="N47" s="3">
        <v>43296</v>
      </c>
      <c r="O47" s="3">
        <v>43295</v>
      </c>
      <c r="P47" t="s">
        <v>2483</v>
      </c>
      <c r="Q47" t="s">
        <v>7018</v>
      </c>
      <c r="R47" t="s">
        <v>822</v>
      </c>
      <c r="S47" s="3">
        <v>43296</v>
      </c>
      <c r="T47" t="s">
        <v>1</v>
      </c>
      <c r="U47" t="s">
        <v>2487</v>
      </c>
      <c r="V47" t="s">
        <v>2513</v>
      </c>
      <c r="W47" t="s">
        <v>2434</v>
      </c>
      <c r="X47" s="2">
        <v>0</v>
      </c>
      <c r="Y47" t="s">
        <v>2</v>
      </c>
      <c r="Z47" t="s">
        <v>3</v>
      </c>
      <c r="AA47" s="5">
        <v>0</v>
      </c>
      <c r="AB47" t="s">
        <v>29</v>
      </c>
      <c r="AL47" t="s">
        <v>8015</v>
      </c>
    </row>
    <row r="48" spans="1:38">
      <c r="A48" t="s">
        <v>2480</v>
      </c>
      <c r="B48" t="s">
        <v>2597</v>
      </c>
      <c r="C48" t="s">
        <v>2554</v>
      </c>
      <c r="D48" t="s">
        <v>2555</v>
      </c>
      <c r="E48" s="2">
        <v>20000</v>
      </c>
      <c r="F48" s="2">
        <v>20000</v>
      </c>
      <c r="G48" s="3">
        <v>43294</v>
      </c>
      <c r="H48" s="4">
        <v>0.28284722222221997</v>
      </c>
      <c r="I48" s="3">
        <v>43295</v>
      </c>
      <c r="J48" s="4">
        <v>0</v>
      </c>
      <c r="K48" s="2">
        <v>0</v>
      </c>
      <c r="L48" t="s">
        <v>0</v>
      </c>
      <c r="M48" t="s">
        <v>2485</v>
      </c>
      <c r="N48" s="3"/>
      <c r="O48" s="3">
        <v>43296</v>
      </c>
      <c r="P48" t="s">
        <v>2490</v>
      </c>
      <c r="Q48" t="s">
        <v>2556</v>
      </c>
      <c r="R48" t="s">
        <v>820</v>
      </c>
      <c r="S48" s="3">
        <v>43297</v>
      </c>
      <c r="T48" t="s">
        <v>7224</v>
      </c>
      <c r="U48" t="s">
        <v>2557</v>
      </c>
      <c r="V48">
        <v>780</v>
      </c>
      <c r="W48" t="s">
        <v>2434</v>
      </c>
      <c r="X48" s="2">
        <v>1162</v>
      </c>
      <c r="Y48" t="s">
        <v>2</v>
      </c>
      <c r="Z48" t="s">
        <v>3</v>
      </c>
      <c r="AA48" s="5">
        <v>0</v>
      </c>
      <c r="AB48" t="s">
        <v>17</v>
      </c>
      <c r="AL48" t="s">
        <v>8016</v>
      </c>
    </row>
    <row r="49" spans="1:38">
      <c r="A49" t="s">
        <v>2480</v>
      </c>
      <c r="B49" t="s">
        <v>2589</v>
      </c>
      <c r="C49" t="s">
        <v>2505</v>
      </c>
      <c r="D49" t="s">
        <v>2506</v>
      </c>
      <c r="E49" s="2">
        <v>20000</v>
      </c>
      <c r="F49" s="2">
        <v>20000</v>
      </c>
      <c r="G49" s="3">
        <v>43294</v>
      </c>
      <c r="H49" s="4">
        <v>0.28284722222221997</v>
      </c>
      <c r="I49" s="3">
        <v>43295</v>
      </c>
      <c r="J49" s="4">
        <v>0</v>
      </c>
      <c r="K49" s="2">
        <v>0</v>
      </c>
      <c r="L49" t="s">
        <v>0</v>
      </c>
      <c r="M49" t="s">
        <v>2485</v>
      </c>
      <c r="N49" s="3"/>
      <c r="O49" s="3">
        <v>43296</v>
      </c>
      <c r="P49" t="s">
        <v>2507</v>
      </c>
      <c r="Q49" t="s">
        <v>2590</v>
      </c>
      <c r="R49" t="s">
        <v>820</v>
      </c>
      <c r="S49" s="3">
        <v>43312</v>
      </c>
      <c r="T49" t="s">
        <v>1</v>
      </c>
      <c r="U49" t="s">
        <v>2458</v>
      </c>
      <c r="V49" t="s">
        <v>2508</v>
      </c>
      <c r="W49" t="s">
        <v>2434</v>
      </c>
      <c r="X49" s="2">
        <v>0</v>
      </c>
      <c r="Y49" t="s">
        <v>2</v>
      </c>
      <c r="Z49" t="s">
        <v>3</v>
      </c>
      <c r="AA49" s="5">
        <v>0</v>
      </c>
      <c r="AB49" t="s">
        <v>29</v>
      </c>
      <c r="AL49" t="s">
        <v>8017</v>
      </c>
    </row>
    <row r="50" spans="1:38">
      <c r="A50" t="s">
        <v>2480</v>
      </c>
      <c r="B50" t="s">
        <v>5006</v>
      </c>
      <c r="C50" t="s">
        <v>2537</v>
      </c>
      <c r="D50" t="s">
        <v>2538</v>
      </c>
      <c r="E50" s="2">
        <v>10000</v>
      </c>
      <c r="F50" s="2">
        <v>10000</v>
      </c>
      <c r="G50" s="3">
        <v>43297</v>
      </c>
      <c r="H50" s="4">
        <v>0.64142361111111001</v>
      </c>
      <c r="I50" s="3">
        <v>43298</v>
      </c>
      <c r="J50" s="4">
        <v>0</v>
      </c>
      <c r="K50" s="2">
        <v>0</v>
      </c>
      <c r="L50" t="s">
        <v>0</v>
      </c>
      <c r="M50" t="s">
        <v>2509</v>
      </c>
      <c r="N50" s="3">
        <v>43300</v>
      </c>
      <c r="O50" s="3">
        <v>43299</v>
      </c>
      <c r="P50" t="s">
        <v>2483</v>
      </c>
      <c r="Q50" t="s">
        <v>1</v>
      </c>
      <c r="R50" t="s">
        <v>821</v>
      </c>
      <c r="S50" s="3">
        <v>43288</v>
      </c>
      <c r="T50" t="s">
        <v>1</v>
      </c>
      <c r="U50" t="s">
        <v>2487</v>
      </c>
      <c r="V50" t="s">
        <v>2539</v>
      </c>
      <c r="W50" t="s">
        <v>2434</v>
      </c>
      <c r="X50" s="2">
        <v>0</v>
      </c>
      <c r="Y50" t="s">
        <v>2</v>
      </c>
      <c r="Z50" t="s">
        <v>3</v>
      </c>
      <c r="AA50" s="5">
        <v>0</v>
      </c>
      <c r="AB50" t="s">
        <v>29</v>
      </c>
      <c r="AL50" t="s">
        <v>8018</v>
      </c>
    </row>
    <row r="51" spans="1:38">
      <c r="A51" t="s">
        <v>2480</v>
      </c>
      <c r="B51" t="s">
        <v>7225</v>
      </c>
      <c r="C51" t="s">
        <v>2520</v>
      </c>
      <c r="D51" t="s">
        <v>2521</v>
      </c>
      <c r="E51" s="2">
        <v>10000</v>
      </c>
      <c r="F51" s="2">
        <v>10000</v>
      </c>
      <c r="G51" s="3">
        <v>43298</v>
      </c>
      <c r="H51" s="4">
        <v>0.19951388888888999</v>
      </c>
      <c r="I51" s="3">
        <v>43298</v>
      </c>
      <c r="J51" s="4">
        <v>0.55809027777777998</v>
      </c>
      <c r="K51" s="2">
        <v>0</v>
      </c>
      <c r="L51" t="s">
        <v>0</v>
      </c>
      <c r="M51" t="s">
        <v>2509</v>
      </c>
      <c r="N51" s="3">
        <v>43300</v>
      </c>
      <c r="O51" s="3">
        <v>43300</v>
      </c>
      <c r="P51" t="s">
        <v>2483</v>
      </c>
      <c r="Q51" t="s">
        <v>1</v>
      </c>
      <c r="R51" t="s">
        <v>819</v>
      </c>
      <c r="S51" s="3"/>
      <c r="T51" t="s">
        <v>1</v>
      </c>
      <c r="U51" t="s">
        <v>2487</v>
      </c>
      <c r="V51" t="s">
        <v>2513</v>
      </c>
      <c r="W51" t="s">
        <v>2434</v>
      </c>
      <c r="X51" s="2">
        <v>0</v>
      </c>
      <c r="Y51" t="s">
        <v>2</v>
      </c>
      <c r="Z51" t="s">
        <v>3</v>
      </c>
      <c r="AA51" s="5">
        <v>0</v>
      </c>
      <c r="AB51" t="s">
        <v>29</v>
      </c>
      <c r="AL51" t="s">
        <v>8019</v>
      </c>
    </row>
    <row r="52" spans="1:38">
      <c r="A52" t="s">
        <v>2480</v>
      </c>
      <c r="B52" t="s">
        <v>2599</v>
      </c>
      <c r="C52" t="s">
        <v>2600</v>
      </c>
      <c r="D52" t="s">
        <v>2601</v>
      </c>
      <c r="E52" s="2">
        <v>10000</v>
      </c>
      <c r="F52" s="2">
        <v>10000</v>
      </c>
      <c r="G52" s="3">
        <v>43298</v>
      </c>
      <c r="H52" s="4">
        <v>0.64142361111111001</v>
      </c>
      <c r="I52" s="3">
        <v>43299</v>
      </c>
      <c r="J52" s="4">
        <v>0</v>
      </c>
      <c r="K52" s="2">
        <v>20</v>
      </c>
      <c r="L52" t="s">
        <v>0</v>
      </c>
      <c r="M52" t="s">
        <v>2509</v>
      </c>
      <c r="N52" s="3">
        <v>43305</v>
      </c>
      <c r="O52" s="3">
        <v>43300</v>
      </c>
      <c r="P52" t="s">
        <v>2483</v>
      </c>
      <c r="Q52" t="s">
        <v>2602</v>
      </c>
      <c r="R52" t="s">
        <v>820</v>
      </c>
      <c r="S52" s="3">
        <v>43305</v>
      </c>
      <c r="T52" t="s">
        <v>7226</v>
      </c>
      <c r="U52" t="s">
        <v>2603</v>
      </c>
      <c r="V52" t="s">
        <v>2513</v>
      </c>
      <c r="W52" t="s">
        <v>2434</v>
      </c>
      <c r="X52" s="2">
        <v>1162</v>
      </c>
      <c r="Y52" t="s">
        <v>2</v>
      </c>
      <c r="Z52" t="s">
        <v>3</v>
      </c>
      <c r="AA52" s="5">
        <v>0</v>
      </c>
      <c r="AB52" t="s">
        <v>17</v>
      </c>
      <c r="AL52" t="s">
        <v>8020</v>
      </c>
    </row>
    <row r="53" spans="1:38">
      <c r="A53" t="s">
        <v>2480</v>
      </c>
      <c r="B53" t="s">
        <v>2598</v>
      </c>
      <c r="C53" t="s">
        <v>2511</v>
      </c>
      <c r="D53" t="s">
        <v>2512</v>
      </c>
      <c r="E53" s="2">
        <v>10000</v>
      </c>
      <c r="F53" s="2">
        <v>10000</v>
      </c>
      <c r="G53" s="3">
        <v>43298</v>
      </c>
      <c r="H53" s="4">
        <v>0.64142361111111001</v>
      </c>
      <c r="I53" s="3">
        <v>43299</v>
      </c>
      <c r="J53" s="4">
        <v>0</v>
      </c>
      <c r="K53" s="2">
        <v>0</v>
      </c>
      <c r="L53" t="s">
        <v>0</v>
      </c>
      <c r="M53" t="s">
        <v>2509</v>
      </c>
      <c r="N53" s="3">
        <v>43301</v>
      </c>
      <c r="O53" s="3">
        <v>43300</v>
      </c>
      <c r="P53" t="s">
        <v>2483</v>
      </c>
      <c r="Q53" t="s">
        <v>7019</v>
      </c>
      <c r="R53" t="s">
        <v>820</v>
      </c>
      <c r="S53" s="3">
        <v>43306</v>
      </c>
      <c r="T53" t="s">
        <v>1</v>
      </c>
      <c r="U53" t="s">
        <v>2495</v>
      </c>
      <c r="V53" t="s">
        <v>2513</v>
      </c>
      <c r="W53" t="s">
        <v>2434</v>
      </c>
      <c r="X53" s="2">
        <v>0</v>
      </c>
      <c r="Y53" t="s">
        <v>2</v>
      </c>
      <c r="Z53" t="s">
        <v>3</v>
      </c>
      <c r="AA53" s="5">
        <v>0</v>
      </c>
      <c r="AB53" t="s">
        <v>29</v>
      </c>
      <c r="AL53" t="s">
        <v>8021</v>
      </c>
    </row>
    <row r="54" spans="1:38">
      <c r="A54" t="s">
        <v>2480</v>
      </c>
      <c r="B54" t="s">
        <v>7020</v>
      </c>
      <c r="C54" t="s">
        <v>2540</v>
      </c>
      <c r="D54" t="s">
        <v>2541</v>
      </c>
      <c r="E54" s="2">
        <v>10000</v>
      </c>
      <c r="F54" s="2">
        <v>10000</v>
      </c>
      <c r="G54" s="3">
        <v>43298</v>
      </c>
      <c r="H54" s="4">
        <v>0.64142361111111001</v>
      </c>
      <c r="I54" s="3">
        <v>43299</v>
      </c>
      <c r="J54" s="4">
        <v>0</v>
      </c>
      <c r="K54" s="2">
        <v>0</v>
      </c>
      <c r="L54" t="s">
        <v>0</v>
      </c>
      <c r="M54" t="s">
        <v>2509</v>
      </c>
      <c r="N54" s="3">
        <v>43301</v>
      </c>
      <c r="O54" s="3">
        <v>43300</v>
      </c>
      <c r="P54" t="s">
        <v>2435</v>
      </c>
      <c r="Q54" t="s">
        <v>1</v>
      </c>
      <c r="R54" t="s">
        <v>821</v>
      </c>
      <c r="S54" s="3">
        <v>43313</v>
      </c>
      <c r="T54" t="s">
        <v>1</v>
      </c>
      <c r="U54" t="s">
        <v>2542</v>
      </c>
      <c r="V54">
        <v>701</v>
      </c>
      <c r="W54" t="s">
        <v>2434</v>
      </c>
      <c r="X54" s="2">
        <v>0</v>
      </c>
      <c r="Y54" t="s">
        <v>2</v>
      </c>
      <c r="Z54" t="s">
        <v>3</v>
      </c>
      <c r="AA54" s="5">
        <v>0</v>
      </c>
      <c r="AB54" t="s">
        <v>29</v>
      </c>
      <c r="AL54" t="s">
        <v>8022</v>
      </c>
    </row>
    <row r="55" spans="1:38">
      <c r="A55" t="s">
        <v>2480</v>
      </c>
      <c r="B55" t="s">
        <v>7227</v>
      </c>
      <c r="C55" t="s">
        <v>2520</v>
      </c>
      <c r="D55" t="s">
        <v>2521</v>
      </c>
      <c r="E55" s="2">
        <v>10000</v>
      </c>
      <c r="F55" s="2">
        <v>10000</v>
      </c>
      <c r="G55" s="3">
        <v>43299</v>
      </c>
      <c r="H55" s="4">
        <v>0.64141203703703997</v>
      </c>
      <c r="I55" s="3">
        <v>43299</v>
      </c>
      <c r="J55" s="4">
        <v>0.99998842592592996</v>
      </c>
      <c r="K55" s="2">
        <v>0</v>
      </c>
      <c r="L55" t="s">
        <v>0</v>
      </c>
      <c r="M55" t="s">
        <v>2509</v>
      </c>
      <c r="N55" s="3">
        <v>43301</v>
      </c>
      <c r="O55" s="3">
        <v>43301</v>
      </c>
      <c r="P55" t="s">
        <v>2483</v>
      </c>
      <c r="Q55" t="s">
        <v>1</v>
      </c>
      <c r="R55" t="s">
        <v>819</v>
      </c>
      <c r="S55" s="3"/>
      <c r="T55" t="s">
        <v>1</v>
      </c>
      <c r="U55" t="s">
        <v>2487</v>
      </c>
      <c r="V55" t="s">
        <v>2513</v>
      </c>
      <c r="W55" t="s">
        <v>2434</v>
      </c>
      <c r="X55" s="2">
        <v>0</v>
      </c>
      <c r="Y55" t="s">
        <v>2</v>
      </c>
      <c r="Z55" t="s">
        <v>3</v>
      </c>
      <c r="AA55" s="5">
        <v>0</v>
      </c>
      <c r="AB55" t="s">
        <v>29</v>
      </c>
      <c r="AL55" t="s">
        <v>8023</v>
      </c>
    </row>
    <row r="56" spans="1:38">
      <c r="A56" t="s">
        <v>2606</v>
      </c>
      <c r="B56" t="s">
        <v>2695</v>
      </c>
      <c r="C56" t="s">
        <v>2696</v>
      </c>
      <c r="D56" t="s">
        <v>2697</v>
      </c>
      <c r="E56" s="2">
        <v>5097</v>
      </c>
      <c r="F56" s="2">
        <v>5097</v>
      </c>
      <c r="G56" s="3">
        <v>43270</v>
      </c>
      <c r="H56" s="4">
        <v>0.71163194444444</v>
      </c>
      <c r="I56" s="3">
        <v>43270</v>
      </c>
      <c r="J56" s="4">
        <v>0.90296296296295997</v>
      </c>
      <c r="K56" s="2">
        <v>0</v>
      </c>
      <c r="L56" t="s">
        <v>0</v>
      </c>
      <c r="M56" t="s">
        <v>7022</v>
      </c>
      <c r="N56" s="3">
        <v>43278</v>
      </c>
      <c r="O56" s="3">
        <v>43272</v>
      </c>
      <c r="P56" t="s">
        <v>13</v>
      </c>
      <c r="Q56" t="s">
        <v>2698</v>
      </c>
      <c r="R56" t="s">
        <v>820</v>
      </c>
      <c r="S56" s="3">
        <v>43278</v>
      </c>
      <c r="T56" t="s">
        <v>7228</v>
      </c>
      <c r="U56" t="s">
        <v>2504</v>
      </c>
      <c r="V56" t="s">
        <v>2699</v>
      </c>
      <c r="W56" t="s">
        <v>2434</v>
      </c>
      <c r="X56" s="2">
        <v>1110</v>
      </c>
      <c r="Y56" t="s">
        <v>2</v>
      </c>
      <c r="Z56" t="s">
        <v>3</v>
      </c>
      <c r="AA56" s="5">
        <v>0</v>
      </c>
      <c r="AB56" t="s">
        <v>4</v>
      </c>
      <c r="AI56" t="s">
        <v>6643</v>
      </c>
      <c r="AL56" t="s">
        <v>8024</v>
      </c>
    </row>
    <row r="57" spans="1:38">
      <c r="A57" t="s">
        <v>2606</v>
      </c>
      <c r="B57" t="s">
        <v>2634</v>
      </c>
      <c r="C57" t="s">
        <v>2635</v>
      </c>
      <c r="D57" t="s">
        <v>2636</v>
      </c>
      <c r="E57" s="2">
        <v>10194</v>
      </c>
      <c r="F57" s="2">
        <v>10194</v>
      </c>
      <c r="G57" s="3">
        <v>43271</v>
      </c>
      <c r="H57" s="4">
        <v>4.1666666666670002E-2</v>
      </c>
      <c r="I57" s="3">
        <v>43271</v>
      </c>
      <c r="J57" s="4">
        <v>0.42432870370370002</v>
      </c>
      <c r="K57" s="2">
        <v>0</v>
      </c>
      <c r="L57" t="s">
        <v>0</v>
      </c>
      <c r="M57" t="s">
        <v>2618</v>
      </c>
      <c r="N57" s="3">
        <v>43279</v>
      </c>
      <c r="O57" s="3">
        <v>43273</v>
      </c>
      <c r="P57" t="s">
        <v>153</v>
      </c>
      <c r="Q57" t="s">
        <v>2637</v>
      </c>
      <c r="R57" t="s">
        <v>820</v>
      </c>
      <c r="S57" s="3">
        <v>43279</v>
      </c>
      <c r="T57" t="s">
        <v>7229</v>
      </c>
      <c r="U57" t="s">
        <v>2638</v>
      </c>
      <c r="V57">
        <v>8375</v>
      </c>
      <c r="W57" t="s">
        <v>2434</v>
      </c>
      <c r="X57" s="2">
        <v>1110</v>
      </c>
      <c r="Y57" t="s">
        <v>2</v>
      </c>
      <c r="Z57" t="s">
        <v>3</v>
      </c>
      <c r="AA57" s="5">
        <v>0</v>
      </c>
      <c r="AB57" t="s">
        <v>4</v>
      </c>
      <c r="AI57" t="s">
        <v>6643</v>
      </c>
      <c r="AL57" t="s">
        <v>8025</v>
      </c>
    </row>
    <row r="58" spans="1:38">
      <c r="A58" t="s">
        <v>2606</v>
      </c>
      <c r="B58" t="s">
        <v>2676</v>
      </c>
      <c r="C58" t="s">
        <v>2677</v>
      </c>
      <c r="D58" t="s">
        <v>2678</v>
      </c>
      <c r="E58" s="2">
        <v>5097</v>
      </c>
      <c r="F58" s="2">
        <v>5097</v>
      </c>
      <c r="G58" s="3">
        <v>43271</v>
      </c>
      <c r="H58" s="4">
        <v>0.46239583333333001</v>
      </c>
      <c r="I58" s="3">
        <v>43271</v>
      </c>
      <c r="J58" s="4">
        <v>0.65372685185184998</v>
      </c>
      <c r="K58" s="2">
        <v>0</v>
      </c>
      <c r="L58" t="s">
        <v>0</v>
      </c>
      <c r="M58" t="s">
        <v>7022</v>
      </c>
      <c r="N58" s="3">
        <v>43280</v>
      </c>
      <c r="O58" s="3">
        <v>43273</v>
      </c>
      <c r="P58" t="s">
        <v>153</v>
      </c>
      <c r="Q58" t="s">
        <v>2679</v>
      </c>
      <c r="R58" t="s">
        <v>820</v>
      </c>
      <c r="S58" s="3">
        <v>43280</v>
      </c>
      <c r="T58" t="s">
        <v>7230</v>
      </c>
      <c r="U58" t="s">
        <v>2667</v>
      </c>
      <c r="V58" t="s">
        <v>2680</v>
      </c>
      <c r="W58" t="s">
        <v>2434</v>
      </c>
      <c r="X58" s="2">
        <v>1110</v>
      </c>
      <c r="Y58" t="s">
        <v>2</v>
      </c>
      <c r="Z58" t="s">
        <v>3</v>
      </c>
      <c r="AA58" s="5">
        <v>0</v>
      </c>
      <c r="AB58" t="s">
        <v>4</v>
      </c>
      <c r="AL58" t="s">
        <v>8026</v>
      </c>
    </row>
    <row r="59" spans="1:38">
      <c r="A59" t="s">
        <v>2606</v>
      </c>
      <c r="B59" t="s">
        <v>2670</v>
      </c>
      <c r="C59" t="s">
        <v>2671</v>
      </c>
      <c r="D59" t="s">
        <v>2672</v>
      </c>
      <c r="E59" s="2">
        <v>10194</v>
      </c>
      <c r="F59" s="2">
        <v>10194</v>
      </c>
      <c r="G59" s="3">
        <v>43271</v>
      </c>
      <c r="H59" s="4">
        <v>0.75461805555556005</v>
      </c>
      <c r="I59" s="3">
        <v>43272</v>
      </c>
      <c r="J59" s="4">
        <v>0.13728009259259</v>
      </c>
      <c r="K59" s="2">
        <v>0</v>
      </c>
      <c r="L59" t="s">
        <v>0</v>
      </c>
      <c r="M59" t="s">
        <v>2618</v>
      </c>
      <c r="N59" s="3">
        <v>43279</v>
      </c>
      <c r="O59" s="3">
        <v>43274</v>
      </c>
      <c r="P59" t="s">
        <v>14</v>
      </c>
      <c r="Q59" t="s">
        <v>2673</v>
      </c>
      <c r="R59" t="s">
        <v>820</v>
      </c>
      <c r="S59" s="3">
        <v>43279</v>
      </c>
      <c r="T59" t="s">
        <v>7231</v>
      </c>
      <c r="U59" t="s">
        <v>2674</v>
      </c>
      <c r="V59" t="s">
        <v>2675</v>
      </c>
      <c r="W59" t="s">
        <v>2434</v>
      </c>
      <c r="X59" s="2">
        <v>1110</v>
      </c>
      <c r="Y59" t="s">
        <v>2</v>
      </c>
      <c r="Z59" t="s">
        <v>3</v>
      </c>
      <c r="AA59" s="5">
        <v>0</v>
      </c>
      <c r="AB59" t="s">
        <v>4</v>
      </c>
      <c r="AL59" t="s">
        <v>8027</v>
      </c>
    </row>
    <row r="60" spans="1:38">
      <c r="A60" t="s">
        <v>2606</v>
      </c>
      <c r="B60" t="s">
        <v>2692</v>
      </c>
      <c r="C60" t="s">
        <v>1445</v>
      </c>
      <c r="D60" t="s">
        <v>1446</v>
      </c>
      <c r="E60" s="2">
        <v>5097</v>
      </c>
      <c r="F60" s="2">
        <v>5097</v>
      </c>
      <c r="G60" s="3">
        <v>43272</v>
      </c>
      <c r="H60" s="4">
        <v>0.21325231481481</v>
      </c>
      <c r="I60" s="3">
        <v>43272</v>
      </c>
      <c r="J60" s="4">
        <v>0.40458333333333002</v>
      </c>
      <c r="K60" s="2">
        <v>0</v>
      </c>
      <c r="L60" t="s">
        <v>0</v>
      </c>
      <c r="M60" t="s">
        <v>7022</v>
      </c>
      <c r="N60" s="3">
        <v>43273</v>
      </c>
      <c r="O60" s="3">
        <v>43274</v>
      </c>
      <c r="P60" t="s">
        <v>13</v>
      </c>
      <c r="Q60" t="s">
        <v>2693</v>
      </c>
      <c r="R60" t="s">
        <v>820</v>
      </c>
      <c r="S60" s="3">
        <v>43273</v>
      </c>
      <c r="T60" t="s">
        <v>7232</v>
      </c>
      <c r="U60">
        <v>945</v>
      </c>
      <c r="V60" t="s">
        <v>2694</v>
      </c>
      <c r="W60" t="s">
        <v>2434</v>
      </c>
      <c r="X60" s="2">
        <v>1110</v>
      </c>
      <c r="Y60" t="s">
        <v>2</v>
      </c>
      <c r="Z60" t="s">
        <v>3</v>
      </c>
      <c r="AA60" s="5">
        <v>0</v>
      </c>
      <c r="AB60" t="s">
        <v>4</v>
      </c>
      <c r="AL60" t="s">
        <v>8028</v>
      </c>
    </row>
    <row r="61" spans="1:38">
      <c r="A61" t="s">
        <v>2606</v>
      </c>
      <c r="B61" t="s">
        <v>2651</v>
      </c>
      <c r="C61" t="s">
        <v>2652</v>
      </c>
      <c r="D61" t="s">
        <v>2653</v>
      </c>
      <c r="E61" s="2">
        <v>5000</v>
      </c>
      <c r="F61" s="2">
        <v>5000</v>
      </c>
      <c r="G61" s="3">
        <v>43272</v>
      </c>
      <c r="H61" s="4">
        <v>0.65954861111110996</v>
      </c>
      <c r="I61" s="3">
        <v>43272</v>
      </c>
      <c r="J61" s="4">
        <v>0.84723379629630002</v>
      </c>
      <c r="K61" s="2">
        <v>0</v>
      </c>
      <c r="L61" t="s">
        <v>0</v>
      </c>
      <c r="M61" t="s">
        <v>2665</v>
      </c>
      <c r="N61" s="3">
        <v>43270</v>
      </c>
      <c r="O61" s="3">
        <v>43274</v>
      </c>
      <c r="P61" t="s">
        <v>132</v>
      </c>
      <c r="Q61" t="s">
        <v>2654</v>
      </c>
      <c r="R61" t="s">
        <v>820</v>
      </c>
      <c r="S61" s="3">
        <v>43292</v>
      </c>
      <c r="T61" t="s">
        <v>7233</v>
      </c>
      <c r="U61" t="s">
        <v>2655</v>
      </c>
      <c r="V61" t="s">
        <v>2656</v>
      </c>
      <c r="W61" t="s">
        <v>2434</v>
      </c>
      <c r="X61" s="2">
        <v>1110</v>
      </c>
      <c r="Y61" t="s">
        <v>2</v>
      </c>
      <c r="Z61" t="s">
        <v>3</v>
      </c>
      <c r="AA61" s="5">
        <v>0</v>
      </c>
      <c r="AB61" t="s">
        <v>4</v>
      </c>
      <c r="AL61" t="s">
        <v>8029</v>
      </c>
    </row>
    <row r="62" spans="1:38">
      <c r="A62" t="s">
        <v>2606</v>
      </c>
      <c r="B62" t="s">
        <v>7234</v>
      </c>
      <c r="C62" t="s">
        <v>2615</v>
      </c>
      <c r="D62" t="s">
        <v>2616</v>
      </c>
      <c r="E62" s="2">
        <v>20000</v>
      </c>
      <c r="F62" s="2">
        <v>20000</v>
      </c>
      <c r="G62" s="3">
        <v>43273</v>
      </c>
      <c r="H62" s="4">
        <v>0.125</v>
      </c>
      <c r="I62" s="3">
        <v>43273</v>
      </c>
      <c r="J62" s="4">
        <v>0.87575231481480997</v>
      </c>
      <c r="K62" s="2">
        <v>0</v>
      </c>
      <c r="L62" t="s">
        <v>0</v>
      </c>
      <c r="M62" t="s">
        <v>2607</v>
      </c>
      <c r="N62" s="3"/>
      <c r="O62" s="3">
        <v>43275</v>
      </c>
      <c r="P62" t="s">
        <v>13</v>
      </c>
      <c r="Q62" t="s">
        <v>2657</v>
      </c>
      <c r="R62" t="s">
        <v>822</v>
      </c>
      <c r="S62" s="3">
        <v>43279</v>
      </c>
      <c r="T62" t="s">
        <v>7235</v>
      </c>
      <c r="U62" t="s">
        <v>2617</v>
      </c>
      <c r="V62">
        <v>116</v>
      </c>
      <c r="W62" t="s">
        <v>2434</v>
      </c>
      <c r="X62" s="2">
        <v>1110</v>
      </c>
      <c r="Y62" t="s">
        <v>2</v>
      </c>
      <c r="Z62" t="s">
        <v>3</v>
      </c>
      <c r="AA62" s="5">
        <v>0</v>
      </c>
      <c r="AB62" t="s">
        <v>17</v>
      </c>
      <c r="AL62" t="s">
        <v>8030</v>
      </c>
    </row>
    <row r="63" spans="1:38">
      <c r="A63" t="s">
        <v>2606</v>
      </c>
      <c r="B63" t="s">
        <v>7236</v>
      </c>
      <c r="C63" t="s">
        <v>2615</v>
      </c>
      <c r="D63" t="s">
        <v>2616</v>
      </c>
      <c r="E63" s="2">
        <v>20000</v>
      </c>
      <c r="F63" s="2">
        <v>20000</v>
      </c>
      <c r="G63" s="3">
        <v>43274</v>
      </c>
      <c r="H63" s="4">
        <v>0</v>
      </c>
      <c r="I63" s="3">
        <v>43274</v>
      </c>
      <c r="J63" s="4">
        <v>0.75075231481480997</v>
      </c>
      <c r="K63" s="2">
        <v>0</v>
      </c>
      <c r="L63" t="s">
        <v>0</v>
      </c>
      <c r="M63" t="s">
        <v>2607</v>
      </c>
      <c r="N63" s="3"/>
      <c r="O63" s="3">
        <v>43276</v>
      </c>
      <c r="P63" t="s">
        <v>13</v>
      </c>
      <c r="Q63" t="s">
        <v>2657</v>
      </c>
      <c r="R63" t="s">
        <v>820</v>
      </c>
      <c r="S63" s="3">
        <v>43280</v>
      </c>
      <c r="T63" t="s">
        <v>7237</v>
      </c>
      <c r="U63" t="s">
        <v>2617</v>
      </c>
      <c r="V63">
        <v>116</v>
      </c>
      <c r="W63" t="s">
        <v>2434</v>
      </c>
      <c r="X63" s="2">
        <v>1110</v>
      </c>
      <c r="Y63" t="s">
        <v>2</v>
      </c>
      <c r="Z63" t="s">
        <v>3</v>
      </c>
      <c r="AA63" s="5">
        <v>0</v>
      </c>
      <c r="AB63" t="s">
        <v>17</v>
      </c>
      <c r="AL63" t="s">
        <v>8031</v>
      </c>
    </row>
    <row r="64" spans="1:38">
      <c r="A64" t="s">
        <v>2606</v>
      </c>
      <c r="B64" t="s">
        <v>7238</v>
      </c>
      <c r="C64" t="s">
        <v>3909</v>
      </c>
      <c r="D64" t="s">
        <v>3910</v>
      </c>
      <c r="E64" s="2">
        <v>20388</v>
      </c>
      <c r="F64" s="2">
        <v>20388</v>
      </c>
      <c r="G64" s="3">
        <v>43275</v>
      </c>
      <c r="H64" s="4">
        <v>2.0833333333330002E-2</v>
      </c>
      <c r="I64" s="3">
        <v>43275</v>
      </c>
      <c r="J64" s="4">
        <v>0.78614583333332999</v>
      </c>
      <c r="K64" s="2">
        <v>0</v>
      </c>
      <c r="L64" t="s">
        <v>0</v>
      </c>
      <c r="M64" t="s">
        <v>2613</v>
      </c>
      <c r="N64" s="3">
        <v>43271</v>
      </c>
      <c r="O64" s="3">
        <v>43277</v>
      </c>
      <c r="P64" t="s">
        <v>114</v>
      </c>
      <c r="Q64" t="s">
        <v>3911</v>
      </c>
      <c r="R64" t="s">
        <v>822</v>
      </c>
      <c r="S64" s="3">
        <v>43271</v>
      </c>
      <c r="T64" t="s">
        <v>7239</v>
      </c>
      <c r="U64" t="s">
        <v>3173</v>
      </c>
      <c r="V64">
        <v>111</v>
      </c>
      <c r="W64" t="s">
        <v>2434</v>
      </c>
      <c r="X64" s="2">
        <v>1110</v>
      </c>
      <c r="Y64" t="s">
        <v>2</v>
      </c>
      <c r="Z64" t="s">
        <v>3</v>
      </c>
      <c r="AA64" s="5">
        <v>0</v>
      </c>
      <c r="AB64" t="s">
        <v>4</v>
      </c>
      <c r="AL64" t="s">
        <v>8032</v>
      </c>
    </row>
    <row r="65" spans="1:38">
      <c r="A65" t="s">
        <v>2606</v>
      </c>
      <c r="B65" t="s">
        <v>7240</v>
      </c>
      <c r="C65" t="s">
        <v>3909</v>
      </c>
      <c r="D65" t="s">
        <v>3910</v>
      </c>
      <c r="E65" s="2">
        <v>20388</v>
      </c>
      <c r="F65" s="2">
        <v>20388</v>
      </c>
      <c r="G65" s="3">
        <v>43276</v>
      </c>
      <c r="H65" s="4">
        <v>2.0833333333330002E-2</v>
      </c>
      <c r="I65" s="3">
        <v>43276</v>
      </c>
      <c r="J65" s="4">
        <v>0.78614583333332999</v>
      </c>
      <c r="K65" s="2">
        <v>0</v>
      </c>
      <c r="L65" t="s">
        <v>0</v>
      </c>
      <c r="M65" t="s">
        <v>2613</v>
      </c>
      <c r="N65" s="3">
        <v>43271</v>
      </c>
      <c r="O65" s="3">
        <v>43278</v>
      </c>
      <c r="P65" t="s">
        <v>114</v>
      </c>
      <c r="Q65" t="s">
        <v>1</v>
      </c>
      <c r="R65" t="s">
        <v>819</v>
      </c>
      <c r="S65" s="3"/>
      <c r="T65" t="s">
        <v>7241</v>
      </c>
      <c r="U65" t="s">
        <v>3173</v>
      </c>
      <c r="V65">
        <v>111</v>
      </c>
      <c r="W65" t="s">
        <v>2434</v>
      </c>
      <c r="X65" s="2">
        <v>1110</v>
      </c>
      <c r="Y65" t="s">
        <v>2</v>
      </c>
      <c r="Z65" t="s">
        <v>3</v>
      </c>
      <c r="AA65" s="5">
        <v>0</v>
      </c>
      <c r="AB65" t="s">
        <v>4</v>
      </c>
      <c r="AL65" t="s">
        <v>8033</v>
      </c>
    </row>
    <row r="66" spans="1:38">
      <c r="A66" t="s">
        <v>2606</v>
      </c>
      <c r="B66" t="s">
        <v>2629</v>
      </c>
      <c r="C66" t="s">
        <v>2630</v>
      </c>
      <c r="D66" t="s">
        <v>2631</v>
      </c>
      <c r="E66" s="2">
        <v>20388</v>
      </c>
      <c r="F66" s="2">
        <v>20388</v>
      </c>
      <c r="G66" s="3">
        <v>43276</v>
      </c>
      <c r="H66" s="4">
        <v>0.80697916666667002</v>
      </c>
      <c r="I66" s="3">
        <v>43277</v>
      </c>
      <c r="J66" s="4">
        <v>0.57229166666666997</v>
      </c>
      <c r="K66" s="2">
        <v>20</v>
      </c>
      <c r="L66" t="s">
        <v>0</v>
      </c>
      <c r="M66" t="s">
        <v>2613</v>
      </c>
      <c r="N66" s="3">
        <v>43304</v>
      </c>
      <c r="O66" s="3">
        <v>43279</v>
      </c>
      <c r="P66" t="s">
        <v>13</v>
      </c>
      <c r="Q66" t="s">
        <v>2632</v>
      </c>
      <c r="R66" t="s">
        <v>820</v>
      </c>
      <c r="S66" s="3">
        <v>43304</v>
      </c>
      <c r="T66" t="s">
        <v>7242</v>
      </c>
      <c r="U66" t="s">
        <v>2619</v>
      </c>
      <c r="V66" t="s">
        <v>2633</v>
      </c>
      <c r="W66" t="s">
        <v>2434</v>
      </c>
      <c r="X66" s="2">
        <v>1110</v>
      </c>
      <c r="Y66" t="s">
        <v>2</v>
      </c>
      <c r="Z66" t="s">
        <v>3</v>
      </c>
      <c r="AA66" s="5">
        <v>0</v>
      </c>
      <c r="AB66" t="s">
        <v>4</v>
      </c>
      <c r="AI66" t="s">
        <v>6643</v>
      </c>
      <c r="AL66" t="s">
        <v>8034</v>
      </c>
    </row>
    <row r="67" spans="1:38">
      <c r="A67" t="s">
        <v>2606</v>
      </c>
      <c r="B67" t="s">
        <v>2684</v>
      </c>
      <c r="C67" t="s">
        <v>2643</v>
      </c>
      <c r="D67" t="s">
        <v>2644</v>
      </c>
      <c r="E67" s="2">
        <v>20000</v>
      </c>
      <c r="F67" s="2">
        <v>20000</v>
      </c>
      <c r="G67" s="3">
        <v>43277</v>
      </c>
      <c r="H67" s="4">
        <v>0.59312500000000001</v>
      </c>
      <c r="I67" s="3">
        <v>43278</v>
      </c>
      <c r="J67" s="4">
        <v>0.34387731481480999</v>
      </c>
      <c r="K67" s="2">
        <v>20</v>
      </c>
      <c r="L67" t="s">
        <v>0</v>
      </c>
      <c r="M67" t="s">
        <v>2607</v>
      </c>
      <c r="N67" s="3">
        <v>43284</v>
      </c>
      <c r="O67" s="3">
        <v>43280</v>
      </c>
      <c r="P67" t="s">
        <v>13</v>
      </c>
      <c r="Q67" t="s">
        <v>2685</v>
      </c>
      <c r="R67" t="s">
        <v>820</v>
      </c>
      <c r="S67" s="3">
        <v>43284</v>
      </c>
      <c r="T67" t="s">
        <v>7243</v>
      </c>
      <c r="U67" t="s">
        <v>2619</v>
      </c>
      <c r="V67" t="s">
        <v>2645</v>
      </c>
      <c r="W67" t="s">
        <v>2434</v>
      </c>
      <c r="X67" s="2">
        <v>1110</v>
      </c>
      <c r="Y67" t="s">
        <v>2</v>
      </c>
      <c r="Z67" t="s">
        <v>3</v>
      </c>
      <c r="AA67" s="5">
        <v>0</v>
      </c>
      <c r="AB67" t="s">
        <v>17</v>
      </c>
      <c r="AI67" t="s">
        <v>6643</v>
      </c>
      <c r="AL67" t="s">
        <v>8035</v>
      </c>
    </row>
    <row r="68" spans="1:38">
      <c r="A68" t="s">
        <v>2606</v>
      </c>
      <c r="B68" t="s">
        <v>7244</v>
      </c>
      <c r="C68" t="s">
        <v>2623</v>
      </c>
      <c r="D68" t="s">
        <v>2624</v>
      </c>
      <c r="E68" s="2">
        <v>10000</v>
      </c>
      <c r="F68" s="2">
        <v>10000</v>
      </c>
      <c r="G68" s="3">
        <v>43278</v>
      </c>
      <c r="H68" s="4">
        <v>0.36471064814815002</v>
      </c>
      <c r="I68" s="3">
        <v>43278</v>
      </c>
      <c r="J68" s="4">
        <v>0.74008101851852004</v>
      </c>
      <c r="K68" s="2">
        <v>20</v>
      </c>
      <c r="L68" t="s">
        <v>0</v>
      </c>
      <c r="M68" t="s">
        <v>2625</v>
      </c>
      <c r="N68" s="3">
        <v>43287</v>
      </c>
      <c r="O68" s="3">
        <v>43280</v>
      </c>
      <c r="P68" t="s">
        <v>13</v>
      </c>
      <c r="Q68" t="s">
        <v>2691</v>
      </c>
      <c r="R68" t="s">
        <v>820</v>
      </c>
      <c r="S68" s="3">
        <v>43287</v>
      </c>
      <c r="T68" t="s">
        <v>7245</v>
      </c>
      <c r="U68" t="s">
        <v>2626</v>
      </c>
      <c r="V68" t="s">
        <v>2627</v>
      </c>
      <c r="W68" t="s">
        <v>2628</v>
      </c>
      <c r="X68" s="2">
        <v>1110</v>
      </c>
      <c r="Y68" t="s">
        <v>2</v>
      </c>
      <c r="Z68" t="s">
        <v>3</v>
      </c>
      <c r="AA68" s="5">
        <v>0</v>
      </c>
      <c r="AB68" t="s">
        <v>17</v>
      </c>
      <c r="AL68" t="s">
        <v>8036</v>
      </c>
    </row>
    <row r="69" spans="1:38">
      <c r="A69" t="s">
        <v>2606</v>
      </c>
      <c r="B69" t="s">
        <v>7246</v>
      </c>
      <c r="C69" t="s">
        <v>2623</v>
      </c>
      <c r="D69" t="s">
        <v>2624</v>
      </c>
      <c r="E69" s="2">
        <v>10000</v>
      </c>
      <c r="F69" s="2">
        <v>10000</v>
      </c>
      <c r="G69" s="3">
        <v>43278</v>
      </c>
      <c r="H69" s="4">
        <v>0.76091435185184997</v>
      </c>
      <c r="I69" s="3">
        <v>43279</v>
      </c>
      <c r="J69" s="4">
        <v>0.13628472222221999</v>
      </c>
      <c r="K69" s="2">
        <v>20</v>
      </c>
      <c r="L69" t="s">
        <v>0</v>
      </c>
      <c r="M69" t="s">
        <v>2625</v>
      </c>
      <c r="N69" s="3">
        <v>43290</v>
      </c>
      <c r="O69" s="3">
        <v>43281</v>
      </c>
      <c r="P69" t="s">
        <v>13</v>
      </c>
      <c r="Q69" t="s">
        <v>2690</v>
      </c>
      <c r="R69" t="s">
        <v>820</v>
      </c>
      <c r="S69" s="3">
        <v>43290</v>
      </c>
      <c r="T69" t="s">
        <v>7247</v>
      </c>
      <c r="U69" t="s">
        <v>2626</v>
      </c>
      <c r="V69" t="s">
        <v>2627</v>
      </c>
      <c r="W69" t="s">
        <v>2628</v>
      </c>
      <c r="X69" s="2">
        <v>1110</v>
      </c>
      <c r="Y69" t="s">
        <v>2</v>
      </c>
      <c r="Z69" t="s">
        <v>3</v>
      </c>
      <c r="AA69" s="5">
        <v>0</v>
      </c>
      <c r="AB69" t="s">
        <v>17</v>
      </c>
      <c r="AL69" t="s">
        <v>8037</v>
      </c>
    </row>
    <row r="70" spans="1:38">
      <c r="A70" t="s">
        <v>2606</v>
      </c>
      <c r="B70" t="s">
        <v>2712</v>
      </c>
      <c r="C70" t="s">
        <v>2713</v>
      </c>
      <c r="D70" t="s">
        <v>2714</v>
      </c>
      <c r="E70" s="2">
        <v>10000</v>
      </c>
      <c r="F70" s="2">
        <v>10000</v>
      </c>
      <c r="G70" s="3">
        <v>43279</v>
      </c>
      <c r="H70" s="4">
        <v>0.15711805555555999</v>
      </c>
      <c r="I70" s="3">
        <v>43279</v>
      </c>
      <c r="J70" s="4">
        <v>0.53248842592593004</v>
      </c>
      <c r="K70" s="2">
        <v>20</v>
      </c>
      <c r="L70" t="s">
        <v>0</v>
      </c>
      <c r="M70" t="s">
        <v>2625</v>
      </c>
      <c r="N70" s="3">
        <v>43293</v>
      </c>
      <c r="O70" s="3">
        <v>43281</v>
      </c>
      <c r="P70" t="s">
        <v>15</v>
      </c>
      <c r="Q70" t="s">
        <v>2715</v>
      </c>
      <c r="R70" t="s">
        <v>820</v>
      </c>
      <c r="S70" s="3">
        <v>43293</v>
      </c>
      <c r="T70" t="s">
        <v>7248</v>
      </c>
      <c r="U70" t="s">
        <v>2535</v>
      </c>
      <c r="V70" t="s">
        <v>2716</v>
      </c>
      <c r="W70" t="s">
        <v>2434</v>
      </c>
      <c r="X70" s="2">
        <v>1110</v>
      </c>
      <c r="Y70" t="s">
        <v>2</v>
      </c>
      <c r="Z70" t="s">
        <v>3</v>
      </c>
      <c r="AA70" s="5">
        <v>0</v>
      </c>
      <c r="AB70" t="s">
        <v>17</v>
      </c>
      <c r="AL70" t="s">
        <v>8038</v>
      </c>
    </row>
    <row r="71" spans="1:38">
      <c r="A71" t="s">
        <v>2606</v>
      </c>
      <c r="B71" t="s">
        <v>5008</v>
      </c>
      <c r="C71" t="s">
        <v>5009</v>
      </c>
      <c r="D71" t="s">
        <v>5010</v>
      </c>
      <c r="E71" s="2">
        <v>10000</v>
      </c>
      <c r="F71" s="2">
        <v>10000</v>
      </c>
      <c r="G71" s="3">
        <v>43279</v>
      </c>
      <c r="H71" s="4">
        <v>0.45833333333332998</v>
      </c>
      <c r="I71" s="3">
        <v>43279</v>
      </c>
      <c r="J71" s="4">
        <v>0.83370370370369995</v>
      </c>
      <c r="K71" s="2">
        <v>0</v>
      </c>
      <c r="L71" t="s">
        <v>0</v>
      </c>
      <c r="M71" t="s">
        <v>2625</v>
      </c>
      <c r="N71" s="3">
        <v>43290</v>
      </c>
      <c r="O71" s="3">
        <v>43281</v>
      </c>
      <c r="P71" t="s">
        <v>15</v>
      </c>
      <c r="Q71" t="s">
        <v>5011</v>
      </c>
      <c r="R71" t="s">
        <v>820</v>
      </c>
      <c r="S71" s="3">
        <v>43290</v>
      </c>
      <c r="T71" t="s">
        <v>7249</v>
      </c>
      <c r="U71" t="s">
        <v>2649</v>
      </c>
      <c r="V71" t="s">
        <v>5012</v>
      </c>
      <c r="W71" t="s">
        <v>2434</v>
      </c>
      <c r="X71" s="2">
        <v>1110</v>
      </c>
      <c r="Y71" t="s">
        <v>2</v>
      </c>
      <c r="Z71" t="s">
        <v>3</v>
      </c>
      <c r="AA71" s="5">
        <v>0</v>
      </c>
      <c r="AB71" t="s">
        <v>17</v>
      </c>
      <c r="AL71" t="s">
        <v>8039</v>
      </c>
    </row>
    <row r="72" spans="1:38">
      <c r="A72" t="s">
        <v>2606</v>
      </c>
      <c r="B72" t="s">
        <v>3754</v>
      </c>
      <c r="C72" t="s">
        <v>137</v>
      </c>
      <c r="D72" t="s">
        <v>138</v>
      </c>
      <c r="E72" s="2">
        <v>20000</v>
      </c>
      <c r="F72" s="2">
        <v>20000</v>
      </c>
      <c r="G72" s="3">
        <v>43279</v>
      </c>
      <c r="H72" s="4">
        <v>0.91666666666666996</v>
      </c>
      <c r="I72" s="3">
        <v>43280</v>
      </c>
      <c r="J72" s="4">
        <v>0.66741898148148004</v>
      </c>
      <c r="K72" s="2">
        <v>0</v>
      </c>
      <c r="L72" t="s">
        <v>0</v>
      </c>
      <c r="M72" t="s">
        <v>2607</v>
      </c>
      <c r="N72" s="3">
        <v>43291</v>
      </c>
      <c r="O72" s="3">
        <v>43282</v>
      </c>
      <c r="P72" t="s">
        <v>2682</v>
      </c>
      <c r="Q72" t="s">
        <v>7089</v>
      </c>
      <c r="R72" t="s">
        <v>820</v>
      </c>
      <c r="S72" s="3">
        <v>43292</v>
      </c>
      <c r="T72" t="s">
        <v>1</v>
      </c>
      <c r="U72" t="s">
        <v>2702</v>
      </c>
      <c r="V72">
        <v>111</v>
      </c>
      <c r="W72" t="s">
        <v>2434</v>
      </c>
      <c r="X72" s="2">
        <v>0</v>
      </c>
      <c r="Y72" t="s">
        <v>2</v>
      </c>
      <c r="Z72" t="s">
        <v>3</v>
      </c>
      <c r="AA72" s="5">
        <v>0</v>
      </c>
      <c r="AB72" t="s">
        <v>29</v>
      </c>
      <c r="AL72" t="s">
        <v>8040</v>
      </c>
    </row>
    <row r="73" spans="1:38">
      <c r="A73" t="s">
        <v>2606</v>
      </c>
      <c r="B73" t="s">
        <v>2721</v>
      </c>
      <c r="C73" t="s">
        <v>1440</v>
      </c>
      <c r="D73" t="s">
        <v>1441</v>
      </c>
      <c r="E73" s="2">
        <v>5000</v>
      </c>
      <c r="F73" s="2">
        <v>5000</v>
      </c>
      <c r="G73" s="3">
        <v>43280</v>
      </c>
      <c r="H73" s="4">
        <v>0.75</v>
      </c>
      <c r="I73" s="3">
        <v>43280</v>
      </c>
      <c r="J73" s="4">
        <v>0.93768518518518995</v>
      </c>
      <c r="K73" s="2">
        <v>0</v>
      </c>
      <c r="L73" t="s">
        <v>0</v>
      </c>
      <c r="M73" t="s">
        <v>2665</v>
      </c>
      <c r="N73" s="3">
        <v>43283</v>
      </c>
      <c r="O73" s="3">
        <v>43282</v>
      </c>
      <c r="P73" t="s">
        <v>120</v>
      </c>
      <c r="Q73" t="s">
        <v>2722</v>
      </c>
      <c r="R73" t="s">
        <v>820</v>
      </c>
      <c r="S73" s="3">
        <v>43283</v>
      </c>
      <c r="T73" t="s">
        <v>7250</v>
      </c>
      <c r="U73" t="s">
        <v>2486</v>
      </c>
      <c r="V73" t="s">
        <v>2723</v>
      </c>
      <c r="W73" t="s">
        <v>2434</v>
      </c>
      <c r="X73" s="2">
        <v>1110</v>
      </c>
      <c r="Y73" t="s">
        <v>2</v>
      </c>
      <c r="Z73" t="s">
        <v>3</v>
      </c>
      <c r="AA73" s="5">
        <v>0</v>
      </c>
      <c r="AB73" t="s">
        <v>17</v>
      </c>
      <c r="AL73" t="s">
        <v>8041</v>
      </c>
    </row>
    <row r="74" spans="1:38">
      <c r="A74" t="s">
        <v>2606</v>
      </c>
      <c r="B74" t="s">
        <v>2662</v>
      </c>
      <c r="C74" t="s">
        <v>2663</v>
      </c>
      <c r="D74" t="s">
        <v>2664</v>
      </c>
      <c r="E74" s="2">
        <v>5000</v>
      </c>
      <c r="F74" s="2">
        <v>5000</v>
      </c>
      <c r="G74" s="3">
        <v>43281</v>
      </c>
      <c r="H74" s="4">
        <v>0</v>
      </c>
      <c r="I74" s="3">
        <v>43281</v>
      </c>
      <c r="J74" s="4">
        <v>0.18768518518519001</v>
      </c>
      <c r="K74" s="2">
        <v>0</v>
      </c>
      <c r="L74" t="s">
        <v>0</v>
      </c>
      <c r="M74" t="s">
        <v>2665</v>
      </c>
      <c r="N74" s="3">
        <v>43278</v>
      </c>
      <c r="O74" s="3">
        <v>43283</v>
      </c>
      <c r="P74" t="s">
        <v>32</v>
      </c>
      <c r="Q74" t="s">
        <v>2666</v>
      </c>
      <c r="R74" t="s">
        <v>820</v>
      </c>
      <c r="S74" s="3">
        <v>43283</v>
      </c>
      <c r="T74" t="s">
        <v>7251</v>
      </c>
      <c r="U74" t="s">
        <v>2667</v>
      </c>
      <c r="V74" t="s">
        <v>2668</v>
      </c>
      <c r="W74" t="s">
        <v>2434</v>
      </c>
      <c r="X74" s="2">
        <v>1110</v>
      </c>
      <c r="Y74" t="s">
        <v>2</v>
      </c>
      <c r="Z74" t="s">
        <v>3</v>
      </c>
      <c r="AA74" s="5">
        <v>0</v>
      </c>
      <c r="AB74" t="s">
        <v>17</v>
      </c>
      <c r="AI74" t="s">
        <v>6643</v>
      </c>
      <c r="AL74" t="s">
        <v>8042</v>
      </c>
    </row>
    <row r="75" spans="1:38">
      <c r="A75" t="s">
        <v>2606</v>
      </c>
      <c r="B75" t="s">
        <v>3871</v>
      </c>
      <c r="C75" t="s">
        <v>134</v>
      </c>
      <c r="D75" t="s">
        <v>135</v>
      </c>
      <c r="E75" s="2">
        <v>8000</v>
      </c>
      <c r="F75" s="2">
        <v>8000</v>
      </c>
      <c r="G75" s="3">
        <v>43281</v>
      </c>
      <c r="H75" s="4">
        <v>0.20833333333333001</v>
      </c>
      <c r="I75" s="3">
        <v>43281</v>
      </c>
      <c r="J75" s="4">
        <v>0.50863425925925998</v>
      </c>
      <c r="K75" s="2">
        <v>20</v>
      </c>
      <c r="L75" t="s">
        <v>0</v>
      </c>
      <c r="M75" t="s">
        <v>2718</v>
      </c>
      <c r="N75" s="3">
        <v>43286</v>
      </c>
      <c r="O75" s="3">
        <v>43283</v>
      </c>
      <c r="P75" t="s">
        <v>13</v>
      </c>
      <c r="Q75" t="s">
        <v>3872</v>
      </c>
      <c r="R75" t="s">
        <v>820</v>
      </c>
      <c r="S75" s="3">
        <v>43291</v>
      </c>
      <c r="T75" t="s">
        <v>7252</v>
      </c>
      <c r="U75">
        <v>925</v>
      </c>
      <c r="V75" t="s">
        <v>3873</v>
      </c>
      <c r="W75" t="s">
        <v>2434</v>
      </c>
      <c r="X75" s="2">
        <v>1110</v>
      </c>
      <c r="Y75" t="s">
        <v>2</v>
      </c>
      <c r="Z75" t="s">
        <v>3</v>
      </c>
      <c r="AA75" s="5">
        <v>0</v>
      </c>
      <c r="AB75" t="s">
        <v>17</v>
      </c>
      <c r="AI75" t="s">
        <v>6643</v>
      </c>
      <c r="AL75" t="s">
        <v>8043</v>
      </c>
    </row>
    <row r="76" spans="1:38">
      <c r="A76" t="s">
        <v>2606</v>
      </c>
      <c r="B76" t="s">
        <v>2704</v>
      </c>
      <c r="C76" t="s">
        <v>2646</v>
      </c>
      <c r="D76" t="s">
        <v>2647</v>
      </c>
      <c r="E76" s="2">
        <v>20000</v>
      </c>
      <c r="F76" s="2">
        <v>20000</v>
      </c>
      <c r="G76" s="3">
        <v>43287</v>
      </c>
      <c r="H76" s="4">
        <v>0.24924768518519</v>
      </c>
      <c r="I76" s="3">
        <v>43288</v>
      </c>
      <c r="J76" s="4">
        <v>0</v>
      </c>
      <c r="K76" s="2">
        <v>0</v>
      </c>
      <c r="L76" t="s">
        <v>0</v>
      </c>
      <c r="M76" t="s">
        <v>2607</v>
      </c>
      <c r="N76" s="3">
        <v>43292</v>
      </c>
      <c r="O76" s="3">
        <v>43289</v>
      </c>
      <c r="P76" t="s">
        <v>13</v>
      </c>
      <c r="Q76" t="s">
        <v>2705</v>
      </c>
      <c r="R76" t="s">
        <v>820</v>
      </c>
      <c r="S76" s="3">
        <v>43292</v>
      </c>
      <c r="T76" t="s">
        <v>7253</v>
      </c>
      <c r="U76">
        <v>943</v>
      </c>
      <c r="V76" t="s">
        <v>2648</v>
      </c>
      <c r="W76" t="s">
        <v>2434</v>
      </c>
      <c r="X76" s="2">
        <v>1110</v>
      </c>
      <c r="Y76" t="s">
        <v>2</v>
      </c>
      <c r="Z76" t="s">
        <v>3</v>
      </c>
      <c r="AA76" s="5">
        <v>0</v>
      </c>
      <c r="AB76" t="s">
        <v>17</v>
      </c>
      <c r="AI76" t="s">
        <v>6643</v>
      </c>
      <c r="AL76" t="s">
        <v>8044</v>
      </c>
    </row>
    <row r="77" spans="1:38">
      <c r="A77" t="s">
        <v>2606</v>
      </c>
      <c r="B77" t="s">
        <v>2706</v>
      </c>
      <c r="C77" t="s">
        <v>2646</v>
      </c>
      <c r="D77" t="s">
        <v>2647</v>
      </c>
      <c r="E77" s="2">
        <v>15000</v>
      </c>
      <c r="F77" s="2">
        <v>15000</v>
      </c>
      <c r="G77" s="3">
        <v>43287</v>
      </c>
      <c r="H77" s="4">
        <v>0.43693287037036999</v>
      </c>
      <c r="I77" s="3">
        <v>43288</v>
      </c>
      <c r="J77" s="4">
        <v>0</v>
      </c>
      <c r="K77" s="2">
        <v>0</v>
      </c>
      <c r="L77" t="s">
        <v>0</v>
      </c>
      <c r="M77" t="s">
        <v>2707</v>
      </c>
      <c r="N77" s="3">
        <v>43292</v>
      </c>
      <c r="O77" s="3">
        <v>43289</v>
      </c>
      <c r="P77" t="s">
        <v>13</v>
      </c>
      <c r="Q77" t="s">
        <v>2705</v>
      </c>
      <c r="R77" t="s">
        <v>822</v>
      </c>
      <c r="S77" s="3">
        <v>43292</v>
      </c>
      <c r="T77" t="s">
        <v>7254</v>
      </c>
      <c r="U77">
        <v>943</v>
      </c>
      <c r="V77" t="s">
        <v>2648</v>
      </c>
      <c r="W77" t="s">
        <v>2434</v>
      </c>
      <c r="X77" s="2">
        <v>1110</v>
      </c>
      <c r="Y77" t="s">
        <v>2</v>
      </c>
      <c r="Z77" t="s">
        <v>3</v>
      </c>
      <c r="AA77" s="5">
        <v>0</v>
      </c>
      <c r="AB77" t="s">
        <v>17</v>
      </c>
      <c r="AI77" t="s">
        <v>6643</v>
      </c>
      <c r="AL77" t="s">
        <v>8045</v>
      </c>
    </row>
    <row r="78" spans="1:38">
      <c r="A78" t="s">
        <v>2606</v>
      </c>
      <c r="B78" t="s">
        <v>5172</v>
      </c>
      <c r="C78" t="s">
        <v>3716</v>
      </c>
      <c r="D78" t="s">
        <v>3717</v>
      </c>
      <c r="E78" s="2">
        <v>20000</v>
      </c>
      <c r="F78" s="2">
        <v>20000</v>
      </c>
      <c r="G78" s="3">
        <v>43288</v>
      </c>
      <c r="H78" s="4">
        <v>6.2013888888889999E-2</v>
      </c>
      <c r="I78" s="3">
        <v>43288</v>
      </c>
      <c r="J78" s="4">
        <v>0.81276620370370001</v>
      </c>
      <c r="K78" s="2">
        <v>0</v>
      </c>
      <c r="L78" t="s">
        <v>0</v>
      </c>
      <c r="M78" t="s">
        <v>2607</v>
      </c>
      <c r="N78" s="3">
        <v>43275</v>
      </c>
      <c r="O78" s="3">
        <v>43290</v>
      </c>
      <c r="P78" t="s">
        <v>2682</v>
      </c>
      <c r="Q78" t="s">
        <v>1</v>
      </c>
      <c r="R78" t="s">
        <v>821</v>
      </c>
      <c r="S78" s="3">
        <v>43344</v>
      </c>
      <c r="T78" t="s">
        <v>1</v>
      </c>
      <c r="U78" t="s">
        <v>2486</v>
      </c>
      <c r="V78">
        <v>111</v>
      </c>
      <c r="W78" t="s">
        <v>2434</v>
      </c>
      <c r="X78" s="2">
        <v>0</v>
      </c>
      <c r="Y78" t="s">
        <v>2</v>
      </c>
      <c r="Z78" t="s">
        <v>3</v>
      </c>
      <c r="AA78" s="5">
        <v>0</v>
      </c>
      <c r="AB78" t="s">
        <v>29</v>
      </c>
      <c r="AL78" t="s">
        <v>8046</v>
      </c>
    </row>
    <row r="79" spans="1:38">
      <c r="A79" t="s">
        <v>2606</v>
      </c>
      <c r="B79" t="s">
        <v>7255</v>
      </c>
      <c r="C79" t="s">
        <v>2652</v>
      </c>
      <c r="D79" t="s">
        <v>2653</v>
      </c>
      <c r="E79" s="2">
        <v>5000</v>
      </c>
      <c r="F79" s="2">
        <v>5000</v>
      </c>
      <c r="G79" s="3">
        <v>43289</v>
      </c>
      <c r="H79" s="4">
        <v>0.41611111111110999</v>
      </c>
      <c r="I79" s="3">
        <v>43289</v>
      </c>
      <c r="J79" s="4">
        <v>0.60379629629630005</v>
      </c>
      <c r="K79" s="2">
        <v>0</v>
      </c>
      <c r="L79" t="s">
        <v>0</v>
      </c>
      <c r="M79" t="s">
        <v>2665</v>
      </c>
      <c r="N79" s="3">
        <v>43292</v>
      </c>
      <c r="O79" s="3">
        <v>43291</v>
      </c>
      <c r="P79" t="s">
        <v>132</v>
      </c>
      <c r="Q79" t="s">
        <v>2654</v>
      </c>
      <c r="R79" t="s">
        <v>822</v>
      </c>
      <c r="S79" s="3">
        <v>43292</v>
      </c>
      <c r="T79" t="s">
        <v>7256</v>
      </c>
      <c r="U79" t="s">
        <v>2655</v>
      </c>
      <c r="V79" t="s">
        <v>2656</v>
      </c>
      <c r="W79" t="s">
        <v>2434</v>
      </c>
      <c r="X79" s="2">
        <v>1110</v>
      </c>
      <c r="Y79" t="s">
        <v>2</v>
      </c>
      <c r="Z79" t="s">
        <v>3</v>
      </c>
      <c r="AA79" s="5">
        <v>0</v>
      </c>
      <c r="AB79" t="s">
        <v>17</v>
      </c>
      <c r="AL79" t="s">
        <v>8047</v>
      </c>
    </row>
    <row r="80" spans="1:38">
      <c r="A80" t="s">
        <v>2606</v>
      </c>
      <c r="B80" t="s">
        <v>2709</v>
      </c>
      <c r="C80" t="s">
        <v>115</v>
      </c>
      <c r="D80" t="s">
        <v>116</v>
      </c>
      <c r="E80" s="2">
        <v>10000</v>
      </c>
      <c r="F80" s="2">
        <v>10000</v>
      </c>
      <c r="G80" s="3">
        <v>43290</v>
      </c>
      <c r="H80" s="4">
        <v>0.62462962962962998</v>
      </c>
      <c r="I80" s="3">
        <v>43291</v>
      </c>
      <c r="J80" s="4">
        <v>0</v>
      </c>
      <c r="K80" s="2">
        <v>0</v>
      </c>
      <c r="L80" t="s">
        <v>0</v>
      </c>
      <c r="M80" t="s">
        <v>2625</v>
      </c>
      <c r="N80" s="3">
        <v>43293</v>
      </c>
      <c r="O80" s="3">
        <v>43292</v>
      </c>
      <c r="P80" t="s">
        <v>117</v>
      </c>
      <c r="Q80" t="s">
        <v>2710</v>
      </c>
      <c r="R80" t="s">
        <v>820</v>
      </c>
      <c r="S80" s="3">
        <v>43293</v>
      </c>
      <c r="T80" t="s">
        <v>1</v>
      </c>
      <c r="U80" t="s">
        <v>2711</v>
      </c>
      <c r="V80">
        <v>116</v>
      </c>
      <c r="W80" t="s">
        <v>2434</v>
      </c>
      <c r="X80" s="2">
        <v>0</v>
      </c>
      <c r="Y80" t="s">
        <v>2</v>
      </c>
      <c r="Z80" t="s">
        <v>3</v>
      </c>
      <c r="AA80" s="5">
        <v>0</v>
      </c>
      <c r="AB80" t="s">
        <v>29</v>
      </c>
      <c r="AI80" t="s">
        <v>6643</v>
      </c>
      <c r="AL80" t="s">
        <v>8048</v>
      </c>
    </row>
    <row r="81" spans="1:38">
      <c r="A81" t="s">
        <v>2606</v>
      </c>
      <c r="B81" t="s">
        <v>5019</v>
      </c>
      <c r="C81" t="s">
        <v>125</v>
      </c>
      <c r="D81" t="s">
        <v>126</v>
      </c>
      <c r="E81" s="2">
        <v>10000</v>
      </c>
      <c r="F81" s="2">
        <v>10000</v>
      </c>
      <c r="G81" s="3">
        <v>43290</v>
      </c>
      <c r="H81" s="4">
        <v>0.62462962962962998</v>
      </c>
      <c r="I81" s="3">
        <v>43291</v>
      </c>
      <c r="J81" s="4">
        <v>0</v>
      </c>
      <c r="K81" s="2">
        <v>0</v>
      </c>
      <c r="L81" t="s">
        <v>0</v>
      </c>
      <c r="M81" t="s">
        <v>2625</v>
      </c>
      <c r="N81" s="3">
        <v>43293</v>
      </c>
      <c r="O81" s="3">
        <v>43292</v>
      </c>
      <c r="P81" t="s">
        <v>117</v>
      </c>
      <c r="Q81" t="s">
        <v>1</v>
      </c>
      <c r="R81" t="s">
        <v>821</v>
      </c>
      <c r="S81" s="3">
        <v>43388</v>
      </c>
      <c r="T81" t="s">
        <v>1</v>
      </c>
      <c r="U81" t="s">
        <v>2614</v>
      </c>
      <c r="V81">
        <v>116</v>
      </c>
      <c r="W81" t="s">
        <v>2434</v>
      </c>
      <c r="X81" s="2">
        <v>0</v>
      </c>
      <c r="Y81" t="s">
        <v>2</v>
      </c>
      <c r="Z81" t="s">
        <v>3</v>
      </c>
      <c r="AA81" s="5">
        <v>0</v>
      </c>
      <c r="AB81" t="s">
        <v>29</v>
      </c>
      <c r="AI81" t="s">
        <v>6643</v>
      </c>
      <c r="AL81" t="s">
        <v>8049</v>
      </c>
    </row>
    <row r="82" spans="1:38">
      <c r="A82" t="s">
        <v>2606</v>
      </c>
      <c r="B82" t="s">
        <v>2708</v>
      </c>
      <c r="C82" t="s">
        <v>121</v>
      </c>
      <c r="D82" t="s">
        <v>122</v>
      </c>
      <c r="E82" s="2">
        <v>20000</v>
      </c>
      <c r="F82" s="2">
        <v>20000</v>
      </c>
      <c r="G82" s="3">
        <v>43291</v>
      </c>
      <c r="H82" s="4">
        <v>0.24924768518519</v>
      </c>
      <c r="I82" s="3">
        <v>43292</v>
      </c>
      <c r="J82" s="4">
        <v>0</v>
      </c>
      <c r="K82" s="2">
        <v>0</v>
      </c>
      <c r="L82" t="s">
        <v>0</v>
      </c>
      <c r="M82" t="s">
        <v>2607</v>
      </c>
      <c r="N82" s="3"/>
      <c r="O82" s="3">
        <v>43293</v>
      </c>
      <c r="P82" t="s">
        <v>114</v>
      </c>
      <c r="Q82" t="s">
        <v>7027</v>
      </c>
      <c r="R82" t="s">
        <v>820</v>
      </c>
      <c r="S82" s="3">
        <v>43297</v>
      </c>
      <c r="T82" t="s">
        <v>1</v>
      </c>
      <c r="U82">
        <v>945</v>
      </c>
      <c r="V82" t="s">
        <v>2608</v>
      </c>
      <c r="W82" t="s">
        <v>2434</v>
      </c>
      <c r="X82" s="2">
        <v>0</v>
      </c>
      <c r="Y82" t="s">
        <v>2</v>
      </c>
      <c r="Z82" t="s">
        <v>3</v>
      </c>
      <c r="AA82" s="5">
        <v>0</v>
      </c>
      <c r="AB82" t="s">
        <v>29</v>
      </c>
      <c r="AL82" t="s">
        <v>8050</v>
      </c>
    </row>
    <row r="83" spans="1:38">
      <c r="A83" t="s">
        <v>2606</v>
      </c>
      <c r="B83" t="s">
        <v>2659</v>
      </c>
      <c r="C83" t="s">
        <v>2639</v>
      </c>
      <c r="D83" t="s">
        <v>2640</v>
      </c>
      <c r="E83" s="2">
        <v>20000</v>
      </c>
      <c r="F83" s="2">
        <v>20000</v>
      </c>
      <c r="G83" s="3">
        <v>43292</v>
      </c>
      <c r="H83" s="4">
        <v>0.24924768518519</v>
      </c>
      <c r="I83" s="3">
        <v>43293</v>
      </c>
      <c r="J83" s="4">
        <v>0</v>
      </c>
      <c r="K83" s="2">
        <v>20</v>
      </c>
      <c r="L83" t="s">
        <v>0</v>
      </c>
      <c r="M83" t="s">
        <v>2607</v>
      </c>
      <c r="N83" s="3">
        <v>43280</v>
      </c>
      <c r="O83" s="3">
        <v>43294</v>
      </c>
      <c r="P83" t="s">
        <v>13</v>
      </c>
      <c r="Q83" t="s">
        <v>2641</v>
      </c>
      <c r="R83" t="s">
        <v>822</v>
      </c>
      <c r="S83" s="3">
        <v>43293</v>
      </c>
      <c r="T83" t="s">
        <v>7257</v>
      </c>
      <c r="U83" t="s">
        <v>2642</v>
      </c>
      <c r="V83">
        <v>111</v>
      </c>
      <c r="W83" t="s">
        <v>2434</v>
      </c>
      <c r="X83" s="2">
        <v>1110</v>
      </c>
      <c r="Y83" t="s">
        <v>2</v>
      </c>
      <c r="Z83" t="s">
        <v>3</v>
      </c>
      <c r="AA83" s="5">
        <v>0</v>
      </c>
      <c r="AB83" t="s">
        <v>17</v>
      </c>
      <c r="AL83" t="s">
        <v>8051</v>
      </c>
    </row>
    <row r="84" spans="1:38">
      <c r="A84" t="s">
        <v>2606</v>
      </c>
      <c r="B84" t="s">
        <v>2717</v>
      </c>
      <c r="C84" t="s">
        <v>148</v>
      </c>
      <c r="D84" t="s">
        <v>149</v>
      </c>
      <c r="E84" s="2">
        <v>8000</v>
      </c>
      <c r="F84" s="2">
        <v>8000</v>
      </c>
      <c r="G84" s="3">
        <v>43292</v>
      </c>
      <c r="H84" s="4">
        <v>0.69969907407406995</v>
      </c>
      <c r="I84" s="3">
        <v>43293</v>
      </c>
      <c r="J84" s="4">
        <v>0</v>
      </c>
      <c r="K84" s="2">
        <v>20</v>
      </c>
      <c r="L84" t="s">
        <v>0</v>
      </c>
      <c r="M84" t="s">
        <v>2718</v>
      </c>
      <c r="N84" s="3">
        <v>43291</v>
      </c>
      <c r="O84" s="3">
        <v>43294</v>
      </c>
      <c r="P84" t="s">
        <v>150</v>
      </c>
      <c r="Q84" t="s">
        <v>2719</v>
      </c>
      <c r="R84" t="s">
        <v>820</v>
      </c>
      <c r="S84" s="3">
        <v>43291</v>
      </c>
      <c r="T84" t="s">
        <v>7258</v>
      </c>
      <c r="U84" t="s">
        <v>2720</v>
      </c>
      <c r="V84">
        <v>6162</v>
      </c>
      <c r="W84" t="s">
        <v>2434</v>
      </c>
      <c r="X84" s="2">
        <v>1110</v>
      </c>
      <c r="Y84" t="s">
        <v>2</v>
      </c>
      <c r="Z84" t="s">
        <v>3</v>
      </c>
      <c r="AA84" s="5">
        <v>0</v>
      </c>
      <c r="AB84" t="s">
        <v>17</v>
      </c>
      <c r="AI84" t="s">
        <v>6643</v>
      </c>
      <c r="AL84" t="s">
        <v>8052</v>
      </c>
    </row>
    <row r="85" spans="1:38">
      <c r="A85" t="s">
        <v>2606</v>
      </c>
      <c r="B85" t="s">
        <v>5014</v>
      </c>
      <c r="C85" t="s">
        <v>5015</v>
      </c>
      <c r="D85" t="s">
        <v>5016</v>
      </c>
      <c r="E85" s="2">
        <v>10000</v>
      </c>
      <c r="F85" s="2">
        <v>10000</v>
      </c>
      <c r="G85" s="3">
        <v>43293</v>
      </c>
      <c r="H85" s="4">
        <v>0.62462962962962998</v>
      </c>
      <c r="I85" s="3">
        <v>43294</v>
      </c>
      <c r="J85" s="4">
        <v>0</v>
      </c>
      <c r="K85" s="2">
        <v>0</v>
      </c>
      <c r="L85" t="s">
        <v>0</v>
      </c>
      <c r="M85" t="s">
        <v>2625</v>
      </c>
      <c r="N85" s="3">
        <v>43297</v>
      </c>
      <c r="O85" s="3">
        <v>43295</v>
      </c>
      <c r="P85" t="s">
        <v>28</v>
      </c>
      <c r="Q85" t="s">
        <v>5017</v>
      </c>
      <c r="R85" t="s">
        <v>820</v>
      </c>
      <c r="S85" s="3">
        <v>43297</v>
      </c>
      <c r="T85" t="s">
        <v>7259</v>
      </c>
      <c r="U85" t="s">
        <v>2744</v>
      </c>
      <c r="V85">
        <v>739</v>
      </c>
      <c r="W85" t="s">
        <v>2434</v>
      </c>
      <c r="X85" s="2">
        <v>1110</v>
      </c>
      <c r="Y85" t="s">
        <v>2</v>
      </c>
      <c r="Z85" t="s">
        <v>3</v>
      </c>
      <c r="AA85" s="5">
        <v>0</v>
      </c>
      <c r="AB85" t="s">
        <v>17</v>
      </c>
      <c r="AI85" t="s">
        <v>6643</v>
      </c>
      <c r="AL85" t="s">
        <v>8053</v>
      </c>
    </row>
    <row r="86" spans="1:38">
      <c r="A86" t="s">
        <v>2606</v>
      </c>
      <c r="B86" t="s">
        <v>3988</v>
      </c>
      <c r="C86" t="s">
        <v>2501</v>
      </c>
      <c r="D86" t="s">
        <v>2502</v>
      </c>
      <c r="E86" s="2">
        <v>5000</v>
      </c>
      <c r="F86" s="2">
        <v>5000</v>
      </c>
      <c r="G86" s="3">
        <v>43293</v>
      </c>
      <c r="H86" s="4">
        <v>0.74655092592592998</v>
      </c>
      <c r="I86" s="3">
        <v>43293</v>
      </c>
      <c r="J86" s="4">
        <v>0.93423611111111005</v>
      </c>
      <c r="K86" s="2">
        <v>0</v>
      </c>
      <c r="L86" t="s">
        <v>0</v>
      </c>
      <c r="M86" t="s">
        <v>2665</v>
      </c>
      <c r="N86" s="3">
        <v>43299</v>
      </c>
      <c r="O86" s="3">
        <v>43295</v>
      </c>
      <c r="P86" t="s">
        <v>28</v>
      </c>
      <c r="Q86" t="s">
        <v>3989</v>
      </c>
      <c r="R86" t="s">
        <v>820</v>
      </c>
      <c r="S86" s="3">
        <v>43299</v>
      </c>
      <c r="T86" t="s">
        <v>7260</v>
      </c>
      <c r="U86" t="s">
        <v>2504</v>
      </c>
      <c r="V86">
        <v>73231</v>
      </c>
      <c r="W86" t="s">
        <v>2434</v>
      </c>
      <c r="X86" s="2">
        <v>1110</v>
      </c>
      <c r="Y86" t="s">
        <v>2</v>
      </c>
      <c r="Z86" t="s">
        <v>3</v>
      </c>
      <c r="AA86" s="5">
        <v>0</v>
      </c>
      <c r="AB86" t="s">
        <v>17</v>
      </c>
      <c r="AI86" t="s">
        <v>6643</v>
      </c>
      <c r="AL86" t="s">
        <v>8054</v>
      </c>
    </row>
    <row r="87" spans="1:38">
      <c r="A87" t="s">
        <v>2606</v>
      </c>
      <c r="B87" t="s">
        <v>4142</v>
      </c>
      <c r="C87" t="s">
        <v>2623</v>
      </c>
      <c r="D87" t="s">
        <v>2624</v>
      </c>
      <c r="E87" s="2">
        <v>10000</v>
      </c>
      <c r="F87" s="2">
        <v>10000</v>
      </c>
      <c r="G87" s="3">
        <v>43294</v>
      </c>
      <c r="H87" s="4">
        <v>0.62462962962962998</v>
      </c>
      <c r="I87" s="3">
        <v>43295</v>
      </c>
      <c r="J87" s="4">
        <v>0</v>
      </c>
      <c r="K87" s="2">
        <v>20</v>
      </c>
      <c r="L87" t="s">
        <v>0</v>
      </c>
      <c r="M87" t="s">
        <v>2625</v>
      </c>
      <c r="N87" s="3">
        <v>43298</v>
      </c>
      <c r="O87" s="3">
        <v>43296</v>
      </c>
      <c r="P87" t="s">
        <v>13</v>
      </c>
      <c r="Q87" t="s">
        <v>4143</v>
      </c>
      <c r="R87" t="s">
        <v>820</v>
      </c>
      <c r="S87" s="3">
        <v>43298</v>
      </c>
      <c r="T87" t="s">
        <v>7261</v>
      </c>
      <c r="U87" t="s">
        <v>2626</v>
      </c>
      <c r="V87" t="s">
        <v>2627</v>
      </c>
      <c r="W87" t="s">
        <v>2628</v>
      </c>
      <c r="X87" s="2">
        <v>1110</v>
      </c>
      <c r="Y87" t="s">
        <v>2</v>
      </c>
      <c r="Z87" t="s">
        <v>3</v>
      </c>
      <c r="AA87" s="5">
        <v>0</v>
      </c>
      <c r="AB87" t="s">
        <v>17</v>
      </c>
      <c r="AL87" t="s">
        <v>8055</v>
      </c>
    </row>
    <row r="88" spans="1:38">
      <c r="A88" t="s">
        <v>2606</v>
      </c>
      <c r="B88" t="s">
        <v>4128</v>
      </c>
      <c r="C88" t="s">
        <v>2623</v>
      </c>
      <c r="D88" t="s">
        <v>2624</v>
      </c>
      <c r="E88" s="2">
        <v>10000</v>
      </c>
      <c r="F88" s="2">
        <v>10000</v>
      </c>
      <c r="G88" s="3">
        <v>43294</v>
      </c>
      <c r="H88" s="4">
        <v>0.62462962962962998</v>
      </c>
      <c r="I88" s="3">
        <v>43295</v>
      </c>
      <c r="J88" s="4">
        <v>0</v>
      </c>
      <c r="K88" s="2">
        <v>20</v>
      </c>
      <c r="L88" t="s">
        <v>0</v>
      </c>
      <c r="M88" t="s">
        <v>2625</v>
      </c>
      <c r="N88" s="3">
        <v>43293</v>
      </c>
      <c r="O88" s="3">
        <v>43296</v>
      </c>
      <c r="P88" t="s">
        <v>13</v>
      </c>
      <c r="Q88" t="s">
        <v>4129</v>
      </c>
      <c r="R88" t="s">
        <v>820</v>
      </c>
      <c r="S88" s="3">
        <v>43293</v>
      </c>
      <c r="T88" t="s">
        <v>1</v>
      </c>
      <c r="U88" t="s">
        <v>2626</v>
      </c>
      <c r="V88" t="s">
        <v>2627</v>
      </c>
      <c r="W88" t="s">
        <v>2628</v>
      </c>
      <c r="X88" s="2">
        <v>0</v>
      </c>
      <c r="Y88" t="s">
        <v>2</v>
      </c>
      <c r="Z88" t="s">
        <v>3</v>
      </c>
      <c r="AA88" s="5">
        <v>0</v>
      </c>
      <c r="AB88" t="s">
        <v>29</v>
      </c>
      <c r="AL88" t="s">
        <v>8056</v>
      </c>
    </row>
    <row r="89" spans="1:38">
      <c r="A89" t="s">
        <v>2606</v>
      </c>
      <c r="B89" t="s">
        <v>2724</v>
      </c>
      <c r="C89" t="s">
        <v>2725</v>
      </c>
      <c r="D89" t="s">
        <v>2726</v>
      </c>
      <c r="E89" s="2">
        <v>10000</v>
      </c>
      <c r="F89" s="2">
        <v>10000</v>
      </c>
      <c r="G89" s="3">
        <v>43295</v>
      </c>
      <c r="H89" s="4">
        <v>0.62462962962962998</v>
      </c>
      <c r="I89" s="3">
        <v>43296</v>
      </c>
      <c r="J89" s="4">
        <v>0</v>
      </c>
      <c r="K89" s="2">
        <v>20</v>
      </c>
      <c r="L89" t="s">
        <v>0</v>
      </c>
      <c r="M89" t="s">
        <v>2625</v>
      </c>
      <c r="N89" s="3">
        <v>43297</v>
      </c>
      <c r="O89" s="3">
        <v>43297</v>
      </c>
      <c r="P89" t="s">
        <v>13</v>
      </c>
      <c r="Q89" t="s">
        <v>2727</v>
      </c>
      <c r="R89" t="s">
        <v>820</v>
      </c>
      <c r="S89" s="3">
        <v>43297</v>
      </c>
      <c r="T89" t="s">
        <v>7262</v>
      </c>
      <c r="U89" t="s">
        <v>2535</v>
      </c>
      <c r="V89" t="s">
        <v>2728</v>
      </c>
      <c r="W89" t="s">
        <v>2434</v>
      </c>
      <c r="X89" s="2">
        <v>1110</v>
      </c>
      <c r="Y89" t="s">
        <v>2</v>
      </c>
      <c r="Z89" t="s">
        <v>3</v>
      </c>
      <c r="AA89" s="5">
        <v>0</v>
      </c>
      <c r="AB89" t="s">
        <v>17</v>
      </c>
      <c r="AL89" t="s">
        <v>8057</v>
      </c>
    </row>
    <row r="90" spans="1:38">
      <c r="A90" t="s">
        <v>2606</v>
      </c>
      <c r="B90" t="s">
        <v>2731</v>
      </c>
      <c r="C90" t="s">
        <v>2623</v>
      </c>
      <c r="D90" t="s">
        <v>2624</v>
      </c>
      <c r="E90" s="2">
        <v>10000</v>
      </c>
      <c r="F90" s="2">
        <v>10000</v>
      </c>
      <c r="G90" s="3">
        <v>43295</v>
      </c>
      <c r="H90" s="4">
        <v>0.62462962962962998</v>
      </c>
      <c r="I90" s="3">
        <v>43296</v>
      </c>
      <c r="J90" s="4">
        <v>0</v>
      </c>
      <c r="K90" s="2">
        <v>20</v>
      </c>
      <c r="L90" t="s">
        <v>0</v>
      </c>
      <c r="M90" t="s">
        <v>2625</v>
      </c>
      <c r="N90" s="3">
        <v>43300</v>
      </c>
      <c r="O90" s="3">
        <v>43297</v>
      </c>
      <c r="P90" t="s">
        <v>13</v>
      </c>
      <c r="Q90" t="s">
        <v>2732</v>
      </c>
      <c r="R90" t="s">
        <v>820</v>
      </c>
      <c r="S90" s="3">
        <v>43300</v>
      </c>
      <c r="T90" t="s">
        <v>1</v>
      </c>
      <c r="U90" t="s">
        <v>2626</v>
      </c>
      <c r="V90" t="s">
        <v>2627</v>
      </c>
      <c r="W90" t="s">
        <v>2628</v>
      </c>
      <c r="X90" s="2">
        <v>0</v>
      </c>
      <c r="Y90" t="s">
        <v>2</v>
      </c>
      <c r="Z90" t="s">
        <v>3</v>
      </c>
      <c r="AA90" s="5">
        <v>0</v>
      </c>
      <c r="AB90" t="s">
        <v>29</v>
      </c>
      <c r="AL90" t="s">
        <v>8058</v>
      </c>
    </row>
    <row r="91" spans="1:38">
      <c r="A91" t="s">
        <v>2606</v>
      </c>
      <c r="B91" t="s">
        <v>7023</v>
      </c>
      <c r="C91" t="s">
        <v>7024</v>
      </c>
      <c r="D91" t="s">
        <v>7025</v>
      </c>
      <c r="E91" s="2">
        <v>10000</v>
      </c>
      <c r="F91" s="2">
        <v>10000</v>
      </c>
      <c r="G91" s="3">
        <v>43296</v>
      </c>
      <c r="H91" s="4">
        <v>0.62462962962962998</v>
      </c>
      <c r="I91" s="3">
        <v>43297</v>
      </c>
      <c r="J91" s="4">
        <v>0</v>
      </c>
      <c r="K91" s="2">
        <v>0</v>
      </c>
      <c r="L91" t="s">
        <v>0</v>
      </c>
      <c r="M91" t="s">
        <v>2625</v>
      </c>
      <c r="N91" s="3">
        <v>43292</v>
      </c>
      <c r="O91" s="3">
        <v>43298</v>
      </c>
      <c r="P91" t="s">
        <v>158</v>
      </c>
      <c r="Q91" t="s">
        <v>7026</v>
      </c>
      <c r="R91" t="s">
        <v>820</v>
      </c>
      <c r="S91" s="3">
        <v>43292</v>
      </c>
      <c r="T91" t="s">
        <v>7263</v>
      </c>
      <c r="U91" t="s">
        <v>2484</v>
      </c>
      <c r="V91">
        <v>131</v>
      </c>
      <c r="W91" t="s">
        <v>2434</v>
      </c>
      <c r="X91" s="2">
        <v>1110</v>
      </c>
      <c r="Y91" t="s">
        <v>2</v>
      </c>
      <c r="Z91" t="s">
        <v>3</v>
      </c>
      <c r="AA91" s="5">
        <v>0</v>
      </c>
      <c r="AB91" t="s">
        <v>17</v>
      </c>
      <c r="AL91" t="s">
        <v>8059</v>
      </c>
    </row>
    <row r="92" spans="1:38">
      <c r="A92" t="s">
        <v>2606</v>
      </c>
      <c r="B92" t="s">
        <v>3976</v>
      </c>
      <c r="C92" t="s">
        <v>165</v>
      </c>
      <c r="D92" t="s">
        <v>166</v>
      </c>
      <c r="E92" s="2">
        <v>5000</v>
      </c>
      <c r="F92" s="2">
        <v>5000</v>
      </c>
      <c r="G92" s="3">
        <v>43296</v>
      </c>
      <c r="H92" s="4">
        <v>0.81231481481481005</v>
      </c>
      <c r="I92" s="3">
        <v>43297</v>
      </c>
      <c r="J92" s="4">
        <v>0</v>
      </c>
      <c r="K92" s="2">
        <v>0</v>
      </c>
      <c r="L92" t="s">
        <v>0</v>
      </c>
      <c r="M92" t="s">
        <v>2665</v>
      </c>
      <c r="N92" s="3">
        <v>43294</v>
      </c>
      <c r="O92" s="3">
        <v>43298</v>
      </c>
      <c r="P92" t="s">
        <v>153</v>
      </c>
      <c r="Q92" t="s">
        <v>3977</v>
      </c>
      <c r="R92" t="s">
        <v>820</v>
      </c>
      <c r="S92" s="3">
        <v>43294</v>
      </c>
      <c r="T92" t="s">
        <v>7264</v>
      </c>
      <c r="U92" t="s">
        <v>2484</v>
      </c>
      <c r="V92" t="s">
        <v>3492</v>
      </c>
      <c r="W92" t="s">
        <v>2434</v>
      </c>
      <c r="X92" s="2">
        <v>1110</v>
      </c>
      <c r="Y92" t="s">
        <v>2</v>
      </c>
      <c r="Z92" t="s">
        <v>3</v>
      </c>
      <c r="AA92" s="5">
        <v>0</v>
      </c>
      <c r="AB92" t="s">
        <v>17</v>
      </c>
      <c r="AI92" t="s">
        <v>6643</v>
      </c>
      <c r="AL92" t="s">
        <v>8060</v>
      </c>
    </row>
    <row r="93" spans="1:38">
      <c r="A93" t="s">
        <v>2606</v>
      </c>
      <c r="B93" t="s">
        <v>2729</v>
      </c>
      <c r="C93" t="s">
        <v>163</v>
      </c>
      <c r="D93" t="s">
        <v>164</v>
      </c>
      <c r="E93" s="2">
        <v>10000</v>
      </c>
      <c r="F93" s="2">
        <v>10000</v>
      </c>
      <c r="G93" s="3">
        <v>43297</v>
      </c>
      <c r="H93" s="4">
        <v>0.62462962962962998</v>
      </c>
      <c r="I93" s="3">
        <v>43298</v>
      </c>
      <c r="J93" s="4">
        <v>0</v>
      </c>
      <c r="K93" s="2">
        <v>0</v>
      </c>
      <c r="L93" t="s">
        <v>0</v>
      </c>
      <c r="M93" t="s">
        <v>2625</v>
      </c>
      <c r="N93" s="3">
        <v>43298</v>
      </c>
      <c r="O93" s="3">
        <v>43299</v>
      </c>
      <c r="P93" t="s">
        <v>158</v>
      </c>
      <c r="Q93" t="s">
        <v>2730</v>
      </c>
      <c r="R93" t="s">
        <v>820</v>
      </c>
      <c r="S93" s="3">
        <v>43298</v>
      </c>
      <c r="T93" t="s">
        <v>7265</v>
      </c>
      <c r="U93" t="s">
        <v>2638</v>
      </c>
      <c r="V93">
        <v>131</v>
      </c>
      <c r="W93" t="s">
        <v>2434</v>
      </c>
      <c r="X93" s="2">
        <v>1110</v>
      </c>
      <c r="Y93" t="s">
        <v>2</v>
      </c>
      <c r="Z93" t="s">
        <v>3</v>
      </c>
      <c r="AA93" s="5">
        <v>0</v>
      </c>
      <c r="AB93" t="s">
        <v>17</v>
      </c>
      <c r="AI93" t="s">
        <v>6643</v>
      </c>
      <c r="AL93" t="s">
        <v>8061</v>
      </c>
    </row>
    <row r="94" spans="1:38">
      <c r="A94" t="s">
        <v>2606</v>
      </c>
      <c r="B94" t="s">
        <v>5018</v>
      </c>
      <c r="C94" t="s">
        <v>3721</v>
      </c>
      <c r="D94" t="s">
        <v>3722</v>
      </c>
      <c r="E94" s="2">
        <v>10000</v>
      </c>
      <c r="F94" s="2">
        <v>10000</v>
      </c>
      <c r="G94" s="3">
        <v>43297</v>
      </c>
      <c r="H94" s="4">
        <v>0.62462962962962998</v>
      </c>
      <c r="I94" s="3">
        <v>43298</v>
      </c>
      <c r="J94" s="4">
        <v>0</v>
      </c>
      <c r="K94" s="2">
        <v>0</v>
      </c>
      <c r="L94" t="s">
        <v>0</v>
      </c>
      <c r="M94" t="s">
        <v>2625</v>
      </c>
      <c r="N94" s="3">
        <v>43300</v>
      </c>
      <c r="O94" s="3">
        <v>43299</v>
      </c>
      <c r="P94" t="s">
        <v>158</v>
      </c>
      <c r="Q94" t="s">
        <v>1</v>
      </c>
      <c r="R94" t="s">
        <v>821</v>
      </c>
      <c r="S94" s="3">
        <v>43310</v>
      </c>
      <c r="T94" t="s">
        <v>1</v>
      </c>
      <c r="U94" t="s">
        <v>2504</v>
      </c>
      <c r="V94">
        <v>131</v>
      </c>
      <c r="W94" t="s">
        <v>2434</v>
      </c>
      <c r="X94" s="2">
        <v>0</v>
      </c>
      <c r="Y94" t="s">
        <v>2</v>
      </c>
      <c r="Z94" t="s">
        <v>3</v>
      </c>
      <c r="AA94" s="5">
        <v>0</v>
      </c>
      <c r="AB94" t="s">
        <v>29</v>
      </c>
      <c r="AI94" t="s">
        <v>6643</v>
      </c>
      <c r="AL94" t="s">
        <v>8062</v>
      </c>
    </row>
    <row r="95" spans="1:38">
      <c r="A95" t="s">
        <v>2606</v>
      </c>
      <c r="B95" t="s">
        <v>5126</v>
      </c>
      <c r="C95" t="s">
        <v>137</v>
      </c>
      <c r="D95" t="s">
        <v>138</v>
      </c>
      <c r="E95" s="2">
        <v>20000</v>
      </c>
      <c r="F95" s="2">
        <v>20000</v>
      </c>
      <c r="G95" s="3">
        <v>43297</v>
      </c>
      <c r="H95" s="4">
        <v>0.92334490740741004</v>
      </c>
      <c r="I95" s="3">
        <v>43298</v>
      </c>
      <c r="J95" s="4">
        <v>0.67409722222222002</v>
      </c>
      <c r="K95" s="2">
        <v>0</v>
      </c>
      <c r="L95" t="s">
        <v>0</v>
      </c>
      <c r="M95" t="s">
        <v>2607</v>
      </c>
      <c r="N95" s="3">
        <v>43300</v>
      </c>
      <c r="O95" s="3">
        <v>43300</v>
      </c>
      <c r="P95" t="s">
        <v>2682</v>
      </c>
      <c r="Q95" t="s">
        <v>1</v>
      </c>
      <c r="R95" t="s">
        <v>821</v>
      </c>
      <c r="S95" s="3">
        <v>43344</v>
      </c>
      <c r="T95" t="s">
        <v>1</v>
      </c>
      <c r="U95" t="s">
        <v>2702</v>
      </c>
      <c r="V95">
        <v>111</v>
      </c>
      <c r="W95" t="s">
        <v>2434</v>
      </c>
      <c r="X95" s="2">
        <v>0</v>
      </c>
      <c r="Y95" t="s">
        <v>2</v>
      </c>
      <c r="Z95" t="s">
        <v>3</v>
      </c>
      <c r="AA95" s="5">
        <v>0</v>
      </c>
      <c r="AB95" t="s">
        <v>29</v>
      </c>
      <c r="AL95" t="s">
        <v>8063</v>
      </c>
    </row>
    <row r="96" spans="1:38">
      <c r="A96" t="s">
        <v>2606</v>
      </c>
      <c r="B96" t="s">
        <v>2660</v>
      </c>
      <c r="C96" t="s">
        <v>121</v>
      </c>
      <c r="D96" t="s">
        <v>122</v>
      </c>
      <c r="E96" s="2">
        <v>20000</v>
      </c>
      <c r="F96" s="2">
        <v>20000</v>
      </c>
      <c r="G96" s="3">
        <v>43299</v>
      </c>
      <c r="H96" s="4">
        <v>0.24924768518519</v>
      </c>
      <c r="I96" s="3">
        <v>43300</v>
      </c>
      <c r="J96" s="4">
        <v>0</v>
      </c>
      <c r="K96" s="2">
        <v>0</v>
      </c>
      <c r="L96" t="s">
        <v>0</v>
      </c>
      <c r="M96" t="s">
        <v>2607</v>
      </c>
      <c r="N96" s="3"/>
      <c r="O96" s="3">
        <v>43301</v>
      </c>
      <c r="P96" t="s">
        <v>114</v>
      </c>
      <c r="Q96" t="s">
        <v>7028</v>
      </c>
      <c r="R96" t="s">
        <v>822</v>
      </c>
      <c r="S96" s="3">
        <v>43306</v>
      </c>
      <c r="T96" t="s">
        <v>1</v>
      </c>
      <c r="U96">
        <v>945</v>
      </c>
      <c r="V96" t="s">
        <v>2608</v>
      </c>
      <c r="W96" t="s">
        <v>2434</v>
      </c>
      <c r="X96" s="2">
        <v>0</v>
      </c>
      <c r="Y96" t="s">
        <v>2</v>
      </c>
      <c r="Z96" t="s">
        <v>3</v>
      </c>
      <c r="AA96" s="5">
        <v>0</v>
      </c>
      <c r="AB96" t="s">
        <v>29</v>
      </c>
      <c r="AL96" t="s">
        <v>8064</v>
      </c>
    </row>
    <row r="97" spans="1:38">
      <c r="A97" t="s">
        <v>2745</v>
      </c>
      <c r="B97" t="s">
        <v>5026</v>
      </c>
      <c r="C97" t="s">
        <v>2746</v>
      </c>
      <c r="D97" t="s">
        <v>2747</v>
      </c>
      <c r="E97" s="2">
        <v>190</v>
      </c>
      <c r="F97" s="2">
        <v>20190</v>
      </c>
      <c r="G97" s="3">
        <v>43270</v>
      </c>
      <c r="H97" s="4">
        <v>5.2777777777779998E-2</v>
      </c>
      <c r="I97" s="3">
        <v>43270</v>
      </c>
      <c r="J97" s="4">
        <v>0.54791666666667005</v>
      </c>
      <c r="K97" s="2">
        <v>0</v>
      </c>
      <c r="L97" t="s">
        <v>0</v>
      </c>
      <c r="M97" t="s">
        <v>2748</v>
      </c>
      <c r="N97" s="3"/>
      <c r="O97" s="3">
        <v>43272</v>
      </c>
      <c r="P97" t="s">
        <v>2435</v>
      </c>
      <c r="Q97" t="s">
        <v>5698</v>
      </c>
      <c r="R97" t="s">
        <v>820</v>
      </c>
      <c r="S97" s="3">
        <v>43319</v>
      </c>
      <c r="T97" t="s">
        <v>7266</v>
      </c>
      <c r="U97" t="s">
        <v>2595</v>
      </c>
      <c r="V97">
        <v>7001</v>
      </c>
      <c r="W97" t="s">
        <v>2434</v>
      </c>
      <c r="X97" s="2">
        <v>1699</v>
      </c>
      <c r="Y97" t="s">
        <v>2</v>
      </c>
      <c r="Z97" t="s">
        <v>3</v>
      </c>
      <c r="AA97" s="5">
        <v>0</v>
      </c>
      <c r="AB97" t="s">
        <v>4</v>
      </c>
      <c r="AL97" t="s">
        <v>8065</v>
      </c>
    </row>
    <row r="98" spans="1:38">
      <c r="A98" t="s">
        <v>2745</v>
      </c>
      <c r="B98" t="s">
        <v>5028</v>
      </c>
      <c r="C98" t="s">
        <v>2746</v>
      </c>
      <c r="D98" t="s">
        <v>2747</v>
      </c>
      <c r="E98" s="2">
        <v>190</v>
      </c>
      <c r="F98" s="2">
        <v>20190</v>
      </c>
      <c r="G98" s="3">
        <v>43270</v>
      </c>
      <c r="H98" s="4">
        <v>0.50486111111110998</v>
      </c>
      <c r="I98" s="3">
        <v>43271</v>
      </c>
      <c r="J98" s="4">
        <v>0</v>
      </c>
      <c r="K98" s="2">
        <v>0</v>
      </c>
      <c r="L98" t="s">
        <v>0</v>
      </c>
      <c r="M98" t="s">
        <v>2748</v>
      </c>
      <c r="N98" s="3"/>
      <c r="O98" s="3">
        <v>43272</v>
      </c>
      <c r="P98" t="s">
        <v>2435</v>
      </c>
      <c r="Q98" t="s">
        <v>5698</v>
      </c>
      <c r="R98" t="s">
        <v>820</v>
      </c>
      <c r="S98" s="3">
        <v>43319</v>
      </c>
      <c r="T98" t="s">
        <v>7267</v>
      </c>
      <c r="U98" t="s">
        <v>2595</v>
      </c>
      <c r="V98">
        <v>7001</v>
      </c>
      <c r="W98" t="s">
        <v>2434</v>
      </c>
      <c r="X98" s="2">
        <v>1699</v>
      </c>
      <c r="Y98" t="s">
        <v>2</v>
      </c>
      <c r="Z98" t="s">
        <v>3</v>
      </c>
      <c r="AA98" s="5">
        <v>0</v>
      </c>
      <c r="AB98" t="s">
        <v>4</v>
      </c>
      <c r="AL98" t="s">
        <v>8066</v>
      </c>
    </row>
    <row r="99" spans="1:38">
      <c r="A99" t="s">
        <v>2745</v>
      </c>
      <c r="B99" t="s">
        <v>5029</v>
      </c>
      <c r="C99" t="s">
        <v>2746</v>
      </c>
      <c r="D99" t="s">
        <v>2747</v>
      </c>
      <c r="E99" s="2">
        <v>18190</v>
      </c>
      <c r="F99" s="2">
        <v>20190</v>
      </c>
      <c r="G99" s="3">
        <v>43271</v>
      </c>
      <c r="H99" s="4">
        <v>5.2037037037039997E-2</v>
      </c>
      <c r="I99" s="3">
        <v>43271</v>
      </c>
      <c r="J99" s="4">
        <v>0.54717592592593001</v>
      </c>
      <c r="K99" s="2">
        <v>0</v>
      </c>
      <c r="L99" t="s">
        <v>0</v>
      </c>
      <c r="M99" t="s">
        <v>2748</v>
      </c>
      <c r="N99" s="3"/>
      <c r="O99" s="3">
        <v>43273</v>
      </c>
      <c r="P99" t="s">
        <v>2435</v>
      </c>
      <c r="Q99" t="s">
        <v>2750</v>
      </c>
      <c r="R99" t="s">
        <v>820</v>
      </c>
      <c r="S99" s="3">
        <v>43319</v>
      </c>
      <c r="T99" t="s">
        <v>7268</v>
      </c>
      <c r="U99" t="s">
        <v>2595</v>
      </c>
      <c r="V99">
        <v>7001</v>
      </c>
      <c r="W99" t="s">
        <v>2434</v>
      </c>
      <c r="X99" s="2">
        <v>1699</v>
      </c>
      <c r="Y99" t="s">
        <v>2</v>
      </c>
      <c r="Z99" t="s">
        <v>3</v>
      </c>
      <c r="AA99" s="5">
        <v>0</v>
      </c>
      <c r="AB99" t="s">
        <v>4</v>
      </c>
      <c r="AL99" t="s">
        <v>8067</v>
      </c>
    </row>
    <row r="100" spans="1:38">
      <c r="A100" t="s">
        <v>2745</v>
      </c>
      <c r="B100" t="s">
        <v>4995</v>
      </c>
      <c r="C100" t="s">
        <v>2459</v>
      </c>
      <c r="D100" t="s">
        <v>2460</v>
      </c>
      <c r="E100" s="2">
        <v>20000</v>
      </c>
      <c r="F100" s="2">
        <v>20000</v>
      </c>
      <c r="G100" s="3">
        <v>43271</v>
      </c>
      <c r="H100" s="4">
        <v>0.58333333333333004</v>
      </c>
      <c r="I100" s="3">
        <v>43272</v>
      </c>
      <c r="J100" s="4">
        <v>7.3819444444439997E-2</v>
      </c>
      <c r="K100" s="2">
        <v>0</v>
      </c>
      <c r="L100" t="s">
        <v>0</v>
      </c>
      <c r="M100" t="s">
        <v>2749</v>
      </c>
      <c r="N100" s="3"/>
      <c r="O100" s="3">
        <v>43274</v>
      </c>
      <c r="P100" t="s">
        <v>2435</v>
      </c>
      <c r="Q100" t="s">
        <v>5692</v>
      </c>
      <c r="R100" t="s">
        <v>824</v>
      </c>
      <c r="S100" s="3">
        <v>43276</v>
      </c>
      <c r="T100" t="s">
        <v>7269</v>
      </c>
      <c r="U100" t="s">
        <v>2462</v>
      </c>
      <c r="V100">
        <v>701</v>
      </c>
      <c r="W100" t="s">
        <v>2434</v>
      </c>
      <c r="X100" s="2">
        <v>0</v>
      </c>
      <c r="Y100" t="s">
        <v>2</v>
      </c>
      <c r="Z100" t="s">
        <v>3</v>
      </c>
      <c r="AA100" s="5">
        <v>0</v>
      </c>
      <c r="AB100" t="s">
        <v>17</v>
      </c>
      <c r="AL100" t="s">
        <v>8068</v>
      </c>
    </row>
    <row r="101" spans="1:38">
      <c r="A101" t="s">
        <v>2745</v>
      </c>
      <c r="B101" t="s">
        <v>4994</v>
      </c>
      <c r="C101" t="s">
        <v>2459</v>
      </c>
      <c r="D101" t="s">
        <v>2460</v>
      </c>
      <c r="E101" s="2">
        <v>20000</v>
      </c>
      <c r="F101" s="2">
        <v>20000</v>
      </c>
      <c r="G101" s="3">
        <v>43272</v>
      </c>
      <c r="H101" s="4">
        <v>8.3333333333329998E-2</v>
      </c>
      <c r="I101" s="3">
        <v>43272</v>
      </c>
      <c r="J101" s="4">
        <v>0.57381944444444</v>
      </c>
      <c r="K101" s="2">
        <v>0</v>
      </c>
      <c r="L101" t="s">
        <v>0</v>
      </c>
      <c r="M101" t="s">
        <v>2749</v>
      </c>
      <c r="N101" s="3"/>
      <c r="O101" s="3">
        <v>43274</v>
      </c>
      <c r="P101" t="s">
        <v>2435</v>
      </c>
      <c r="Q101" t="s">
        <v>5692</v>
      </c>
      <c r="R101" t="s">
        <v>824</v>
      </c>
      <c r="S101" s="3">
        <v>43276</v>
      </c>
      <c r="T101" t="s">
        <v>7270</v>
      </c>
      <c r="U101" t="s">
        <v>2462</v>
      </c>
      <c r="V101">
        <v>701</v>
      </c>
      <c r="W101" t="s">
        <v>2434</v>
      </c>
      <c r="X101" s="2">
        <v>0</v>
      </c>
      <c r="Y101" t="s">
        <v>2</v>
      </c>
      <c r="Z101" t="s">
        <v>3</v>
      </c>
      <c r="AA101" s="5">
        <v>0</v>
      </c>
      <c r="AB101" t="s">
        <v>17</v>
      </c>
      <c r="AL101" t="s">
        <v>8069</v>
      </c>
    </row>
    <row r="102" spans="1:38">
      <c r="A102" t="s">
        <v>2745</v>
      </c>
      <c r="B102" t="s">
        <v>5697</v>
      </c>
      <c r="C102" t="s">
        <v>2459</v>
      </c>
      <c r="D102" t="s">
        <v>2460</v>
      </c>
      <c r="E102" s="2">
        <v>20190</v>
      </c>
      <c r="F102" s="2">
        <v>20190</v>
      </c>
      <c r="G102" s="3">
        <v>43272</v>
      </c>
      <c r="H102" s="4">
        <v>0.50486111111110998</v>
      </c>
      <c r="I102" s="3">
        <v>43273</v>
      </c>
      <c r="J102" s="4">
        <v>0</v>
      </c>
      <c r="K102" s="2">
        <v>0</v>
      </c>
      <c r="L102" t="s">
        <v>0</v>
      </c>
      <c r="M102" t="s">
        <v>2748</v>
      </c>
      <c r="N102" s="3"/>
      <c r="O102" s="3">
        <v>43274</v>
      </c>
      <c r="P102" t="s">
        <v>2435</v>
      </c>
      <c r="Q102" t="s">
        <v>3969</v>
      </c>
      <c r="R102" t="s">
        <v>820</v>
      </c>
      <c r="S102" s="3">
        <v>43290</v>
      </c>
      <c r="T102" t="s">
        <v>7271</v>
      </c>
      <c r="U102" t="s">
        <v>2462</v>
      </c>
      <c r="V102">
        <v>701</v>
      </c>
      <c r="W102" t="s">
        <v>2434</v>
      </c>
      <c r="X102" s="2">
        <v>1699</v>
      </c>
      <c r="Y102" t="s">
        <v>2</v>
      </c>
      <c r="Z102" t="s">
        <v>3</v>
      </c>
      <c r="AA102" s="5">
        <v>0</v>
      </c>
      <c r="AB102" t="s">
        <v>4</v>
      </c>
      <c r="AL102" t="s">
        <v>8070</v>
      </c>
    </row>
    <row r="103" spans="1:38">
      <c r="A103" t="s">
        <v>2745</v>
      </c>
      <c r="B103" t="s">
        <v>4997</v>
      </c>
      <c r="C103" t="s">
        <v>2459</v>
      </c>
      <c r="D103" t="s">
        <v>2460</v>
      </c>
      <c r="E103" s="2">
        <v>20190</v>
      </c>
      <c r="F103" s="2">
        <v>20190</v>
      </c>
      <c r="G103" s="3">
        <v>43273</v>
      </c>
      <c r="H103" s="4">
        <v>2.0833333333330002E-2</v>
      </c>
      <c r="I103" s="3">
        <v>43273</v>
      </c>
      <c r="J103" s="4">
        <v>0.51597222222221995</v>
      </c>
      <c r="K103" s="2">
        <v>0</v>
      </c>
      <c r="L103" t="s">
        <v>0</v>
      </c>
      <c r="M103" t="s">
        <v>2748</v>
      </c>
      <c r="N103" s="3"/>
      <c r="O103" s="3">
        <v>43275</v>
      </c>
      <c r="P103" t="s">
        <v>2435</v>
      </c>
      <c r="Q103" t="s">
        <v>2461</v>
      </c>
      <c r="R103" t="s">
        <v>820</v>
      </c>
      <c r="S103" s="3">
        <v>43291</v>
      </c>
      <c r="T103" t="s">
        <v>7272</v>
      </c>
      <c r="U103" t="s">
        <v>2462</v>
      </c>
      <c r="V103">
        <v>701</v>
      </c>
      <c r="W103" t="s">
        <v>2434</v>
      </c>
      <c r="X103" s="2">
        <v>1699</v>
      </c>
      <c r="Y103" t="s">
        <v>2</v>
      </c>
      <c r="Z103" t="s">
        <v>3</v>
      </c>
      <c r="AA103" s="5">
        <v>0</v>
      </c>
      <c r="AB103" t="s">
        <v>4</v>
      </c>
      <c r="AL103" t="s">
        <v>8071</v>
      </c>
    </row>
    <row r="104" spans="1:38">
      <c r="A104" t="s">
        <v>2745</v>
      </c>
      <c r="B104" t="s">
        <v>5030</v>
      </c>
      <c r="C104" t="s">
        <v>2459</v>
      </c>
      <c r="D104" t="s">
        <v>2460</v>
      </c>
      <c r="E104" s="2">
        <v>20190</v>
      </c>
      <c r="F104" s="2">
        <v>20190</v>
      </c>
      <c r="G104" s="3">
        <v>43273</v>
      </c>
      <c r="H104" s="4">
        <v>0.53680555555555998</v>
      </c>
      <c r="I104" s="3">
        <v>43274</v>
      </c>
      <c r="J104" s="4">
        <v>3.1944444444440001E-2</v>
      </c>
      <c r="K104" s="2">
        <v>0</v>
      </c>
      <c r="L104" t="s">
        <v>0</v>
      </c>
      <c r="M104" t="s">
        <v>2748</v>
      </c>
      <c r="N104" s="3"/>
      <c r="O104" s="3">
        <v>43276</v>
      </c>
      <c r="P104" t="s">
        <v>2435</v>
      </c>
      <c r="Q104" t="s">
        <v>2463</v>
      </c>
      <c r="R104" t="s">
        <v>820</v>
      </c>
      <c r="S104" s="3">
        <v>43298</v>
      </c>
      <c r="T104" t="s">
        <v>7273</v>
      </c>
      <c r="U104" t="s">
        <v>2462</v>
      </c>
      <c r="V104">
        <v>701</v>
      </c>
      <c r="W104" t="s">
        <v>2434</v>
      </c>
      <c r="X104" s="2">
        <v>1699</v>
      </c>
      <c r="Y104" t="s">
        <v>2</v>
      </c>
      <c r="Z104" t="s">
        <v>3</v>
      </c>
      <c r="AA104" s="5">
        <v>0</v>
      </c>
      <c r="AB104" t="s">
        <v>4</v>
      </c>
      <c r="AL104" t="s">
        <v>8072</v>
      </c>
    </row>
    <row r="105" spans="1:38">
      <c r="A105" t="s">
        <v>2745</v>
      </c>
      <c r="B105" t="s">
        <v>7274</v>
      </c>
      <c r="C105" t="s">
        <v>2452</v>
      </c>
      <c r="D105" t="s">
        <v>2453</v>
      </c>
      <c r="E105" s="2">
        <v>20000</v>
      </c>
      <c r="F105" s="2">
        <v>20000</v>
      </c>
      <c r="G105" s="3">
        <v>43274</v>
      </c>
      <c r="H105" s="4">
        <v>5.2777777777779998E-2</v>
      </c>
      <c r="I105" s="3">
        <v>43274</v>
      </c>
      <c r="J105" s="4">
        <v>0.54326388888888999</v>
      </c>
      <c r="K105" s="2">
        <v>0</v>
      </c>
      <c r="L105" t="s">
        <v>0</v>
      </c>
      <c r="M105" t="s">
        <v>2749</v>
      </c>
      <c r="N105" s="3">
        <v>43279</v>
      </c>
      <c r="O105" s="3">
        <v>43276</v>
      </c>
      <c r="P105" t="s">
        <v>2435</v>
      </c>
      <c r="Q105" t="s">
        <v>7275</v>
      </c>
      <c r="R105" t="s">
        <v>820</v>
      </c>
      <c r="S105" s="3">
        <v>43297</v>
      </c>
      <c r="T105" t="s">
        <v>7276</v>
      </c>
      <c r="U105" t="s">
        <v>2454</v>
      </c>
      <c r="V105">
        <v>701</v>
      </c>
      <c r="W105" t="s">
        <v>2434</v>
      </c>
      <c r="X105" s="2">
        <v>1699</v>
      </c>
      <c r="Y105" t="s">
        <v>2</v>
      </c>
      <c r="Z105" t="s">
        <v>3</v>
      </c>
      <c r="AA105" s="5">
        <v>0</v>
      </c>
      <c r="AB105" t="s">
        <v>17</v>
      </c>
      <c r="AL105" t="s">
        <v>8073</v>
      </c>
    </row>
    <row r="106" spans="1:38">
      <c r="A106" t="s">
        <v>2745</v>
      </c>
      <c r="B106" t="s">
        <v>7277</v>
      </c>
      <c r="C106" t="s">
        <v>2452</v>
      </c>
      <c r="D106" t="s">
        <v>2453</v>
      </c>
      <c r="E106" s="2">
        <v>20000</v>
      </c>
      <c r="F106" s="2">
        <v>20000</v>
      </c>
      <c r="G106" s="3">
        <v>43274</v>
      </c>
      <c r="H106" s="4">
        <v>0.56409722222222003</v>
      </c>
      <c r="I106" s="3">
        <v>43275</v>
      </c>
      <c r="J106" s="4">
        <v>5.458333333333E-2</v>
      </c>
      <c r="K106" s="2">
        <v>0</v>
      </c>
      <c r="L106" t="s">
        <v>0</v>
      </c>
      <c r="M106" t="s">
        <v>2749</v>
      </c>
      <c r="N106" s="3">
        <v>43279</v>
      </c>
      <c r="O106" s="3">
        <v>43277</v>
      </c>
      <c r="P106" t="s">
        <v>2435</v>
      </c>
      <c r="Q106" t="s">
        <v>7278</v>
      </c>
      <c r="R106" t="s">
        <v>820</v>
      </c>
      <c r="S106" s="3">
        <v>43307</v>
      </c>
      <c r="T106" t="s">
        <v>7279</v>
      </c>
      <c r="U106" t="s">
        <v>2454</v>
      </c>
      <c r="V106">
        <v>701</v>
      </c>
      <c r="W106" t="s">
        <v>2434</v>
      </c>
      <c r="X106" s="2">
        <v>1699</v>
      </c>
      <c r="Y106" t="s">
        <v>2</v>
      </c>
      <c r="Z106" t="s">
        <v>3</v>
      </c>
      <c r="AA106" s="5">
        <v>0</v>
      </c>
      <c r="AB106" t="s">
        <v>17</v>
      </c>
      <c r="AL106" t="s">
        <v>8074</v>
      </c>
    </row>
    <row r="107" spans="1:38">
      <c r="A107" t="s">
        <v>2745</v>
      </c>
      <c r="B107" t="s">
        <v>7280</v>
      </c>
      <c r="C107" t="s">
        <v>2452</v>
      </c>
      <c r="D107" t="s">
        <v>2453</v>
      </c>
      <c r="E107" s="2">
        <v>20000</v>
      </c>
      <c r="F107" s="2">
        <v>20000</v>
      </c>
      <c r="G107" s="3">
        <v>43275</v>
      </c>
      <c r="H107" s="4">
        <v>7.5416666666670004E-2</v>
      </c>
      <c r="I107" s="3">
        <v>43275</v>
      </c>
      <c r="J107" s="4">
        <v>0.56590277777777998</v>
      </c>
      <c r="K107" s="2">
        <v>0</v>
      </c>
      <c r="L107" t="s">
        <v>0</v>
      </c>
      <c r="M107" t="s">
        <v>2749</v>
      </c>
      <c r="N107" s="3">
        <v>43280</v>
      </c>
      <c r="O107" s="3">
        <v>43277</v>
      </c>
      <c r="P107" t="s">
        <v>2435</v>
      </c>
      <c r="Q107" t="s">
        <v>1</v>
      </c>
      <c r="R107" t="s">
        <v>821</v>
      </c>
      <c r="S107" s="3">
        <v>43310</v>
      </c>
      <c r="T107" t="s">
        <v>7281</v>
      </c>
      <c r="U107" t="s">
        <v>2454</v>
      </c>
      <c r="V107">
        <v>701</v>
      </c>
      <c r="W107" t="s">
        <v>2434</v>
      </c>
      <c r="X107" s="2">
        <v>1699</v>
      </c>
      <c r="Y107" t="s">
        <v>2</v>
      </c>
      <c r="Z107" t="s">
        <v>3</v>
      </c>
      <c r="AA107" s="5">
        <v>0</v>
      </c>
      <c r="AB107" t="s">
        <v>17</v>
      </c>
      <c r="AL107" t="s">
        <v>8075</v>
      </c>
    </row>
    <row r="108" spans="1:38">
      <c r="A108" t="s">
        <v>2745</v>
      </c>
      <c r="B108" t="s">
        <v>7282</v>
      </c>
      <c r="C108" t="s">
        <v>2452</v>
      </c>
      <c r="D108" t="s">
        <v>2453</v>
      </c>
      <c r="E108" s="2">
        <v>20000</v>
      </c>
      <c r="F108" s="2">
        <v>20000</v>
      </c>
      <c r="G108" s="3">
        <v>43275</v>
      </c>
      <c r="H108" s="4">
        <v>0.58673611111111001</v>
      </c>
      <c r="I108" s="3">
        <v>43276</v>
      </c>
      <c r="J108" s="4">
        <v>7.7222222222219999E-2</v>
      </c>
      <c r="K108" s="2">
        <v>0</v>
      </c>
      <c r="L108" t="s">
        <v>0</v>
      </c>
      <c r="M108" t="s">
        <v>2749</v>
      </c>
      <c r="N108" s="3">
        <v>43280</v>
      </c>
      <c r="O108" s="3">
        <v>43278</v>
      </c>
      <c r="P108" t="s">
        <v>2435</v>
      </c>
      <c r="Q108" t="s">
        <v>1</v>
      </c>
      <c r="R108" t="s">
        <v>821</v>
      </c>
      <c r="S108" s="3">
        <v>43313</v>
      </c>
      <c r="T108" t="s">
        <v>7283</v>
      </c>
      <c r="U108" t="s">
        <v>2454</v>
      </c>
      <c r="V108">
        <v>701</v>
      </c>
      <c r="W108" t="s">
        <v>2434</v>
      </c>
      <c r="X108" s="2">
        <v>1699</v>
      </c>
      <c r="Y108" t="s">
        <v>2</v>
      </c>
      <c r="Z108" t="s">
        <v>3</v>
      </c>
      <c r="AA108" s="5">
        <v>0</v>
      </c>
      <c r="AB108" t="s">
        <v>17</v>
      </c>
      <c r="AL108" t="s">
        <v>8076</v>
      </c>
    </row>
    <row r="109" spans="1:38">
      <c r="A109" t="s">
        <v>2745</v>
      </c>
      <c r="B109" t="s">
        <v>7284</v>
      </c>
      <c r="C109" t="s">
        <v>2452</v>
      </c>
      <c r="D109" t="s">
        <v>2453</v>
      </c>
      <c r="E109" s="2">
        <v>20000</v>
      </c>
      <c r="F109" s="2">
        <v>20000</v>
      </c>
      <c r="G109" s="3">
        <v>43276</v>
      </c>
      <c r="H109" s="4">
        <v>9.8055555555560003E-2</v>
      </c>
      <c r="I109" s="3">
        <v>43276</v>
      </c>
      <c r="J109" s="4">
        <v>0.58854166666666996</v>
      </c>
      <c r="K109" s="2">
        <v>0</v>
      </c>
      <c r="L109" t="s">
        <v>0</v>
      </c>
      <c r="M109" t="s">
        <v>2749</v>
      </c>
      <c r="N109" s="3">
        <v>43282</v>
      </c>
      <c r="O109" s="3">
        <v>43278</v>
      </c>
      <c r="P109" t="s">
        <v>2435</v>
      </c>
      <c r="Q109" t="s">
        <v>1</v>
      </c>
      <c r="R109" t="s">
        <v>821</v>
      </c>
      <c r="S109" s="3">
        <v>43313</v>
      </c>
      <c r="T109" t="s">
        <v>7285</v>
      </c>
      <c r="U109" t="s">
        <v>2454</v>
      </c>
      <c r="V109">
        <v>701</v>
      </c>
      <c r="W109" t="s">
        <v>2434</v>
      </c>
      <c r="X109" s="2">
        <v>1699</v>
      </c>
      <c r="Y109" t="s">
        <v>2</v>
      </c>
      <c r="Z109" t="s">
        <v>3</v>
      </c>
      <c r="AA109" s="5">
        <v>0</v>
      </c>
      <c r="AB109" t="s">
        <v>17</v>
      </c>
      <c r="AL109" t="s">
        <v>8077</v>
      </c>
    </row>
    <row r="110" spans="1:38">
      <c r="A110" t="s">
        <v>2745</v>
      </c>
      <c r="B110" t="s">
        <v>7286</v>
      </c>
      <c r="C110" t="s">
        <v>2452</v>
      </c>
      <c r="D110" t="s">
        <v>2453</v>
      </c>
      <c r="E110" s="2">
        <v>20000</v>
      </c>
      <c r="F110" s="2">
        <v>20000</v>
      </c>
      <c r="G110" s="3">
        <v>43276</v>
      </c>
      <c r="H110" s="4">
        <v>0.609375</v>
      </c>
      <c r="I110" s="3">
        <v>43277</v>
      </c>
      <c r="J110" s="4">
        <v>9.9861111111109999E-2</v>
      </c>
      <c r="K110" s="2">
        <v>0</v>
      </c>
      <c r="L110" t="s">
        <v>0</v>
      </c>
      <c r="M110" t="s">
        <v>2749</v>
      </c>
      <c r="N110" s="3">
        <v>43282</v>
      </c>
      <c r="O110" s="3">
        <v>43279</v>
      </c>
      <c r="P110" t="s">
        <v>2435</v>
      </c>
      <c r="Q110" t="s">
        <v>1</v>
      </c>
      <c r="R110" t="s">
        <v>821</v>
      </c>
      <c r="S110" s="3">
        <v>43313</v>
      </c>
      <c r="T110" t="s">
        <v>7287</v>
      </c>
      <c r="U110" t="s">
        <v>2454</v>
      </c>
      <c r="V110">
        <v>701</v>
      </c>
      <c r="W110" t="s">
        <v>2434</v>
      </c>
      <c r="X110" s="2">
        <v>1699</v>
      </c>
      <c r="Y110" t="s">
        <v>2</v>
      </c>
      <c r="Z110" t="s">
        <v>3</v>
      </c>
      <c r="AA110" s="5">
        <v>0</v>
      </c>
      <c r="AB110" t="s">
        <v>17</v>
      </c>
      <c r="AL110" t="s">
        <v>8078</v>
      </c>
    </row>
    <row r="111" spans="1:38">
      <c r="A111" t="s">
        <v>2745</v>
      </c>
      <c r="B111" t="s">
        <v>5025</v>
      </c>
      <c r="C111" t="s">
        <v>2746</v>
      </c>
      <c r="D111" t="s">
        <v>2747</v>
      </c>
      <c r="E111" s="2">
        <v>20190</v>
      </c>
      <c r="F111" s="2">
        <v>20190</v>
      </c>
      <c r="G111" s="3">
        <v>43277</v>
      </c>
      <c r="H111" s="4">
        <v>0.12069444444444</v>
      </c>
      <c r="I111" s="3">
        <v>43277</v>
      </c>
      <c r="J111" s="4">
        <v>0.61583333333333001</v>
      </c>
      <c r="K111" s="2">
        <v>0</v>
      </c>
      <c r="L111" t="s">
        <v>0</v>
      </c>
      <c r="M111" t="s">
        <v>2748</v>
      </c>
      <c r="N111" s="3"/>
      <c r="O111" s="3">
        <v>43279</v>
      </c>
      <c r="P111" t="s">
        <v>2435</v>
      </c>
      <c r="Q111" t="s">
        <v>2750</v>
      </c>
      <c r="R111" t="s">
        <v>820</v>
      </c>
      <c r="S111" s="3">
        <v>43319</v>
      </c>
      <c r="T111" t="s">
        <v>7288</v>
      </c>
      <c r="U111" t="s">
        <v>2595</v>
      </c>
      <c r="V111">
        <v>7001</v>
      </c>
      <c r="W111" t="s">
        <v>2434</v>
      </c>
      <c r="X111" s="2">
        <v>1699</v>
      </c>
      <c r="Y111" t="s">
        <v>2</v>
      </c>
      <c r="Z111" t="s">
        <v>3</v>
      </c>
      <c r="AA111" s="5">
        <v>0</v>
      </c>
      <c r="AB111" t="s">
        <v>4</v>
      </c>
      <c r="AL111" t="s">
        <v>8079</v>
      </c>
    </row>
    <row r="112" spans="1:38">
      <c r="A112" t="s">
        <v>2745</v>
      </c>
      <c r="B112" t="s">
        <v>5027</v>
      </c>
      <c r="C112" t="s">
        <v>2746</v>
      </c>
      <c r="D112" t="s">
        <v>2747</v>
      </c>
      <c r="E112" s="2">
        <v>20190</v>
      </c>
      <c r="F112" s="2">
        <v>20190</v>
      </c>
      <c r="G112" s="3">
        <v>43277</v>
      </c>
      <c r="H112" s="4">
        <v>0.63666666666667004</v>
      </c>
      <c r="I112" s="3">
        <v>43278</v>
      </c>
      <c r="J112" s="4">
        <v>0.13180555555556001</v>
      </c>
      <c r="K112" s="2">
        <v>0</v>
      </c>
      <c r="L112" t="s">
        <v>0</v>
      </c>
      <c r="M112" t="s">
        <v>2748</v>
      </c>
      <c r="N112" s="3"/>
      <c r="O112" s="3">
        <v>43280</v>
      </c>
      <c r="P112" t="s">
        <v>2435</v>
      </c>
      <c r="Q112" t="s">
        <v>2750</v>
      </c>
      <c r="R112" t="s">
        <v>822</v>
      </c>
      <c r="S112" s="3">
        <v>43319</v>
      </c>
      <c r="T112" t="s">
        <v>7289</v>
      </c>
      <c r="U112" t="s">
        <v>2595</v>
      </c>
      <c r="V112">
        <v>7001</v>
      </c>
      <c r="W112" t="s">
        <v>2434</v>
      </c>
      <c r="X112" s="2">
        <v>1699</v>
      </c>
      <c r="Y112" t="s">
        <v>2</v>
      </c>
      <c r="Z112" t="s">
        <v>3</v>
      </c>
      <c r="AA112" s="5">
        <v>0</v>
      </c>
      <c r="AB112" t="s">
        <v>4</v>
      </c>
      <c r="AL112" t="s">
        <v>8080</v>
      </c>
    </row>
    <row r="113" spans="1:38">
      <c r="A113" t="s">
        <v>2745</v>
      </c>
      <c r="B113" t="s">
        <v>2767</v>
      </c>
      <c r="C113" t="s">
        <v>2459</v>
      </c>
      <c r="D113" t="s">
        <v>2460</v>
      </c>
      <c r="E113" s="2">
        <v>20000</v>
      </c>
      <c r="F113" s="2">
        <v>20000</v>
      </c>
      <c r="G113" s="3">
        <v>43278</v>
      </c>
      <c r="H113" s="4">
        <v>0.15263888888888999</v>
      </c>
      <c r="I113" s="3">
        <v>43278</v>
      </c>
      <c r="J113" s="4">
        <v>0.64312499999999995</v>
      </c>
      <c r="K113" s="2">
        <v>0</v>
      </c>
      <c r="L113" t="s">
        <v>0</v>
      </c>
      <c r="M113" t="s">
        <v>2749</v>
      </c>
      <c r="N113" s="3"/>
      <c r="O113" s="3">
        <v>43280</v>
      </c>
      <c r="P113" t="s">
        <v>2435</v>
      </c>
      <c r="Q113" t="s">
        <v>4996</v>
      </c>
      <c r="R113" t="s">
        <v>820</v>
      </c>
      <c r="S113" s="3">
        <v>43305</v>
      </c>
      <c r="T113" t="s">
        <v>7290</v>
      </c>
      <c r="U113" t="s">
        <v>2462</v>
      </c>
      <c r="V113">
        <v>701</v>
      </c>
      <c r="W113" t="s">
        <v>2434</v>
      </c>
      <c r="X113" s="2">
        <v>1699</v>
      </c>
      <c r="Y113" t="s">
        <v>2</v>
      </c>
      <c r="Z113" t="s">
        <v>3</v>
      </c>
      <c r="AA113" s="5">
        <v>0</v>
      </c>
      <c r="AB113" t="s">
        <v>17</v>
      </c>
      <c r="AL113" t="s">
        <v>8081</v>
      </c>
    </row>
    <row r="114" spans="1:38">
      <c r="A114" t="s">
        <v>2745</v>
      </c>
      <c r="B114" t="s">
        <v>7291</v>
      </c>
      <c r="C114" t="s">
        <v>2459</v>
      </c>
      <c r="D114" t="s">
        <v>2460</v>
      </c>
      <c r="E114" s="2">
        <v>20000</v>
      </c>
      <c r="F114" s="2">
        <v>20000</v>
      </c>
      <c r="G114" s="3">
        <v>43278</v>
      </c>
      <c r="H114" s="4">
        <v>0.66395833333332999</v>
      </c>
      <c r="I114" s="3">
        <v>43279</v>
      </c>
      <c r="J114" s="4">
        <v>0.15444444444444</v>
      </c>
      <c r="K114" s="2">
        <v>0</v>
      </c>
      <c r="L114" t="s">
        <v>0</v>
      </c>
      <c r="M114" t="s">
        <v>2749</v>
      </c>
      <c r="N114" s="3"/>
      <c r="O114" s="3">
        <v>43281</v>
      </c>
      <c r="P114" t="s">
        <v>2435</v>
      </c>
      <c r="Q114" t="s">
        <v>2758</v>
      </c>
      <c r="R114" t="s">
        <v>820</v>
      </c>
      <c r="S114" s="3">
        <v>43312</v>
      </c>
      <c r="T114" t="s">
        <v>7292</v>
      </c>
      <c r="U114" t="s">
        <v>2462</v>
      </c>
      <c r="V114">
        <v>701</v>
      </c>
      <c r="W114" t="s">
        <v>2434</v>
      </c>
      <c r="X114" s="2">
        <v>1699</v>
      </c>
      <c r="Y114" t="s">
        <v>2</v>
      </c>
      <c r="Z114" t="s">
        <v>3</v>
      </c>
      <c r="AA114" s="5">
        <v>0</v>
      </c>
      <c r="AB114" t="s">
        <v>17</v>
      </c>
      <c r="AL114" t="s">
        <v>8082</v>
      </c>
    </row>
    <row r="115" spans="1:38">
      <c r="A115" t="s">
        <v>2745</v>
      </c>
      <c r="B115" t="s">
        <v>2778</v>
      </c>
      <c r="C115" t="s">
        <v>2459</v>
      </c>
      <c r="D115" t="s">
        <v>2460</v>
      </c>
      <c r="E115" s="2">
        <v>20000</v>
      </c>
      <c r="F115" s="2">
        <v>20000</v>
      </c>
      <c r="G115" s="3">
        <v>43279</v>
      </c>
      <c r="H115" s="4">
        <v>0.50951388888889004</v>
      </c>
      <c r="I115" s="3">
        <v>43280</v>
      </c>
      <c r="J115" s="4">
        <v>0</v>
      </c>
      <c r="K115" s="2">
        <v>0</v>
      </c>
      <c r="L115" t="s">
        <v>0</v>
      </c>
      <c r="M115" t="s">
        <v>2749</v>
      </c>
      <c r="N115" s="3"/>
      <c r="O115" s="3">
        <v>43281</v>
      </c>
      <c r="P115" t="s">
        <v>2435</v>
      </c>
      <c r="Q115" t="s">
        <v>1</v>
      </c>
      <c r="R115" t="s">
        <v>821</v>
      </c>
      <c r="S115" s="3">
        <v>43313</v>
      </c>
      <c r="T115" t="s">
        <v>1</v>
      </c>
      <c r="U115" t="s">
        <v>2462</v>
      </c>
      <c r="V115">
        <v>701</v>
      </c>
      <c r="W115" t="s">
        <v>2434</v>
      </c>
      <c r="X115" s="2">
        <v>0</v>
      </c>
      <c r="Y115" t="s">
        <v>2</v>
      </c>
      <c r="Z115" t="s">
        <v>3</v>
      </c>
      <c r="AA115" s="5">
        <v>0</v>
      </c>
      <c r="AB115" t="s">
        <v>29</v>
      </c>
      <c r="AL115" t="s">
        <v>8083</v>
      </c>
    </row>
    <row r="116" spans="1:38">
      <c r="A116" t="s">
        <v>2745</v>
      </c>
      <c r="B116" t="s">
        <v>2766</v>
      </c>
      <c r="C116" t="s">
        <v>2459</v>
      </c>
      <c r="D116" t="s">
        <v>2460</v>
      </c>
      <c r="E116" s="2">
        <v>20000</v>
      </c>
      <c r="F116" s="2">
        <v>20000</v>
      </c>
      <c r="G116" s="3">
        <v>43279</v>
      </c>
      <c r="H116" s="4">
        <v>0.50951388888889004</v>
      </c>
      <c r="I116" s="3">
        <v>43280</v>
      </c>
      <c r="J116" s="4">
        <v>0</v>
      </c>
      <c r="K116" s="2">
        <v>0</v>
      </c>
      <c r="L116" t="s">
        <v>0</v>
      </c>
      <c r="M116" t="s">
        <v>2749</v>
      </c>
      <c r="N116" s="3"/>
      <c r="O116" s="3">
        <v>43281</v>
      </c>
      <c r="P116" t="s">
        <v>2435</v>
      </c>
      <c r="Q116" t="s">
        <v>2768</v>
      </c>
      <c r="R116" t="s">
        <v>820</v>
      </c>
      <c r="S116" s="3">
        <v>43318</v>
      </c>
      <c r="T116" t="s">
        <v>1</v>
      </c>
      <c r="U116" t="s">
        <v>2462</v>
      </c>
      <c r="V116">
        <v>701</v>
      </c>
      <c r="W116" t="s">
        <v>2434</v>
      </c>
      <c r="X116" s="2">
        <v>0</v>
      </c>
      <c r="Y116" t="s">
        <v>2</v>
      </c>
      <c r="Z116" t="s">
        <v>3</v>
      </c>
      <c r="AA116" s="5">
        <v>0</v>
      </c>
      <c r="AB116" t="s">
        <v>29</v>
      </c>
      <c r="AL116" t="s">
        <v>8084</v>
      </c>
    </row>
    <row r="117" spans="1:38">
      <c r="A117" t="s">
        <v>2745</v>
      </c>
      <c r="B117" t="s">
        <v>2774</v>
      </c>
      <c r="C117" t="s">
        <v>2770</v>
      </c>
      <c r="D117" t="s">
        <v>2771</v>
      </c>
      <c r="E117" s="2">
        <v>20000</v>
      </c>
      <c r="F117" s="2">
        <v>20000</v>
      </c>
      <c r="G117" s="3">
        <v>43280</v>
      </c>
      <c r="H117" s="4">
        <v>0.50951388888889004</v>
      </c>
      <c r="I117" s="3">
        <v>43281</v>
      </c>
      <c r="J117" s="4">
        <v>0</v>
      </c>
      <c r="K117" s="2">
        <v>0</v>
      </c>
      <c r="L117" t="s">
        <v>0</v>
      </c>
      <c r="M117" t="s">
        <v>2749</v>
      </c>
      <c r="N117" s="3"/>
      <c r="O117" s="3">
        <v>43282</v>
      </c>
      <c r="P117" t="s">
        <v>2435</v>
      </c>
      <c r="Q117" t="s">
        <v>2775</v>
      </c>
      <c r="R117" t="s">
        <v>820</v>
      </c>
      <c r="S117" s="3">
        <v>43318</v>
      </c>
      <c r="T117" t="s">
        <v>1</v>
      </c>
      <c r="U117" t="s">
        <v>2773</v>
      </c>
      <c r="V117">
        <v>701</v>
      </c>
      <c r="W117" t="s">
        <v>2434</v>
      </c>
      <c r="X117" s="2">
        <v>0</v>
      </c>
      <c r="Y117" t="s">
        <v>2</v>
      </c>
      <c r="Z117" t="s">
        <v>3</v>
      </c>
      <c r="AA117" s="5">
        <v>0</v>
      </c>
      <c r="AB117" t="s">
        <v>29</v>
      </c>
      <c r="AL117" t="s">
        <v>8085</v>
      </c>
    </row>
    <row r="118" spans="1:38">
      <c r="A118" t="s">
        <v>2745</v>
      </c>
      <c r="B118" t="s">
        <v>2779</v>
      </c>
      <c r="C118" t="s">
        <v>2459</v>
      </c>
      <c r="D118" t="s">
        <v>2460</v>
      </c>
      <c r="E118" s="2">
        <v>20000</v>
      </c>
      <c r="F118" s="2">
        <v>20000</v>
      </c>
      <c r="G118" s="3">
        <v>43280</v>
      </c>
      <c r="H118" s="4">
        <v>0.50951388888889004</v>
      </c>
      <c r="I118" s="3">
        <v>43281</v>
      </c>
      <c r="J118" s="4">
        <v>0</v>
      </c>
      <c r="K118" s="2">
        <v>0</v>
      </c>
      <c r="L118" t="s">
        <v>0</v>
      </c>
      <c r="M118" t="s">
        <v>2749</v>
      </c>
      <c r="N118" s="3"/>
      <c r="O118" s="3">
        <v>43282</v>
      </c>
      <c r="P118" t="s">
        <v>2435</v>
      </c>
      <c r="Q118" t="s">
        <v>5031</v>
      </c>
      <c r="R118" t="s">
        <v>820</v>
      </c>
      <c r="S118" s="3">
        <v>43333</v>
      </c>
      <c r="T118" t="s">
        <v>1</v>
      </c>
      <c r="U118" t="s">
        <v>2462</v>
      </c>
      <c r="V118">
        <v>701</v>
      </c>
      <c r="W118" t="s">
        <v>2434</v>
      </c>
      <c r="X118" s="2">
        <v>0</v>
      </c>
      <c r="Y118" t="s">
        <v>2</v>
      </c>
      <c r="Z118" t="s">
        <v>3</v>
      </c>
      <c r="AA118" s="5">
        <v>0</v>
      </c>
      <c r="AB118" t="s">
        <v>29</v>
      </c>
      <c r="AL118" t="s">
        <v>8086</v>
      </c>
    </row>
    <row r="119" spans="1:38">
      <c r="A119" t="s">
        <v>2745</v>
      </c>
      <c r="B119" t="s">
        <v>2769</v>
      </c>
      <c r="C119" t="s">
        <v>2770</v>
      </c>
      <c r="D119" t="s">
        <v>2771</v>
      </c>
      <c r="E119" s="2">
        <v>20000</v>
      </c>
      <c r="F119" s="2">
        <v>20000</v>
      </c>
      <c r="G119" s="3">
        <v>43281</v>
      </c>
      <c r="H119" s="4">
        <v>0.50952546296295997</v>
      </c>
      <c r="I119" s="3">
        <v>43287</v>
      </c>
      <c r="J119" s="4">
        <v>0</v>
      </c>
      <c r="K119" s="2">
        <v>0</v>
      </c>
      <c r="L119" t="s">
        <v>0</v>
      </c>
      <c r="M119" t="s">
        <v>2749</v>
      </c>
      <c r="N119" s="3"/>
      <c r="O119" s="3">
        <v>43288</v>
      </c>
      <c r="P119" t="s">
        <v>2435</v>
      </c>
      <c r="Q119" t="s">
        <v>1</v>
      </c>
      <c r="R119" t="s">
        <v>821</v>
      </c>
      <c r="S119" s="3">
        <v>43320</v>
      </c>
      <c r="T119" t="s">
        <v>1</v>
      </c>
      <c r="U119" t="s">
        <v>2773</v>
      </c>
      <c r="V119">
        <v>701</v>
      </c>
      <c r="W119" t="s">
        <v>2434</v>
      </c>
      <c r="X119" s="2">
        <v>0</v>
      </c>
      <c r="Y119" t="s">
        <v>2</v>
      </c>
      <c r="Z119" t="s">
        <v>3</v>
      </c>
      <c r="AA119" s="5">
        <v>0</v>
      </c>
      <c r="AB119" t="s">
        <v>29</v>
      </c>
      <c r="AL119" t="s">
        <v>8087</v>
      </c>
    </row>
    <row r="120" spans="1:38">
      <c r="A120" t="s">
        <v>2745</v>
      </c>
      <c r="B120" t="s">
        <v>2776</v>
      </c>
      <c r="C120" t="s">
        <v>2770</v>
      </c>
      <c r="D120" t="s">
        <v>2771</v>
      </c>
      <c r="E120" s="2">
        <v>20000</v>
      </c>
      <c r="F120" s="2">
        <v>20000</v>
      </c>
      <c r="G120" s="3">
        <v>43287</v>
      </c>
      <c r="H120" s="4">
        <v>0.50951388888889004</v>
      </c>
      <c r="I120" s="3">
        <v>43288</v>
      </c>
      <c r="J120" s="4">
        <v>0</v>
      </c>
      <c r="K120" s="2">
        <v>0</v>
      </c>
      <c r="L120" t="s">
        <v>0</v>
      </c>
      <c r="M120" t="s">
        <v>2749</v>
      </c>
      <c r="N120" s="3"/>
      <c r="O120" s="3">
        <v>43289</v>
      </c>
      <c r="P120" t="s">
        <v>2435</v>
      </c>
      <c r="Q120" t="s">
        <v>2772</v>
      </c>
      <c r="R120" t="s">
        <v>820</v>
      </c>
      <c r="S120" s="3">
        <v>43326</v>
      </c>
      <c r="T120" t="s">
        <v>1</v>
      </c>
      <c r="U120" t="s">
        <v>2773</v>
      </c>
      <c r="V120">
        <v>701</v>
      </c>
      <c r="W120" t="s">
        <v>2434</v>
      </c>
      <c r="X120" s="2">
        <v>0</v>
      </c>
      <c r="Y120" t="s">
        <v>2</v>
      </c>
      <c r="Z120" t="s">
        <v>3</v>
      </c>
      <c r="AA120" s="5">
        <v>0</v>
      </c>
      <c r="AB120" t="s">
        <v>29</v>
      </c>
      <c r="AL120" t="s">
        <v>8088</v>
      </c>
    </row>
    <row r="121" spans="1:38">
      <c r="A121" t="s">
        <v>2745</v>
      </c>
      <c r="B121" t="s">
        <v>2782</v>
      </c>
      <c r="C121" t="s">
        <v>2770</v>
      </c>
      <c r="D121" t="s">
        <v>2771</v>
      </c>
      <c r="E121" s="2">
        <v>20000</v>
      </c>
      <c r="F121" s="2">
        <v>20000</v>
      </c>
      <c r="G121" s="3">
        <v>43288</v>
      </c>
      <c r="H121" s="4">
        <v>0.50951388888889004</v>
      </c>
      <c r="I121" s="3">
        <v>43289</v>
      </c>
      <c r="J121" s="4">
        <v>0</v>
      </c>
      <c r="K121" s="2">
        <v>0</v>
      </c>
      <c r="L121" t="s">
        <v>0</v>
      </c>
      <c r="M121" t="s">
        <v>2749</v>
      </c>
      <c r="N121" s="3"/>
      <c r="O121" s="3">
        <v>43290</v>
      </c>
      <c r="P121" t="s">
        <v>2435</v>
      </c>
      <c r="Q121" t="s">
        <v>1</v>
      </c>
      <c r="R121" t="s">
        <v>821</v>
      </c>
      <c r="S121" s="3">
        <v>43344</v>
      </c>
      <c r="T121" t="s">
        <v>1</v>
      </c>
      <c r="U121" t="s">
        <v>2773</v>
      </c>
      <c r="V121">
        <v>701</v>
      </c>
      <c r="W121" t="s">
        <v>2434</v>
      </c>
      <c r="X121" s="2">
        <v>0</v>
      </c>
      <c r="Y121" t="s">
        <v>2</v>
      </c>
      <c r="Z121" t="s">
        <v>3</v>
      </c>
      <c r="AA121" s="5">
        <v>0</v>
      </c>
      <c r="AB121" t="s">
        <v>29</v>
      </c>
      <c r="AL121" t="s">
        <v>8089</v>
      </c>
    </row>
    <row r="122" spans="1:38">
      <c r="A122" t="s">
        <v>2745</v>
      </c>
      <c r="B122" t="s">
        <v>2777</v>
      </c>
      <c r="C122" t="s">
        <v>2770</v>
      </c>
      <c r="D122" t="s">
        <v>2771</v>
      </c>
      <c r="E122" s="2">
        <v>20000</v>
      </c>
      <c r="F122" s="2">
        <v>20000</v>
      </c>
      <c r="G122" s="3">
        <v>43288</v>
      </c>
      <c r="H122" s="4">
        <v>0.50951388888889004</v>
      </c>
      <c r="I122" s="3">
        <v>43289</v>
      </c>
      <c r="J122" s="4">
        <v>0</v>
      </c>
      <c r="K122" s="2">
        <v>0</v>
      </c>
      <c r="L122" t="s">
        <v>0</v>
      </c>
      <c r="M122" t="s">
        <v>2749</v>
      </c>
      <c r="N122" s="3"/>
      <c r="O122" s="3">
        <v>43290</v>
      </c>
      <c r="P122" t="s">
        <v>2435</v>
      </c>
      <c r="Q122" t="s">
        <v>1</v>
      </c>
      <c r="R122" t="s">
        <v>821</v>
      </c>
      <c r="S122" s="3">
        <v>43344</v>
      </c>
      <c r="T122" t="s">
        <v>1</v>
      </c>
      <c r="U122" t="s">
        <v>2773</v>
      </c>
      <c r="V122">
        <v>701</v>
      </c>
      <c r="W122" t="s">
        <v>2434</v>
      </c>
      <c r="X122" s="2">
        <v>0</v>
      </c>
      <c r="Y122" t="s">
        <v>2</v>
      </c>
      <c r="Z122" t="s">
        <v>3</v>
      </c>
      <c r="AA122" s="5">
        <v>0</v>
      </c>
      <c r="AB122" t="s">
        <v>29</v>
      </c>
      <c r="AL122" t="s">
        <v>8090</v>
      </c>
    </row>
    <row r="123" spans="1:38">
      <c r="A123" t="s">
        <v>2745</v>
      </c>
      <c r="B123" t="s">
        <v>2780</v>
      </c>
      <c r="C123" t="s">
        <v>2459</v>
      </c>
      <c r="D123" t="s">
        <v>2460</v>
      </c>
      <c r="E123" s="2">
        <v>20000</v>
      </c>
      <c r="F123" s="2">
        <v>20000</v>
      </c>
      <c r="G123" s="3">
        <v>43289</v>
      </c>
      <c r="H123" s="4">
        <v>0.50951388888889004</v>
      </c>
      <c r="I123" s="3">
        <v>43290</v>
      </c>
      <c r="J123" s="4">
        <v>0</v>
      </c>
      <c r="K123" s="2">
        <v>0</v>
      </c>
      <c r="L123" t="s">
        <v>0</v>
      </c>
      <c r="M123" t="s">
        <v>2749</v>
      </c>
      <c r="N123" s="3"/>
      <c r="O123" s="3">
        <v>43291</v>
      </c>
      <c r="P123" t="s">
        <v>2435</v>
      </c>
      <c r="Q123" t="s">
        <v>1</v>
      </c>
      <c r="R123" t="s">
        <v>821</v>
      </c>
      <c r="S123" s="3">
        <v>43344</v>
      </c>
      <c r="T123" t="s">
        <v>1</v>
      </c>
      <c r="U123" t="s">
        <v>2462</v>
      </c>
      <c r="V123">
        <v>701</v>
      </c>
      <c r="W123" t="s">
        <v>2434</v>
      </c>
      <c r="X123" s="2">
        <v>0</v>
      </c>
      <c r="Y123" t="s">
        <v>2</v>
      </c>
      <c r="Z123" t="s">
        <v>3</v>
      </c>
      <c r="AA123" s="5">
        <v>0</v>
      </c>
      <c r="AB123" t="s">
        <v>29</v>
      </c>
      <c r="AL123" t="s">
        <v>8091</v>
      </c>
    </row>
    <row r="124" spans="1:38">
      <c r="A124" t="s">
        <v>2745</v>
      </c>
      <c r="B124" t="s">
        <v>2781</v>
      </c>
      <c r="C124" t="s">
        <v>2459</v>
      </c>
      <c r="D124" t="s">
        <v>2460</v>
      </c>
      <c r="E124" s="2">
        <v>20000</v>
      </c>
      <c r="F124" s="2">
        <v>20000</v>
      </c>
      <c r="G124" s="3">
        <v>43289</v>
      </c>
      <c r="H124" s="4">
        <v>0.50951388888889004</v>
      </c>
      <c r="I124" s="3">
        <v>43290</v>
      </c>
      <c r="J124" s="4">
        <v>0</v>
      </c>
      <c r="K124" s="2">
        <v>0</v>
      </c>
      <c r="L124" t="s">
        <v>0</v>
      </c>
      <c r="M124" t="s">
        <v>2749</v>
      </c>
      <c r="N124" s="3"/>
      <c r="O124" s="3">
        <v>43291</v>
      </c>
      <c r="P124" t="s">
        <v>2435</v>
      </c>
      <c r="Q124" t="s">
        <v>1</v>
      </c>
      <c r="R124" t="s">
        <v>821</v>
      </c>
      <c r="S124" s="3">
        <v>43344</v>
      </c>
      <c r="T124" t="s">
        <v>1</v>
      </c>
      <c r="U124" t="s">
        <v>2462</v>
      </c>
      <c r="V124">
        <v>701</v>
      </c>
      <c r="W124" t="s">
        <v>2434</v>
      </c>
      <c r="X124" s="2">
        <v>0</v>
      </c>
      <c r="Y124" t="s">
        <v>2</v>
      </c>
      <c r="Z124" t="s">
        <v>3</v>
      </c>
      <c r="AA124" s="5">
        <v>0</v>
      </c>
      <c r="AB124" t="s">
        <v>29</v>
      </c>
      <c r="AL124" t="s">
        <v>8092</v>
      </c>
    </row>
    <row r="125" spans="1:38">
      <c r="A125" t="s">
        <v>2745</v>
      </c>
      <c r="B125" t="s">
        <v>2783</v>
      </c>
      <c r="C125" t="s">
        <v>2746</v>
      </c>
      <c r="D125" t="s">
        <v>2747</v>
      </c>
      <c r="E125" s="2">
        <v>20000</v>
      </c>
      <c r="F125" s="2">
        <v>20000</v>
      </c>
      <c r="G125" s="3">
        <v>43290</v>
      </c>
      <c r="H125" s="4">
        <v>0.50951388888889004</v>
      </c>
      <c r="I125" s="3">
        <v>43291</v>
      </c>
      <c r="J125" s="4">
        <v>0</v>
      </c>
      <c r="K125" s="2">
        <v>0</v>
      </c>
      <c r="L125" t="s">
        <v>0</v>
      </c>
      <c r="M125" t="s">
        <v>2749</v>
      </c>
      <c r="N125" s="3">
        <v>43293</v>
      </c>
      <c r="O125" s="3">
        <v>43292</v>
      </c>
      <c r="P125" t="s">
        <v>2435</v>
      </c>
      <c r="Q125" t="s">
        <v>1</v>
      </c>
      <c r="R125" t="s">
        <v>821</v>
      </c>
      <c r="S125" s="3">
        <v>43327</v>
      </c>
      <c r="T125" t="s">
        <v>1</v>
      </c>
      <c r="U125" t="s">
        <v>2595</v>
      </c>
      <c r="V125">
        <v>7001</v>
      </c>
      <c r="W125" t="s">
        <v>2434</v>
      </c>
      <c r="X125" s="2">
        <v>0</v>
      </c>
      <c r="Y125" t="s">
        <v>2</v>
      </c>
      <c r="Z125" t="s">
        <v>3</v>
      </c>
      <c r="AA125" s="5">
        <v>0</v>
      </c>
      <c r="AB125" t="s">
        <v>29</v>
      </c>
      <c r="AL125" t="s">
        <v>8093</v>
      </c>
    </row>
    <row r="126" spans="1:38">
      <c r="A126" t="s">
        <v>2745</v>
      </c>
      <c r="B126" t="s">
        <v>2786</v>
      </c>
      <c r="C126" t="s">
        <v>2746</v>
      </c>
      <c r="D126" t="s">
        <v>2747</v>
      </c>
      <c r="E126" s="2">
        <v>20000</v>
      </c>
      <c r="F126" s="2">
        <v>20000</v>
      </c>
      <c r="G126" s="3">
        <v>43291</v>
      </c>
      <c r="H126" s="4">
        <v>0.50951388888889004</v>
      </c>
      <c r="I126" s="3">
        <v>43292</v>
      </c>
      <c r="J126" s="4">
        <v>0</v>
      </c>
      <c r="K126" s="2">
        <v>0</v>
      </c>
      <c r="L126" t="s">
        <v>0</v>
      </c>
      <c r="M126" t="s">
        <v>2749</v>
      </c>
      <c r="N126" s="3">
        <v>43294</v>
      </c>
      <c r="O126" s="3">
        <v>43293</v>
      </c>
      <c r="P126" t="s">
        <v>2435</v>
      </c>
      <c r="Q126" t="s">
        <v>5034</v>
      </c>
      <c r="R126" t="s">
        <v>820</v>
      </c>
      <c r="S126" s="3">
        <v>43333</v>
      </c>
      <c r="T126" t="s">
        <v>1</v>
      </c>
      <c r="U126" t="s">
        <v>2595</v>
      </c>
      <c r="V126">
        <v>7001</v>
      </c>
      <c r="W126" t="s">
        <v>2434</v>
      </c>
      <c r="X126" s="2">
        <v>0</v>
      </c>
      <c r="Y126" t="s">
        <v>2</v>
      </c>
      <c r="Z126" t="s">
        <v>3</v>
      </c>
      <c r="AA126" s="5">
        <v>0</v>
      </c>
      <c r="AB126" t="s">
        <v>29</v>
      </c>
      <c r="AL126" t="s">
        <v>8094</v>
      </c>
    </row>
    <row r="127" spans="1:38">
      <c r="A127" t="s">
        <v>2745</v>
      </c>
      <c r="B127" t="s">
        <v>2784</v>
      </c>
      <c r="C127" t="s">
        <v>2746</v>
      </c>
      <c r="D127" t="s">
        <v>2747</v>
      </c>
      <c r="E127" s="2">
        <v>20000</v>
      </c>
      <c r="F127" s="2">
        <v>20000</v>
      </c>
      <c r="G127" s="3">
        <v>43291</v>
      </c>
      <c r="H127" s="4">
        <v>0.50951388888889004</v>
      </c>
      <c r="I127" s="3">
        <v>43292</v>
      </c>
      <c r="J127" s="4">
        <v>0</v>
      </c>
      <c r="K127" s="2">
        <v>0</v>
      </c>
      <c r="L127" t="s">
        <v>0</v>
      </c>
      <c r="M127" t="s">
        <v>2749</v>
      </c>
      <c r="N127" s="3">
        <v>43294</v>
      </c>
      <c r="O127" s="3">
        <v>43293</v>
      </c>
      <c r="P127" t="s">
        <v>2435</v>
      </c>
      <c r="Q127" t="s">
        <v>1</v>
      </c>
      <c r="R127" t="s">
        <v>821</v>
      </c>
      <c r="S127" s="3">
        <v>43327</v>
      </c>
      <c r="T127" t="s">
        <v>1</v>
      </c>
      <c r="U127" t="s">
        <v>2595</v>
      </c>
      <c r="V127">
        <v>7001</v>
      </c>
      <c r="W127" t="s">
        <v>2434</v>
      </c>
      <c r="X127" s="2">
        <v>0</v>
      </c>
      <c r="Y127" t="s">
        <v>2</v>
      </c>
      <c r="Z127" t="s">
        <v>3</v>
      </c>
      <c r="AA127" s="5">
        <v>0</v>
      </c>
      <c r="AB127" t="s">
        <v>29</v>
      </c>
      <c r="AL127" t="s">
        <v>8095</v>
      </c>
    </row>
    <row r="128" spans="1:38">
      <c r="A128" t="s">
        <v>2745</v>
      </c>
      <c r="B128" t="s">
        <v>2759</v>
      </c>
      <c r="C128" t="s">
        <v>2746</v>
      </c>
      <c r="D128" t="s">
        <v>2747</v>
      </c>
      <c r="E128" s="2">
        <v>20000</v>
      </c>
      <c r="F128" s="2">
        <v>20000</v>
      </c>
      <c r="G128" s="3">
        <v>43292</v>
      </c>
      <c r="H128" s="4">
        <v>0.50951388888889004</v>
      </c>
      <c r="I128" s="3">
        <v>43293</v>
      </c>
      <c r="J128" s="4">
        <v>0</v>
      </c>
      <c r="K128" s="2">
        <v>0</v>
      </c>
      <c r="L128" t="s">
        <v>0</v>
      </c>
      <c r="M128" t="s">
        <v>2749</v>
      </c>
      <c r="N128" s="3"/>
      <c r="O128" s="3">
        <v>43294</v>
      </c>
      <c r="P128" t="s">
        <v>2435</v>
      </c>
      <c r="Q128" t="s">
        <v>7293</v>
      </c>
      <c r="R128" t="s">
        <v>820</v>
      </c>
      <c r="S128" s="3">
        <v>43333</v>
      </c>
      <c r="T128" t="s">
        <v>1</v>
      </c>
      <c r="U128" t="s">
        <v>2595</v>
      </c>
      <c r="V128">
        <v>7001</v>
      </c>
      <c r="W128" t="s">
        <v>2434</v>
      </c>
      <c r="X128" s="2">
        <v>0</v>
      </c>
      <c r="Y128" t="s">
        <v>2</v>
      </c>
      <c r="Z128" t="s">
        <v>3</v>
      </c>
      <c r="AA128" s="5">
        <v>0</v>
      </c>
      <c r="AB128" t="s">
        <v>29</v>
      </c>
      <c r="AL128" t="s">
        <v>8096</v>
      </c>
    </row>
    <row r="129" spans="1:38">
      <c r="A129" t="s">
        <v>2745</v>
      </c>
      <c r="B129" t="s">
        <v>2785</v>
      </c>
      <c r="C129" t="s">
        <v>2746</v>
      </c>
      <c r="D129" t="s">
        <v>2747</v>
      </c>
      <c r="E129" s="2">
        <v>20000</v>
      </c>
      <c r="F129" s="2">
        <v>20000</v>
      </c>
      <c r="G129" s="3">
        <v>43292</v>
      </c>
      <c r="H129" s="4">
        <v>0.50951388888889004</v>
      </c>
      <c r="I129" s="3">
        <v>43293</v>
      </c>
      <c r="J129" s="4">
        <v>0</v>
      </c>
      <c r="K129" s="2">
        <v>0</v>
      </c>
      <c r="L129" t="s">
        <v>0</v>
      </c>
      <c r="M129" t="s">
        <v>2749</v>
      </c>
      <c r="N129" s="3">
        <v>43295</v>
      </c>
      <c r="O129" s="3">
        <v>43294</v>
      </c>
      <c r="P129" t="s">
        <v>2435</v>
      </c>
      <c r="Q129" t="s">
        <v>7294</v>
      </c>
      <c r="R129" t="s">
        <v>822</v>
      </c>
      <c r="S129" s="3">
        <v>43333</v>
      </c>
      <c r="T129" t="s">
        <v>1</v>
      </c>
      <c r="U129" t="s">
        <v>2595</v>
      </c>
      <c r="V129">
        <v>7001</v>
      </c>
      <c r="W129" t="s">
        <v>2434</v>
      </c>
      <c r="X129" s="2">
        <v>0</v>
      </c>
      <c r="Y129" t="s">
        <v>2</v>
      </c>
      <c r="Z129" t="s">
        <v>3</v>
      </c>
      <c r="AA129" s="5">
        <v>0</v>
      </c>
      <c r="AB129" t="s">
        <v>29</v>
      </c>
      <c r="AL129" t="s">
        <v>8097</v>
      </c>
    </row>
    <row r="130" spans="1:38">
      <c r="A130" t="s">
        <v>2745</v>
      </c>
      <c r="B130" t="s">
        <v>2760</v>
      </c>
      <c r="C130" t="s">
        <v>2746</v>
      </c>
      <c r="D130" t="s">
        <v>2747</v>
      </c>
      <c r="E130" s="2">
        <v>20000</v>
      </c>
      <c r="F130" s="2">
        <v>20000</v>
      </c>
      <c r="G130" s="3">
        <v>43293</v>
      </c>
      <c r="H130" s="4">
        <v>0.50951388888889004</v>
      </c>
      <c r="I130" s="3">
        <v>43294</v>
      </c>
      <c r="J130" s="4">
        <v>0</v>
      </c>
      <c r="K130" s="2">
        <v>0</v>
      </c>
      <c r="L130" t="s">
        <v>0</v>
      </c>
      <c r="M130" t="s">
        <v>2749</v>
      </c>
      <c r="N130" s="3"/>
      <c r="O130" s="3">
        <v>43295</v>
      </c>
      <c r="P130" t="s">
        <v>2435</v>
      </c>
      <c r="Q130" t="s">
        <v>5035</v>
      </c>
      <c r="R130" t="s">
        <v>820</v>
      </c>
      <c r="S130" s="3">
        <v>43334</v>
      </c>
      <c r="T130" t="s">
        <v>1</v>
      </c>
      <c r="U130" t="s">
        <v>2595</v>
      </c>
      <c r="V130">
        <v>7001</v>
      </c>
      <c r="W130" t="s">
        <v>2434</v>
      </c>
      <c r="X130" s="2">
        <v>0</v>
      </c>
      <c r="Y130" t="s">
        <v>2</v>
      </c>
      <c r="Z130" t="s">
        <v>3</v>
      </c>
      <c r="AA130" s="5">
        <v>0</v>
      </c>
      <c r="AB130" t="s">
        <v>29</v>
      </c>
      <c r="AL130" t="s">
        <v>8098</v>
      </c>
    </row>
    <row r="131" spans="1:38">
      <c r="A131" t="s">
        <v>2745</v>
      </c>
      <c r="B131" t="s">
        <v>2761</v>
      </c>
      <c r="C131" t="s">
        <v>2746</v>
      </c>
      <c r="D131" t="s">
        <v>2747</v>
      </c>
      <c r="E131" s="2">
        <v>20000</v>
      </c>
      <c r="F131" s="2">
        <v>20000</v>
      </c>
      <c r="G131" s="3">
        <v>43293</v>
      </c>
      <c r="H131" s="4">
        <v>0.50951388888889004</v>
      </c>
      <c r="I131" s="3">
        <v>43294</v>
      </c>
      <c r="J131" s="4">
        <v>0</v>
      </c>
      <c r="K131" s="2">
        <v>0</v>
      </c>
      <c r="L131" t="s">
        <v>0</v>
      </c>
      <c r="M131" t="s">
        <v>2749</v>
      </c>
      <c r="N131" s="3"/>
      <c r="O131" s="3">
        <v>43295</v>
      </c>
      <c r="P131" t="s">
        <v>2435</v>
      </c>
      <c r="Q131" t="s">
        <v>2787</v>
      </c>
      <c r="R131" t="s">
        <v>820</v>
      </c>
      <c r="S131" s="3">
        <v>43334</v>
      </c>
      <c r="T131" t="s">
        <v>1</v>
      </c>
      <c r="U131" t="s">
        <v>2595</v>
      </c>
      <c r="V131">
        <v>7001</v>
      </c>
      <c r="W131" t="s">
        <v>2434</v>
      </c>
      <c r="X131" s="2">
        <v>0</v>
      </c>
      <c r="Y131" t="s">
        <v>2</v>
      </c>
      <c r="Z131" t="s">
        <v>3</v>
      </c>
      <c r="AA131" s="5">
        <v>0</v>
      </c>
      <c r="AB131" t="s">
        <v>29</v>
      </c>
      <c r="AL131" t="s">
        <v>8099</v>
      </c>
    </row>
    <row r="132" spans="1:38">
      <c r="A132" t="s">
        <v>2745</v>
      </c>
      <c r="B132" t="s">
        <v>2762</v>
      </c>
      <c r="C132" t="s">
        <v>2746</v>
      </c>
      <c r="D132" t="s">
        <v>2747</v>
      </c>
      <c r="E132" s="2">
        <v>20000</v>
      </c>
      <c r="F132" s="2">
        <v>20000</v>
      </c>
      <c r="G132" s="3">
        <v>43294</v>
      </c>
      <c r="H132" s="4">
        <v>0.50951388888889004</v>
      </c>
      <c r="I132" s="3">
        <v>43295</v>
      </c>
      <c r="J132" s="4">
        <v>0</v>
      </c>
      <c r="K132" s="2">
        <v>0</v>
      </c>
      <c r="L132" t="s">
        <v>0</v>
      </c>
      <c r="M132" t="s">
        <v>2749</v>
      </c>
      <c r="N132" s="3"/>
      <c r="O132" s="3">
        <v>43296</v>
      </c>
      <c r="P132" t="s">
        <v>2435</v>
      </c>
      <c r="Q132" t="s">
        <v>2787</v>
      </c>
      <c r="R132" t="s">
        <v>820</v>
      </c>
      <c r="S132" s="3">
        <v>43334</v>
      </c>
      <c r="T132" t="s">
        <v>1</v>
      </c>
      <c r="U132" t="s">
        <v>2595</v>
      </c>
      <c r="V132">
        <v>7001</v>
      </c>
      <c r="W132" t="s">
        <v>2434</v>
      </c>
      <c r="X132" s="2">
        <v>0</v>
      </c>
      <c r="Y132" t="s">
        <v>2</v>
      </c>
      <c r="Z132" t="s">
        <v>3</v>
      </c>
      <c r="AA132" s="5">
        <v>0</v>
      </c>
      <c r="AB132" t="s">
        <v>29</v>
      </c>
      <c r="AL132" t="s">
        <v>8100</v>
      </c>
    </row>
    <row r="133" spans="1:38">
      <c r="A133" t="s">
        <v>2745</v>
      </c>
      <c r="B133" t="s">
        <v>2764</v>
      </c>
      <c r="C133" t="s">
        <v>2746</v>
      </c>
      <c r="D133" t="s">
        <v>2747</v>
      </c>
      <c r="E133" s="2">
        <v>20000</v>
      </c>
      <c r="F133" s="2">
        <v>20000</v>
      </c>
      <c r="G133" s="3">
        <v>43294</v>
      </c>
      <c r="H133" s="4">
        <v>0.50951388888889004</v>
      </c>
      <c r="I133" s="3">
        <v>43295</v>
      </c>
      <c r="J133" s="4">
        <v>0</v>
      </c>
      <c r="K133" s="2">
        <v>0</v>
      </c>
      <c r="L133" t="s">
        <v>0</v>
      </c>
      <c r="M133" t="s">
        <v>2749</v>
      </c>
      <c r="N133" s="3"/>
      <c r="O133" s="3">
        <v>43296</v>
      </c>
      <c r="P133" t="s">
        <v>2435</v>
      </c>
      <c r="Q133" t="s">
        <v>2787</v>
      </c>
      <c r="R133" t="s">
        <v>822</v>
      </c>
      <c r="S133" s="3">
        <v>43334</v>
      </c>
      <c r="T133" t="s">
        <v>1</v>
      </c>
      <c r="U133" t="s">
        <v>2595</v>
      </c>
      <c r="V133">
        <v>7001</v>
      </c>
      <c r="W133" t="s">
        <v>2434</v>
      </c>
      <c r="X133" s="2">
        <v>0</v>
      </c>
      <c r="Y133" t="s">
        <v>2</v>
      </c>
      <c r="Z133" t="s">
        <v>3</v>
      </c>
      <c r="AA133" s="5">
        <v>0</v>
      </c>
      <c r="AB133" t="s">
        <v>29</v>
      </c>
      <c r="AL133" t="s">
        <v>8101</v>
      </c>
    </row>
    <row r="134" spans="1:38">
      <c r="A134" t="s">
        <v>2745</v>
      </c>
      <c r="B134" t="s">
        <v>2753</v>
      </c>
      <c r="C134" t="s">
        <v>2746</v>
      </c>
      <c r="D134" t="s">
        <v>2747</v>
      </c>
      <c r="E134" s="2">
        <v>20000</v>
      </c>
      <c r="F134" s="2">
        <v>20000</v>
      </c>
      <c r="G134" s="3">
        <v>43295</v>
      </c>
      <c r="H134" s="4">
        <v>0.50951388888889004</v>
      </c>
      <c r="I134" s="3">
        <v>43296</v>
      </c>
      <c r="J134" s="4">
        <v>0</v>
      </c>
      <c r="K134" s="2">
        <v>0</v>
      </c>
      <c r="L134" t="s">
        <v>0</v>
      </c>
      <c r="M134" t="s">
        <v>2749</v>
      </c>
      <c r="N134" s="3"/>
      <c r="O134" s="3">
        <v>43297</v>
      </c>
      <c r="P134" t="s">
        <v>2435</v>
      </c>
      <c r="Q134" t="s">
        <v>5036</v>
      </c>
      <c r="R134" t="s">
        <v>820</v>
      </c>
      <c r="S134" s="3">
        <v>43335</v>
      </c>
      <c r="T134" t="s">
        <v>1</v>
      </c>
      <c r="U134" t="s">
        <v>2595</v>
      </c>
      <c r="V134">
        <v>7001</v>
      </c>
      <c r="W134" t="s">
        <v>2434</v>
      </c>
      <c r="X134" s="2">
        <v>0</v>
      </c>
      <c r="Y134" t="s">
        <v>2</v>
      </c>
      <c r="Z134" t="s">
        <v>3</v>
      </c>
      <c r="AA134" s="5">
        <v>0</v>
      </c>
      <c r="AB134" t="s">
        <v>29</v>
      </c>
      <c r="AL134" t="s">
        <v>8102</v>
      </c>
    </row>
    <row r="135" spans="1:38">
      <c r="A135" t="s">
        <v>2745</v>
      </c>
      <c r="B135" t="s">
        <v>2751</v>
      </c>
      <c r="C135" t="s">
        <v>2746</v>
      </c>
      <c r="D135" t="s">
        <v>2747</v>
      </c>
      <c r="E135" s="2">
        <v>20000</v>
      </c>
      <c r="F135" s="2">
        <v>20000</v>
      </c>
      <c r="G135" s="3">
        <v>43295</v>
      </c>
      <c r="H135" s="4">
        <v>0.50951388888889004</v>
      </c>
      <c r="I135" s="3">
        <v>43296</v>
      </c>
      <c r="J135" s="4">
        <v>0</v>
      </c>
      <c r="K135" s="2">
        <v>0</v>
      </c>
      <c r="L135" t="s">
        <v>0</v>
      </c>
      <c r="M135" t="s">
        <v>2749</v>
      </c>
      <c r="N135" s="3"/>
      <c r="O135" s="3">
        <v>43297</v>
      </c>
      <c r="P135" t="s">
        <v>2435</v>
      </c>
      <c r="Q135" t="s">
        <v>5036</v>
      </c>
      <c r="R135" t="s">
        <v>822</v>
      </c>
      <c r="S135" s="3">
        <v>43335</v>
      </c>
      <c r="T135" t="s">
        <v>1</v>
      </c>
      <c r="U135" t="s">
        <v>2595</v>
      </c>
      <c r="V135">
        <v>7001</v>
      </c>
      <c r="W135" t="s">
        <v>2434</v>
      </c>
      <c r="X135" s="2">
        <v>0</v>
      </c>
      <c r="Y135" t="s">
        <v>2</v>
      </c>
      <c r="Z135" t="s">
        <v>3</v>
      </c>
      <c r="AA135" s="5">
        <v>0</v>
      </c>
      <c r="AB135" t="s">
        <v>29</v>
      </c>
      <c r="AL135" t="s">
        <v>8103</v>
      </c>
    </row>
    <row r="136" spans="1:38">
      <c r="A136" t="s">
        <v>2745</v>
      </c>
      <c r="B136" t="s">
        <v>2765</v>
      </c>
      <c r="C136" t="s">
        <v>2746</v>
      </c>
      <c r="D136" t="s">
        <v>2747</v>
      </c>
      <c r="E136" s="2">
        <v>20000</v>
      </c>
      <c r="F136" s="2">
        <v>20000</v>
      </c>
      <c r="G136" s="3">
        <v>43296</v>
      </c>
      <c r="H136" s="4">
        <v>0.50951388888889004</v>
      </c>
      <c r="I136" s="3">
        <v>43297</v>
      </c>
      <c r="J136" s="4">
        <v>0</v>
      </c>
      <c r="K136" s="2">
        <v>0</v>
      </c>
      <c r="L136" t="s">
        <v>0</v>
      </c>
      <c r="M136" t="s">
        <v>2749</v>
      </c>
      <c r="N136" s="3"/>
      <c r="O136" s="3">
        <v>43298</v>
      </c>
      <c r="P136" t="s">
        <v>2435</v>
      </c>
      <c r="Q136" t="s">
        <v>5037</v>
      </c>
      <c r="R136" t="s">
        <v>820</v>
      </c>
      <c r="S136" s="3">
        <v>43336</v>
      </c>
      <c r="T136" t="s">
        <v>1</v>
      </c>
      <c r="U136" t="s">
        <v>2595</v>
      </c>
      <c r="V136">
        <v>7001</v>
      </c>
      <c r="W136" t="s">
        <v>2434</v>
      </c>
      <c r="X136" s="2">
        <v>0</v>
      </c>
      <c r="Y136" t="s">
        <v>2</v>
      </c>
      <c r="Z136" t="s">
        <v>3</v>
      </c>
      <c r="AA136" s="5">
        <v>0</v>
      </c>
      <c r="AB136" t="s">
        <v>29</v>
      </c>
      <c r="AL136" t="s">
        <v>8104</v>
      </c>
    </row>
    <row r="137" spans="1:38">
      <c r="A137" t="s">
        <v>2745</v>
      </c>
      <c r="B137" t="s">
        <v>2763</v>
      </c>
      <c r="C137" t="s">
        <v>2746</v>
      </c>
      <c r="D137" t="s">
        <v>2747</v>
      </c>
      <c r="E137" s="2">
        <v>20000</v>
      </c>
      <c r="F137" s="2">
        <v>20000</v>
      </c>
      <c r="G137" s="3">
        <v>43296</v>
      </c>
      <c r="H137" s="4">
        <v>0.50951388888889004</v>
      </c>
      <c r="I137" s="3">
        <v>43297</v>
      </c>
      <c r="J137" s="4">
        <v>0</v>
      </c>
      <c r="K137" s="2">
        <v>0</v>
      </c>
      <c r="L137" t="s">
        <v>0</v>
      </c>
      <c r="M137" t="s">
        <v>2749</v>
      </c>
      <c r="N137" s="3"/>
      <c r="O137" s="3">
        <v>43298</v>
      </c>
      <c r="P137" t="s">
        <v>2435</v>
      </c>
      <c r="Q137" t="s">
        <v>5036</v>
      </c>
      <c r="R137" t="s">
        <v>823</v>
      </c>
      <c r="S137" s="3">
        <v>43335</v>
      </c>
      <c r="T137" t="s">
        <v>1</v>
      </c>
      <c r="U137" t="s">
        <v>2595</v>
      </c>
      <c r="V137">
        <v>7001</v>
      </c>
      <c r="W137" t="s">
        <v>2434</v>
      </c>
      <c r="X137" s="2">
        <v>0</v>
      </c>
      <c r="Y137" t="s">
        <v>2</v>
      </c>
      <c r="Z137" t="s">
        <v>3</v>
      </c>
      <c r="AA137" s="5">
        <v>0</v>
      </c>
      <c r="AB137" t="s">
        <v>29</v>
      </c>
      <c r="AL137" t="s">
        <v>8105</v>
      </c>
    </row>
    <row r="138" spans="1:38">
      <c r="A138" t="s">
        <v>2745</v>
      </c>
      <c r="B138" t="s">
        <v>5032</v>
      </c>
      <c r="C138" t="s">
        <v>2746</v>
      </c>
      <c r="D138" t="s">
        <v>2747</v>
      </c>
      <c r="E138" s="2">
        <v>20000</v>
      </c>
      <c r="F138" s="2">
        <v>20000</v>
      </c>
      <c r="G138" s="3">
        <v>43297</v>
      </c>
      <c r="H138" s="4">
        <v>0.50951388888889004</v>
      </c>
      <c r="I138" s="3">
        <v>43298</v>
      </c>
      <c r="J138" s="4">
        <v>0</v>
      </c>
      <c r="K138" s="2">
        <v>0</v>
      </c>
      <c r="L138" t="s">
        <v>0</v>
      </c>
      <c r="M138" t="s">
        <v>2749</v>
      </c>
      <c r="N138" s="3"/>
      <c r="O138" s="3">
        <v>43299</v>
      </c>
      <c r="P138" t="s">
        <v>2435</v>
      </c>
      <c r="Q138" t="s">
        <v>1</v>
      </c>
      <c r="R138" t="s">
        <v>821</v>
      </c>
      <c r="S138" s="3">
        <v>43344</v>
      </c>
      <c r="T138" t="s">
        <v>7295</v>
      </c>
      <c r="U138" t="s">
        <v>2595</v>
      </c>
      <c r="V138">
        <v>7001</v>
      </c>
      <c r="W138" t="s">
        <v>2434</v>
      </c>
      <c r="X138" s="2">
        <v>1699</v>
      </c>
      <c r="Y138" t="s">
        <v>2</v>
      </c>
      <c r="Z138" t="s">
        <v>3</v>
      </c>
      <c r="AA138" s="5">
        <v>0</v>
      </c>
      <c r="AB138" t="s">
        <v>17</v>
      </c>
      <c r="AL138" t="s">
        <v>8106</v>
      </c>
    </row>
    <row r="139" spans="1:38">
      <c r="A139" t="s">
        <v>2745</v>
      </c>
      <c r="B139" t="s">
        <v>5033</v>
      </c>
      <c r="C139" t="s">
        <v>2746</v>
      </c>
      <c r="D139" t="s">
        <v>2747</v>
      </c>
      <c r="E139" s="2">
        <v>20000</v>
      </c>
      <c r="F139" s="2">
        <v>20000</v>
      </c>
      <c r="G139" s="3">
        <v>43297</v>
      </c>
      <c r="H139" s="4">
        <v>0.50951388888889004</v>
      </c>
      <c r="I139" s="3">
        <v>43298</v>
      </c>
      <c r="J139" s="4">
        <v>0</v>
      </c>
      <c r="K139" s="2">
        <v>0</v>
      </c>
      <c r="L139" t="s">
        <v>0</v>
      </c>
      <c r="M139" t="s">
        <v>2749</v>
      </c>
      <c r="N139" s="3"/>
      <c r="O139" s="3">
        <v>43299</v>
      </c>
      <c r="P139" t="s">
        <v>2435</v>
      </c>
      <c r="Q139" t="s">
        <v>1</v>
      </c>
      <c r="R139" t="s">
        <v>821</v>
      </c>
      <c r="S139" s="3">
        <v>43344</v>
      </c>
      <c r="T139" t="s">
        <v>7296</v>
      </c>
      <c r="U139" t="s">
        <v>2595</v>
      </c>
      <c r="V139">
        <v>7001</v>
      </c>
      <c r="W139" t="s">
        <v>2434</v>
      </c>
      <c r="X139" s="2">
        <v>1699</v>
      </c>
      <c r="Y139" t="s">
        <v>2</v>
      </c>
      <c r="Z139" t="s">
        <v>3</v>
      </c>
      <c r="AA139" s="5">
        <v>0</v>
      </c>
      <c r="AB139" t="s">
        <v>17</v>
      </c>
      <c r="AL139" t="s">
        <v>8107</v>
      </c>
    </row>
    <row r="140" spans="1:38">
      <c r="A140" t="s">
        <v>2745</v>
      </c>
      <c r="B140" t="s">
        <v>2752</v>
      </c>
      <c r="C140" t="s">
        <v>2746</v>
      </c>
      <c r="D140" t="s">
        <v>2747</v>
      </c>
      <c r="E140" s="2">
        <v>20000</v>
      </c>
      <c r="F140" s="2">
        <v>20000</v>
      </c>
      <c r="G140" s="3">
        <v>43298</v>
      </c>
      <c r="H140" s="4">
        <v>0.50951388888889004</v>
      </c>
      <c r="I140" s="3">
        <v>43299</v>
      </c>
      <c r="J140" s="4">
        <v>0</v>
      </c>
      <c r="K140" s="2">
        <v>0</v>
      </c>
      <c r="L140" t="s">
        <v>0</v>
      </c>
      <c r="M140" t="s">
        <v>2749</v>
      </c>
      <c r="N140" s="3"/>
      <c r="O140" s="3">
        <v>43300</v>
      </c>
      <c r="P140" t="s">
        <v>2435</v>
      </c>
      <c r="Q140" t="s">
        <v>1</v>
      </c>
      <c r="R140" t="s">
        <v>821</v>
      </c>
      <c r="S140" s="3">
        <v>43344</v>
      </c>
      <c r="T140" t="s">
        <v>1</v>
      </c>
      <c r="U140" t="s">
        <v>2595</v>
      </c>
      <c r="V140">
        <v>7001</v>
      </c>
      <c r="W140" t="s">
        <v>2434</v>
      </c>
      <c r="X140" s="2">
        <v>0</v>
      </c>
      <c r="Y140" t="s">
        <v>2</v>
      </c>
      <c r="Z140" t="s">
        <v>3</v>
      </c>
      <c r="AA140" s="5">
        <v>0</v>
      </c>
      <c r="AB140" t="s">
        <v>29</v>
      </c>
      <c r="AL140" t="s">
        <v>8108</v>
      </c>
    </row>
    <row r="141" spans="1:38">
      <c r="A141" t="s">
        <v>2745</v>
      </c>
      <c r="B141" t="s">
        <v>2757</v>
      </c>
      <c r="C141" t="s">
        <v>2746</v>
      </c>
      <c r="D141" t="s">
        <v>2747</v>
      </c>
      <c r="E141" s="2">
        <v>20000</v>
      </c>
      <c r="F141" s="2">
        <v>20000</v>
      </c>
      <c r="G141" s="3">
        <v>43298</v>
      </c>
      <c r="H141" s="4">
        <v>0.50951388888889004</v>
      </c>
      <c r="I141" s="3">
        <v>43299</v>
      </c>
      <c r="J141" s="4">
        <v>0</v>
      </c>
      <c r="K141" s="2">
        <v>0</v>
      </c>
      <c r="L141" t="s">
        <v>0</v>
      </c>
      <c r="M141" t="s">
        <v>2749</v>
      </c>
      <c r="N141" s="3"/>
      <c r="O141" s="3">
        <v>43300</v>
      </c>
      <c r="P141" t="s">
        <v>2435</v>
      </c>
      <c r="Q141" t="s">
        <v>1</v>
      </c>
      <c r="R141" t="s">
        <v>821</v>
      </c>
      <c r="S141" s="3">
        <v>43344</v>
      </c>
      <c r="T141" t="s">
        <v>1</v>
      </c>
      <c r="U141" t="s">
        <v>2595</v>
      </c>
      <c r="V141">
        <v>7001</v>
      </c>
      <c r="W141" t="s">
        <v>2434</v>
      </c>
      <c r="X141" s="2">
        <v>0</v>
      </c>
      <c r="Y141" t="s">
        <v>2</v>
      </c>
      <c r="Z141" t="s">
        <v>3</v>
      </c>
      <c r="AA141" s="5">
        <v>0</v>
      </c>
      <c r="AB141" t="s">
        <v>29</v>
      </c>
      <c r="AL141" t="s">
        <v>8109</v>
      </c>
    </row>
    <row r="142" spans="1:38">
      <c r="A142" t="s">
        <v>2745</v>
      </c>
      <c r="B142" t="s">
        <v>5699</v>
      </c>
      <c r="C142" t="s">
        <v>2452</v>
      </c>
      <c r="D142" t="s">
        <v>2453</v>
      </c>
      <c r="E142" s="2">
        <v>20000</v>
      </c>
      <c r="F142" s="2">
        <v>20000</v>
      </c>
      <c r="G142" s="3">
        <v>43299</v>
      </c>
      <c r="H142" s="4">
        <v>0.50951388888889004</v>
      </c>
      <c r="I142" s="3">
        <v>43300</v>
      </c>
      <c r="J142" s="4">
        <v>0</v>
      </c>
      <c r="K142" s="2">
        <v>0</v>
      </c>
      <c r="L142" t="s">
        <v>0</v>
      </c>
      <c r="M142" t="s">
        <v>2749</v>
      </c>
      <c r="N142" s="3">
        <v>43302</v>
      </c>
      <c r="O142" s="3">
        <v>43301</v>
      </c>
      <c r="P142" t="s">
        <v>2435</v>
      </c>
      <c r="Q142" t="s">
        <v>1</v>
      </c>
      <c r="R142" t="s">
        <v>821</v>
      </c>
      <c r="S142" s="3">
        <v>43313</v>
      </c>
      <c r="T142" t="s">
        <v>1</v>
      </c>
      <c r="U142" t="s">
        <v>2454</v>
      </c>
      <c r="V142">
        <v>701</v>
      </c>
      <c r="W142" t="s">
        <v>2434</v>
      </c>
      <c r="X142" s="2">
        <v>0</v>
      </c>
      <c r="Y142" t="s">
        <v>2</v>
      </c>
      <c r="Z142" t="s">
        <v>3</v>
      </c>
      <c r="AA142" s="5">
        <v>0</v>
      </c>
      <c r="AB142" t="s">
        <v>29</v>
      </c>
      <c r="AL142" t="s">
        <v>8110</v>
      </c>
    </row>
    <row r="143" spans="1:38">
      <c r="A143" t="s">
        <v>2788</v>
      </c>
      <c r="B143" t="s">
        <v>2796</v>
      </c>
      <c r="C143" t="s">
        <v>2797</v>
      </c>
      <c r="D143" t="s">
        <v>2798</v>
      </c>
      <c r="E143" s="2">
        <v>10419</v>
      </c>
      <c r="F143" s="2">
        <v>10419</v>
      </c>
      <c r="G143" s="3">
        <v>43261</v>
      </c>
      <c r="H143" s="4">
        <v>0.66666666666666996</v>
      </c>
      <c r="I143" s="3">
        <v>43262</v>
      </c>
      <c r="J143" s="4">
        <v>0.92136574074073996</v>
      </c>
      <c r="K143" s="2">
        <v>0</v>
      </c>
      <c r="L143" t="s">
        <v>0</v>
      </c>
      <c r="M143" t="s">
        <v>2795</v>
      </c>
      <c r="N143" s="3"/>
      <c r="O143" s="3">
        <v>43269</v>
      </c>
      <c r="P143" t="s">
        <v>2435</v>
      </c>
      <c r="Q143" t="s">
        <v>1</v>
      </c>
      <c r="R143" t="s">
        <v>819</v>
      </c>
      <c r="S143" s="3"/>
      <c r="T143" t="s">
        <v>7297</v>
      </c>
      <c r="U143" t="s">
        <v>2799</v>
      </c>
      <c r="V143">
        <v>71003</v>
      </c>
      <c r="W143" t="s">
        <v>2434</v>
      </c>
      <c r="X143" s="2">
        <v>346</v>
      </c>
      <c r="Y143" t="s">
        <v>2</v>
      </c>
      <c r="Z143" t="s">
        <v>3</v>
      </c>
      <c r="AA143" s="5">
        <v>0</v>
      </c>
      <c r="AB143" t="s">
        <v>4</v>
      </c>
      <c r="AL143" t="s">
        <v>8111</v>
      </c>
    </row>
    <row r="144" spans="1:38">
      <c r="A144" t="s">
        <v>2788</v>
      </c>
      <c r="B144" t="s">
        <v>2826</v>
      </c>
      <c r="C144" t="s">
        <v>2827</v>
      </c>
      <c r="D144" t="s">
        <v>2828</v>
      </c>
      <c r="E144" s="2">
        <v>107</v>
      </c>
      <c r="F144" s="2">
        <v>2082</v>
      </c>
      <c r="G144" s="3">
        <v>43264</v>
      </c>
      <c r="H144" s="4">
        <v>0.69895833333333002</v>
      </c>
      <c r="I144" s="3">
        <v>43264</v>
      </c>
      <c r="J144" s="4">
        <v>0.93980324074073995</v>
      </c>
      <c r="K144" s="2">
        <v>20</v>
      </c>
      <c r="L144" t="s">
        <v>0</v>
      </c>
      <c r="M144" t="s">
        <v>2804</v>
      </c>
      <c r="N144" s="3">
        <v>43272</v>
      </c>
      <c r="O144" s="3">
        <v>43266</v>
      </c>
      <c r="P144" t="s">
        <v>2490</v>
      </c>
      <c r="Q144" t="s">
        <v>1</v>
      </c>
      <c r="R144" t="s">
        <v>819</v>
      </c>
      <c r="S144" s="3"/>
      <c r="T144" t="s">
        <v>7298</v>
      </c>
      <c r="U144" t="s">
        <v>2458</v>
      </c>
      <c r="V144" t="s">
        <v>2829</v>
      </c>
      <c r="W144" t="s">
        <v>2434</v>
      </c>
      <c r="X144" s="2">
        <v>346</v>
      </c>
      <c r="Y144" t="s">
        <v>2</v>
      </c>
      <c r="Z144" t="s">
        <v>3</v>
      </c>
      <c r="AA144" s="5">
        <v>0</v>
      </c>
      <c r="AB144" t="s">
        <v>17</v>
      </c>
      <c r="AL144" t="s">
        <v>8112</v>
      </c>
    </row>
    <row r="145" spans="1:38">
      <c r="A145" t="s">
        <v>2788</v>
      </c>
      <c r="B145" t="s">
        <v>7299</v>
      </c>
      <c r="C145" t="s">
        <v>3036</v>
      </c>
      <c r="D145" t="s">
        <v>3037</v>
      </c>
      <c r="E145" s="5">
        <v>1816.2</v>
      </c>
      <c r="F145" s="5">
        <v>1816.2</v>
      </c>
      <c r="G145" s="3">
        <v>43270</v>
      </c>
      <c r="H145" s="4">
        <v>0.70833333333333004</v>
      </c>
      <c r="I145" s="3">
        <v>43270</v>
      </c>
      <c r="J145" s="4">
        <v>0.92704861111111003</v>
      </c>
      <c r="K145" s="2">
        <v>20</v>
      </c>
      <c r="L145" t="s">
        <v>0</v>
      </c>
      <c r="M145" t="s">
        <v>7300</v>
      </c>
      <c r="N145" s="3">
        <v>43283</v>
      </c>
      <c r="O145" s="3">
        <v>43277</v>
      </c>
      <c r="P145" t="s">
        <v>13</v>
      </c>
      <c r="Q145" t="s">
        <v>3038</v>
      </c>
      <c r="R145" t="s">
        <v>820</v>
      </c>
      <c r="S145" s="3">
        <v>43283</v>
      </c>
      <c r="T145" t="s">
        <v>7301</v>
      </c>
      <c r="U145" t="s">
        <v>2451</v>
      </c>
      <c r="V145" t="s">
        <v>3039</v>
      </c>
      <c r="W145" t="s">
        <v>2434</v>
      </c>
      <c r="X145" s="2">
        <v>346</v>
      </c>
      <c r="Y145" t="s">
        <v>2</v>
      </c>
      <c r="Z145" t="s">
        <v>3</v>
      </c>
      <c r="AA145" s="5">
        <v>0</v>
      </c>
      <c r="AB145" t="s">
        <v>17</v>
      </c>
      <c r="AI145" t="s">
        <v>6643</v>
      </c>
      <c r="AL145" t="s">
        <v>8113</v>
      </c>
    </row>
    <row r="146" spans="1:38">
      <c r="A146" t="s">
        <v>2788</v>
      </c>
      <c r="B146" t="s">
        <v>3523</v>
      </c>
      <c r="C146" t="s">
        <v>3524</v>
      </c>
      <c r="D146" t="s">
        <v>3525</v>
      </c>
      <c r="E146" s="5">
        <v>1083.8</v>
      </c>
      <c r="F146" s="5">
        <v>2083.8000000000002</v>
      </c>
      <c r="G146" s="3">
        <v>43271</v>
      </c>
      <c r="H146" s="4">
        <v>2.0833333333330002E-2</v>
      </c>
      <c r="I146" s="3">
        <v>43271</v>
      </c>
      <c r="J146" s="4">
        <v>0.27177083333333002</v>
      </c>
      <c r="K146" s="2">
        <v>0</v>
      </c>
      <c r="L146" t="s">
        <v>0</v>
      </c>
      <c r="M146" t="s">
        <v>5700</v>
      </c>
      <c r="N146" s="3">
        <v>43277</v>
      </c>
      <c r="O146" s="3">
        <v>43273</v>
      </c>
      <c r="P146" t="s">
        <v>13</v>
      </c>
      <c r="Q146" t="s">
        <v>3526</v>
      </c>
      <c r="R146" t="s">
        <v>820</v>
      </c>
      <c r="S146" s="3">
        <v>43277</v>
      </c>
      <c r="T146" t="s">
        <v>7302</v>
      </c>
      <c r="U146" t="s">
        <v>2504</v>
      </c>
      <c r="V146" t="s">
        <v>3527</v>
      </c>
      <c r="W146" t="s">
        <v>2434</v>
      </c>
      <c r="X146" s="2">
        <v>346</v>
      </c>
      <c r="Y146" t="s">
        <v>2</v>
      </c>
      <c r="Z146" t="s">
        <v>3</v>
      </c>
      <c r="AA146" s="5">
        <v>0</v>
      </c>
      <c r="AB146" t="s">
        <v>4</v>
      </c>
      <c r="AI146" t="s">
        <v>6643</v>
      </c>
      <c r="AL146" t="s">
        <v>8114</v>
      </c>
    </row>
    <row r="147" spans="1:38">
      <c r="A147" t="s">
        <v>2788</v>
      </c>
      <c r="B147" t="s">
        <v>7303</v>
      </c>
      <c r="C147" t="s">
        <v>3058</v>
      </c>
      <c r="D147" t="s">
        <v>3059</v>
      </c>
      <c r="E147" s="5">
        <v>41.9</v>
      </c>
      <c r="F147" s="5">
        <v>1041.9000000000001</v>
      </c>
      <c r="G147" s="3">
        <v>43271</v>
      </c>
      <c r="H147" s="4">
        <v>0.29260416666667</v>
      </c>
      <c r="I147" s="3">
        <v>43271</v>
      </c>
      <c r="J147" s="4">
        <v>0.41807870370369998</v>
      </c>
      <c r="K147" s="2">
        <v>0</v>
      </c>
      <c r="L147" t="s">
        <v>0</v>
      </c>
      <c r="M147" t="s">
        <v>5038</v>
      </c>
      <c r="N147" s="3">
        <v>43279</v>
      </c>
      <c r="O147" s="3">
        <v>43273</v>
      </c>
      <c r="P147" t="s">
        <v>13</v>
      </c>
      <c r="Q147" t="s">
        <v>3060</v>
      </c>
      <c r="R147" t="s">
        <v>820</v>
      </c>
      <c r="S147" s="3">
        <v>43279</v>
      </c>
      <c r="T147" t="s">
        <v>7304</v>
      </c>
      <c r="U147" t="s">
        <v>3061</v>
      </c>
      <c r="V147" t="s">
        <v>2437</v>
      </c>
      <c r="W147" t="s">
        <v>2434</v>
      </c>
      <c r="X147" s="2">
        <v>346</v>
      </c>
      <c r="Y147" t="s">
        <v>2</v>
      </c>
      <c r="Z147" t="s">
        <v>3</v>
      </c>
      <c r="AA147" s="5">
        <v>0</v>
      </c>
      <c r="AB147" t="s">
        <v>4</v>
      </c>
      <c r="AL147" t="s">
        <v>8115</v>
      </c>
    </row>
    <row r="148" spans="1:38">
      <c r="A148" t="s">
        <v>2788</v>
      </c>
      <c r="B148" t="s">
        <v>2515</v>
      </c>
      <c r="C148" t="s">
        <v>2516</v>
      </c>
      <c r="D148" t="s">
        <v>2517</v>
      </c>
      <c r="E148" s="5">
        <v>284.5</v>
      </c>
      <c r="F148" s="5">
        <v>5209.5</v>
      </c>
      <c r="G148" s="3">
        <v>43271</v>
      </c>
      <c r="H148" s="4">
        <v>0.43891203703704001</v>
      </c>
      <c r="I148" s="3">
        <v>43272</v>
      </c>
      <c r="J148" s="4">
        <v>6.6261574074070004E-2</v>
      </c>
      <c r="K148" s="2">
        <v>20</v>
      </c>
      <c r="L148" t="s">
        <v>0</v>
      </c>
      <c r="M148" t="s">
        <v>7305</v>
      </c>
      <c r="N148" s="3">
        <v>43283</v>
      </c>
      <c r="O148" s="3">
        <v>43279</v>
      </c>
      <c r="P148" t="s">
        <v>13</v>
      </c>
      <c r="Q148" t="s">
        <v>2518</v>
      </c>
      <c r="R148" t="s">
        <v>820</v>
      </c>
      <c r="S148" s="3">
        <v>43283</v>
      </c>
      <c r="T148" t="s">
        <v>7306</v>
      </c>
      <c r="U148" t="s">
        <v>2451</v>
      </c>
      <c r="V148" t="s">
        <v>2519</v>
      </c>
      <c r="W148" t="s">
        <v>2434</v>
      </c>
      <c r="X148" s="2">
        <v>346</v>
      </c>
      <c r="Y148" t="s">
        <v>2</v>
      </c>
      <c r="Z148" t="s">
        <v>3</v>
      </c>
      <c r="AA148" s="5">
        <v>0</v>
      </c>
      <c r="AB148" t="s">
        <v>4</v>
      </c>
      <c r="AL148" t="s">
        <v>8116</v>
      </c>
    </row>
    <row r="149" spans="1:38">
      <c r="A149" t="s">
        <v>2788</v>
      </c>
      <c r="B149" t="s">
        <v>3574</v>
      </c>
      <c r="C149" t="s">
        <v>3575</v>
      </c>
      <c r="D149" t="s">
        <v>3576</v>
      </c>
      <c r="E149" s="5">
        <v>1083.8</v>
      </c>
      <c r="F149" s="5">
        <v>2083.8000000000002</v>
      </c>
      <c r="G149" s="3">
        <v>43272</v>
      </c>
      <c r="H149" s="4">
        <v>0.11876157407406999</v>
      </c>
      <c r="I149" s="3">
        <v>43272</v>
      </c>
      <c r="J149" s="4">
        <v>0.36969907407406999</v>
      </c>
      <c r="K149" s="2">
        <v>0</v>
      </c>
      <c r="L149" t="s">
        <v>0</v>
      </c>
      <c r="M149" t="s">
        <v>5700</v>
      </c>
      <c r="N149" s="3">
        <v>43284</v>
      </c>
      <c r="O149" s="3">
        <v>43274</v>
      </c>
      <c r="P149" t="s">
        <v>7</v>
      </c>
      <c r="Q149" t="s">
        <v>3577</v>
      </c>
      <c r="R149" t="s">
        <v>820</v>
      </c>
      <c r="S149" s="3">
        <v>43284</v>
      </c>
      <c r="T149" t="s">
        <v>7307</v>
      </c>
      <c r="U149">
        <v>943</v>
      </c>
      <c r="V149">
        <v>701</v>
      </c>
      <c r="W149" t="s">
        <v>2434</v>
      </c>
      <c r="X149" s="2">
        <v>346</v>
      </c>
      <c r="Y149" t="s">
        <v>2</v>
      </c>
      <c r="Z149" t="s">
        <v>3</v>
      </c>
      <c r="AA149" s="5">
        <v>0</v>
      </c>
      <c r="AB149" t="s">
        <v>4</v>
      </c>
      <c r="AI149" t="s">
        <v>6643</v>
      </c>
      <c r="AL149" t="s">
        <v>8117</v>
      </c>
    </row>
    <row r="150" spans="1:38">
      <c r="A150" t="s">
        <v>2788</v>
      </c>
      <c r="B150" t="s">
        <v>3588</v>
      </c>
      <c r="C150" t="s">
        <v>3589</v>
      </c>
      <c r="D150" t="s">
        <v>3590</v>
      </c>
      <c r="E150" s="5">
        <v>2096.8000000000002</v>
      </c>
      <c r="F150" s="5">
        <v>2096.8000000000002</v>
      </c>
      <c r="G150" s="3">
        <v>43272</v>
      </c>
      <c r="H150" s="4">
        <v>0.35886574074074001</v>
      </c>
      <c r="I150" s="3">
        <v>43272</v>
      </c>
      <c r="J150" s="4">
        <v>0.61136574074074002</v>
      </c>
      <c r="K150" s="2">
        <v>0</v>
      </c>
      <c r="L150" t="s">
        <v>0</v>
      </c>
      <c r="M150" t="s">
        <v>7308</v>
      </c>
      <c r="N150" s="3">
        <v>43284</v>
      </c>
      <c r="O150" s="3">
        <v>43274</v>
      </c>
      <c r="P150" t="s">
        <v>27</v>
      </c>
      <c r="Q150" t="s">
        <v>3591</v>
      </c>
      <c r="R150" t="s">
        <v>820</v>
      </c>
      <c r="S150" s="3">
        <v>43284</v>
      </c>
      <c r="T150" t="s">
        <v>7309</v>
      </c>
      <c r="U150" t="s">
        <v>2638</v>
      </c>
      <c r="V150" t="s">
        <v>3592</v>
      </c>
      <c r="W150" t="s">
        <v>2434</v>
      </c>
      <c r="X150" s="2">
        <v>346</v>
      </c>
      <c r="Y150" t="s">
        <v>2</v>
      </c>
      <c r="Z150" t="s">
        <v>3</v>
      </c>
      <c r="AA150" s="5">
        <v>0</v>
      </c>
      <c r="AB150" t="s">
        <v>4</v>
      </c>
      <c r="AI150" t="s">
        <v>6643</v>
      </c>
      <c r="AL150" t="s">
        <v>8118</v>
      </c>
    </row>
    <row r="151" spans="1:38">
      <c r="A151" t="s">
        <v>2788</v>
      </c>
      <c r="B151" t="s">
        <v>3556</v>
      </c>
      <c r="C151" t="s">
        <v>3557</v>
      </c>
      <c r="D151" t="s">
        <v>3558</v>
      </c>
      <c r="E151" s="2">
        <v>1000</v>
      </c>
      <c r="F151" s="2">
        <v>1000</v>
      </c>
      <c r="G151" s="3">
        <v>43272</v>
      </c>
      <c r="H151" s="4">
        <v>0.70314814814814997</v>
      </c>
      <c r="I151" s="3">
        <v>43272</v>
      </c>
      <c r="J151" s="4">
        <v>0.82357638888888995</v>
      </c>
      <c r="K151" s="2">
        <v>0</v>
      </c>
      <c r="L151" t="s">
        <v>0</v>
      </c>
      <c r="M151" t="s">
        <v>2821</v>
      </c>
      <c r="N151" s="3">
        <v>43277</v>
      </c>
      <c r="O151" s="3">
        <v>43274</v>
      </c>
      <c r="P151" t="s">
        <v>11</v>
      </c>
      <c r="Q151" t="s">
        <v>3559</v>
      </c>
      <c r="R151" t="s">
        <v>820</v>
      </c>
      <c r="S151" s="3">
        <v>43277</v>
      </c>
      <c r="T151" t="s">
        <v>7310</v>
      </c>
      <c r="U151" t="s">
        <v>2702</v>
      </c>
      <c r="V151" t="s">
        <v>3560</v>
      </c>
      <c r="W151" t="s">
        <v>2434</v>
      </c>
      <c r="X151" s="2">
        <v>0</v>
      </c>
      <c r="Y151" t="s">
        <v>2</v>
      </c>
      <c r="Z151" t="s">
        <v>3</v>
      </c>
      <c r="AA151" s="5">
        <v>0</v>
      </c>
      <c r="AB151" t="s">
        <v>17</v>
      </c>
      <c r="AI151" t="s">
        <v>6643</v>
      </c>
      <c r="AL151" t="s">
        <v>8119</v>
      </c>
    </row>
    <row r="152" spans="1:38">
      <c r="A152" t="s">
        <v>2788</v>
      </c>
      <c r="B152" t="s">
        <v>3537</v>
      </c>
      <c r="C152" t="s">
        <v>3538</v>
      </c>
      <c r="D152" t="s">
        <v>3539</v>
      </c>
      <c r="E152" s="5">
        <v>2083.8000000000002</v>
      </c>
      <c r="F152" s="5">
        <v>2083.8000000000002</v>
      </c>
      <c r="G152" s="3">
        <v>43272</v>
      </c>
      <c r="H152" s="4">
        <v>0.86899305555555995</v>
      </c>
      <c r="I152" s="3">
        <v>43273</v>
      </c>
      <c r="J152" s="4">
        <v>0.11993055555556</v>
      </c>
      <c r="K152" s="2">
        <v>20</v>
      </c>
      <c r="L152" t="s">
        <v>0</v>
      </c>
      <c r="M152" t="s">
        <v>5700</v>
      </c>
      <c r="N152" s="3">
        <v>43276</v>
      </c>
      <c r="O152" s="3">
        <v>43275</v>
      </c>
      <c r="P152" t="s">
        <v>13</v>
      </c>
      <c r="Q152" t="s">
        <v>3540</v>
      </c>
      <c r="R152" t="s">
        <v>820</v>
      </c>
      <c r="S152" s="3">
        <v>43276</v>
      </c>
      <c r="T152" t="s">
        <v>7311</v>
      </c>
      <c r="U152">
        <v>940</v>
      </c>
      <c r="V152" t="s">
        <v>3541</v>
      </c>
      <c r="W152" t="s">
        <v>2434</v>
      </c>
      <c r="X152" s="2">
        <v>346</v>
      </c>
      <c r="Y152" t="s">
        <v>2</v>
      </c>
      <c r="Z152" t="s">
        <v>3</v>
      </c>
      <c r="AA152" s="5">
        <v>0</v>
      </c>
      <c r="AB152" t="s">
        <v>4</v>
      </c>
      <c r="AI152" t="s">
        <v>6643</v>
      </c>
      <c r="AL152" t="s">
        <v>8120</v>
      </c>
    </row>
    <row r="153" spans="1:38">
      <c r="A153" t="s">
        <v>2788</v>
      </c>
      <c r="B153" t="s">
        <v>5049</v>
      </c>
      <c r="C153" t="s">
        <v>2952</v>
      </c>
      <c r="D153" t="s">
        <v>2953</v>
      </c>
      <c r="E153" s="2">
        <v>19200</v>
      </c>
      <c r="F153" s="2">
        <v>19200</v>
      </c>
      <c r="G153" s="3">
        <v>43273</v>
      </c>
      <c r="H153" s="4">
        <v>0.26652777777777997</v>
      </c>
      <c r="I153" s="3">
        <v>43275</v>
      </c>
      <c r="J153" s="4">
        <v>0.57866898148148005</v>
      </c>
      <c r="K153" s="2">
        <v>0</v>
      </c>
      <c r="L153" t="s">
        <v>0</v>
      </c>
      <c r="M153" t="s">
        <v>7312</v>
      </c>
      <c r="N153" s="3"/>
      <c r="O153" s="3">
        <v>43282</v>
      </c>
      <c r="P153" t="s">
        <v>2791</v>
      </c>
      <c r="Q153" t="s">
        <v>2954</v>
      </c>
      <c r="R153" t="s">
        <v>820</v>
      </c>
      <c r="S153" s="3">
        <v>43302</v>
      </c>
      <c r="T153" t="s">
        <v>7313</v>
      </c>
      <c r="U153" t="s">
        <v>2955</v>
      </c>
      <c r="V153">
        <v>111</v>
      </c>
      <c r="W153" t="s">
        <v>2793</v>
      </c>
      <c r="X153" s="2">
        <v>0</v>
      </c>
      <c r="Y153" t="s">
        <v>2</v>
      </c>
      <c r="Z153" t="s">
        <v>3</v>
      </c>
      <c r="AA153" s="5">
        <v>0</v>
      </c>
      <c r="AB153" t="s">
        <v>17</v>
      </c>
      <c r="AL153" t="s">
        <v>8121</v>
      </c>
    </row>
    <row r="154" spans="1:38">
      <c r="A154" t="s">
        <v>2788</v>
      </c>
      <c r="B154" t="s">
        <v>5721</v>
      </c>
      <c r="C154" t="s">
        <v>5722</v>
      </c>
      <c r="D154" t="s">
        <v>5723</v>
      </c>
      <c r="E154" s="5">
        <v>2083.8000000000002</v>
      </c>
      <c r="F154" s="5">
        <v>2083.8000000000002</v>
      </c>
      <c r="G154" s="3">
        <v>43275</v>
      </c>
      <c r="H154" s="4">
        <v>0.59950231481480998</v>
      </c>
      <c r="I154" s="3">
        <v>43275</v>
      </c>
      <c r="J154" s="4">
        <v>0.85043981481481001</v>
      </c>
      <c r="K154" s="2">
        <v>20</v>
      </c>
      <c r="L154" t="s">
        <v>0</v>
      </c>
      <c r="M154" t="s">
        <v>5700</v>
      </c>
      <c r="N154" s="3">
        <v>43293</v>
      </c>
      <c r="O154" s="3">
        <v>43282</v>
      </c>
      <c r="P154" t="s">
        <v>13</v>
      </c>
      <c r="Q154" t="s">
        <v>5724</v>
      </c>
      <c r="R154" t="s">
        <v>820</v>
      </c>
      <c r="S154" s="3">
        <v>43293</v>
      </c>
      <c r="T154" t="s">
        <v>7314</v>
      </c>
      <c r="U154" t="s">
        <v>2487</v>
      </c>
      <c r="V154" t="s">
        <v>2499</v>
      </c>
      <c r="W154" t="s">
        <v>2434</v>
      </c>
      <c r="X154" s="2">
        <v>346</v>
      </c>
      <c r="Y154" t="s">
        <v>2</v>
      </c>
      <c r="Z154" t="s">
        <v>3</v>
      </c>
      <c r="AA154" s="5">
        <v>0</v>
      </c>
      <c r="AB154" t="s">
        <v>4</v>
      </c>
      <c r="AL154" t="s">
        <v>8122</v>
      </c>
    </row>
    <row r="155" spans="1:38">
      <c r="A155" t="s">
        <v>2788</v>
      </c>
      <c r="B155" t="s">
        <v>2956</v>
      </c>
      <c r="C155" t="s">
        <v>2957</v>
      </c>
      <c r="D155" t="s">
        <v>2958</v>
      </c>
      <c r="E155" s="5">
        <v>2083.8000000000002</v>
      </c>
      <c r="F155" s="5">
        <v>2083.8000000000002</v>
      </c>
      <c r="G155" s="3">
        <v>43275</v>
      </c>
      <c r="H155" s="4">
        <v>0.87127314814815005</v>
      </c>
      <c r="I155" s="3">
        <v>43276</v>
      </c>
      <c r="J155" s="4">
        <v>0.12221064814815</v>
      </c>
      <c r="K155" s="2">
        <v>0</v>
      </c>
      <c r="L155" t="s">
        <v>0</v>
      </c>
      <c r="M155" t="s">
        <v>5700</v>
      </c>
      <c r="N155" s="3">
        <v>43283</v>
      </c>
      <c r="O155" s="3">
        <v>43283</v>
      </c>
      <c r="P155" t="s">
        <v>2510</v>
      </c>
      <c r="Q155" t="s">
        <v>2959</v>
      </c>
      <c r="R155" t="s">
        <v>820</v>
      </c>
      <c r="S155" s="3">
        <v>43283</v>
      </c>
      <c r="T155" t="s">
        <v>7315</v>
      </c>
      <c r="U155" t="s">
        <v>2451</v>
      </c>
      <c r="V155">
        <v>960</v>
      </c>
      <c r="W155" t="s">
        <v>2434</v>
      </c>
      <c r="X155" s="2">
        <v>346</v>
      </c>
      <c r="Y155" t="s">
        <v>2</v>
      </c>
      <c r="Z155" t="s">
        <v>3</v>
      </c>
      <c r="AA155" s="5">
        <v>0</v>
      </c>
      <c r="AB155" t="s">
        <v>4</v>
      </c>
      <c r="AL155" t="s">
        <v>8123</v>
      </c>
    </row>
    <row r="156" spans="1:38">
      <c r="A156" t="s">
        <v>2788</v>
      </c>
      <c r="B156" t="s">
        <v>2976</v>
      </c>
      <c r="C156" t="s">
        <v>2977</v>
      </c>
      <c r="D156" t="s">
        <v>2978</v>
      </c>
      <c r="E156" s="5">
        <v>5209.5</v>
      </c>
      <c r="F156" s="5">
        <v>5209.5</v>
      </c>
      <c r="G156" s="3">
        <v>43276</v>
      </c>
      <c r="H156" s="4">
        <v>0.14304398148148001</v>
      </c>
      <c r="I156" s="3">
        <v>43276</v>
      </c>
      <c r="J156" s="4">
        <v>0.77039351851852</v>
      </c>
      <c r="K156" s="2">
        <v>20</v>
      </c>
      <c r="L156" t="s">
        <v>0</v>
      </c>
      <c r="M156" t="s">
        <v>7305</v>
      </c>
      <c r="N156" s="3">
        <v>43286</v>
      </c>
      <c r="O156" s="3">
        <v>43278</v>
      </c>
      <c r="P156" t="s">
        <v>2490</v>
      </c>
      <c r="Q156" t="s">
        <v>2979</v>
      </c>
      <c r="R156" t="s">
        <v>820</v>
      </c>
      <c r="S156" s="3">
        <v>43286</v>
      </c>
      <c r="T156" t="s">
        <v>7316</v>
      </c>
      <c r="U156" t="s">
        <v>2980</v>
      </c>
      <c r="V156">
        <v>770</v>
      </c>
      <c r="W156" t="s">
        <v>2434</v>
      </c>
      <c r="X156" s="2">
        <v>346</v>
      </c>
      <c r="Y156" t="s">
        <v>2</v>
      </c>
      <c r="Z156" t="s">
        <v>3</v>
      </c>
      <c r="AA156" s="5">
        <v>0</v>
      </c>
      <c r="AB156" t="s">
        <v>4</v>
      </c>
      <c r="AL156" t="s">
        <v>8124</v>
      </c>
    </row>
    <row r="157" spans="1:38">
      <c r="A157" t="s">
        <v>2788</v>
      </c>
      <c r="B157" t="s">
        <v>2967</v>
      </c>
      <c r="C157" t="s">
        <v>2968</v>
      </c>
      <c r="D157" t="s">
        <v>2969</v>
      </c>
      <c r="E157" s="5">
        <v>2552.6550000000002</v>
      </c>
      <c r="F157" s="5">
        <v>2552.6550000000002</v>
      </c>
      <c r="G157" s="3">
        <v>43276</v>
      </c>
      <c r="H157" s="4">
        <v>0.79122685185185004</v>
      </c>
      <c r="I157" s="3">
        <v>43277</v>
      </c>
      <c r="J157" s="4">
        <v>9.8622685185190004E-2</v>
      </c>
      <c r="K157" s="2">
        <v>20</v>
      </c>
      <c r="L157" t="s">
        <v>0</v>
      </c>
      <c r="M157" t="s">
        <v>7317</v>
      </c>
      <c r="N157" s="3">
        <v>43283</v>
      </c>
      <c r="O157" s="3">
        <v>43284</v>
      </c>
      <c r="P157" t="s">
        <v>13</v>
      </c>
      <c r="Q157" t="s">
        <v>2970</v>
      </c>
      <c r="R157" t="s">
        <v>820</v>
      </c>
      <c r="S157" s="3">
        <v>43283</v>
      </c>
      <c r="T157" t="s">
        <v>7318</v>
      </c>
      <c r="U157" t="s">
        <v>2451</v>
      </c>
      <c r="V157" t="s">
        <v>2971</v>
      </c>
      <c r="W157" t="s">
        <v>2434</v>
      </c>
      <c r="X157" s="2">
        <v>346</v>
      </c>
      <c r="Y157" t="s">
        <v>2</v>
      </c>
      <c r="Z157" t="s">
        <v>3</v>
      </c>
      <c r="AA157" s="5">
        <v>0</v>
      </c>
      <c r="AB157" t="s">
        <v>4</v>
      </c>
      <c r="AL157" t="s">
        <v>8125</v>
      </c>
    </row>
    <row r="158" spans="1:38">
      <c r="A158" t="s">
        <v>2788</v>
      </c>
      <c r="B158" t="s">
        <v>2870</v>
      </c>
      <c r="C158" t="s">
        <v>2871</v>
      </c>
      <c r="D158" t="s">
        <v>2872</v>
      </c>
      <c r="E158" s="5">
        <v>2083.8000000000002</v>
      </c>
      <c r="F158" s="5">
        <v>2083.8000000000002</v>
      </c>
      <c r="G158" s="3">
        <v>43277</v>
      </c>
      <c r="H158" s="4">
        <v>0.11945601851852</v>
      </c>
      <c r="I158" s="3">
        <v>43277</v>
      </c>
      <c r="J158" s="4">
        <v>0.37039351851851998</v>
      </c>
      <c r="K158" s="2">
        <v>0</v>
      </c>
      <c r="L158" t="s">
        <v>0</v>
      </c>
      <c r="M158" t="s">
        <v>5700</v>
      </c>
      <c r="N158" s="3">
        <v>43284</v>
      </c>
      <c r="O158" s="3">
        <v>43279</v>
      </c>
      <c r="P158" t="s">
        <v>2507</v>
      </c>
      <c r="Q158" t="s">
        <v>2873</v>
      </c>
      <c r="R158" t="s">
        <v>820</v>
      </c>
      <c r="S158" s="3">
        <v>43284</v>
      </c>
      <c r="T158" t="s">
        <v>7319</v>
      </c>
      <c r="U158" t="s">
        <v>2874</v>
      </c>
      <c r="V158" t="s">
        <v>2875</v>
      </c>
      <c r="W158" t="s">
        <v>2434</v>
      </c>
      <c r="X158" s="2">
        <v>346</v>
      </c>
      <c r="Y158" t="s">
        <v>2</v>
      </c>
      <c r="Z158" t="s">
        <v>3</v>
      </c>
      <c r="AA158" s="5">
        <v>0</v>
      </c>
      <c r="AB158" t="s">
        <v>4</v>
      </c>
      <c r="AL158" t="s">
        <v>8126</v>
      </c>
    </row>
    <row r="159" spans="1:38">
      <c r="A159" t="s">
        <v>2788</v>
      </c>
      <c r="B159" t="s">
        <v>2548</v>
      </c>
      <c r="C159" t="s">
        <v>2488</v>
      </c>
      <c r="D159" t="s">
        <v>2489</v>
      </c>
      <c r="E159" s="2">
        <v>4850</v>
      </c>
      <c r="F159" s="2">
        <v>4850</v>
      </c>
      <c r="G159" s="3">
        <v>43277</v>
      </c>
      <c r="H159" s="4">
        <v>0.40604166666667002</v>
      </c>
      <c r="I159" s="3">
        <v>43277</v>
      </c>
      <c r="J159" s="4">
        <v>0.99009259259258997</v>
      </c>
      <c r="K159" s="2">
        <v>0</v>
      </c>
      <c r="L159" t="s">
        <v>0</v>
      </c>
      <c r="M159" t="s">
        <v>5041</v>
      </c>
      <c r="N159" s="3">
        <v>43284</v>
      </c>
      <c r="O159" s="3">
        <v>43279</v>
      </c>
      <c r="P159" t="s">
        <v>13</v>
      </c>
      <c r="Q159" t="s">
        <v>2549</v>
      </c>
      <c r="R159" t="s">
        <v>820</v>
      </c>
      <c r="S159" s="3">
        <v>43284</v>
      </c>
      <c r="T159" t="s">
        <v>7320</v>
      </c>
      <c r="U159" t="s">
        <v>2491</v>
      </c>
      <c r="V159" t="s">
        <v>2492</v>
      </c>
      <c r="W159" t="s">
        <v>2434</v>
      </c>
      <c r="X159" s="2">
        <v>346</v>
      </c>
      <c r="Y159" t="s">
        <v>2</v>
      </c>
      <c r="Z159" t="s">
        <v>3</v>
      </c>
      <c r="AA159" s="5">
        <v>0</v>
      </c>
      <c r="AB159" t="s">
        <v>17</v>
      </c>
      <c r="AL159" t="s">
        <v>8127</v>
      </c>
    </row>
    <row r="160" spans="1:38">
      <c r="A160" t="s">
        <v>2788</v>
      </c>
      <c r="B160" t="s">
        <v>2550</v>
      </c>
      <c r="C160" t="s">
        <v>2488</v>
      </c>
      <c r="D160" t="s">
        <v>2489</v>
      </c>
      <c r="E160" s="2">
        <v>5000</v>
      </c>
      <c r="F160" s="2">
        <v>5000</v>
      </c>
      <c r="G160" s="3">
        <v>43278</v>
      </c>
      <c r="H160" s="4">
        <v>1.0925925925930001E-2</v>
      </c>
      <c r="I160" s="3">
        <v>43278</v>
      </c>
      <c r="J160" s="4">
        <v>0.61304398148147998</v>
      </c>
      <c r="K160" s="2">
        <v>0</v>
      </c>
      <c r="L160" t="s">
        <v>0</v>
      </c>
      <c r="M160" t="s">
        <v>2840</v>
      </c>
      <c r="N160" s="3">
        <v>43284</v>
      </c>
      <c r="O160" s="3">
        <v>43280</v>
      </c>
      <c r="P160" t="s">
        <v>13</v>
      </c>
      <c r="Q160" t="s">
        <v>2551</v>
      </c>
      <c r="R160" t="s">
        <v>820</v>
      </c>
      <c r="S160" s="3">
        <v>43284</v>
      </c>
      <c r="T160" t="s">
        <v>7321</v>
      </c>
      <c r="U160" t="s">
        <v>2491</v>
      </c>
      <c r="V160" t="s">
        <v>2492</v>
      </c>
      <c r="W160" t="s">
        <v>2434</v>
      </c>
      <c r="X160" s="2">
        <v>346</v>
      </c>
      <c r="Y160" t="s">
        <v>2</v>
      </c>
      <c r="Z160" t="s">
        <v>3</v>
      </c>
      <c r="AA160" s="5">
        <v>0</v>
      </c>
      <c r="AB160" t="s">
        <v>17</v>
      </c>
      <c r="AL160" t="s">
        <v>8128</v>
      </c>
    </row>
    <row r="161" spans="1:38">
      <c r="A161" t="s">
        <v>2788</v>
      </c>
      <c r="B161" t="s">
        <v>2552</v>
      </c>
      <c r="C161" t="s">
        <v>2488</v>
      </c>
      <c r="D161" t="s">
        <v>2489</v>
      </c>
      <c r="E161" s="2">
        <v>5725</v>
      </c>
      <c r="F161" s="2">
        <v>5725</v>
      </c>
      <c r="G161" s="3">
        <v>43278</v>
      </c>
      <c r="H161" s="4">
        <v>0.63387731481481002</v>
      </c>
      <c r="I161" s="3">
        <v>43279</v>
      </c>
      <c r="J161" s="4">
        <v>0.32329861111111002</v>
      </c>
      <c r="K161" s="2">
        <v>0</v>
      </c>
      <c r="L161" t="s">
        <v>0</v>
      </c>
      <c r="M161" t="s">
        <v>5042</v>
      </c>
      <c r="N161" s="3">
        <v>43285</v>
      </c>
      <c r="O161" s="3">
        <v>43281</v>
      </c>
      <c r="P161" t="s">
        <v>13</v>
      </c>
      <c r="Q161" t="s">
        <v>2553</v>
      </c>
      <c r="R161" t="s">
        <v>820</v>
      </c>
      <c r="S161" s="3">
        <v>43285</v>
      </c>
      <c r="T161" t="s">
        <v>7322</v>
      </c>
      <c r="U161" t="s">
        <v>2491</v>
      </c>
      <c r="V161" t="s">
        <v>2492</v>
      </c>
      <c r="W161" t="s">
        <v>2434</v>
      </c>
      <c r="X161" s="2">
        <v>346</v>
      </c>
      <c r="Y161" t="s">
        <v>2</v>
      </c>
      <c r="Z161" t="s">
        <v>3</v>
      </c>
      <c r="AA161" s="5">
        <v>0</v>
      </c>
      <c r="AB161" t="s">
        <v>17</v>
      </c>
      <c r="AL161" t="s">
        <v>8129</v>
      </c>
    </row>
    <row r="162" spans="1:38">
      <c r="A162" t="s">
        <v>2788</v>
      </c>
      <c r="B162" t="s">
        <v>7323</v>
      </c>
      <c r="C162" t="s">
        <v>2886</v>
      </c>
      <c r="D162" t="s">
        <v>2887</v>
      </c>
      <c r="E162" s="2">
        <v>5000</v>
      </c>
      <c r="F162" s="2">
        <v>5000</v>
      </c>
      <c r="G162" s="3">
        <v>43279</v>
      </c>
      <c r="H162" s="4">
        <v>0.34413194444444001</v>
      </c>
      <c r="I162" s="3">
        <v>43279</v>
      </c>
      <c r="J162" s="4">
        <v>0.94625000000000004</v>
      </c>
      <c r="K162" s="2">
        <v>0</v>
      </c>
      <c r="L162" t="s">
        <v>0</v>
      </c>
      <c r="M162" t="s">
        <v>2840</v>
      </c>
      <c r="N162" s="3"/>
      <c r="O162" s="3">
        <v>43281</v>
      </c>
      <c r="P162" t="s">
        <v>2847</v>
      </c>
      <c r="Q162" t="s">
        <v>5043</v>
      </c>
      <c r="R162" t="s">
        <v>820</v>
      </c>
      <c r="S162" s="3">
        <v>43295</v>
      </c>
      <c r="T162" t="s">
        <v>7324</v>
      </c>
      <c r="U162" t="s">
        <v>2820</v>
      </c>
      <c r="V162" t="s">
        <v>2888</v>
      </c>
      <c r="W162" t="s">
        <v>2434</v>
      </c>
      <c r="X162" s="2">
        <v>346</v>
      </c>
      <c r="Y162" t="s">
        <v>2</v>
      </c>
      <c r="Z162" t="s">
        <v>3</v>
      </c>
      <c r="AA162" s="5">
        <v>0</v>
      </c>
      <c r="AB162" t="s">
        <v>17</v>
      </c>
      <c r="AL162" t="s">
        <v>8130</v>
      </c>
    </row>
    <row r="163" spans="1:38">
      <c r="A163" t="s">
        <v>2788</v>
      </c>
      <c r="B163" t="s">
        <v>2882</v>
      </c>
      <c r="C163" t="s">
        <v>2883</v>
      </c>
      <c r="D163" t="s">
        <v>2884</v>
      </c>
      <c r="E163" s="2">
        <v>2000</v>
      </c>
      <c r="F163" s="2">
        <v>2000</v>
      </c>
      <c r="G163" s="3">
        <v>43279</v>
      </c>
      <c r="H163" s="4">
        <v>0.96708333333332996</v>
      </c>
      <c r="I163" s="3">
        <v>43280</v>
      </c>
      <c r="J163" s="4">
        <v>0.20792824074074001</v>
      </c>
      <c r="K163" s="2">
        <v>0</v>
      </c>
      <c r="L163" t="s">
        <v>0</v>
      </c>
      <c r="M163" t="s">
        <v>2804</v>
      </c>
      <c r="N163" s="3">
        <v>43287</v>
      </c>
      <c r="O163" s="3">
        <v>43282</v>
      </c>
      <c r="P163" t="s">
        <v>2435</v>
      </c>
      <c r="Q163" t="s">
        <v>2885</v>
      </c>
      <c r="R163" t="s">
        <v>820</v>
      </c>
      <c r="S163" s="3">
        <v>43287</v>
      </c>
      <c r="T163" t="s">
        <v>7325</v>
      </c>
      <c r="U163" t="s">
        <v>2874</v>
      </c>
      <c r="V163">
        <v>7001</v>
      </c>
      <c r="W163" t="s">
        <v>2434</v>
      </c>
      <c r="X163" s="2">
        <v>346</v>
      </c>
      <c r="Y163" t="s">
        <v>2</v>
      </c>
      <c r="Z163" t="s">
        <v>3</v>
      </c>
      <c r="AA163" s="5">
        <v>0</v>
      </c>
      <c r="AB163" t="s">
        <v>17</v>
      </c>
      <c r="AL163" t="s">
        <v>8131</v>
      </c>
    </row>
    <row r="164" spans="1:38">
      <c r="A164" t="s">
        <v>2788</v>
      </c>
      <c r="B164" t="s">
        <v>2894</v>
      </c>
      <c r="C164" t="s">
        <v>2895</v>
      </c>
      <c r="D164" t="s">
        <v>2896</v>
      </c>
      <c r="E164" s="2">
        <v>1300</v>
      </c>
      <c r="F164" s="2">
        <v>1300</v>
      </c>
      <c r="G164" s="3">
        <v>43280</v>
      </c>
      <c r="H164" s="4">
        <v>0.22876157407407</v>
      </c>
      <c r="I164" s="3">
        <v>43280</v>
      </c>
      <c r="J164" s="4">
        <v>0.3853125</v>
      </c>
      <c r="K164" s="2">
        <v>0</v>
      </c>
      <c r="L164" t="s">
        <v>0</v>
      </c>
      <c r="M164" t="s">
        <v>2897</v>
      </c>
      <c r="N164" s="3">
        <v>43285</v>
      </c>
      <c r="O164" s="3">
        <v>43282</v>
      </c>
      <c r="P164" t="s">
        <v>2435</v>
      </c>
      <c r="Q164" t="s">
        <v>2898</v>
      </c>
      <c r="R164" t="s">
        <v>820</v>
      </c>
      <c r="S164" s="3">
        <v>43285</v>
      </c>
      <c r="T164" t="s">
        <v>7326</v>
      </c>
      <c r="U164" t="s">
        <v>2899</v>
      </c>
      <c r="V164" t="s">
        <v>2437</v>
      </c>
      <c r="W164" t="s">
        <v>2434</v>
      </c>
      <c r="X164" s="2">
        <v>346</v>
      </c>
      <c r="Y164" t="s">
        <v>2</v>
      </c>
      <c r="Z164" t="s">
        <v>3</v>
      </c>
      <c r="AA164" s="5">
        <v>0</v>
      </c>
      <c r="AB164" t="s">
        <v>17</v>
      </c>
      <c r="AL164" t="s">
        <v>8132</v>
      </c>
    </row>
    <row r="165" spans="1:38">
      <c r="A165" t="s">
        <v>2788</v>
      </c>
      <c r="B165" t="s">
        <v>5725</v>
      </c>
      <c r="C165" t="s">
        <v>2789</v>
      </c>
      <c r="D165" t="s">
        <v>2790</v>
      </c>
      <c r="E165" s="2">
        <v>1000</v>
      </c>
      <c r="F165" s="2">
        <v>1000</v>
      </c>
      <c r="G165" s="3">
        <v>43281</v>
      </c>
      <c r="H165" s="4">
        <v>0.87957175925926001</v>
      </c>
      <c r="I165" s="3">
        <v>43282</v>
      </c>
      <c r="J165" s="4">
        <v>0</v>
      </c>
      <c r="K165" s="2">
        <v>0</v>
      </c>
      <c r="L165" t="s">
        <v>0</v>
      </c>
      <c r="M165" t="s">
        <v>2821</v>
      </c>
      <c r="N165" s="3"/>
      <c r="O165" s="3">
        <v>43294</v>
      </c>
      <c r="P165" t="s">
        <v>2791</v>
      </c>
      <c r="Q165" t="s">
        <v>7035</v>
      </c>
      <c r="R165" t="s">
        <v>820</v>
      </c>
      <c r="S165" s="3">
        <v>43307</v>
      </c>
      <c r="T165" t="s">
        <v>1</v>
      </c>
      <c r="U165" t="s">
        <v>2792</v>
      </c>
      <c r="V165">
        <v>111</v>
      </c>
      <c r="W165" t="s">
        <v>2793</v>
      </c>
      <c r="X165" s="2">
        <v>0</v>
      </c>
      <c r="Y165" t="s">
        <v>2</v>
      </c>
      <c r="Z165" t="s">
        <v>3</v>
      </c>
      <c r="AA165" s="5">
        <v>0</v>
      </c>
      <c r="AB165" t="s">
        <v>29</v>
      </c>
      <c r="AL165" t="s">
        <v>8133</v>
      </c>
    </row>
    <row r="166" spans="1:38">
      <c r="A166" t="s">
        <v>2788</v>
      </c>
      <c r="B166" t="s">
        <v>7327</v>
      </c>
      <c r="C166" t="s">
        <v>7328</v>
      </c>
      <c r="D166" t="s">
        <v>7329</v>
      </c>
      <c r="E166" s="2">
        <v>1000</v>
      </c>
      <c r="F166" s="2">
        <v>1000</v>
      </c>
      <c r="G166" s="3">
        <v>43287</v>
      </c>
      <c r="H166" s="4">
        <v>2.0833333333330002E-2</v>
      </c>
      <c r="I166" s="3">
        <v>43287</v>
      </c>
      <c r="J166" s="4">
        <v>0.14126157407407</v>
      </c>
      <c r="K166" s="2">
        <v>20</v>
      </c>
      <c r="L166" t="s">
        <v>0</v>
      </c>
      <c r="M166" t="s">
        <v>2821</v>
      </c>
      <c r="N166" s="3">
        <v>43290</v>
      </c>
      <c r="O166" s="3">
        <v>43289</v>
      </c>
      <c r="P166" t="s">
        <v>13</v>
      </c>
      <c r="Q166" t="s">
        <v>7330</v>
      </c>
      <c r="R166" t="s">
        <v>820</v>
      </c>
      <c r="S166" s="3">
        <v>43290</v>
      </c>
      <c r="T166" t="s">
        <v>7331</v>
      </c>
      <c r="U166" t="s">
        <v>2454</v>
      </c>
      <c r="V166" t="s">
        <v>7332</v>
      </c>
      <c r="W166" t="s">
        <v>2434</v>
      </c>
      <c r="X166" s="2">
        <v>346</v>
      </c>
      <c r="Y166" t="s">
        <v>2</v>
      </c>
      <c r="Z166" t="s">
        <v>3</v>
      </c>
      <c r="AA166" s="5">
        <v>0</v>
      </c>
      <c r="AB166" t="s">
        <v>17</v>
      </c>
      <c r="AL166" t="s">
        <v>8134</v>
      </c>
    </row>
    <row r="167" spans="1:38">
      <c r="A167" t="s">
        <v>2788</v>
      </c>
      <c r="B167" t="s">
        <v>2904</v>
      </c>
      <c r="C167" t="s">
        <v>2905</v>
      </c>
      <c r="D167" t="s">
        <v>2906</v>
      </c>
      <c r="E167" s="2">
        <v>5000</v>
      </c>
      <c r="F167" s="2">
        <v>5000</v>
      </c>
      <c r="G167" s="3">
        <v>43287</v>
      </c>
      <c r="H167" s="4">
        <v>0.39788194444444003</v>
      </c>
      <c r="I167" s="3">
        <v>43288</v>
      </c>
      <c r="J167" s="4">
        <v>0</v>
      </c>
      <c r="K167" s="2">
        <v>0</v>
      </c>
      <c r="L167" t="s">
        <v>0</v>
      </c>
      <c r="M167" t="s">
        <v>2840</v>
      </c>
      <c r="N167" s="3">
        <v>43291</v>
      </c>
      <c r="O167" s="3">
        <v>43289</v>
      </c>
      <c r="P167" t="s">
        <v>2907</v>
      </c>
      <c r="Q167" t="s">
        <v>2908</v>
      </c>
      <c r="R167" t="s">
        <v>820</v>
      </c>
      <c r="S167" s="3">
        <v>43291</v>
      </c>
      <c r="T167" t="s">
        <v>7333</v>
      </c>
      <c r="U167" t="s">
        <v>2458</v>
      </c>
      <c r="V167" t="s">
        <v>2909</v>
      </c>
      <c r="W167" t="s">
        <v>2434</v>
      </c>
      <c r="X167" s="2">
        <v>346</v>
      </c>
      <c r="Y167" t="s">
        <v>2</v>
      </c>
      <c r="Z167" t="s">
        <v>3</v>
      </c>
      <c r="AA167" s="5">
        <v>0</v>
      </c>
      <c r="AB167" t="s">
        <v>17</v>
      </c>
      <c r="AL167" t="s">
        <v>8135</v>
      </c>
    </row>
    <row r="168" spans="1:38">
      <c r="A168" t="s">
        <v>2788</v>
      </c>
      <c r="B168" t="s">
        <v>2902</v>
      </c>
      <c r="C168" t="s">
        <v>2808</v>
      </c>
      <c r="D168" t="s">
        <v>2809</v>
      </c>
      <c r="E168" s="2">
        <v>1000</v>
      </c>
      <c r="F168" s="2">
        <v>1000</v>
      </c>
      <c r="G168" s="3">
        <v>43287</v>
      </c>
      <c r="H168" s="4">
        <v>0.87957175925926001</v>
      </c>
      <c r="I168" s="3">
        <v>43288</v>
      </c>
      <c r="J168" s="4">
        <v>0</v>
      </c>
      <c r="K168" s="2">
        <v>20</v>
      </c>
      <c r="L168" t="s">
        <v>0</v>
      </c>
      <c r="M168" t="s">
        <v>2821</v>
      </c>
      <c r="N168" s="3">
        <v>43291</v>
      </c>
      <c r="O168" s="3">
        <v>43289</v>
      </c>
      <c r="P168" t="s">
        <v>2490</v>
      </c>
      <c r="Q168" t="s">
        <v>2903</v>
      </c>
      <c r="R168" t="s">
        <v>820</v>
      </c>
      <c r="S168" s="3">
        <v>43291</v>
      </c>
      <c r="T168" t="s">
        <v>7334</v>
      </c>
      <c r="U168" t="s">
        <v>2810</v>
      </c>
      <c r="V168">
        <v>780</v>
      </c>
      <c r="W168" t="s">
        <v>2434</v>
      </c>
      <c r="X168" s="2">
        <v>346</v>
      </c>
      <c r="Y168" t="s">
        <v>2</v>
      </c>
      <c r="Z168" t="s">
        <v>3</v>
      </c>
      <c r="AA168" s="5">
        <v>0</v>
      </c>
      <c r="AB168" t="s">
        <v>17</v>
      </c>
      <c r="AL168" t="s">
        <v>8136</v>
      </c>
    </row>
    <row r="169" spans="1:38">
      <c r="A169" t="s">
        <v>2788</v>
      </c>
      <c r="B169" t="s">
        <v>2900</v>
      </c>
      <c r="C169" t="s">
        <v>2817</v>
      </c>
      <c r="D169" t="s">
        <v>2818</v>
      </c>
      <c r="E169" s="2">
        <v>2000</v>
      </c>
      <c r="F169" s="2">
        <v>2000</v>
      </c>
      <c r="G169" s="3">
        <v>43288</v>
      </c>
      <c r="H169" s="4">
        <v>0.625</v>
      </c>
      <c r="I169" s="3">
        <v>43288</v>
      </c>
      <c r="J169" s="4">
        <v>0.86584490740741005</v>
      </c>
      <c r="K169" s="2">
        <v>20</v>
      </c>
      <c r="L169" t="s">
        <v>0</v>
      </c>
      <c r="M169" t="s">
        <v>2804</v>
      </c>
      <c r="N169" s="3">
        <v>43291</v>
      </c>
      <c r="O169" s="3">
        <v>43290</v>
      </c>
      <c r="P169" t="s">
        <v>2432</v>
      </c>
      <c r="Q169" t="s">
        <v>2901</v>
      </c>
      <c r="R169" t="s">
        <v>820</v>
      </c>
      <c r="S169" s="3">
        <v>43291</v>
      </c>
      <c r="T169" t="s">
        <v>7335</v>
      </c>
      <c r="U169" t="s">
        <v>2819</v>
      </c>
      <c r="V169">
        <v>75008</v>
      </c>
      <c r="W169" t="s">
        <v>2434</v>
      </c>
      <c r="X169" s="2">
        <v>346</v>
      </c>
      <c r="Y169" t="s">
        <v>2</v>
      </c>
      <c r="Z169" t="s">
        <v>3</v>
      </c>
      <c r="AA169" s="5">
        <v>0</v>
      </c>
      <c r="AB169" t="s">
        <v>17</v>
      </c>
      <c r="AI169" t="s">
        <v>6643</v>
      </c>
      <c r="AL169" t="s">
        <v>8137</v>
      </c>
    </row>
    <row r="170" spans="1:38">
      <c r="A170" t="s">
        <v>2788</v>
      </c>
      <c r="B170" t="s">
        <v>5044</v>
      </c>
      <c r="C170" t="s">
        <v>5045</v>
      </c>
      <c r="D170" t="s">
        <v>5046</v>
      </c>
      <c r="E170" s="2">
        <v>5000</v>
      </c>
      <c r="F170" s="2">
        <v>5000</v>
      </c>
      <c r="G170" s="3">
        <v>43288</v>
      </c>
      <c r="H170" s="4">
        <v>0.65450231481481003</v>
      </c>
      <c r="I170" s="3">
        <v>43289</v>
      </c>
      <c r="J170" s="4">
        <v>0.25662037037037</v>
      </c>
      <c r="K170" s="2">
        <v>0</v>
      </c>
      <c r="L170" t="s">
        <v>0</v>
      </c>
      <c r="M170" t="s">
        <v>2840</v>
      </c>
      <c r="N170" s="3">
        <v>43290</v>
      </c>
      <c r="O170" s="3">
        <v>43291</v>
      </c>
      <c r="P170" t="s">
        <v>13</v>
      </c>
      <c r="Q170" t="s">
        <v>5047</v>
      </c>
      <c r="R170" t="s">
        <v>820</v>
      </c>
      <c r="S170" s="3">
        <v>43290</v>
      </c>
      <c r="T170" t="s">
        <v>7336</v>
      </c>
      <c r="U170" t="s">
        <v>2595</v>
      </c>
      <c r="V170" t="s">
        <v>5048</v>
      </c>
      <c r="W170" t="s">
        <v>2434</v>
      </c>
      <c r="X170" s="2">
        <v>346</v>
      </c>
      <c r="Y170" t="s">
        <v>2</v>
      </c>
      <c r="Z170" t="s">
        <v>3</v>
      </c>
      <c r="AA170" s="5">
        <v>0</v>
      </c>
      <c r="AB170" t="s">
        <v>17</v>
      </c>
      <c r="AI170" t="s">
        <v>6643</v>
      </c>
      <c r="AL170" t="s">
        <v>8138</v>
      </c>
    </row>
    <row r="171" spans="1:38">
      <c r="A171" t="s">
        <v>2788</v>
      </c>
      <c r="B171" t="s">
        <v>2910</v>
      </c>
      <c r="C171" t="s">
        <v>2830</v>
      </c>
      <c r="D171" t="s">
        <v>2831</v>
      </c>
      <c r="E171" s="2">
        <v>6000</v>
      </c>
      <c r="F171" s="2">
        <v>6000</v>
      </c>
      <c r="G171" s="3">
        <v>43289</v>
      </c>
      <c r="H171" s="4">
        <v>0.27745370370369998</v>
      </c>
      <c r="I171" s="3">
        <v>43290</v>
      </c>
      <c r="J171" s="4">
        <v>0</v>
      </c>
      <c r="K171" s="2">
        <v>0</v>
      </c>
      <c r="L171" t="s">
        <v>0</v>
      </c>
      <c r="M171" t="s">
        <v>2911</v>
      </c>
      <c r="N171" s="3">
        <v>43298</v>
      </c>
      <c r="O171" s="3">
        <v>43296</v>
      </c>
      <c r="P171" t="s">
        <v>13</v>
      </c>
      <c r="Q171" t="s">
        <v>2912</v>
      </c>
      <c r="R171" t="s">
        <v>822</v>
      </c>
      <c r="S171" s="3">
        <v>43298</v>
      </c>
      <c r="T171" t="s">
        <v>7337</v>
      </c>
      <c r="U171" t="s">
        <v>2794</v>
      </c>
      <c r="V171" t="s">
        <v>2832</v>
      </c>
      <c r="W171" t="s">
        <v>2793</v>
      </c>
      <c r="X171" s="2">
        <v>346</v>
      </c>
      <c r="Y171" t="s">
        <v>2</v>
      </c>
      <c r="Z171" t="s">
        <v>3</v>
      </c>
      <c r="AA171" s="5">
        <v>0</v>
      </c>
      <c r="AB171" t="s">
        <v>17</v>
      </c>
      <c r="AL171" t="s">
        <v>8139</v>
      </c>
    </row>
    <row r="172" spans="1:38">
      <c r="A172" t="s">
        <v>2788</v>
      </c>
      <c r="B172" t="s">
        <v>2913</v>
      </c>
      <c r="C172" t="s">
        <v>2837</v>
      </c>
      <c r="D172" t="s">
        <v>2838</v>
      </c>
      <c r="E172" s="2">
        <v>5000</v>
      </c>
      <c r="F172" s="2">
        <v>5000</v>
      </c>
      <c r="G172" s="3">
        <v>43290</v>
      </c>
      <c r="H172" s="4">
        <v>0.39788194444444003</v>
      </c>
      <c r="I172" s="3">
        <v>43291</v>
      </c>
      <c r="J172" s="4">
        <v>0</v>
      </c>
      <c r="K172" s="2">
        <v>0</v>
      </c>
      <c r="L172" t="s">
        <v>0</v>
      </c>
      <c r="M172" t="s">
        <v>2840</v>
      </c>
      <c r="N172" s="3">
        <v>43298</v>
      </c>
      <c r="O172" s="3">
        <v>43297</v>
      </c>
      <c r="P172" t="s">
        <v>13</v>
      </c>
      <c r="Q172" t="s">
        <v>2914</v>
      </c>
      <c r="R172" t="s">
        <v>822</v>
      </c>
      <c r="S172" s="3">
        <v>43298</v>
      </c>
      <c r="T172" t="s">
        <v>7338</v>
      </c>
      <c r="U172" t="s">
        <v>2794</v>
      </c>
      <c r="V172" t="s">
        <v>2839</v>
      </c>
      <c r="W172" t="s">
        <v>2793</v>
      </c>
      <c r="X172" s="2">
        <v>346</v>
      </c>
      <c r="Y172" t="s">
        <v>2</v>
      </c>
      <c r="Z172" t="s">
        <v>3</v>
      </c>
      <c r="AA172" s="5">
        <v>0</v>
      </c>
      <c r="AB172" t="s">
        <v>17</v>
      </c>
      <c r="AL172" t="s">
        <v>8140</v>
      </c>
    </row>
    <row r="173" spans="1:38">
      <c r="A173" t="s">
        <v>2788</v>
      </c>
      <c r="B173" t="s">
        <v>2938</v>
      </c>
      <c r="C173" t="s">
        <v>2939</v>
      </c>
      <c r="D173" t="s">
        <v>2940</v>
      </c>
      <c r="E173" s="2">
        <v>2000</v>
      </c>
      <c r="F173" s="2">
        <v>2000</v>
      </c>
      <c r="G173" s="3">
        <v>43290</v>
      </c>
      <c r="H173" s="4">
        <v>0.75915509259258995</v>
      </c>
      <c r="I173" s="3">
        <v>43291</v>
      </c>
      <c r="J173" s="4">
        <v>0</v>
      </c>
      <c r="K173" s="2">
        <v>20</v>
      </c>
      <c r="L173" t="s">
        <v>0</v>
      </c>
      <c r="M173" t="s">
        <v>2804</v>
      </c>
      <c r="N173" s="3">
        <v>43293</v>
      </c>
      <c r="O173" s="3">
        <v>43292</v>
      </c>
      <c r="P173" t="s">
        <v>2435</v>
      </c>
      <c r="Q173" t="s">
        <v>2941</v>
      </c>
      <c r="R173" t="s">
        <v>820</v>
      </c>
      <c r="S173" s="3">
        <v>43293</v>
      </c>
      <c r="T173" t="s">
        <v>7339</v>
      </c>
      <c r="U173" t="s">
        <v>2810</v>
      </c>
      <c r="V173">
        <v>701</v>
      </c>
      <c r="W173" t="s">
        <v>2434</v>
      </c>
      <c r="X173" s="2">
        <v>346</v>
      </c>
      <c r="Y173" t="s">
        <v>2</v>
      </c>
      <c r="Z173" t="s">
        <v>3</v>
      </c>
      <c r="AA173" s="5">
        <v>0</v>
      </c>
      <c r="AB173" t="s">
        <v>17</v>
      </c>
      <c r="AL173" t="s">
        <v>8141</v>
      </c>
    </row>
    <row r="174" spans="1:38">
      <c r="A174" t="s">
        <v>2788</v>
      </c>
      <c r="B174" t="s">
        <v>2581</v>
      </c>
      <c r="C174" t="s">
        <v>2488</v>
      </c>
      <c r="D174" t="s">
        <v>2489</v>
      </c>
      <c r="E174" s="2">
        <v>5000</v>
      </c>
      <c r="F174" s="2">
        <v>5000</v>
      </c>
      <c r="G174" s="3">
        <v>43291</v>
      </c>
      <c r="H174" s="4">
        <v>0.39788194444444003</v>
      </c>
      <c r="I174" s="3">
        <v>43292</v>
      </c>
      <c r="J174" s="4">
        <v>0</v>
      </c>
      <c r="K174" s="2">
        <v>0</v>
      </c>
      <c r="L174" t="s">
        <v>0</v>
      </c>
      <c r="M174" t="s">
        <v>2840</v>
      </c>
      <c r="N174" s="3">
        <v>43294</v>
      </c>
      <c r="O174" s="3">
        <v>43293</v>
      </c>
      <c r="P174" t="s">
        <v>13</v>
      </c>
      <c r="Q174" t="s">
        <v>2582</v>
      </c>
      <c r="R174" t="s">
        <v>820</v>
      </c>
      <c r="S174" s="3">
        <v>43294</v>
      </c>
      <c r="T174" t="s">
        <v>7340</v>
      </c>
      <c r="U174" t="s">
        <v>2491</v>
      </c>
      <c r="V174" t="s">
        <v>2492</v>
      </c>
      <c r="W174" t="s">
        <v>2434</v>
      </c>
      <c r="X174" s="2">
        <v>346</v>
      </c>
      <c r="Y174" t="s">
        <v>2</v>
      </c>
      <c r="Z174" t="s">
        <v>3</v>
      </c>
      <c r="AA174" s="5">
        <v>0</v>
      </c>
      <c r="AB174" t="s">
        <v>17</v>
      </c>
      <c r="AL174" t="s">
        <v>8142</v>
      </c>
    </row>
    <row r="175" spans="1:38">
      <c r="A175" t="s">
        <v>2788</v>
      </c>
      <c r="B175" t="s">
        <v>2604</v>
      </c>
      <c r="C175" t="s">
        <v>2488</v>
      </c>
      <c r="D175" t="s">
        <v>2489</v>
      </c>
      <c r="E175" s="2">
        <v>5000</v>
      </c>
      <c r="F175" s="2">
        <v>5000</v>
      </c>
      <c r="G175" s="3">
        <v>43291</v>
      </c>
      <c r="H175" s="4">
        <v>0.39788194444444003</v>
      </c>
      <c r="I175" s="3">
        <v>43292</v>
      </c>
      <c r="J175" s="4">
        <v>0</v>
      </c>
      <c r="K175" s="2">
        <v>0</v>
      </c>
      <c r="L175" t="s">
        <v>0</v>
      </c>
      <c r="M175" t="s">
        <v>2840</v>
      </c>
      <c r="N175" s="3">
        <v>43294</v>
      </c>
      <c r="O175" s="3">
        <v>43293</v>
      </c>
      <c r="P175" t="s">
        <v>13</v>
      </c>
      <c r="Q175" t="s">
        <v>2605</v>
      </c>
      <c r="R175" t="s">
        <v>820</v>
      </c>
      <c r="S175" s="3">
        <v>43294</v>
      </c>
      <c r="T175" t="s">
        <v>7341</v>
      </c>
      <c r="U175" t="s">
        <v>2491</v>
      </c>
      <c r="V175" t="s">
        <v>2492</v>
      </c>
      <c r="W175" t="s">
        <v>2434</v>
      </c>
      <c r="X175" s="2">
        <v>346</v>
      </c>
      <c r="Y175" t="s">
        <v>2</v>
      </c>
      <c r="Z175" t="s">
        <v>3</v>
      </c>
      <c r="AA175" s="5">
        <v>0</v>
      </c>
      <c r="AB175" t="s">
        <v>17</v>
      </c>
      <c r="AL175" t="s">
        <v>8143</v>
      </c>
    </row>
    <row r="176" spans="1:38">
      <c r="A176" t="s">
        <v>2788</v>
      </c>
      <c r="B176" t="s">
        <v>2915</v>
      </c>
      <c r="C176" t="s">
        <v>2916</v>
      </c>
      <c r="D176" t="s">
        <v>2917</v>
      </c>
      <c r="E176" s="2">
        <v>1000</v>
      </c>
      <c r="F176" s="2">
        <v>1000</v>
      </c>
      <c r="G176" s="3">
        <v>43292</v>
      </c>
      <c r="H176" s="4">
        <v>0.87957175925926001</v>
      </c>
      <c r="I176" s="3">
        <v>43293</v>
      </c>
      <c r="J176" s="4">
        <v>0</v>
      </c>
      <c r="K176" s="2">
        <v>20</v>
      </c>
      <c r="L176" t="s">
        <v>0</v>
      </c>
      <c r="M176" t="s">
        <v>2821</v>
      </c>
      <c r="N176" s="3">
        <v>43298</v>
      </c>
      <c r="O176" s="3">
        <v>43294</v>
      </c>
      <c r="P176" t="s">
        <v>2507</v>
      </c>
      <c r="Q176" t="s">
        <v>2918</v>
      </c>
      <c r="R176" t="s">
        <v>820</v>
      </c>
      <c r="S176" s="3">
        <v>43298</v>
      </c>
      <c r="T176" t="s">
        <v>7342</v>
      </c>
      <c r="U176" t="s">
        <v>2458</v>
      </c>
      <c r="V176">
        <v>8952</v>
      </c>
      <c r="W176" t="s">
        <v>2434</v>
      </c>
      <c r="X176" s="2">
        <v>346</v>
      </c>
      <c r="Y176" t="s">
        <v>2</v>
      </c>
      <c r="Z176" t="s">
        <v>3</v>
      </c>
      <c r="AA176" s="5">
        <v>0</v>
      </c>
      <c r="AB176" t="s">
        <v>17</v>
      </c>
      <c r="AL176" t="s">
        <v>8144</v>
      </c>
    </row>
    <row r="177" spans="1:38">
      <c r="A177" t="s">
        <v>2788</v>
      </c>
      <c r="B177" t="s">
        <v>2919</v>
      </c>
      <c r="C177" t="s">
        <v>2920</v>
      </c>
      <c r="D177" t="s">
        <v>2921</v>
      </c>
      <c r="E177" s="2">
        <v>6475</v>
      </c>
      <c r="F177" s="2">
        <v>6475</v>
      </c>
      <c r="G177" s="3">
        <v>43295</v>
      </c>
      <c r="H177" s="4">
        <v>0.22025462962962999</v>
      </c>
      <c r="I177" s="3">
        <v>43296</v>
      </c>
      <c r="J177" s="4">
        <v>0</v>
      </c>
      <c r="K177" s="2">
        <v>20</v>
      </c>
      <c r="L177" t="s">
        <v>0</v>
      </c>
      <c r="M177" t="s">
        <v>7034</v>
      </c>
      <c r="N177" s="3">
        <v>43298</v>
      </c>
      <c r="O177" s="3">
        <v>43297</v>
      </c>
      <c r="P177" t="s">
        <v>2922</v>
      </c>
      <c r="Q177" t="s">
        <v>2923</v>
      </c>
      <c r="R177" t="s">
        <v>820</v>
      </c>
      <c r="S177" s="3">
        <v>43298</v>
      </c>
      <c r="T177" t="s">
        <v>7343</v>
      </c>
      <c r="U177" t="s">
        <v>2810</v>
      </c>
      <c r="V177">
        <v>111</v>
      </c>
      <c r="W177" t="s">
        <v>2434</v>
      </c>
      <c r="X177" s="2">
        <v>346</v>
      </c>
      <c r="Y177" t="s">
        <v>2</v>
      </c>
      <c r="Z177" t="s">
        <v>3</v>
      </c>
      <c r="AA177" s="5">
        <v>0</v>
      </c>
      <c r="AB177" t="s">
        <v>17</v>
      </c>
      <c r="AL177" t="s">
        <v>8145</v>
      </c>
    </row>
    <row r="178" spans="1:38">
      <c r="A178" t="s">
        <v>2788</v>
      </c>
      <c r="B178" t="s">
        <v>2924</v>
      </c>
      <c r="C178" t="s">
        <v>2925</v>
      </c>
      <c r="D178" t="s">
        <v>2926</v>
      </c>
      <c r="E178" s="2">
        <v>5000</v>
      </c>
      <c r="F178" s="2">
        <v>5000</v>
      </c>
      <c r="G178" s="3">
        <v>43296</v>
      </c>
      <c r="H178" s="4">
        <v>0.39788194444444003</v>
      </c>
      <c r="I178" s="3">
        <v>43297</v>
      </c>
      <c r="J178" s="4">
        <v>0</v>
      </c>
      <c r="K178" s="2">
        <v>20</v>
      </c>
      <c r="L178" t="s">
        <v>0</v>
      </c>
      <c r="M178" t="s">
        <v>2840</v>
      </c>
      <c r="N178" s="3">
        <v>43299</v>
      </c>
      <c r="O178" s="3">
        <v>43298</v>
      </c>
      <c r="P178" t="s">
        <v>2490</v>
      </c>
      <c r="Q178" t="s">
        <v>2927</v>
      </c>
      <c r="R178" t="s">
        <v>820</v>
      </c>
      <c r="S178" s="3">
        <v>43299</v>
      </c>
      <c r="T178" t="s">
        <v>7344</v>
      </c>
      <c r="U178" t="s">
        <v>2557</v>
      </c>
      <c r="V178" t="s">
        <v>2928</v>
      </c>
      <c r="W178" t="s">
        <v>2434</v>
      </c>
      <c r="X178" s="2">
        <v>346</v>
      </c>
      <c r="Y178" t="s">
        <v>2</v>
      </c>
      <c r="Z178" t="s">
        <v>3</v>
      </c>
      <c r="AA178" s="5">
        <v>0</v>
      </c>
      <c r="AB178" t="s">
        <v>17</v>
      </c>
      <c r="AL178" t="s">
        <v>8146</v>
      </c>
    </row>
    <row r="179" spans="1:38">
      <c r="A179" t="s">
        <v>2788</v>
      </c>
      <c r="B179" t="s">
        <v>2929</v>
      </c>
      <c r="C179" t="s">
        <v>2930</v>
      </c>
      <c r="D179" t="s">
        <v>2931</v>
      </c>
      <c r="E179" s="2">
        <v>1000</v>
      </c>
      <c r="F179" s="2">
        <v>1000</v>
      </c>
      <c r="G179" s="3">
        <v>43298</v>
      </c>
      <c r="H179" s="4">
        <v>0.87957175925926001</v>
      </c>
      <c r="I179" s="3">
        <v>43299</v>
      </c>
      <c r="J179" s="4">
        <v>0</v>
      </c>
      <c r="K179" s="2">
        <v>0</v>
      </c>
      <c r="L179" t="s">
        <v>0</v>
      </c>
      <c r="M179" t="s">
        <v>2821</v>
      </c>
      <c r="N179" s="3">
        <v>43301</v>
      </c>
      <c r="O179" s="3">
        <v>43300</v>
      </c>
      <c r="P179" t="s">
        <v>2490</v>
      </c>
      <c r="Q179" t="s">
        <v>2932</v>
      </c>
      <c r="R179" t="s">
        <v>820</v>
      </c>
      <c r="S179" s="3">
        <v>43301</v>
      </c>
      <c r="T179" t="s">
        <v>7345</v>
      </c>
      <c r="U179" t="s">
        <v>2595</v>
      </c>
      <c r="V179" t="s">
        <v>2933</v>
      </c>
      <c r="W179" t="s">
        <v>2434</v>
      </c>
      <c r="X179" s="2">
        <v>346</v>
      </c>
      <c r="Y179" t="s">
        <v>2</v>
      </c>
      <c r="Z179" t="s">
        <v>3</v>
      </c>
      <c r="AA179" s="5">
        <v>0</v>
      </c>
      <c r="AB179" t="s">
        <v>17</v>
      </c>
      <c r="AL179" t="s">
        <v>8147</v>
      </c>
    </row>
    <row r="180" spans="1:38">
      <c r="A180" t="s">
        <v>2788</v>
      </c>
      <c r="B180" t="s">
        <v>7346</v>
      </c>
      <c r="C180" t="s">
        <v>2934</v>
      </c>
      <c r="D180" t="s">
        <v>2935</v>
      </c>
      <c r="E180" s="2">
        <v>20000</v>
      </c>
      <c r="F180" s="2">
        <v>20000</v>
      </c>
      <c r="G180" s="3">
        <v>43299</v>
      </c>
      <c r="H180" s="4">
        <v>2.0833333333330002E-2</v>
      </c>
      <c r="I180" s="3">
        <v>43301</v>
      </c>
      <c r="J180" s="4">
        <v>0.42930555555555999</v>
      </c>
      <c r="K180" s="2">
        <v>0</v>
      </c>
      <c r="L180" t="s">
        <v>0</v>
      </c>
      <c r="M180" t="s">
        <v>2936</v>
      </c>
      <c r="N180" s="3">
        <v>43304</v>
      </c>
      <c r="O180" s="3">
        <v>43303</v>
      </c>
      <c r="P180" t="s">
        <v>13</v>
      </c>
      <c r="Q180" t="s">
        <v>7347</v>
      </c>
      <c r="R180" t="s">
        <v>820</v>
      </c>
      <c r="S180" s="3">
        <v>43304</v>
      </c>
      <c r="U180" t="s">
        <v>2937</v>
      </c>
      <c r="V180">
        <v>100</v>
      </c>
      <c r="W180" t="s">
        <v>2434</v>
      </c>
      <c r="X180" s="2">
        <v>346</v>
      </c>
      <c r="Y180" t="s">
        <v>2</v>
      </c>
      <c r="Z180" t="s">
        <v>3</v>
      </c>
      <c r="AA180" s="5">
        <v>0</v>
      </c>
      <c r="AB180" t="s">
        <v>17</v>
      </c>
      <c r="AL180" t="s">
        <v>8593</v>
      </c>
    </row>
    <row r="181" spans="1:38">
      <c r="A181" t="s">
        <v>2943</v>
      </c>
      <c r="B181" t="s">
        <v>2848</v>
      </c>
      <c r="C181" t="s">
        <v>2849</v>
      </c>
      <c r="D181" t="s">
        <v>2850</v>
      </c>
      <c r="E181" s="2">
        <v>73</v>
      </c>
      <c r="F181" s="2">
        <v>3123</v>
      </c>
      <c r="G181" s="3">
        <v>43270</v>
      </c>
      <c r="H181" s="4">
        <v>0</v>
      </c>
      <c r="I181" s="3">
        <v>43270</v>
      </c>
      <c r="J181" s="4">
        <v>0.31055555555556003</v>
      </c>
      <c r="K181" s="2">
        <v>0</v>
      </c>
      <c r="L181" t="s">
        <v>0</v>
      </c>
      <c r="M181" t="s">
        <v>7348</v>
      </c>
      <c r="N181" s="3">
        <v>43277</v>
      </c>
      <c r="O181" s="3">
        <v>43272</v>
      </c>
      <c r="P181" t="s">
        <v>2435</v>
      </c>
      <c r="Q181" t="s">
        <v>2851</v>
      </c>
      <c r="R181" t="s">
        <v>820</v>
      </c>
      <c r="S181" s="3">
        <v>43277</v>
      </c>
      <c r="T181" t="s">
        <v>7349</v>
      </c>
      <c r="U181" t="s">
        <v>2526</v>
      </c>
      <c r="V181" t="s">
        <v>2852</v>
      </c>
      <c r="X181" s="2">
        <v>419</v>
      </c>
      <c r="Y181" t="s">
        <v>2</v>
      </c>
      <c r="Z181" t="s">
        <v>3</v>
      </c>
      <c r="AA181" s="5">
        <v>0</v>
      </c>
      <c r="AB181" t="s">
        <v>4</v>
      </c>
      <c r="AL181" t="s">
        <v>8148</v>
      </c>
    </row>
    <row r="182" spans="1:38">
      <c r="A182" t="s">
        <v>2943</v>
      </c>
      <c r="B182" t="s">
        <v>2853</v>
      </c>
      <c r="C182" t="s">
        <v>2800</v>
      </c>
      <c r="D182" t="s">
        <v>2801</v>
      </c>
      <c r="E182" s="2">
        <v>4360</v>
      </c>
      <c r="F182" s="2">
        <v>10410</v>
      </c>
      <c r="G182" s="3">
        <v>43271</v>
      </c>
      <c r="H182" s="4">
        <v>2.0833333333330002E-2</v>
      </c>
      <c r="I182" s="3">
        <v>43272</v>
      </c>
      <c r="J182" s="4">
        <v>5.6041666666670001E-2</v>
      </c>
      <c r="K182" s="2">
        <v>20</v>
      </c>
      <c r="L182" t="s">
        <v>0</v>
      </c>
      <c r="M182" t="s">
        <v>7350</v>
      </c>
      <c r="N182" s="3">
        <v>43290</v>
      </c>
      <c r="O182" s="3">
        <v>43274</v>
      </c>
      <c r="P182" t="s">
        <v>13</v>
      </c>
      <c r="Q182" t="s">
        <v>2854</v>
      </c>
      <c r="R182" t="s">
        <v>820</v>
      </c>
      <c r="S182" s="3">
        <v>43290</v>
      </c>
      <c r="T182" t="s">
        <v>7351</v>
      </c>
      <c r="U182" t="s">
        <v>2802</v>
      </c>
      <c r="V182" t="s">
        <v>2803</v>
      </c>
      <c r="W182" t="s">
        <v>2434</v>
      </c>
      <c r="X182" s="2">
        <v>419</v>
      </c>
      <c r="Y182" t="s">
        <v>2</v>
      </c>
      <c r="Z182" t="s">
        <v>3</v>
      </c>
      <c r="AA182" s="5">
        <v>0</v>
      </c>
      <c r="AB182" t="s">
        <v>4</v>
      </c>
      <c r="AL182" t="s">
        <v>8149</v>
      </c>
    </row>
    <row r="183" spans="1:38">
      <c r="A183" t="s">
        <v>2943</v>
      </c>
      <c r="B183" t="s">
        <v>5039</v>
      </c>
      <c r="C183" t="s">
        <v>2811</v>
      </c>
      <c r="D183" t="s">
        <v>2812</v>
      </c>
      <c r="E183" s="2">
        <v>10490</v>
      </c>
      <c r="F183" s="2">
        <v>10490</v>
      </c>
      <c r="G183" s="3">
        <v>43272</v>
      </c>
      <c r="H183" s="4">
        <v>7.6874999999999999E-2</v>
      </c>
      <c r="I183" s="3">
        <v>43273</v>
      </c>
      <c r="J183" s="4">
        <v>0.12003472222222</v>
      </c>
      <c r="K183" s="2">
        <v>0</v>
      </c>
      <c r="L183" t="s">
        <v>0</v>
      </c>
      <c r="M183" t="s">
        <v>7352</v>
      </c>
      <c r="N183" s="3">
        <v>43285</v>
      </c>
      <c r="O183" s="3">
        <v>43280</v>
      </c>
      <c r="P183" t="s">
        <v>2813</v>
      </c>
      <c r="Q183" t="s">
        <v>5040</v>
      </c>
      <c r="R183" t="s">
        <v>820</v>
      </c>
      <c r="S183" s="3">
        <v>43285</v>
      </c>
      <c r="T183" t="s">
        <v>7353</v>
      </c>
      <c r="U183" t="s">
        <v>2814</v>
      </c>
      <c r="V183" t="s">
        <v>2815</v>
      </c>
      <c r="W183" t="s">
        <v>2793</v>
      </c>
      <c r="X183" s="2">
        <v>419</v>
      </c>
      <c r="Y183" t="s">
        <v>2</v>
      </c>
      <c r="Z183" t="s">
        <v>3</v>
      </c>
      <c r="AA183" s="5">
        <v>0</v>
      </c>
      <c r="AB183" t="s">
        <v>4</v>
      </c>
      <c r="AL183" t="s">
        <v>8150</v>
      </c>
    </row>
    <row r="184" spans="1:38">
      <c r="A184" t="s">
        <v>2943</v>
      </c>
      <c r="B184" t="s">
        <v>5706</v>
      </c>
      <c r="C184" t="s">
        <v>2811</v>
      </c>
      <c r="D184" t="s">
        <v>2812</v>
      </c>
      <c r="E184" s="2">
        <v>1049</v>
      </c>
      <c r="F184" s="2">
        <v>1049</v>
      </c>
      <c r="G184" s="3">
        <v>43273</v>
      </c>
      <c r="H184" s="4">
        <v>0.47359953703704</v>
      </c>
      <c r="I184" s="3">
        <v>43273</v>
      </c>
      <c r="J184" s="4">
        <v>0.57791666666666996</v>
      </c>
      <c r="K184" s="2">
        <v>20</v>
      </c>
      <c r="L184" t="s">
        <v>0</v>
      </c>
      <c r="M184" t="s">
        <v>7354</v>
      </c>
      <c r="N184" s="3">
        <v>43285</v>
      </c>
      <c r="O184" s="3">
        <v>43280</v>
      </c>
      <c r="P184" t="s">
        <v>2813</v>
      </c>
      <c r="Q184" t="s">
        <v>5707</v>
      </c>
      <c r="R184" t="s">
        <v>820</v>
      </c>
      <c r="S184" s="3">
        <v>43285</v>
      </c>
      <c r="T184" t="s">
        <v>7355</v>
      </c>
      <c r="U184" t="s">
        <v>2814</v>
      </c>
      <c r="V184" t="s">
        <v>2815</v>
      </c>
      <c r="W184" t="s">
        <v>2793</v>
      </c>
      <c r="X184" s="2">
        <v>419</v>
      </c>
      <c r="Y184" t="s">
        <v>2</v>
      </c>
      <c r="Z184" t="s">
        <v>3</v>
      </c>
      <c r="AA184" s="5">
        <v>0</v>
      </c>
      <c r="AB184" t="s">
        <v>4</v>
      </c>
      <c r="AL184" t="s">
        <v>8151</v>
      </c>
    </row>
    <row r="185" spans="1:38">
      <c r="A185" t="s">
        <v>2943</v>
      </c>
      <c r="B185" t="s">
        <v>2860</v>
      </c>
      <c r="C185" t="s">
        <v>2811</v>
      </c>
      <c r="D185" t="s">
        <v>2812</v>
      </c>
      <c r="E185" s="2">
        <v>2098</v>
      </c>
      <c r="F185" s="2">
        <v>2098</v>
      </c>
      <c r="G185" s="3">
        <v>43273</v>
      </c>
      <c r="H185" s="4">
        <v>0.59875</v>
      </c>
      <c r="I185" s="3">
        <v>43273</v>
      </c>
      <c r="J185" s="4">
        <v>0.80738425925926005</v>
      </c>
      <c r="K185" s="2">
        <v>20</v>
      </c>
      <c r="L185" t="s">
        <v>0</v>
      </c>
      <c r="M185" t="s">
        <v>7356</v>
      </c>
      <c r="N185" s="3">
        <v>43285</v>
      </c>
      <c r="O185" s="3">
        <v>43280</v>
      </c>
      <c r="P185" t="s">
        <v>2813</v>
      </c>
      <c r="Q185" t="s">
        <v>2861</v>
      </c>
      <c r="R185" t="s">
        <v>820</v>
      </c>
      <c r="S185" s="3">
        <v>43285</v>
      </c>
      <c r="T185" t="s">
        <v>7357</v>
      </c>
      <c r="U185" t="s">
        <v>2814</v>
      </c>
      <c r="V185" t="s">
        <v>2815</v>
      </c>
      <c r="W185" t="s">
        <v>2793</v>
      </c>
      <c r="X185" s="2">
        <v>419</v>
      </c>
      <c r="Y185" t="s">
        <v>2</v>
      </c>
      <c r="Z185" t="s">
        <v>3</v>
      </c>
      <c r="AA185" s="5">
        <v>0</v>
      </c>
      <c r="AB185" t="s">
        <v>4</v>
      </c>
      <c r="AL185" t="s">
        <v>8152</v>
      </c>
    </row>
    <row r="186" spans="1:38">
      <c r="A186" t="s">
        <v>2943</v>
      </c>
      <c r="B186" t="s">
        <v>7358</v>
      </c>
      <c r="C186" t="s">
        <v>2811</v>
      </c>
      <c r="D186" t="s">
        <v>2812</v>
      </c>
      <c r="E186" s="2">
        <v>500</v>
      </c>
      <c r="F186" s="2">
        <v>500</v>
      </c>
      <c r="G186" s="3">
        <v>43273</v>
      </c>
      <c r="H186" s="4">
        <v>0.91666666666666996</v>
      </c>
      <c r="I186" s="3">
        <v>43273</v>
      </c>
      <c r="J186" s="4">
        <v>0.96638888888888996</v>
      </c>
      <c r="K186" s="2">
        <v>0</v>
      </c>
      <c r="L186" t="s">
        <v>0</v>
      </c>
      <c r="M186" t="s">
        <v>5050</v>
      </c>
      <c r="N186" s="3"/>
      <c r="O186" s="3">
        <v>43280</v>
      </c>
      <c r="P186" t="s">
        <v>2813</v>
      </c>
      <c r="Q186" t="s">
        <v>2862</v>
      </c>
      <c r="R186" t="s">
        <v>820</v>
      </c>
      <c r="S186" s="3">
        <v>43295</v>
      </c>
      <c r="T186" t="s">
        <v>7359</v>
      </c>
      <c r="U186" t="s">
        <v>2814</v>
      </c>
      <c r="V186" t="s">
        <v>2815</v>
      </c>
      <c r="W186" t="s">
        <v>2793</v>
      </c>
      <c r="X186" s="2">
        <v>419</v>
      </c>
      <c r="Y186" t="s">
        <v>2</v>
      </c>
      <c r="Z186" t="s">
        <v>3</v>
      </c>
      <c r="AA186" s="5">
        <v>0</v>
      </c>
      <c r="AB186" t="s">
        <v>17</v>
      </c>
      <c r="AL186" t="s">
        <v>8153</v>
      </c>
    </row>
    <row r="187" spans="1:38">
      <c r="A187" t="s">
        <v>2943</v>
      </c>
      <c r="B187" t="s">
        <v>2841</v>
      </c>
      <c r="C187" t="s">
        <v>2842</v>
      </c>
      <c r="D187" t="s">
        <v>2843</v>
      </c>
      <c r="E187" s="5">
        <v>4934.34</v>
      </c>
      <c r="F187" s="5">
        <v>4934.34</v>
      </c>
      <c r="G187" s="3">
        <v>43274</v>
      </c>
      <c r="H187" s="4">
        <v>7.9791666666669994E-2</v>
      </c>
      <c r="I187" s="3">
        <v>43274</v>
      </c>
      <c r="J187" s="4">
        <v>0.57047453703703999</v>
      </c>
      <c r="K187" s="2">
        <v>20</v>
      </c>
      <c r="L187" t="s">
        <v>0</v>
      </c>
      <c r="M187" t="s">
        <v>7360</v>
      </c>
      <c r="N187" s="3">
        <v>43283</v>
      </c>
      <c r="O187" s="3">
        <v>43281</v>
      </c>
      <c r="P187" t="s">
        <v>2806</v>
      </c>
      <c r="Q187" t="s">
        <v>2844</v>
      </c>
      <c r="R187" t="s">
        <v>820</v>
      </c>
      <c r="S187" s="3">
        <v>43283</v>
      </c>
      <c r="T187" t="s">
        <v>7361</v>
      </c>
      <c r="U187" t="s">
        <v>2807</v>
      </c>
      <c r="V187" t="s">
        <v>2437</v>
      </c>
      <c r="W187" t="s">
        <v>2793</v>
      </c>
      <c r="X187" s="2">
        <v>419</v>
      </c>
      <c r="Y187" t="s">
        <v>2</v>
      </c>
      <c r="Z187" t="s">
        <v>3</v>
      </c>
      <c r="AA187" s="5">
        <v>0</v>
      </c>
      <c r="AB187" t="s">
        <v>4</v>
      </c>
      <c r="AL187" t="s">
        <v>8154</v>
      </c>
    </row>
    <row r="188" spans="1:38">
      <c r="A188" t="s">
        <v>2943</v>
      </c>
      <c r="B188" t="s">
        <v>7362</v>
      </c>
      <c r="C188" t="s">
        <v>2845</v>
      </c>
      <c r="D188" t="s">
        <v>2846</v>
      </c>
      <c r="E188" s="2">
        <v>3060</v>
      </c>
      <c r="F188" s="2">
        <v>3060</v>
      </c>
      <c r="G188" s="3">
        <v>43274</v>
      </c>
      <c r="H188" s="4">
        <v>0.66666666666666996</v>
      </c>
      <c r="I188" s="3">
        <v>43274</v>
      </c>
      <c r="J188" s="4">
        <v>0.97096064814814997</v>
      </c>
      <c r="K188" s="2">
        <v>0</v>
      </c>
      <c r="L188" t="s">
        <v>0</v>
      </c>
      <c r="M188" t="s">
        <v>7363</v>
      </c>
      <c r="N188" s="3"/>
      <c r="O188" s="3">
        <v>43276</v>
      </c>
      <c r="P188" t="s">
        <v>2806</v>
      </c>
      <c r="Q188" t="s">
        <v>7364</v>
      </c>
      <c r="R188" t="s">
        <v>820</v>
      </c>
      <c r="S188" s="3">
        <v>43284</v>
      </c>
      <c r="T188" t="s">
        <v>7365</v>
      </c>
      <c r="U188" t="s">
        <v>2805</v>
      </c>
      <c r="V188" t="s">
        <v>2437</v>
      </c>
      <c r="W188" t="s">
        <v>2793</v>
      </c>
      <c r="X188" s="2">
        <v>419</v>
      </c>
      <c r="Y188" t="s">
        <v>2</v>
      </c>
      <c r="Z188" t="s">
        <v>3</v>
      </c>
      <c r="AA188" s="5">
        <v>0</v>
      </c>
      <c r="AB188" t="s">
        <v>17</v>
      </c>
      <c r="AL188" t="s">
        <v>8155</v>
      </c>
    </row>
    <row r="189" spans="1:38">
      <c r="A189" t="s">
        <v>2943</v>
      </c>
      <c r="B189" t="s">
        <v>2950</v>
      </c>
      <c r="C189" t="s">
        <v>2947</v>
      </c>
      <c r="D189" t="s">
        <v>2948</v>
      </c>
      <c r="E189" s="2">
        <v>10000</v>
      </c>
      <c r="F189" s="2">
        <v>10000</v>
      </c>
      <c r="G189" s="3">
        <v>43275</v>
      </c>
      <c r="H189" s="4">
        <v>4.1666666666670002E-2</v>
      </c>
      <c r="I189" s="3">
        <v>43276</v>
      </c>
      <c r="J189" s="4">
        <v>3.6099537037039997E-2</v>
      </c>
      <c r="K189" s="2">
        <v>0</v>
      </c>
      <c r="L189" t="s">
        <v>0</v>
      </c>
      <c r="M189" t="s">
        <v>2944</v>
      </c>
      <c r="N189" s="3"/>
      <c r="O189" s="3">
        <v>43283</v>
      </c>
      <c r="P189" t="s">
        <v>2435</v>
      </c>
      <c r="Q189" t="s">
        <v>2961</v>
      </c>
      <c r="R189" t="s">
        <v>820</v>
      </c>
      <c r="S189" s="3">
        <v>43278</v>
      </c>
      <c r="T189" t="s">
        <v>1</v>
      </c>
      <c r="U189" t="s">
        <v>2799</v>
      </c>
      <c r="V189">
        <v>71003</v>
      </c>
      <c r="W189" t="s">
        <v>2628</v>
      </c>
      <c r="X189" s="2">
        <v>0</v>
      </c>
      <c r="Y189" t="s">
        <v>2</v>
      </c>
      <c r="Z189" t="s">
        <v>3</v>
      </c>
      <c r="AA189" s="5">
        <v>0</v>
      </c>
      <c r="AB189" t="s">
        <v>29</v>
      </c>
      <c r="AL189" t="s">
        <v>8156</v>
      </c>
    </row>
    <row r="190" spans="1:38">
      <c r="A190" t="s">
        <v>2943</v>
      </c>
      <c r="B190" t="s">
        <v>2946</v>
      </c>
      <c r="C190" t="s">
        <v>2947</v>
      </c>
      <c r="D190" t="s">
        <v>2948</v>
      </c>
      <c r="E190" s="2">
        <v>10000</v>
      </c>
      <c r="F190" s="2">
        <v>10000</v>
      </c>
      <c r="G190" s="3">
        <v>43277</v>
      </c>
      <c r="H190" s="4">
        <v>0.375</v>
      </c>
      <c r="I190" s="3">
        <v>43278</v>
      </c>
      <c r="J190" s="4">
        <v>0.36943287037036998</v>
      </c>
      <c r="K190" s="2">
        <v>0</v>
      </c>
      <c r="L190" t="s">
        <v>0</v>
      </c>
      <c r="M190" t="s">
        <v>2944</v>
      </c>
      <c r="N190" s="3"/>
      <c r="O190" s="3">
        <v>43285</v>
      </c>
      <c r="P190" t="s">
        <v>2435</v>
      </c>
      <c r="Q190" t="s">
        <v>2951</v>
      </c>
      <c r="R190" t="s">
        <v>820</v>
      </c>
      <c r="S190" s="3">
        <v>43279</v>
      </c>
      <c r="T190" t="s">
        <v>1</v>
      </c>
      <c r="U190" t="s">
        <v>2799</v>
      </c>
      <c r="V190">
        <v>71003</v>
      </c>
      <c r="W190" t="s">
        <v>2628</v>
      </c>
      <c r="X190" s="2">
        <v>0</v>
      </c>
      <c r="Y190" t="s">
        <v>2</v>
      </c>
      <c r="Z190" t="s">
        <v>3</v>
      </c>
      <c r="AA190" s="5">
        <v>0</v>
      </c>
      <c r="AB190" t="s">
        <v>29</v>
      </c>
      <c r="AL190" t="s">
        <v>8157</v>
      </c>
    </row>
    <row r="191" spans="1:38">
      <c r="A191" t="s">
        <v>2943</v>
      </c>
      <c r="B191" t="s">
        <v>2972</v>
      </c>
      <c r="C191" t="s">
        <v>2947</v>
      </c>
      <c r="D191" t="s">
        <v>2948</v>
      </c>
      <c r="E191" s="2">
        <v>10000</v>
      </c>
      <c r="F191" s="2">
        <v>10000</v>
      </c>
      <c r="G191" s="3">
        <v>43278</v>
      </c>
      <c r="H191" s="4">
        <v>0.41666666666667002</v>
      </c>
      <c r="I191" s="3">
        <v>43279</v>
      </c>
      <c r="J191" s="4">
        <v>0.41109953703704</v>
      </c>
      <c r="K191" s="2">
        <v>0</v>
      </c>
      <c r="L191" t="s">
        <v>0</v>
      </c>
      <c r="M191" t="s">
        <v>2944</v>
      </c>
      <c r="N191" s="3"/>
      <c r="O191" s="3">
        <v>43286</v>
      </c>
      <c r="P191" t="s">
        <v>2435</v>
      </c>
      <c r="Q191" t="s">
        <v>2949</v>
      </c>
      <c r="R191" t="s">
        <v>820</v>
      </c>
      <c r="S191" s="3">
        <v>43280</v>
      </c>
      <c r="T191" t="s">
        <v>1</v>
      </c>
      <c r="U191" t="s">
        <v>2799</v>
      </c>
      <c r="V191">
        <v>71003</v>
      </c>
      <c r="W191" t="s">
        <v>2628</v>
      </c>
      <c r="X191" s="2">
        <v>0</v>
      </c>
      <c r="Y191" t="s">
        <v>2</v>
      </c>
      <c r="Z191" t="s">
        <v>3</v>
      </c>
      <c r="AA191" s="5">
        <v>0</v>
      </c>
      <c r="AB191" t="s">
        <v>29</v>
      </c>
      <c r="AL191" t="s">
        <v>8158</v>
      </c>
    </row>
    <row r="192" spans="1:38">
      <c r="A192" t="s">
        <v>2943</v>
      </c>
      <c r="B192" t="s">
        <v>2974</v>
      </c>
      <c r="C192" t="s">
        <v>2947</v>
      </c>
      <c r="D192" t="s">
        <v>2948</v>
      </c>
      <c r="E192" s="2">
        <v>10000</v>
      </c>
      <c r="F192" s="2">
        <v>10000</v>
      </c>
      <c r="G192" s="3">
        <v>43279</v>
      </c>
      <c r="H192" s="4">
        <v>0.5</v>
      </c>
      <c r="I192" s="3">
        <v>43280</v>
      </c>
      <c r="J192" s="4">
        <v>0.49443287037036998</v>
      </c>
      <c r="K192" s="2">
        <v>0</v>
      </c>
      <c r="L192" t="s">
        <v>0</v>
      </c>
      <c r="M192" t="s">
        <v>2944</v>
      </c>
      <c r="N192" s="3"/>
      <c r="O192" s="3">
        <v>43287</v>
      </c>
      <c r="P192" t="s">
        <v>2435</v>
      </c>
      <c r="Q192" t="s">
        <v>2973</v>
      </c>
      <c r="R192" t="s">
        <v>820</v>
      </c>
      <c r="S192" s="3">
        <v>43283</v>
      </c>
      <c r="T192" t="s">
        <v>1</v>
      </c>
      <c r="U192" t="s">
        <v>2799</v>
      </c>
      <c r="V192">
        <v>71003</v>
      </c>
      <c r="W192" t="s">
        <v>2628</v>
      </c>
      <c r="X192" s="2">
        <v>0</v>
      </c>
      <c r="Y192" t="s">
        <v>2</v>
      </c>
      <c r="Z192" t="s">
        <v>3</v>
      </c>
      <c r="AA192" s="5">
        <v>0</v>
      </c>
      <c r="AB192" t="s">
        <v>29</v>
      </c>
      <c r="AL192" t="s">
        <v>8159</v>
      </c>
    </row>
    <row r="193" spans="1:38">
      <c r="A193" t="s">
        <v>2943</v>
      </c>
      <c r="B193" t="s">
        <v>2960</v>
      </c>
      <c r="C193" t="s">
        <v>2947</v>
      </c>
      <c r="D193" t="s">
        <v>2948</v>
      </c>
      <c r="E193" s="2">
        <v>10000</v>
      </c>
      <c r="F193" s="2">
        <v>10000</v>
      </c>
      <c r="G193" s="3">
        <v>43280</v>
      </c>
      <c r="H193" s="4">
        <v>0.625</v>
      </c>
      <c r="I193" s="3">
        <v>43281</v>
      </c>
      <c r="J193" s="4">
        <v>0.61943287037036998</v>
      </c>
      <c r="K193" s="2">
        <v>0</v>
      </c>
      <c r="L193" t="s">
        <v>0</v>
      </c>
      <c r="M193" t="s">
        <v>2944</v>
      </c>
      <c r="N193" s="3"/>
      <c r="O193" s="3">
        <v>43288</v>
      </c>
      <c r="P193" t="s">
        <v>2435</v>
      </c>
      <c r="Q193" t="s">
        <v>2975</v>
      </c>
      <c r="R193" t="s">
        <v>820</v>
      </c>
      <c r="S193" s="3">
        <v>43283</v>
      </c>
      <c r="T193" t="s">
        <v>1</v>
      </c>
      <c r="U193" t="s">
        <v>2799</v>
      </c>
      <c r="V193">
        <v>71003</v>
      </c>
      <c r="W193" t="s">
        <v>2628</v>
      </c>
      <c r="X193" s="2">
        <v>0</v>
      </c>
      <c r="Y193" t="s">
        <v>2</v>
      </c>
      <c r="Z193" t="s">
        <v>3</v>
      </c>
      <c r="AA193" s="5">
        <v>0</v>
      </c>
      <c r="AB193" t="s">
        <v>29</v>
      </c>
      <c r="AL193" t="s">
        <v>8160</v>
      </c>
    </row>
    <row r="194" spans="1:38">
      <c r="A194" t="s">
        <v>2943</v>
      </c>
      <c r="B194" t="s">
        <v>2981</v>
      </c>
      <c r="C194" t="s">
        <v>2982</v>
      </c>
      <c r="D194" t="s">
        <v>2983</v>
      </c>
      <c r="E194" s="2">
        <v>300</v>
      </c>
      <c r="F194" s="2">
        <v>300</v>
      </c>
      <c r="G194" s="3">
        <v>43281</v>
      </c>
      <c r="H194" s="4">
        <v>0.70833333333333004</v>
      </c>
      <c r="I194" s="3">
        <v>43281</v>
      </c>
      <c r="J194" s="4">
        <v>0.73817129629629996</v>
      </c>
      <c r="K194" s="2">
        <v>0</v>
      </c>
      <c r="L194" t="s">
        <v>0</v>
      </c>
      <c r="M194" t="s">
        <v>2984</v>
      </c>
      <c r="N194" s="3">
        <v>43290</v>
      </c>
      <c r="O194" s="3">
        <v>43288</v>
      </c>
      <c r="P194" t="s">
        <v>13</v>
      </c>
      <c r="Q194" t="s">
        <v>2985</v>
      </c>
      <c r="R194" t="s">
        <v>820</v>
      </c>
      <c r="S194" s="3">
        <v>43290</v>
      </c>
      <c r="T194" t="s">
        <v>7366</v>
      </c>
      <c r="U194" t="s">
        <v>2945</v>
      </c>
      <c r="V194" t="s">
        <v>2986</v>
      </c>
      <c r="W194" t="s">
        <v>2793</v>
      </c>
      <c r="X194" s="2">
        <v>419</v>
      </c>
      <c r="Y194" t="s">
        <v>2</v>
      </c>
      <c r="Z194" t="s">
        <v>3</v>
      </c>
      <c r="AA194" s="5">
        <v>0</v>
      </c>
      <c r="AB194" t="s">
        <v>17</v>
      </c>
      <c r="AL194" t="s">
        <v>8161</v>
      </c>
    </row>
    <row r="195" spans="1:38">
      <c r="A195" t="s">
        <v>2943</v>
      </c>
      <c r="B195" t="s">
        <v>7036</v>
      </c>
      <c r="C195" t="s">
        <v>2947</v>
      </c>
      <c r="D195" t="s">
        <v>2948</v>
      </c>
      <c r="E195" s="2">
        <v>10000</v>
      </c>
      <c r="F195" s="2">
        <v>10000</v>
      </c>
      <c r="G195" s="3">
        <v>43287</v>
      </c>
      <c r="H195" s="4">
        <v>0.31031249999999999</v>
      </c>
      <c r="I195" s="3">
        <v>43288</v>
      </c>
      <c r="J195" s="4">
        <v>0.30474537037036997</v>
      </c>
      <c r="K195" s="2">
        <v>0</v>
      </c>
      <c r="L195" t="s">
        <v>0</v>
      </c>
      <c r="M195" t="s">
        <v>2944</v>
      </c>
      <c r="N195" s="3">
        <v>43295</v>
      </c>
      <c r="O195" s="3">
        <v>43306</v>
      </c>
      <c r="P195" t="s">
        <v>2435</v>
      </c>
      <c r="Q195" t="s">
        <v>7367</v>
      </c>
      <c r="R195" t="s">
        <v>820</v>
      </c>
      <c r="S195" s="3">
        <v>43307</v>
      </c>
      <c r="T195" t="s">
        <v>1</v>
      </c>
      <c r="U195" t="s">
        <v>2799</v>
      </c>
      <c r="V195">
        <v>71003</v>
      </c>
      <c r="W195" t="s">
        <v>2628</v>
      </c>
      <c r="X195" s="2">
        <v>0</v>
      </c>
      <c r="Y195" t="s">
        <v>2</v>
      </c>
      <c r="Z195" t="s">
        <v>3</v>
      </c>
      <c r="AA195" s="5">
        <v>0</v>
      </c>
      <c r="AB195" t="s">
        <v>29</v>
      </c>
      <c r="AL195" t="s">
        <v>8162</v>
      </c>
    </row>
    <row r="196" spans="1:38">
      <c r="A196" t="s">
        <v>2943</v>
      </c>
      <c r="B196" t="s">
        <v>7037</v>
      </c>
      <c r="C196" t="s">
        <v>2947</v>
      </c>
      <c r="D196" t="s">
        <v>2948</v>
      </c>
      <c r="E196" s="2">
        <v>10000</v>
      </c>
      <c r="F196" s="2">
        <v>10000</v>
      </c>
      <c r="G196" s="3">
        <v>43288</v>
      </c>
      <c r="H196" s="4">
        <v>0.32557870370370001</v>
      </c>
      <c r="I196" s="3">
        <v>43289</v>
      </c>
      <c r="J196" s="4">
        <v>0.32001157407406999</v>
      </c>
      <c r="K196" s="2">
        <v>0</v>
      </c>
      <c r="L196" t="s">
        <v>0</v>
      </c>
      <c r="M196" t="s">
        <v>2944</v>
      </c>
      <c r="N196" s="3">
        <v>43296</v>
      </c>
      <c r="O196" s="3">
        <v>43304</v>
      </c>
      <c r="P196" t="s">
        <v>2435</v>
      </c>
      <c r="Q196" t="s">
        <v>7368</v>
      </c>
      <c r="R196" t="s">
        <v>820</v>
      </c>
      <c r="S196" s="3">
        <v>43305</v>
      </c>
      <c r="T196" t="s">
        <v>1</v>
      </c>
      <c r="U196" t="s">
        <v>2799</v>
      </c>
      <c r="V196">
        <v>71003</v>
      </c>
      <c r="W196" t="s">
        <v>2628</v>
      </c>
      <c r="X196" s="2">
        <v>0</v>
      </c>
      <c r="Y196" t="s">
        <v>2</v>
      </c>
      <c r="Z196" t="s">
        <v>3</v>
      </c>
      <c r="AA196" s="5">
        <v>0</v>
      </c>
      <c r="AB196" t="s">
        <v>29</v>
      </c>
      <c r="AL196" t="s">
        <v>8163</v>
      </c>
    </row>
    <row r="197" spans="1:38">
      <c r="A197" t="s">
        <v>2943</v>
      </c>
      <c r="B197" t="s">
        <v>7369</v>
      </c>
      <c r="C197" t="s">
        <v>2811</v>
      </c>
      <c r="D197" t="s">
        <v>2812</v>
      </c>
      <c r="E197" s="2">
        <v>6000</v>
      </c>
      <c r="F197" s="2">
        <v>6000</v>
      </c>
      <c r="G197" s="3">
        <v>43289</v>
      </c>
      <c r="H197" s="4">
        <v>0.40334490740741002</v>
      </c>
      <c r="I197" s="3">
        <v>43290</v>
      </c>
      <c r="J197" s="4">
        <v>0</v>
      </c>
      <c r="K197" s="2">
        <v>0</v>
      </c>
      <c r="L197" t="s">
        <v>0</v>
      </c>
      <c r="M197" t="s">
        <v>7370</v>
      </c>
      <c r="N197" s="3">
        <v>43292</v>
      </c>
      <c r="O197" s="3">
        <v>43296</v>
      </c>
      <c r="P197" t="s">
        <v>2813</v>
      </c>
      <c r="Q197" t="s">
        <v>7371</v>
      </c>
      <c r="R197" t="s">
        <v>820</v>
      </c>
      <c r="S197" s="3">
        <v>43292</v>
      </c>
      <c r="T197" t="s">
        <v>7372</v>
      </c>
      <c r="U197" t="s">
        <v>2814</v>
      </c>
      <c r="V197" t="s">
        <v>2815</v>
      </c>
      <c r="W197" t="s">
        <v>2793</v>
      </c>
      <c r="X197" s="2">
        <v>419</v>
      </c>
      <c r="Y197" t="s">
        <v>2</v>
      </c>
      <c r="Z197" t="s">
        <v>3</v>
      </c>
      <c r="AA197" s="5">
        <v>0</v>
      </c>
      <c r="AB197" t="s">
        <v>17</v>
      </c>
      <c r="AL197" t="s">
        <v>8164</v>
      </c>
    </row>
    <row r="198" spans="1:38">
      <c r="A198" t="s">
        <v>2943</v>
      </c>
      <c r="B198" t="s">
        <v>2987</v>
      </c>
      <c r="C198" t="s">
        <v>2988</v>
      </c>
      <c r="D198" t="s">
        <v>2989</v>
      </c>
      <c r="E198" s="2">
        <v>1975</v>
      </c>
      <c r="F198" s="2">
        <v>1975</v>
      </c>
      <c r="G198" s="3">
        <v>43289</v>
      </c>
      <c r="H198" s="4">
        <v>0.80359953703704001</v>
      </c>
      <c r="I198" s="3">
        <v>43290</v>
      </c>
      <c r="J198" s="4">
        <v>0</v>
      </c>
      <c r="K198" s="2">
        <v>20</v>
      </c>
      <c r="L198" t="s">
        <v>0</v>
      </c>
      <c r="M198" t="s">
        <v>2990</v>
      </c>
      <c r="N198" s="3">
        <v>43292</v>
      </c>
      <c r="O198" s="3">
        <v>43291</v>
      </c>
      <c r="P198" t="s">
        <v>13</v>
      </c>
      <c r="Q198" t="s">
        <v>2991</v>
      </c>
      <c r="R198" t="s">
        <v>820</v>
      </c>
      <c r="S198" s="3">
        <v>43292</v>
      </c>
      <c r="T198" t="s">
        <v>7373</v>
      </c>
      <c r="U198" t="s">
        <v>2992</v>
      </c>
      <c r="V198" t="s">
        <v>2993</v>
      </c>
      <c r="W198" t="s">
        <v>2434</v>
      </c>
      <c r="X198" s="2">
        <v>419</v>
      </c>
      <c r="Y198" t="s">
        <v>2</v>
      </c>
      <c r="Z198" t="s">
        <v>3</v>
      </c>
      <c r="AA198" s="5">
        <v>0</v>
      </c>
      <c r="AB198" t="s">
        <v>17</v>
      </c>
      <c r="AL198" t="s">
        <v>8165</v>
      </c>
    </row>
    <row r="199" spans="1:38">
      <c r="A199" t="s">
        <v>2943</v>
      </c>
      <c r="B199" t="s">
        <v>7038</v>
      </c>
      <c r="C199" t="s">
        <v>2947</v>
      </c>
      <c r="D199" t="s">
        <v>2948</v>
      </c>
      <c r="E199" s="2">
        <v>10000</v>
      </c>
      <c r="F199" s="2">
        <v>10000</v>
      </c>
      <c r="G199" s="3">
        <v>43290</v>
      </c>
      <c r="H199" s="4">
        <v>0.97502314814815005</v>
      </c>
      <c r="I199" s="3">
        <v>43291</v>
      </c>
      <c r="J199" s="4">
        <v>0.96945601851852004</v>
      </c>
      <c r="K199" s="2">
        <v>0</v>
      </c>
      <c r="L199" t="s">
        <v>0</v>
      </c>
      <c r="M199" t="s">
        <v>2944</v>
      </c>
      <c r="N199" s="3">
        <v>43298</v>
      </c>
      <c r="O199" s="3">
        <v>43302</v>
      </c>
      <c r="P199" t="s">
        <v>2435</v>
      </c>
      <c r="Q199" t="s">
        <v>7374</v>
      </c>
      <c r="R199" t="s">
        <v>820</v>
      </c>
      <c r="S199" s="3">
        <v>43304</v>
      </c>
      <c r="T199" t="s">
        <v>1</v>
      </c>
      <c r="U199" t="s">
        <v>2799</v>
      </c>
      <c r="V199">
        <v>71003</v>
      </c>
      <c r="W199" t="s">
        <v>2628</v>
      </c>
      <c r="X199" s="2">
        <v>0</v>
      </c>
      <c r="Y199" t="s">
        <v>2</v>
      </c>
      <c r="Z199" t="s">
        <v>3</v>
      </c>
      <c r="AA199" s="5">
        <v>0</v>
      </c>
      <c r="AB199" t="s">
        <v>29</v>
      </c>
      <c r="AL199" t="s">
        <v>8166</v>
      </c>
    </row>
    <row r="200" spans="1:38">
      <c r="A200" t="s">
        <v>2943</v>
      </c>
      <c r="B200" t="s">
        <v>7039</v>
      </c>
      <c r="C200" t="s">
        <v>2947</v>
      </c>
      <c r="D200" t="s">
        <v>2948</v>
      </c>
      <c r="E200" s="2">
        <v>10000</v>
      </c>
      <c r="F200" s="2">
        <v>10000</v>
      </c>
      <c r="G200" s="3">
        <v>43291</v>
      </c>
      <c r="H200" s="4">
        <v>0.99028935185184996</v>
      </c>
      <c r="I200" s="3">
        <v>43292</v>
      </c>
      <c r="J200" s="4">
        <v>0.98472222222221995</v>
      </c>
      <c r="K200" s="2">
        <v>0</v>
      </c>
      <c r="L200" t="s">
        <v>0</v>
      </c>
      <c r="M200" t="s">
        <v>2944</v>
      </c>
      <c r="N200" s="3">
        <v>43299</v>
      </c>
      <c r="O200" s="3">
        <v>43301</v>
      </c>
      <c r="P200" t="s">
        <v>2435</v>
      </c>
      <c r="Q200" t="s">
        <v>7375</v>
      </c>
      <c r="R200" t="s">
        <v>820</v>
      </c>
      <c r="S200" s="3">
        <v>43304</v>
      </c>
      <c r="T200" t="s">
        <v>1</v>
      </c>
      <c r="U200" t="s">
        <v>2799</v>
      </c>
      <c r="V200">
        <v>71003</v>
      </c>
      <c r="W200" t="s">
        <v>2628</v>
      </c>
      <c r="X200" s="2">
        <v>0</v>
      </c>
      <c r="Y200" t="s">
        <v>2</v>
      </c>
      <c r="Z200" t="s">
        <v>3</v>
      </c>
      <c r="AA200" s="5">
        <v>0</v>
      </c>
      <c r="AB200" t="s">
        <v>29</v>
      </c>
      <c r="AL200" t="s">
        <v>8167</v>
      </c>
    </row>
    <row r="201" spans="1:38">
      <c r="A201" t="s">
        <v>2943</v>
      </c>
      <c r="B201" t="s">
        <v>7040</v>
      </c>
      <c r="C201" t="s">
        <v>2947</v>
      </c>
      <c r="D201" t="s">
        <v>2948</v>
      </c>
      <c r="E201" s="2">
        <v>10000</v>
      </c>
      <c r="F201" s="2">
        <v>10000</v>
      </c>
      <c r="G201" s="3">
        <v>43293</v>
      </c>
      <c r="H201" s="4">
        <v>5.5555555555600001E-3</v>
      </c>
      <c r="I201" s="3">
        <v>43293</v>
      </c>
      <c r="J201" s="4">
        <v>0.99998842592592996</v>
      </c>
      <c r="K201" s="2">
        <v>0</v>
      </c>
      <c r="L201" t="s">
        <v>0</v>
      </c>
      <c r="M201" t="s">
        <v>2944</v>
      </c>
      <c r="N201" s="3">
        <v>43300</v>
      </c>
      <c r="O201" s="3">
        <v>43300</v>
      </c>
      <c r="P201" t="s">
        <v>2435</v>
      </c>
      <c r="Q201" t="s">
        <v>7376</v>
      </c>
      <c r="R201" t="s">
        <v>820</v>
      </c>
      <c r="S201" s="3">
        <v>43301</v>
      </c>
      <c r="T201" t="s">
        <v>1</v>
      </c>
      <c r="U201" t="s">
        <v>2799</v>
      </c>
      <c r="V201">
        <v>71003</v>
      </c>
      <c r="W201" t="s">
        <v>2628</v>
      </c>
      <c r="X201" s="2">
        <v>0</v>
      </c>
      <c r="Y201" t="s">
        <v>2</v>
      </c>
      <c r="Z201" t="s">
        <v>3</v>
      </c>
      <c r="AA201" s="5">
        <v>0</v>
      </c>
      <c r="AB201" t="s">
        <v>29</v>
      </c>
      <c r="AL201" t="s">
        <v>8168</v>
      </c>
    </row>
    <row r="202" spans="1:38">
      <c r="A202" t="s">
        <v>2943</v>
      </c>
      <c r="B202" t="s">
        <v>5726</v>
      </c>
      <c r="C202" t="s">
        <v>2444</v>
      </c>
      <c r="D202" t="s">
        <v>2445</v>
      </c>
      <c r="E202" s="2">
        <v>1600</v>
      </c>
      <c r="F202" s="2">
        <v>1600</v>
      </c>
      <c r="G202" s="3">
        <v>43294</v>
      </c>
      <c r="H202" s="4">
        <v>0.84089120370369996</v>
      </c>
      <c r="I202" s="3">
        <v>43295</v>
      </c>
      <c r="J202" s="4">
        <v>0</v>
      </c>
      <c r="K202" s="2">
        <v>0</v>
      </c>
      <c r="L202" t="s">
        <v>0</v>
      </c>
      <c r="M202" t="s">
        <v>5727</v>
      </c>
      <c r="N202" s="3">
        <v>43297</v>
      </c>
      <c r="O202" s="3">
        <v>43296</v>
      </c>
      <c r="P202" t="s">
        <v>2432</v>
      </c>
      <c r="Q202" t="s">
        <v>5728</v>
      </c>
      <c r="R202" t="s">
        <v>820</v>
      </c>
      <c r="S202" s="3">
        <v>43297</v>
      </c>
      <c r="T202" t="s">
        <v>7377</v>
      </c>
      <c r="U202" t="s">
        <v>2446</v>
      </c>
      <c r="V202">
        <v>701</v>
      </c>
      <c r="W202" t="s">
        <v>2434</v>
      </c>
      <c r="X202" s="2">
        <v>419</v>
      </c>
      <c r="Y202" t="s">
        <v>2</v>
      </c>
      <c r="Z202" t="s">
        <v>3</v>
      </c>
      <c r="AA202" s="5">
        <v>0</v>
      </c>
      <c r="AB202" t="s">
        <v>17</v>
      </c>
      <c r="AL202" t="s">
        <v>8169</v>
      </c>
    </row>
    <row r="203" spans="1:38">
      <c r="A203" t="s">
        <v>2943</v>
      </c>
      <c r="B203" t="s">
        <v>7041</v>
      </c>
      <c r="C203" t="s">
        <v>2947</v>
      </c>
      <c r="D203" t="s">
        <v>2948</v>
      </c>
      <c r="E203" s="2">
        <v>10000</v>
      </c>
      <c r="F203" s="2">
        <v>10000</v>
      </c>
      <c r="G203" s="3">
        <v>43296</v>
      </c>
      <c r="H203" s="4">
        <v>5.5555555555600001E-3</v>
      </c>
      <c r="I203" s="3">
        <v>43296</v>
      </c>
      <c r="J203" s="4">
        <v>0.99998842592592996</v>
      </c>
      <c r="K203" s="2">
        <v>0</v>
      </c>
      <c r="L203" t="s">
        <v>0</v>
      </c>
      <c r="M203" t="s">
        <v>2944</v>
      </c>
      <c r="N203" s="3">
        <v>43303</v>
      </c>
      <c r="O203" s="3">
        <v>43303</v>
      </c>
      <c r="P203" t="s">
        <v>2435</v>
      </c>
      <c r="Q203" t="s">
        <v>7378</v>
      </c>
      <c r="R203" t="s">
        <v>820</v>
      </c>
      <c r="S203" s="3">
        <v>43304</v>
      </c>
      <c r="T203" t="s">
        <v>1</v>
      </c>
      <c r="U203" t="s">
        <v>2799</v>
      </c>
      <c r="V203">
        <v>71003</v>
      </c>
      <c r="W203" t="s">
        <v>2628</v>
      </c>
      <c r="X203" s="2">
        <v>0</v>
      </c>
      <c r="Y203" t="s">
        <v>2</v>
      </c>
      <c r="Z203" t="s">
        <v>3</v>
      </c>
      <c r="AA203" s="5">
        <v>0</v>
      </c>
      <c r="AB203" t="s">
        <v>29</v>
      </c>
      <c r="AL203" t="s">
        <v>8170</v>
      </c>
    </row>
    <row r="204" spans="1:38">
      <c r="A204" t="s">
        <v>2943</v>
      </c>
      <c r="B204" t="s">
        <v>7042</v>
      </c>
      <c r="C204" t="s">
        <v>2947</v>
      </c>
      <c r="D204" t="s">
        <v>2948</v>
      </c>
      <c r="E204" s="2">
        <v>10000</v>
      </c>
      <c r="F204" s="2">
        <v>10000</v>
      </c>
      <c r="G204" s="3">
        <v>43298</v>
      </c>
      <c r="H204" s="4">
        <v>5.5555555555600001E-3</v>
      </c>
      <c r="I204" s="3">
        <v>43298</v>
      </c>
      <c r="J204" s="4">
        <v>0.99998842592592996</v>
      </c>
      <c r="K204" s="2">
        <v>0</v>
      </c>
      <c r="L204" t="s">
        <v>0</v>
      </c>
      <c r="M204" t="s">
        <v>2944</v>
      </c>
      <c r="N204" s="3">
        <v>43305</v>
      </c>
      <c r="O204" s="3">
        <v>43305</v>
      </c>
      <c r="P204" t="s">
        <v>2435</v>
      </c>
      <c r="Q204" t="s">
        <v>7379</v>
      </c>
      <c r="R204" t="s">
        <v>820</v>
      </c>
      <c r="S204" s="3">
        <v>43306</v>
      </c>
      <c r="T204" t="s">
        <v>1</v>
      </c>
      <c r="U204" t="s">
        <v>2799</v>
      </c>
      <c r="V204">
        <v>71003</v>
      </c>
      <c r="W204" t="s">
        <v>2628</v>
      </c>
      <c r="X204" s="2">
        <v>0</v>
      </c>
      <c r="Y204" t="s">
        <v>2</v>
      </c>
      <c r="Z204" t="s">
        <v>3</v>
      </c>
      <c r="AA204" s="5">
        <v>0</v>
      </c>
      <c r="AB204" t="s">
        <v>29</v>
      </c>
      <c r="AL204" t="s">
        <v>8171</v>
      </c>
    </row>
    <row r="205" spans="1:38">
      <c r="A205" t="s">
        <v>2994</v>
      </c>
      <c r="B205" t="s">
        <v>3025</v>
      </c>
      <c r="C205" t="s">
        <v>3006</v>
      </c>
      <c r="D205" t="s">
        <v>3007</v>
      </c>
      <c r="E205" s="2">
        <v>8100</v>
      </c>
      <c r="F205" s="2">
        <v>8100</v>
      </c>
      <c r="G205" s="3">
        <v>43262</v>
      </c>
      <c r="H205" s="4">
        <v>0.65899305555555998</v>
      </c>
      <c r="I205" s="3">
        <v>43265</v>
      </c>
      <c r="J205" s="4">
        <v>0.78399305555555998</v>
      </c>
      <c r="K205" s="2">
        <v>20</v>
      </c>
      <c r="L205" t="s">
        <v>0</v>
      </c>
      <c r="M205" t="s">
        <v>3026</v>
      </c>
      <c r="N205" s="3">
        <v>43271</v>
      </c>
      <c r="O205" s="3">
        <v>43267</v>
      </c>
      <c r="P205" t="s">
        <v>13</v>
      </c>
      <c r="Q205" t="s">
        <v>1</v>
      </c>
      <c r="R205" t="s">
        <v>819</v>
      </c>
      <c r="S205" s="3"/>
      <c r="T205" t="s">
        <v>7380</v>
      </c>
      <c r="U205" t="s">
        <v>3008</v>
      </c>
      <c r="V205" t="s">
        <v>3009</v>
      </c>
      <c r="W205" t="s">
        <v>2434</v>
      </c>
      <c r="X205" s="2">
        <v>108</v>
      </c>
      <c r="Y205" t="s">
        <v>2</v>
      </c>
      <c r="Z205" t="s">
        <v>3</v>
      </c>
      <c r="AA205" s="5">
        <v>0</v>
      </c>
      <c r="AB205" t="s">
        <v>17</v>
      </c>
      <c r="AL205" t="s">
        <v>8172</v>
      </c>
    </row>
    <row r="206" spans="1:38">
      <c r="A206" t="s">
        <v>2994</v>
      </c>
      <c r="B206" t="s">
        <v>3020</v>
      </c>
      <c r="C206" t="s">
        <v>2430</v>
      </c>
      <c r="D206" t="s">
        <v>2431</v>
      </c>
      <c r="E206" s="2">
        <v>1500</v>
      </c>
      <c r="F206" s="2">
        <v>1500</v>
      </c>
      <c r="G206" s="3">
        <v>43268</v>
      </c>
      <c r="H206" s="4">
        <v>0.19127314814815</v>
      </c>
      <c r="I206" s="3">
        <v>43268</v>
      </c>
      <c r="J206" s="4">
        <v>0.76997685185185005</v>
      </c>
      <c r="K206" s="2">
        <v>25</v>
      </c>
      <c r="L206" t="s">
        <v>0</v>
      </c>
      <c r="M206" t="s">
        <v>3021</v>
      </c>
      <c r="N206" s="3">
        <v>43277</v>
      </c>
      <c r="O206" s="3">
        <v>43270</v>
      </c>
      <c r="P206" t="s">
        <v>13</v>
      </c>
      <c r="Q206" t="s">
        <v>1</v>
      </c>
      <c r="R206" t="s">
        <v>819</v>
      </c>
      <c r="S206" s="3"/>
      <c r="T206" t="s">
        <v>7381</v>
      </c>
      <c r="U206" t="s">
        <v>2433</v>
      </c>
      <c r="V206">
        <v>75001</v>
      </c>
      <c r="W206" t="s">
        <v>2434</v>
      </c>
      <c r="X206" s="2">
        <v>108</v>
      </c>
      <c r="Y206" t="s">
        <v>2</v>
      </c>
      <c r="Z206" t="s">
        <v>3</v>
      </c>
      <c r="AA206" s="5">
        <v>0</v>
      </c>
      <c r="AB206" t="s">
        <v>17</v>
      </c>
      <c r="AL206" t="s">
        <v>8173</v>
      </c>
    </row>
    <row r="207" spans="1:38">
      <c r="A207" t="s">
        <v>2994</v>
      </c>
      <c r="B207" t="s">
        <v>3043</v>
      </c>
      <c r="C207" t="s">
        <v>3028</v>
      </c>
      <c r="D207" t="s">
        <v>3029</v>
      </c>
      <c r="E207" s="5">
        <v>83.38</v>
      </c>
      <c r="F207" s="5">
        <v>1183.3800000000001</v>
      </c>
      <c r="G207" s="3">
        <v>43271</v>
      </c>
      <c r="H207" s="4">
        <v>0.48344907407407001</v>
      </c>
      <c r="I207" s="3">
        <v>43271</v>
      </c>
      <c r="J207" s="4">
        <v>0.94</v>
      </c>
      <c r="K207" s="2">
        <v>20</v>
      </c>
      <c r="L207" t="s">
        <v>0</v>
      </c>
      <c r="M207" t="s">
        <v>5730</v>
      </c>
      <c r="N207" s="3">
        <v>43280</v>
      </c>
      <c r="O207" s="3">
        <v>43278</v>
      </c>
      <c r="P207" t="s">
        <v>13</v>
      </c>
      <c r="Q207" t="s">
        <v>3044</v>
      </c>
      <c r="R207" t="s">
        <v>820</v>
      </c>
      <c r="S207" s="3">
        <v>43280</v>
      </c>
      <c r="T207" t="s">
        <v>7382</v>
      </c>
      <c r="U207">
        <v>1000</v>
      </c>
      <c r="V207" t="s">
        <v>3030</v>
      </c>
      <c r="W207" t="s">
        <v>2434</v>
      </c>
      <c r="X207" s="2">
        <v>108</v>
      </c>
      <c r="Y207" t="s">
        <v>2</v>
      </c>
      <c r="Z207" t="s">
        <v>3</v>
      </c>
      <c r="AA207" s="5">
        <v>0</v>
      </c>
      <c r="AB207" t="s">
        <v>4</v>
      </c>
      <c r="AL207" t="s">
        <v>8174</v>
      </c>
    </row>
    <row r="208" spans="1:38">
      <c r="A208" t="s">
        <v>2994</v>
      </c>
      <c r="B208" t="s">
        <v>3027</v>
      </c>
      <c r="C208" t="s">
        <v>3028</v>
      </c>
      <c r="D208" t="s">
        <v>3029</v>
      </c>
      <c r="E208" s="5">
        <v>22.74</v>
      </c>
      <c r="F208" s="5">
        <v>322.74</v>
      </c>
      <c r="G208" s="3">
        <v>43271</v>
      </c>
      <c r="H208" s="4">
        <v>0.98373842592592997</v>
      </c>
      <c r="I208" s="3">
        <v>43272</v>
      </c>
      <c r="J208" s="4">
        <v>0.10825231481481</v>
      </c>
      <c r="K208" s="2">
        <v>0</v>
      </c>
      <c r="L208" t="s">
        <v>0</v>
      </c>
      <c r="M208" t="s">
        <v>5729</v>
      </c>
      <c r="N208" s="3">
        <v>43283</v>
      </c>
      <c r="O208" s="3">
        <v>43279</v>
      </c>
      <c r="P208" t="s">
        <v>13</v>
      </c>
      <c r="Q208" t="s">
        <v>1</v>
      </c>
      <c r="R208" t="s">
        <v>819</v>
      </c>
      <c r="S208" s="3"/>
      <c r="T208" t="s">
        <v>7383</v>
      </c>
      <c r="U208">
        <v>1000</v>
      </c>
      <c r="V208" t="s">
        <v>3030</v>
      </c>
      <c r="W208" t="s">
        <v>2434</v>
      </c>
      <c r="X208" s="2">
        <v>108</v>
      </c>
      <c r="Y208" t="s">
        <v>2</v>
      </c>
      <c r="Z208" t="s">
        <v>3</v>
      </c>
      <c r="AA208" s="5">
        <v>0</v>
      </c>
      <c r="AB208" t="s">
        <v>4</v>
      </c>
      <c r="AL208" t="s">
        <v>8175</v>
      </c>
    </row>
    <row r="209" spans="1:38">
      <c r="A209" t="s">
        <v>2994</v>
      </c>
      <c r="B209" t="s">
        <v>3031</v>
      </c>
      <c r="C209" t="s">
        <v>3032</v>
      </c>
      <c r="D209" t="s">
        <v>3033</v>
      </c>
      <c r="E209" s="2">
        <v>130</v>
      </c>
      <c r="F209" s="2">
        <v>130</v>
      </c>
      <c r="G209" s="3">
        <v>43272</v>
      </c>
      <c r="H209" s="4">
        <v>0.16721064814815001</v>
      </c>
      <c r="I209" s="3">
        <v>43272</v>
      </c>
      <c r="J209" s="4">
        <v>0.21736111111111001</v>
      </c>
      <c r="K209" s="2">
        <v>0</v>
      </c>
      <c r="L209" t="s">
        <v>0</v>
      </c>
      <c r="M209" t="s">
        <v>5051</v>
      </c>
      <c r="N209" s="3">
        <v>43269</v>
      </c>
      <c r="O209" s="3">
        <v>43274</v>
      </c>
      <c r="P209" t="s">
        <v>2490</v>
      </c>
      <c r="Q209" t="s">
        <v>3034</v>
      </c>
      <c r="R209" t="s">
        <v>820</v>
      </c>
      <c r="S209" s="3">
        <v>43269</v>
      </c>
      <c r="T209" t="s">
        <v>7384</v>
      </c>
      <c r="U209" t="s">
        <v>2443</v>
      </c>
      <c r="V209" t="s">
        <v>3035</v>
      </c>
      <c r="W209" t="s">
        <v>2434</v>
      </c>
      <c r="X209" s="2">
        <v>108</v>
      </c>
      <c r="Y209" t="s">
        <v>2</v>
      </c>
      <c r="Z209" t="s">
        <v>3</v>
      </c>
      <c r="AA209" s="5">
        <v>0</v>
      </c>
      <c r="AB209" t="s">
        <v>4</v>
      </c>
      <c r="AL209" t="s">
        <v>8176</v>
      </c>
    </row>
    <row r="210" spans="1:38">
      <c r="A210" t="s">
        <v>2994</v>
      </c>
      <c r="B210" t="s">
        <v>2863</v>
      </c>
      <c r="C210" t="s">
        <v>2823</v>
      </c>
      <c r="D210" t="s">
        <v>2824</v>
      </c>
      <c r="E210" s="2">
        <v>1000</v>
      </c>
      <c r="F210" s="2">
        <v>1000</v>
      </c>
      <c r="G210" s="3">
        <v>43272</v>
      </c>
      <c r="H210" s="4">
        <v>0.25</v>
      </c>
      <c r="I210" s="3">
        <v>43272</v>
      </c>
      <c r="J210" s="4">
        <v>0.63579861111111002</v>
      </c>
      <c r="K210" s="2">
        <v>0</v>
      </c>
      <c r="L210" t="s">
        <v>0</v>
      </c>
      <c r="M210" t="s">
        <v>3053</v>
      </c>
      <c r="N210" s="3">
        <v>43279</v>
      </c>
      <c r="O210" s="3">
        <v>43274</v>
      </c>
      <c r="P210" t="s">
        <v>2435</v>
      </c>
      <c r="Q210" t="s">
        <v>2864</v>
      </c>
      <c r="R210" t="s">
        <v>820</v>
      </c>
      <c r="S210" s="3">
        <v>43279</v>
      </c>
      <c r="T210" t="s">
        <v>7385</v>
      </c>
      <c r="U210" t="s">
        <v>2825</v>
      </c>
      <c r="V210">
        <v>7001</v>
      </c>
      <c r="W210" t="s">
        <v>2434</v>
      </c>
      <c r="X210" s="2">
        <v>0</v>
      </c>
      <c r="Y210" t="s">
        <v>2</v>
      </c>
      <c r="Z210" t="s">
        <v>3</v>
      </c>
      <c r="AA210" s="5">
        <v>0</v>
      </c>
      <c r="AB210" t="s">
        <v>17</v>
      </c>
      <c r="AL210" t="s">
        <v>8177</v>
      </c>
    </row>
    <row r="211" spans="1:38">
      <c r="A211" t="s">
        <v>2994</v>
      </c>
      <c r="B211" t="s">
        <v>7045</v>
      </c>
      <c r="C211" t="s">
        <v>2528</v>
      </c>
      <c r="D211" t="s">
        <v>2529</v>
      </c>
      <c r="E211" s="2">
        <v>100</v>
      </c>
      <c r="F211" s="2">
        <v>100</v>
      </c>
      <c r="G211" s="3">
        <v>43272</v>
      </c>
      <c r="H211" s="4">
        <v>0.66666666666666996</v>
      </c>
      <c r="I211" s="3">
        <v>43272</v>
      </c>
      <c r="J211" s="4">
        <v>0.70524305555555999</v>
      </c>
      <c r="K211" s="2">
        <v>25</v>
      </c>
      <c r="L211" t="s">
        <v>0</v>
      </c>
      <c r="M211" t="s">
        <v>3015</v>
      </c>
      <c r="N211" s="3">
        <v>43277</v>
      </c>
      <c r="O211" s="3">
        <v>43274</v>
      </c>
      <c r="P211" t="s">
        <v>2435</v>
      </c>
      <c r="Q211" t="s">
        <v>7046</v>
      </c>
      <c r="R211" t="s">
        <v>820</v>
      </c>
      <c r="S211" s="3">
        <v>43277</v>
      </c>
      <c r="T211" t="s">
        <v>7386</v>
      </c>
      <c r="U211" t="s">
        <v>2491</v>
      </c>
      <c r="V211" t="s">
        <v>2437</v>
      </c>
      <c r="W211" t="s">
        <v>2434</v>
      </c>
      <c r="X211" s="2">
        <v>108</v>
      </c>
      <c r="Y211" t="s">
        <v>2</v>
      </c>
      <c r="Z211" t="s">
        <v>3</v>
      </c>
      <c r="AA211" s="5">
        <v>0</v>
      </c>
      <c r="AB211" t="s">
        <v>4</v>
      </c>
      <c r="AL211" t="s">
        <v>8178</v>
      </c>
    </row>
    <row r="212" spans="1:38">
      <c r="A212" t="s">
        <v>2994</v>
      </c>
      <c r="B212" t="s">
        <v>3056</v>
      </c>
      <c r="C212" t="s">
        <v>3040</v>
      </c>
      <c r="D212" t="s">
        <v>3041</v>
      </c>
      <c r="E212" s="5">
        <v>537.9</v>
      </c>
      <c r="F212" s="5">
        <v>537.9</v>
      </c>
      <c r="G212" s="3">
        <v>43272</v>
      </c>
      <c r="H212" s="4">
        <v>0.77760416666666998</v>
      </c>
      <c r="I212" s="3">
        <v>43272</v>
      </c>
      <c r="J212" s="4">
        <v>0.98512731481480997</v>
      </c>
      <c r="K212" s="2">
        <v>0</v>
      </c>
      <c r="L212" t="s">
        <v>0</v>
      </c>
      <c r="M212" t="s">
        <v>2999</v>
      </c>
      <c r="N212" s="3">
        <v>43280</v>
      </c>
      <c r="O212" s="3">
        <v>43279</v>
      </c>
      <c r="P212" t="s">
        <v>3018</v>
      </c>
      <c r="Q212" t="s">
        <v>3057</v>
      </c>
      <c r="R212" t="s">
        <v>820</v>
      </c>
      <c r="S212" s="3">
        <v>43280</v>
      </c>
      <c r="T212" t="s">
        <v>7387</v>
      </c>
      <c r="U212" t="s">
        <v>3042</v>
      </c>
      <c r="V212">
        <v>7301</v>
      </c>
      <c r="W212" t="s">
        <v>2434</v>
      </c>
      <c r="X212" s="2">
        <v>108</v>
      </c>
      <c r="Y212" t="s">
        <v>2</v>
      </c>
      <c r="Z212" t="s">
        <v>3</v>
      </c>
      <c r="AA212" s="5">
        <v>0</v>
      </c>
      <c r="AB212" t="s">
        <v>4</v>
      </c>
      <c r="AL212" t="s">
        <v>8179</v>
      </c>
    </row>
    <row r="213" spans="1:38">
      <c r="A213" t="s">
        <v>2994</v>
      </c>
      <c r="B213" t="s">
        <v>3062</v>
      </c>
      <c r="C213" t="s">
        <v>3040</v>
      </c>
      <c r="D213" t="s">
        <v>3041</v>
      </c>
      <c r="E213" s="5">
        <v>537.9</v>
      </c>
      <c r="F213" s="5">
        <v>537.9</v>
      </c>
      <c r="G213" s="3">
        <v>43273</v>
      </c>
      <c r="H213" s="4">
        <v>4.2361111111110003E-2</v>
      </c>
      <c r="I213" s="3">
        <v>43273</v>
      </c>
      <c r="J213" s="4">
        <v>0.24988425925926</v>
      </c>
      <c r="K213" s="2">
        <v>0</v>
      </c>
      <c r="L213" t="s">
        <v>0</v>
      </c>
      <c r="M213" t="s">
        <v>2999</v>
      </c>
      <c r="N213" s="3">
        <v>43293</v>
      </c>
      <c r="O213" s="3">
        <v>43280</v>
      </c>
      <c r="P213" t="s">
        <v>3018</v>
      </c>
      <c r="Q213" t="s">
        <v>3063</v>
      </c>
      <c r="R213" t="s">
        <v>820</v>
      </c>
      <c r="S213" s="3">
        <v>43293</v>
      </c>
      <c r="T213" t="s">
        <v>7388</v>
      </c>
      <c r="U213" t="s">
        <v>3042</v>
      </c>
      <c r="V213">
        <v>7301</v>
      </c>
      <c r="W213" t="s">
        <v>2434</v>
      </c>
      <c r="X213" s="2">
        <v>108</v>
      </c>
      <c r="Y213" t="s">
        <v>2</v>
      </c>
      <c r="Z213" t="s">
        <v>3</v>
      </c>
      <c r="AA213" s="5">
        <v>0</v>
      </c>
      <c r="AB213" t="s">
        <v>4</v>
      </c>
      <c r="AL213" t="s">
        <v>8180</v>
      </c>
    </row>
    <row r="214" spans="1:38">
      <c r="A214" t="s">
        <v>2994</v>
      </c>
      <c r="B214" t="s">
        <v>3045</v>
      </c>
      <c r="C214" t="s">
        <v>3046</v>
      </c>
      <c r="D214" t="s">
        <v>3047</v>
      </c>
      <c r="E214" s="5">
        <v>537.9</v>
      </c>
      <c r="F214" s="5">
        <v>537.9</v>
      </c>
      <c r="G214" s="3">
        <v>43273</v>
      </c>
      <c r="H214" s="4">
        <v>0.25129629629630001</v>
      </c>
      <c r="I214" s="3">
        <v>43273</v>
      </c>
      <c r="J214" s="4">
        <v>0.45881944444444001</v>
      </c>
      <c r="K214" s="2">
        <v>0</v>
      </c>
      <c r="L214" t="s">
        <v>0</v>
      </c>
      <c r="M214" t="s">
        <v>2999</v>
      </c>
      <c r="N214" s="3">
        <v>43280</v>
      </c>
      <c r="O214" s="3">
        <v>43280</v>
      </c>
      <c r="P214" t="s">
        <v>13</v>
      </c>
      <c r="Q214" t="s">
        <v>3048</v>
      </c>
      <c r="R214" t="s">
        <v>820</v>
      </c>
      <c r="S214" s="3">
        <v>43280</v>
      </c>
      <c r="T214" t="s">
        <v>7389</v>
      </c>
      <c r="U214" t="s">
        <v>2466</v>
      </c>
      <c r="V214" t="s">
        <v>3049</v>
      </c>
      <c r="X214" s="2">
        <v>108</v>
      </c>
      <c r="Y214" t="s">
        <v>2</v>
      </c>
      <c r="Z214" t="s">
        <v>3</v>
      </c>
      <c r="AA214" s="5">
        <v>0</v>
      </c>
      <c r="AB214" t="s">
        <v>4</v>
      </c>
      <c r="AL214" t="s">
        <v>8181</v>
      </c>
    </row>
    <row r="215" spans="1:38">
      <c r="A215" t="s">
        <v>2994</v>
      </c>
      <c r="B215" t="s">
        <v>7043</v>
      </c>
      <c r="C215" t="s">
        <v>2493</v>
      </c>
      <c r="D215" t="s">
        <v>2494</v>
      </c>
      <c r="E215" s="5">
        <v>215.16</v>
      </c>
      <c r="F215" s="5">
        <v>215.16</v>
      </c>
      <c r="G215" s="3">
        <v>43273</v>
      </c>
      <c r="H215" s="4">
        <v>0.50160879629629995</v>
      </c>
      <c r="I215" s="3">
        <v>43273</v>
      </c>
      <c r="J215" s="4">
        <v>0.58461805555556001</v>
      </c>
      <c r="K215" s="2">
        <v>25</v>
      </c>
      <c r="L215" t="s">
        <v>0</v>
      </c>
      <c r="M215" t="s">
        <v>7044</v>
      </c>
      <c r="N215" s="3">
        <v>43265</v>
      </c>
      <c r="O215" s="3">
        <v>43280</v>
      </c>
      <c r="P215" t="s">
        <v>13</v>
      </c>
      <c r="Q215" t="s">
        <v>1</v>
      </c>
      <c r="R215" t="s">
        <v>819</v>
      </c>
      <c r="S215" s="3"/>
      <c r="T215" t="s">
        <v>7390</v>
      </c>
      <c r="U215" t="s">
        <v>2495</v>
      </c>
      <c r="V215" t="s">
        <v>2496</v>
      </c>
      <c r="W215" t="s">
        <v>2434</v>
      </c>
      <c r="X215" s="2">
        <v>108</v>
      </c>
      <c r="Y215" t="s">
        <v>2</v>
      </c>
      <c r="Z215" t="s">
        <v>3</v>
      </c>
      <c r="AA215" s="5">
        <v>0</v>
      </c>
      <c r="AB215" t="s">
        <v>4</v>
      </c>
      <c r="AL215" t="s">
        <v>8182</v>
      </c>
    </row>
    <row r="216" spans="1:38">
      <c r="A216" t="s">
        <v>2994</v>
      </c>
      <c r="B216" t="s">
        <v>3050</v>
      </c>
      <c r="C216" t="s">
        <v>3051</v>
      </c>
      <c r="D216" t="s">
        <v>3052</v>
      </c>
      <c r="E216" s="5">
        <v>1075.8</v>
      </c>
      <c r="F216" s="5">
        <v>1075.8</v>
      </c>
      <c r="G216" s="3">
        <v>43273</v>
      </c>
      <c r="H216" s="4">
        <v>0.62686342592593003</v>
      </c>
      <c r="I216" s="3">
        <v>43274</v>
      </c>
      <c r="J216" s="4">
        <v>4.1909722222220003E-2</v>
      </c>
      <c r="K216" s="2">
        <v>20</v>
      </c>
      <c r="L216" t="s">
        <v>0</v>
      </c>
      <c r="M216" t="s">
        <v>3010</v>
      </c>
      <c r="N216" s="3">
        <v>43276</v>
      </c>
      <c r="O216" s="3">
        <v>43276</v>
      </c>
      <c r="P216" t="s">
        <v>2922</v>
      </c>
      <c r="Q216" t="s">
        <v>3054</v>
      </c>
      <c r="R216" t="s">
        <v>820</v>
      </c>
      <c r="S216" s="3">
        <v>43276</v>
      </c>
      <c r="T216" t="s">
        <v>7391</v>
      </c>
      <c r="U216" t="s">
        <v>2546</v>
      </c>
      <c r="V216">
        <v>111</v>
      </c>
      <c r="W216" t="s">
        <v>2434</v>
      </c>
      <c r="X216" s="2">
        <v>108</v>
      </c>
      <c r="Y216" t="s">
        <v>2</v>
      </c>
      <c r="Z216" t="s">
        <v>3</v>
      </c>
      <c r="AA216" s="5">
        <v>0</v>
      </c>
      <c r="AB216" t="s">
        <v>4</v>
      </c>
      <c r="AL216" t="s">
        <v>8183</v>
      </c>
    </row>
    <row r="217" spans="1:38">
      <c r="A217" t="s">
        <v>2994</v>
      </c>
      <c r="B217" t="s">
        <v>2855</v>
      </c>
      <c r="C217" t="s">
        <v>2856</v>
      </c>
      <c r="D217" t="s">
        <v>2857</v>
      </c>
      <c r="E217" s="2">
        <v>1000</v>
      </c>
      <c r="F217" s="2">
        <v>1000</v>
      </c>
      <c r="G217" s="3">
        <v>43274</v>
      </c>
      <c r="H217" s="4">
        <v>8.3333333333329998E-2</v>
      </c>
      <c r="I217" s="3">
        <v>43274</v>
      </c>
      <c r="J217" s="4">
        <v>0.46913194444444001</v>
      </c>
      <c r="K217" s="2">
        <v>0</v>
      </c>
      <c r="L217" t="s">
        <v>0</v>
      </c>
      <c r="M217" t="s">
        <v>3053</v>
      </c>
      <c r="N217" s="3">
        <v>43276</v>
      </c>
      <c r="O217" s="3">
        <v>43276</v>
      </c>
      <c r="P217" t="s">
        <v>2507</v>
      </c>
      <c r="Q217" t="s">
        <v>2858</v>
      </c>
      <c r="R217" t="s">
        <v>820</v>
      </c>
      <c r="S217" s="3">
        <v>43276</v>
      </c>
      <c r="T217" t="s">
        <v>7392</v>
      </c>
      <c r="U217" t="s">
        <v>2526</v>
      </c>
      <c r="V217" t="s">
        <v>2859</v>
      </c>
      <c r="W217" t="s">
        <v>2434</v>
      </c>
      <c r="X217" s="2">
        <v>0</v>
      </c>
      <c r="Y217" t="s">
        <v>2</v>
      </c>
      <c r="Z217" t="s">
        <v>3</v>
      </c>
      <c r="AA217" s="5">
        <v>0</v>
      </c>
      <c r="AB217" t="s">
        <v>17</v>
      </c>
      <c r="AL217" t="s">
        <v>8184</v>
      </c>
    </row>
    <row r="218" spans="1:38">
      <c r="A218" t="s">
        <v>2994</v>
      </c>
      <c r="B218" t="s">
        <v>2889</v>
      </c>
      <c r="C218" t="s">
        <v>2890</v>
      </c>
      <c r="D218" t="s">
        <v>2891</v>
      </c>
      <c r="E218" s="5">
        <v>537.9</v>
      </c>
      <c r="F218" s="5">
        <v>537.9</v>
      </c>
      <c r="G218" s="3">
        <v>43274</v>
      </c>
      <c r="H218" s="4">
        <v>0.48915509259258999</v>
      </c>
      <c r="I218" s="3">
        <v>43274</v>
      </c>
      <c r="J218" s="4">
        <v>0.69667824074074003</v>
      </c>
      <c r="K218" s="2">
        <v>20</v>
      </c>
      <c r="L218" t="s">
        <v>0</v>
      </c>
      <c r="M218" t="s">
        <v>2999</v>
      </c>
      <c r="N218" s="3"/>
      <c r="O218" s="3">
        <v>43274</v>
      </c>
      <c r="P218" t="s">
        <v>13</v>
      </c>
      <c r="Q218" t="s">
        <v>2892</v>
      </c>
      <c r="R218" t="s">
        <v>820</v>
      </c>
      <c r="S218" s="3">
        <v>43285</v>
      </c>
      <c r="T218" t="s">
        <v>7393</v>
      </c>
      <c r="U218" t="s">
        <v>2454</v>
      </c>
      <c r="V218" t="s">
        <v>2893</v>
      </c>
      <c r="X218" s="2">
        <v>108</v>
      </c>
      <c r="Y218" t="s">
        <v>2</v>
      </c>
      <c r="Z218" t="s">
        <v>3</v>
      </c>
      <c r="AA218" s="5">
        <v>0</v>
      </c>
      <c r="AB218" t="s">
        <v>4</v>
      </c>
      <c r="AL218" t="s">
        <v>8185</v>
      </c>
    </row>
    <row r="219" spans="1:38">
      <c r="A219" t="s">
        <v>2994</v>
      </c>
      <c r="B219" t="s">
        <v>2865</v>
      </c>
      <c r="C219" t="s">
        <v>2866</v>
      </c>
      <c r="D219" t="s">
        <v>2867</v>
      </c>
      <c r="E219" s="2">
        <v>1000</v>
      </c>
      <c r="F219" s="2">
        <v>1000</v>
      </c>
      <c r="G219" s="3">
        <v>43274</v>
      </c>
      <c r="H219" s="4">
        <v>0.66666666666666996</v>
      </c>
      <c r="I219" s="3">
        <v>43275</v>
      </c>
      <c r="J219" s="4">
        <v>5.2465277777779998E-2</v>
      </c>
      <c r="K219" s="2">
        <v>0</v>
      </c>
      <c r="L219" t="s">
        <v>0</v>
      </c>
      <c r="M219" t="s">
        <v>3053</v>
      </c>
      <c r="N219" s="3">
        <v>43279</v>
      </c>
      <c r="O219" s="3">
        <v>43277</v>
      </c>
      <c r="P219" t="s">
        <v>2490</v>
      </c>
      <c r="Q219" t="s">
        <v>2868</v>
      </c>
      <c r="R219" t="s">
        <v>820</v>
      </c>
      <c r="S219" s="3">
        <v>43279</v>
      </c>
      <c r="T219" t="s">
        <v>7394</v>
      </c>
      <c r="U219" t="s">
        <v>2810</v>
      </c>
      <c r="V219" t="s">
        <v>2869</v>
      </c>
      <c r="W219" t="s">
        <v>2434</v>
      </c>
      <c r="X219" s="2">
        <v>0</v>
      </c>
      <c r="Y219" t="s">
        <v>2</v>
      </c>
      <c r="Z219" t="s">
        <v>3</v>
      </c>
      <c r="AA219" s="5">
        <v>0</v>
      </c>
      <c r="AB219" t="s">
        <v>17</v>
      </c>
      <c r="AL219" t="s">
        <v>8186</v>
      </c>
    </row>
    <row r="220" spans="1:38">
      <c r="A220" t="s">
        <v>2994</v>
      </c>
      <c r="B220" t="s">
        <v>3083</v>
      </c>
      <c r="C220" t="s">
        <v>3084</v>
      </c>
      <c r="D220" t="s">
        <v>3085</v>
      </c>
      <c r="E220" s="2">
        <v>80</v>
      </c>
      <c r="F220" s="2">
        <v>80</v>
      </c>
      <c r="G220" s="3">
        <v>43275</v>
      </c>
      <c r="H220" s="4">
        <v>7.3298611111109996E-2</v>
      </c>
      <c r="I220" s="3">
        <v>43275</v>
      </c>
      <c r="J220" s="4">
        <v>0.10416666666667</v>
      </c>
      <c r="K220" s="2">
        <v>0</v>
      </c>
      <c r="L220" t="s">
        <v>0</v>
      </c>
      <c r="M220" t="s">
        <v>7395</v>
      </c>
      <c r="N220" s="3"/>
      <c r="O220" s="3">
        <v>43277</v>
      </c>
      <c r="P220" t="s">
        <v>13</v>
      </c>
      <c r="Q220" t="s">
        <v>3086</v>
      </c>
      <c r="R220" t="s">
        <v>820</v>
      </c>
      <c r="S220" s="3">
        <v>43285</v>
      </c>
      <c r="T220" t="s">
        <v>7396</v>
      </c>
      <c r="U220" t="s">
        <v>2458</v>
      </c>
      <c r="V220" t="s">
        <v>3087</v>
      </c>
      <c r="X220" s="2">
        <v>108</v>
      </c>
      <c r="Y220" t="s">
        <v>2</v>
      </c>
      <c r="Z220" t="s">
        <v>3</v>
      </c>
      <c r="AA220" s="5">
        <v>0</v>
      </c>
      <c r="AB220" t="s">
        <v>4</v>
      </c>
      <c r="AL220" t="s">
        <v>8187</v>
      </c>
    </row>
    <row r="221" spans="1:38">
      <c r="A221" t="s">
        <v>2994</v>
      </c>
      <c r="B221" t="s">
        <v>2962</v>
      </c>
      <c r="C221" t="s">
        <v>2963</v>
      </c>
      <c r="D221" t="s">
        <v>2964</v>
      </c>
      <c r="E221" s="5">
        <v>1100.5</v>
      </c>
      <c r="F221" s="5">
        <v>1100.5</v>
      </c>
      <c r="G221" s="3">
        <v>43275</v>
      </c>
      <c r="H221" s="4">
        <v>0.125</v>
      </c>
      <c r="I221" s="3">
        <v>43275</v>
      </c>
      <c r="J221" s="4">
        <v>0.54957175925926005</v>
      </c>
      <c r="K221" s="2">
        <v>20</v>
      </c>
      <c r="L221" t="s">
        <v>0</v>
      </c>
      <c r="M221" t="s">
        <v>7397</v>
      </c>
      <c r="N221" s="3">
        <v>43283</v>
      </c>
      <c r="O221" s="3">
        <v>43282</v>
      </c>
      <c r="P221" t="s">
        <v>2510</v>
      </c>
      <c r="Q221" t="s">
        <v>2965</v>
      </c>
      <c r="R221" t="s">
        <v>820</v>
      </c>
      <c r="S221" s="3">
        <v>43283</v>
      </c>
      <c r="T221" t="s">
        <v>7398</v>
      </c>
      <c r="U221" t="s">
        <v>2451</v>
      </c>
      <c r="V221" t="s">
        <v>2966</v>
      </c>
      <c r="W221" t="s">
        <v>2434</v>
      </c>
      <c r="X221" s="2">
        <v>108</v>
      </c>
      <c r="Y221" t="s">
        <v>2</v>
      </c>
      <c r="Z221" t="s">
        <v>3</v>
      </c>
      <c r="AA221" s="5">
        <v>0</v>
      </c>
      <c r="AB221" t="s">
        <v>4</v>
      </c>
      <c r="AL221" t="s">
        <v>8188</v>
      </c>
    </row>
    <row r="222" spans="1:38">
      <c r="A222" t="s">
        <v>2994</v>
      </c>
      <c r="B222" t="s">
        <v>2878</v>
      </c>
      <c r="C222" t="s">
        <v>2879</v>
      </c>
      <c r="D222" t="s">
        <v>2880</v>
      </c>
      <c r="E222" s="5">
        <v>537.9</v>
      </c>
      <c r="F222" s="5">
        <v>537.9</v>
      </c>
      <c r="G222" s="3">
        <v>43276</v>
      </c>
      <c r="H222" s="4">
        <v>2.0833333333330002E-2</v>
      </c>
      <c r="I222" s="3">
        <v>43276</v>
      </c>
      <c r="J222" s="4">
        <v>0.22835648148147999</v>
      </c>
      <c r="K222" s="2">
        <v>20</v>
      </c>
      <c r="L222" t="s">
        <v>0</v>
      </c>
      <c r="M222" t="s">
        <v>2999</v>
      </c>
      <c r="N222" s="3">
        <v>43283</v>
      </c>
      <c r="O222" s="3">
        <v>43278</v>
      </c>
      <c r="P222" t="s">
        <v>2435</v>
      </c>
      <c r="Q222" t="s">
        <v>2881</v>
      </c>
      <c r="R222" t="s">
        <v>820</v>
      </c>
      <c r="S222" s="3">
        <v>43283</v>
      </c>
      <c r="T222" t="s">
        <v>7399</v>
      </c>
      <c r="U222" t="s">
        <v>2816</v>
      </c>
      <c r="V222" t="s">
        <v>2437</v>
      </c>
      <c r="W222" t="s">
        <v>2434</v>
      </c>
      <c r="X222" s="2">
        <v>108</v>
      </c>
      <c r="Y222" t="s">
        <v>2</v>
      </c>
      <c r="Z222" t="s">
        <v>3</v>
      </c>
      <c r="AA222" s="5">
        <v>0</v>
      </c>
      <c r="AB222" t="s">
        <v>4</v>
      </c>
      <c r="AL222" t="s">
        <v>8189</v>
      </c>
    </row>
    <row r="223" spans="1:38">
      <c r="A223" t="s">
        <v>2994</v>
      </c>
      <c r="B223" t="s">
        <v>3081</v>
      </c>
      <c r="C223" t="s">
        <v>2879</v>
      </c>
      <c r="D223" t="s">
        <v>2880</v>
      </c>
      <c r="E223" s="5">
        <v>537.9</v>
      </c>
      <c r="F223" s="5">
        <v>537.9</v>
      </c>
      <c r="G223" s="3">
        <v>43276</v>
      </c>
      <c r="H223" s="4">
        <v>0.24918981481481001</v>
      </c>
      <c r="I223" s="3">
        <v>43276</v>
      </c>
      <c r="J223" s="4">
        <v>0.45671296296295999</v>
      </c>
      <c r="K223" s="2">
        <v>20</v>
      </c>
      <c r="L223" t="s">
        <v>0</v>
      </c>
      <c r="M223" t="s">
        <v>2999</v>
      </c>
      <c r="N223" s="3">
        <v>43286</v>
      </c>
      <c r="O223" s="3">
        <v>43278</v>
      </c>
      <c r="P223" t="s">
        <v>2435</v>
      </c>
      <c r="Q223" t="s">
        <v>3082</v>
      </c>
      <c r="R223" t="s">
        <v>820</v>
      </c>
      <c r="S223" s="3">
        <v>43286</v>
      </c>
      <c r="T223" t="s">
        <v>7400</v>
      </c>
      <c r="U223" t="s">
        <v>2816</v>
      </c>
      <c r="V223" t="s">
        <v>2437</v>
      </c>
      <c r="W223" t="s">
        <v>2434</v>
      </c>
      <c r="X223" s="2">
        <v>108</v>
      </c>
      <c r="Y223" t="s">
        <v>2</v>
      </c>
      <c r="Z223" t="s">
        <v>3</v>
      </c>
      <c r="AA223" s="5">
        <v>0</v>
      </c>
      <c r="AB223" t="s">
        <v>4</v>
      </c>
      <c r="AL223" t="s">
        <v>8190</v>
      </c>
    </row>
    <row r="224" spans="1:38">
      <c r="A224" t="s">
        <v>2994</v>
      </c>
      <c r="B224" t="s">
        <v>2942</v>
      </c>
      <c r="C224" t="s">
        <v>2544</v>
      </c>
      <c r="D224" t="s">
        <v>2545</v>
      </c>
      <c r="E224" s="5">
        <v>1075.8</v>
      </c>
      <c r="F224" s="5">
        <v>1075.8</v>
      </c>
      <c r="G224" s="3">
        <v>43276</v>
      </c>
      <c r="H224" s="4">
        <v>0.47754629629630002</v>
      </c>
      <c r="I224" s="3">
        <v>43276</v>
      </c>
      <c r="J224" s="4">
        <v>0.89259259259259005</v>
      </c>
      <c r="K224" s="2">
        <v>20</v>
      </c>
      <c r="L224" t="s">
        <v>0</v>
      </c>
      <c r="M224" t="s">
        <v>3010</v>
      </c>
      <c r="N224" s="3">
        <v>43286</v>
      </c>
      <c r="O224" s="3">
        <v>43278</v>
      </c>
      <c r="P224" t="s">
        <v>2435</v>
      </c>
      <c r="Q224" t="s">
        <v>5708</v>
      </c>
      <c r="R224" t="s">
        <v>820</v>
      </c>
      <c r="S224" s="3">
        <v>43286</v>
      </c>
      <c r="T224" t="s">
        <v>7401</v>
      </c>
      <c r="U224" t="s">
        <v>2546</v>
      </c>
      <c r="V224">
        <v>701</v>
      </c>
      <c r="W224" t="s">
        <v>2434</v>
      </c>
      <c r="X224" s="2">
        <v>108</v>
      </c>
      <c r="Y224" t="s">
        <v>2</v>
      </c>
      <c r="Z224" t="s">
        <v>3</v>
      </c>
      <c r="AA224" s="5">
        <v>0</v>
      </c>
      <c r="AB224" t="s">
        <v>4</v>
      </c>
      <c r="AL224" t="s">
        <v>8191</v>
      </c>
    </row>
    <row r="225" spans="1:38">
      <c r="A225" t="s">
        <v>2994</v>
      </c>
      <c r="B225" t="s">
        <v>3070</v>
      </c>
      <c r="C225" t="s">
        <v>3071</v>
      </c>
      <c r="D225" t="s">
        <v>3072</v>
      </c>
      <c r="E225" s="5">
        <v>591.69000000000005</v>
      </c>
      <c r="F225" s="5">
        <v>591.69000000000005</v>
      </c>
      <c r="G225" s="3">
        <v>43276</v>
      </c>
      <c r="H225" s="4">
        <v>0.91342592592592997</v>
      </c>
      <c r="I225" s="3">
        <v>43277</v>
      </c>
      <c r="J225" s="4">
        <v>0.14170138888889</v>
      </c>
      <c r="K225" s="2">
        <v>0</v>
      </c>
      <c r="L225" t="s">
        <v>0</v>
      </c>
      <c r="M225" t="s">
        <v>7402</v>
      </c>
      <c r="N225" s="3">
        <v>43283</v>
      </c>
      <c r="O225" s="3">
        <v>43279</v>
      </c>
      <c r="P225" t="s">
        <v>2435</v>
      </c>
      <c r="Q225" t="s">
        <v>3073</v>
      </c>
      <c r="R225" t="s">
        <v>820</v>
      </c>
      <c r="S225" s="3">
        <v>43283</v>
      </c>
      <c r="T225" t="s">
        <v>7403</v>
      </c>
      <c r="U225" t="s">
        <v>3074</v>
      </c>
      <c r="V225" t="s">
        <v>2437</v>
      </c>
      <c r="W225" t="s">
        <v>2434</v>
      </c>
      <c r="X225" s="2">
        <v>108</v>
      </c>
      <c r="Y225" t="s">
        <v>2</v>
      </c>
      <c r="Z225" t="s">
        <v>3</v>
      </c>
      <c r="AA225" s="5">
        <v>0</v>
      </c>
      <c r="AB225" t="s">
        <v>4</v>
      </c>
      <c r="AL225" t="s">
        <v>8192</v>
      </c>
    </row>
    <row r="226" spans="1:38">
      <c r="A226" t="s">
        <v>2994</v>
      </c>
      <c r="B226" t="s">
        <v>5701</v>
      </c>
      <c r="C226" t="s">
        <v>5702</v>
      </c>
      <c r="D226" t="s">
        <v>5703</v>
      </c>
      <c r="E226" s="5">
        <v>537.9</v>
      </c>
      <c r="F226" s="5">
        <v>537.9</v>
      </c>
      <c r="G226" s="3">
        <v>43277</v>
      </c>
      <c r="H226" s="4">
        <v>0.16253472222222001</v>
      </c>
      <c r="I226" s="3">
        <v>43277</v>
      </c>
      <c r="J226" s="4">
        <v>0.37005787037037002</v>
      </c>
      <c r="K226" s="2">
        <v>0</v>
      </c>
      <c r="L226" t="s">
        <v>0</v>
      </c>
      <c r="M226" t="s">
        <v>2999</v>
      </c>
      <c r="N226" s="3">
        <v>43279</v>
      </c>
      <c r="O226" s="3">
        <v>43279</v>
      </c>
      <c r="P226" t="s">
        <v>13</v>
      </c>
      <c r="Q226" t="s">
        <v>5704</v>
      </c>
      <c r="R226" t="s">
        <v>820</v>
      </c>
      <c r="S226" s="3">
        <v>43279</v>
      </c>
      <c r="T226" t="s">
        <v>7404</v>
      </c>
      <c r="U226" t="s">
        <v>2546</v>
      </c>
      <c r="V226" t="s">
        <v>5705</v>
      </c>
      <c r="W226" t="s">
        <v>2434</v>
      </c>
      <c r="X226" s="2">
        <v>108</v>
      </c>
      <c r="Y226" t="s">
        <v>2</v>
      </c>
      <c r="Z226" t="s">
        <v>3</v>
      </c>
      <c r="AA226" s="5">
        <v>0</v>
      </c>
      <c r="AB226" t="s">
        <v>4</v>
      </c>
      <c r="AL226" t="s">
        <v>8193</v>
      </c>
    </row>
    <row r="227" spans="1:38">
      <c r="A227" t="s">
        <v>2994</v>
      </c>
      <c r="B227" t="s">
        <v>2876</v>
      </c>
      <c r="C227" t="s">
        <v>2833</v>
      </c>
      <c r="D227" t="s">
        <v>2834</v>
      </c>
      <c r="E227" s="2">
        <v>1000</v>
      </c>
      <c r="F227" s="2">
        <v>1000</v>
      </c>
      <c r="G227" s="3">
        <v>43277</v>
      </c>
      <c r="H227" s="4">
        <v>0.39089120370370001</v>
      </c>
      <c r="I227" s="3">
        <v>43277</v>
      </c>
      <c r="J227" s="4">
        <v>0.77668981481481003</v>
      </c>
      <c r="K227" s="2">
        <v>0</v>
      </c>
      <c r="L227" t="s">
        <v>0</v>
      </c>
      <c r="M227" t="s">
        <v>3053</v>
      </c>
      <c r="N227" s="3">
        <v>43286</v>
      </c>
      <c r="O227" s="3">
        <v>43279</v>
      </c>
      <c r="P227" t="s">
        <v>2435</v>
      </c>
      <c r="Q227" t="s">
        <v>2877</v>
      </c>
      <c r="R227" t="s">
        <v>820</v>
      </c>
      <c r="S227" s="3">
        <v>43286</v>
      </c>
      <c r="T227" t="s">
        <v>7405</v>
      </c>
      <c r="U227" t="s">
        <v>2835</v>
      </c>
      <c r="V227" t="s">
        <v>2437</v>
      </c>
      <c r="W227" t="s">
        <v>2434</v>
      </c>
      <c r="X227" s="2">
        <v>108</v>
      </c>
      <c r="Y227" t="s">
        <v>2</v>
      </c>
      <c r="Z227" t="s">
        <v>3</v>
      </c>
      <c r="AA227" s="5">
        <v>0</v>
      </c>
      <c r="AB227" t="s">
        <v>17</v>
      </c>
      <c r="AL227" t="s">
        <v>8194</v>
      </c>
    </row>
    <row r="228" spans="1:38">
      <c r="A228" t="s">
        <v>2994</v>
      </c>
      <c r="B228" t="s">
        <v>5709</v>
      </c>
      <c r="C228" t="s">
        <v>2523</v>
      </c>
      <c r="D228" t="s">
        <v>2524</v>
      </c>
      <c r="E228" s="2">
        <v>1000</v>
      </c>
      <c r="F228" s="2">
        <v>1000</v>
      </c>
      <c r="G228" s="3">
        <v>43277</v>
      </c>
      <c r="H228" s="4">
        <v>0.79752314814814995</v>
      </c>
      <c r="I228" s="3">
        <v>43278</v>
      </c>
      <c r="J228" s="4">
        <v>0.18332175925926</v>
      </c>
      <c r="K228" s="2">
        <v>20</v>
      </c>
      <c r="L228" t="s">
        <v>0</v>
      </c>
      <c r="M228" t="s">
        <v>3053</v>
      </c>
      <c r="N228" s="3">
        <v>43290</v>
      </c>
      <c r="O228" s="3">
        <v>43280</v>
      </c>
      <c r="P228" t="s">
        <v>2435</v>
      </c>
      <c r="Q228" t="s">
        <v>5710</v>
      </c>
      <c r="R228" t="s">
        <v>820</v>
      </c>
      <c r="S228" s="3">
        <v>43290</v>
      </c>
      <c r="T228" t="s">
        <v>7406</v>
      </c>
      <c r="U228" t="s">
        <v>2526</v>
      </c>
      <c r="V228" t="s">
        <v>2513</v>
      </c>
      <c r="W228" t="s">
        <v>2434</v>
      </c>
      <c r="X228" s="2">
        <v>108</v>
      </c>
      <c r="Y228" t="s">
        <v>2</v>
      </c>
      <c r="Z228" t="s">
        <v>3</v>
      </c>
      <c r="AA228" s="5">
        <v>0</v>
      </c>
      <c r="AB228" t="s">
        <v>17</v>
      </c>
      <c r="AL228" t="s">
        <v>8195</v>
      </c>
    </row>
    <row r="229" spans="1:38">
      <c r="A229" t="s">
        <v>2994</v>
      </c>
      <c r="B229" t="s">
        <v>7029</v>
      </c>
      <c r="C229" t="s">
        <v>7030</v>
      </c>
      <c r="D229" t="s">
        <v>7031</v>
      </c>
      <c r="E229" s="2">
        <v>1000</v>
      </c>
      <c r="F229" s="2">
        <v>1000</v>
      </c>
      <c r="G229" s="3">
        <v>43278</v>
      </c>
      <c r="H229" s="4">
        <v>0.20415509259258999</v>
      </c>
      <c r="I229" s="3">
        <v>43278</v>
      </c>
      <c r="J229" s="4">
        <v>0.58995370370370004</v>
      </c>
      <c r="K229" s="2">
        <v>0</v>
      </c>
      <c r="L229" t="s">
        <v>0</v>
      </c>
      <c r="M229" t="s">
        <v>3053</v>
      </c>
      <c r="N229" s="3">
        <v>43280</v>
      </c>
      <c r="O229" s="3">
        <v>43280</v>
      </c>
      <c r="P229" t="s">
        <v>13</v>
      </c>
      <c r="Q229" t="s">
        <v>7032</v>
      </c>
      <c r="R229" t="s">
        <v>820</v>
      </c>
      <c r="S229" s="3">
        <v>43280</v>
      </c>
      <c r="T229" t="s">
        <v>7407</v>
      </c>
      <c r="U229" t="s">
        <v>2526</v>
      </c>
      <c r="V229" t="s">
        <v>7033</v>
      </c>
      <c r="X229" s="2">
        <v>108</v>
      </c>
      <c r="Y229" t="s">
        <v>2</v>
      </c>
      <c r="Z229" t="s">
        <v>3</v>
      </c>
      <c r="AA229" s="5">
        <v>0</v>
      </c>
      <c r="AB229" t="s">
        <v>17</v>
      </c>
      <c r="AL229" t="s">
        <v>8196</v>
      </c>
    </row>
    <row r="230" spans="1:38">
      <c r="A230" t="s">
        <v>2994</v>
      </c>
      <c r="B230" t="s">
        <v>7408</v>
      </c>
      <c r="C230" t="s">
        <v>3075</v>
      </c>
      <c r="D230" t="s">
        <v>3076</v>
      </c>
      <c r="E230" s="2">
        <v>500</v>
      </c>
      <c r="F230" s="2">
        <v>500</v>
      </c>
      <c r="G230" s="3">
        <v>43278</v>
      </c>
      <c r="H230" s="4">
        <v>0.61078703703703996</v>
      </c>
      <c r="I230" s="3">
        <v>43278</v>
      </c>
      <c r="J230" s="4">
        <v>0.80369212962962999</v>
      </c>
      <c r="K230" s="2">
        <v>20</v>
      </c>
      <c r="L230" t="s">
        <v>0</v>
      </c>
      <c r="M230" t="s">
        <v>3005</v>
      </c>
      <c r="N230" s="3">
        <v>43280</v>
      </c>
      <c r="O230" s="3">
        <v>43280</v>
      </c>
      <c r="P230" t="s">
        <v>3013</v>
      </c>
      <c r="Q230" t="s">
        <v>7409</v>
      </c>
      <c r="R230" t="s">
        <v>820</v>
      </c>
      <c r="S230" s="3">
        <v>43280</v>
      </c>
      <c r="T230" t="s">
        <v>7410</v>
      </c>
      <c r="U230">
        <v>1000</v>
      </c>
      <c r="V230" t="s">
        <v>3077</v>
      </c>
      <c r="W230" t="s">
        <v>2434</v>
      </c>
      <c r="X230" s="2">
        <v>108</v>
      </c>
      <c r="Y230" t="s">
        <v>2</v>
      </c>
      <c r="Z230" t="s">
        <v>3</v>
      </c>
      <c r="AA230" s="5">
        <v>0</v>
      </c>
      <c r="AB230" t="s">
        <v>17</v>
      </c>
      <c r="AI230" t="s">
        <v>6643</v>
      </c>
      <c r="AL230" t="s">
        <v>8197</v>
      </c>
    </row>
    <row r="231" spans="1:38">
      <c r="A231" t="s">
        <v>2994</v>
      </c>
      <c r="B231" t="s">
        <v>7411</v>
      </c>
      <c r="C231" t="s">
        <v>3011</v>
      </c>
      <c r="D231" t="s">
        <v>3012</v>
      </c>
      <c r="E231" s="2">
        <v>500</v>
      </c>
      <c r="F231" s="2">
        <v>500</v>
      </c>
      <c r="G231" s="3">
        <v>43278</v>
      </c>
      <c r="H231" s="4">
        <v>0.82452546296296003</v>
      </c>
      <c r="I231" s="3">
        <v>43279</v>
      </c>
      <c r="J231" s="4">
        <v>1.7430555555560001E-2</v>
      </c>
      <c r="K231" s="2">
        <v>20</v>
      </c>
      <c r="L231" t="s">
        <v>0</v>
      </c>
      <c r="M231" t="s">
        <v>3005</v>
      </c>
      <c r="N231" s="3">
        <v>43280</v>
      </c>
      <c r="O231" s="3">
        <v>43281</v>
      </c>
      <c r="P231" t="s">
        <v>3013</v>
      </c>
      <c r="Q231" t="s">
        <v>7412</v>
      </c>
      <c r="R231" t="s">
        <v>820</v>
      </c>
      <c r="S231" s="3">
        <v>43280</v>
      </c>
      <c r="T231" t="s">
        <v>7413</v>
      </c>
      <c r="U231">
        <v>1000</v>
      </c>
      <c r="V231" t="s">
        <v>3014</v>
      </c>
      <c r="W231" t="s">
        <v>2434</v>
      </c>
      <c r="X231" s="2">
        <v>108</v>
      </c>
      <c r="Y231" t="s">
        <v>2</v>
      </c>
      <c r="Z231" t="s">
        <v>3</v>
      </c>
      <c r="AA231" s="5">
        <v>0</v>
      </c>
      <c r="AB231" t="s">
        <v>17</v>
      </c>
      <c r="AL231" t="s">
        <v>8198</v>
      </c>
    </row>
    <row r="232" spans="1:38">
      <c r="A232" t="s">
        <v>2994</v>
      </c>
      <c r="B232" t="s">
        <v>3091</v>
      </c>
      <c r="C232" t="s">
        <v>3092</v>
      </c>
      <c r="D232" t="s">
        <v>3093</v>
      </c>
      <c r="E232" s="2">
        <v>150</v>
      </c>
      <c r="F232" s="2">
        <v>150</v>
      </c>
      <c r="G232" s="3">
        <v>43279</v>
      </c>
      <c r="H232" s="4">
        <v>5.9097222222219997E-2</v>
      </c>
      <c r="I232" s="3">
        <v>43279</v>
      </c>
      <c r="J232" s="4">
        <v>0.11696759259259</v>
      </c>
      <c r="K232" s="2">
        <v>0</v>
      </c>
      <c r="L232" t="s">
        <v>0</v>
      </c>
      <c r="M232" t="s">
        <v>3002</v>
      </c>
      <c r="N232" s="3">
        <v>43287</v>
      </c>
      <c r="O232" s="3">
        <v>43281</v>
      </c>
      <c r="P232" t="s">
        <v>3094</v>
      </c>
      <c r="Q232" t="s">
        <v>3095</v>
      </c>
      <c r="R232" t="s">
        <v>820</v>
      </c>
      <c r="S232" s="3">
        <v>43287</v>
      </c>
      <c r="T232" t="s">
        <v>7414</v>
      </c>
      <c r="U232" t="s">
        <v>3017</v>
      </c>
      <c r="V232" t="s">
        <v>3096</v>
      </c>
      <c r="W232" t="s">
        <v>2434</v>
      </c>
      <c r="X232" s="2">
        <v>108</v>
      </c>
      <c r="Y232" t="s">
        <v>2</v>
      </c>
      <c r="Z232" t="s">
        <v>3</v>
      </c>
      <c r="AA232" s="5">
        <v>0</v>
      </c>
      <c r="AB232" t="s">
        <v>17</v>
      </c>
      <c r="AI232" t="s">
        <v>6643</v>
      </c>
      <c r="AL232" t="s">
        <v>8199</v>
      </c>
    </row>
    <row r="233" spans="1:38">
      <c r="A233" t="s">
        <v>2994</v>
      </c>
      <c r="B233" t="s">
        <v>5731</v>
      </c>
      <c r="C233" t="s">
        <v>5732</v>
      </c>
      <c r="D233" t="s">
        <v>5733</v>
      </c>
      <c r="E233" s="2">
        <v>100</v>
      </c>
      <c r="F233" s="2">
        <v>100</v>
      </c>
      <c r="G233" s="3">
        <v>43279</v>
      </c>
      <c r="H233" s="4">
        <v>0.20030092592592999</v>
      </c>
      <c r="I233" s="3">
        <v>43279</v>
      </c>
      <c r="J233" s="4">
        <v>0.23887731481481</v>
      </c>
      <c r="K233" s="2">
        <v>20</v>
      </c>
      <c r="L233" t="s">
        <v>0</v>
      </c>
      <c r="M233" t="s">
        <v>3015</v>
      </c>
      <c r="N233" s="3">
        <v>43298</v>
      </c>
      <c r="O233" s="3">
        <v>43293</v>
      </c>
      <c r="P233" t="s">
        <v>5734</v>
      </c>
      <c r="Q233" t="s">
        <v>5735</v>
      </c>
      <c r="R233" t="s">
        <v>820</v>
      </c>
      <c r="S233" s="3">
        <v>43298</v>
      </c>
      <c r="T233" t="s">
        <v>7415</v>
      </c>
      <c r="U233" t="s">
        <v>5736</v>
      </c>
      <c r="V233" t="s">
        <v>5737</v>
      </c>
      <c r="W233" t="s">
        <v>2434</v>
      </c>
      <c r="X233" s="2">
        <v>108</v>
      </c>
      <c r="Y233" t="s">
        <v>2</v>
      </c>
      <c r="Z233" t="s">
        <v>3</v>
      </c>
      <c r="AA233" s="5">
        <v>0</v>
      </c>
      <c r="AB233" t="s">
        <v>17</v>
      </c>
      <c r="AL233" t="s">
        <v>8200</v>
      </c>
    </row>
    <row r="234" spans="1:38">
      <c r="A234" t="s">
        <v>2994</v>
      </c>
      <c r="B234" t="s">
        <v>3066</v>
      </c>
      <c r="C234" t="s">
        <v>3067</v>
      </c>
      <c r="D234" t="s">
        <v>3068</v>
      </c>
      <c r="E234" s="2">
        <v>300</v>
      </c>
      <c r="F234" s="2">
        <v>300</v>
      </c>
      <c r="G234" s="3">
        <v>43279</v>
      </c>
      <c r="H234" s="4">
        <v>0.88425925925925997</v>
      </c>
      <c r="I234" s="3">
        <v>43280</v>
      </c>
      <c r="J234" s="4">
        <v>0</v>
      </c>
      <c r="K234" s="2">
        <v>20</v>
      </c>
      <c r="L234" t="s">
        <v>0</v>
      </c>
      <c r="M234" t="s">
        <v>2998</v>
      </c>
      <c r="N234" s="3">
        <v>43282</v>
      </c>
      <c r="O234" s="3">
        <v>43281</v>
      </c>
      <c r="P234" t="s">
        <v>2997</v>
      </c>
      <c r="Q234" t="s">
        <v>3069</v>
      </c>
      <c r="R234" t="s">
        <v>820</v>
      </c>
      <c r="S234" s="3">
        <v>43282</v>
      </c>
      <c r="T234" t="s">
        <v>7416</v>
      </c>
      <c r="U234" t="s">
        <v>3017</v>
      </c>
      <c r="V234">
        <v>7101</v>
      </c>
      <c r="W234" t="s">
        <v>2434</v>
      </c>
      <c r="X234" s="2">
        <v>108</v>
      </c>
      <c r="Y234" t="s">
        <v>2</v>
      </c>
      <c r="Z234" t="s">
        <v>3</v>
      </c>
      <c r="AA234" s="5">
        <v>0</v>
      </c>
      <c r="AB234" t="s">
        <v>17</v>
      </c>
      <c r="AL234" t="s">
        <v>8201</v>
      </c>
    </row>
    <row r="235" spans="1:38">
      <c r="A235" t="s">
        <v>2994</v>
      </c>
      <c r="B235" t="s">
        <v>7417</v>
      </c>
      <c r="C235" t="s">
        <v>7418</v>
      </c>
      <c r="D235" t="s">
        <v>7419</v>
      </c>
      <c r="E235" s="2">
        <v>75</v>
      </c>
      <c r="F235" s="2">
        <v>75</v>
      </c>
      <c r="G235" s="3">
        <v>43281</v>
      </c>
      <c r="H235" s="4">
        <v>8.6064814814810001E-2</v>
      </c>
      <c r="I235" s="3">
        <v>43281</v>
      </c>
      <c r="J235" s="4">
        <v>0.115</v>
      </c>
      <c r="K235" s="2">
        <v>0</v>
      </c>
      <c r="L235" t="s">
        <v>0</v>
      </c>
      <c r="M235" t="s">
        <v>7420</v>
      </c>
      <c r="N235" s="3">
        <v>43283</v>
      </c>
      <c r="O235" s="3">
        <v>43283</v>
      </c>
      <c r="P235" t="s">
        <v>7421</v>
      </c>
      <c r="Q235" t="s">
        <v>7422</v>
      </c>
      <c r="R235" t="s">
        <v>820</v>
      </c>
      <c r="S235" s="3">
        <v>43283</v>
      </c>
      <c r="T235" t="s">
        <v>7423</v>
      </c>
      <c r="U235" t="s">
        <v>2542</v>
      </c>
      <c r="V235" t="s">
        <v>7424</v>
      </c>
      <c r="W235" t="s">
        <v>2434</v>
      </c>
      <c r="X235" s="2">
        <v>108</v>
      </c>
      <c r="Y235" t="s">
        <v>2</v>
      </c>
      <c r="Z235" t="s">
        <v>3</v>
      </c>
      <c r="AA235" s="5">
        <v>0</v>
      </c>
      <c r="AB235" t="s">
        <v>17</v>
      </c>
      <c r="AL235" t="s">
        <v>8202</v>
      </c>
    </row>
    <row r="236" spans="1:38">
      <c r="A236" t="s">
        <v>2994</v>
      </c>
      <c r="B236" t="s">
        <v>7425</v>
      </c>
      <c r="C236" t="s">
        <v>7426</v>
      </c>
      <c r="D236" t="s">
        <v>7427</v>
      </c>
      <c r="E236" s="2">
        <v>25</v>
      </c>
      <c r="F236" s="2">
        <v>25</v>
      </c>
      <c r="G236" s="3">
        <v>43281</v>
      </c>
      <c r="H236" s="4">
        <v>0.15666666666667001</v>
      </c>
      <c r="I236" s="3">
        <v>43281</v>
      </c>
      <c r="J236" s="4">
        <v>0.16630787037037001</v>
      </c>
      <c r="K236" s="2">
        <v>0</v>
      </c>
      <c r="L236" t="s">
        <v>0</v>
      </c>
      <c r="M236" t="s">
        <v>3088</v>
      </c>
      <c r="N236" s="3">
        <v>43283</v>
      </c>
      <c r="O236" s="3">
        <v>43283</v>
      </c>
      <c r="P236" t="s">
        <v>7428</v>
      </c>
      <c r="Q236" t="s">
        <v>7429</v>
      </c>
      <c r="R236" t="s">
        <v>820</v>
      </c>
      <c r="S236" s="3">
        <v>43283</v>
      </c>
      <c r="T236" t="s">
        <v>7430</v>
      </c>
      <c r="U236" t="s">
        <v>2542</v>
      </c>
      <c r="V236" t="s">
        <v>7431</v>
      </c>
      <c r="W236" t="s">
        <v>2434</v>
      </c>
      <c r="X236" s="2">
        <v>108</v>
      </c>
      <c r="Y236" t="s">
        <v>2</v>
      </c>
      <c r="Z236" t="s">
        <v>3</v>
      </c>
      <c r="AA236" s="5">
        <v>0</v>
      </c>
      <c r="AB236" t="s">
        <v>17</v>
      </c>
      <c r="AI236" t="s">
        <v>6643</v>
      </c>
      <c r="AL236" t="s">
        <v>8203</v>
      </c>
    </row>
    <row r="237" spans="1:38">
      <c r="A237" t="s">
        <v>2994</v>
      </c>
      <c r="B237" t="s">
        <v>7432</v>
      </c>
      <c r="C237" t="s">
        <v>7433</v>
      </c>
      <c r="D237" t="s">
        <v>7434</v>
      </c>
      <c r="E237" s="2">
        <v>100</v>
      </c>
      <c r="F237" s="2">
        <v>100</v>
      </c>
      <c r="G237" s="3">
        <v>43281</v>
      </c>
      <c r="H237" s="4">
        <v>0.24964120370369999</v>
      </c>
      <c r="I237" s="3">
        <v>43281</v>
      </c>
      <c r="J237" s="4">
        <v>0.28821759259259</v>
      </c>
      <c r="K237" s="2">
        <v>2</v>
      </c>
      <c r="L237" t="s">
        <v>0</v>
      </c>
      <c r="M237" t="s">
        <v>3015</v>
      </c>
      <c r="N237" s="3">
        <v>43263</v>
      </c>
      <c r="O237" s="3">
        <v>43283</v>
      </c>
      <c r="P237" t="s">
        <v>3013</v>
      </c>
      <c r="Q237" t="s">
        <v>7435</v>
      </c>
      <c r="R237" t="s">
        <v>820</v>
      </c>
      <c r="S237" s="3">
        <v>43263</v>
      </c>
      <c r="T237" t="s">
        <v>1</v>
      </c>
      <c r="U237" t="s">
        <v>3017</v>
      </c>
      <c r="V237" t="s">
        <v>3014</v>
      </c>
      <c r="W237" t="s">
        <v>2434</v>
      </c>
      <c r="X237" s="2">
        <v>0</v>
      </c>
      <c r="Y237" t="s">
        <v>2</v>
      </c>
      <c r="Z237" t="s">
        <v>3</v>
      </c>
      <c r="AA237" s="5">
        <v>0</v>
      </c>
      <c r="AB237" t="s">
        <v>30</v>
      </c>
      <c r="AL237" t="s">
        <v>8204</v>
      </c>
    </row>
    <row r="238" spans="1:38">
      <c r="A238" t="s">
        <v>2994</v>
      </c>
      <c r="B238" t="s">
        <v>7436</v>
      </c>
      <c r="C238" t="s">
        <v>7437</v>
      </c>
      <c r="D238" t="s">
        <v>7438</v>
      </c>
      <c r="E238" s="2">
        <v>25</v>
      </c>
      <c r="F238" s="2">
        <v>25</v>
      </c>
      <c r="G238" s="3">
        <v>43281</v>
      </c>
      <c r="H238" s="4">
        <v>0.58373842592592995</v>
      </c>
      <c r="I238" s="3">
        <v>43281</v>
      </c>
      <c r="J238" s="4">
        <v>0.59337962962962998</v>
      </c>
      <c r="K238" s="2">
        <v>2</v>
      </c>
      <c r="L238" t="s">
        <v>0</v>
      </c>
      <c r="M238" t="s">
        <v>3088</v>
      </c>
      <c r="N238" s="3">
        <v>43264</v>
      </c>
      <c r="O238" s="3">
        <v>43285</v>
      </c>
      <c r="P238" t="s">
        <v>2490</v>
      </c>
      <c r="Q238" t="s">
        <v>1</v>
      </c>
      <c r="R238" t="s">
        <v>819</v>
      </c>
      <c r="S238" s="3"/>
      <c r="U238" t="s">
        <v>2816</v>
      </c>
      <c r="V238" t="s">
        <v>7439</v>
      </c>
      <c r="W238" t="s">
        <v>2434</v>
      </c>
      <c r="X238" s="2">
        <v>0</v>
      </c>
      <c r="Y238" t="s">
        <v>2</v>
      </c>
      <c r="Z238" t="s">
        <v>3</v>
      </c>
      <c r="AA238" s="5">
        <v>0</v>
      </c>
      <c r="AB238" t="s">
        <v>30</v>
      </c>
      <c r="AI238" t="s">
        <v>6643</v>
      </c>
      <c r="AL238" t="s">
        <v>8594</v>
      </c>
    </row>
    <row r="239" spans="1:38">
      <c r="A239" t="s">
        <v>2994</v>
      </c>
      <c r="B239" t="s">
        <v>7440</v>
      </c>
      <c r="C239" t="s">
        <v>7441</v>
      </c>
      <c r="D239" t="s">
        <v>7442</v>
      </c>
      <c r="E239" s="2">
        <v>25</v>
      </c>
      <c r="F239" s="2">
        <v>25</v>
      </c>
      <c r="G239" s="3">
        <v>43281</v>
      </c>
      <c r="H239" s="4">
        <v>0.60472222222222005</v>
      </c>
      <c r="I239" s="3">
        <v>43281</v>
      </c>
      <c r="J239" s="4">
        <v>0.61436342592592996</v>
      </c>
      <c r="K239" s="2">
        <v>25</v>
      </c>
      <c r="L239" t="s">
        <v>0</v>
      </c>
      <c r="M239" t="s">
        <v>3088</v>
      </c>
      <c r="N239" s="3">
        <v>43283</v>
      </c>
      <c r="O239" s="3">
        <v>43283</v>
      </c>
      <c r="P239" t="s">
        <v>13</v>
      </c>
      <c r="Q239" t="s">
        <v>7443</v>
      </c>
      <c r="R239" t="s">
        <v>820</v>
      </c>
      <c r="S239" s="3">
        <v>43283</v>
      </c>
      <c r="U239" t="s">
        <v>7444</v>
      </c>
      <c r="V239">
        <v>1000</v>
      </c>
      <c r="X239" s="2">
        <v>108</v>
      </c>
      <c r="Y239" t="s">
        <v>2</v>
      </c>
      <c r="Z239" t="s">
        <v>3</v>
      </c>
      <c r="AA239" s="5">
        <v>0</v>
      </c>
      <c r="AB239" t="s">
        <v>17</v>
      </c>
      <c r="AL239" t="s">
        <v>8595</v>
      </c>
    </row>
    <row r="240" spans="1:38">
      <c r="A240" t="s">
        <v>2994</v>
      </c>
      <c r="B240" t="s">
        <v>7047</v>
      </c>
      <c r="C240" t="s">
        <v>7048</v>
      </c>
      <c r="D240" t="s">
        <v>7049</v>
      </c>
      <c r="E240" s="2">
        <v>1000</v>
      </c>
      <c r="F240" s="2">
        <v>1000</v>
      </c>
      <c r="G240" s="3">
        <v>43281</v>
      </c>
      <c r="H240" s="4">
        <v>0.61421296296296002</v>
      </c>
      <c r="I240" s="3">
        <v>43287</v>
      </c>
      <c r="J240" s="4">
        <v>0</v>
      </c>
      <c r="K240" s="2">
        <v>0</v>
      </c>
      <c r="L240" t="s">
        <v>0</v>
      </c>
      <c r="M240" t="s">
        <v>3053</v>
      </c>
      <c r="N240" s="3">
        <v>43290</v>
      </c>
      <c r="O240" s="3">
        <v>43288</v>
      </c>
      <c r="P240" t="s">
        <v>13</v>
      </c>
      <c r="Q240" t="s">
        <v>7050</v>
      </c>
      <c r="R240" t="s">
        <v>820</v>
      </c>
      <c r="S240" s="3">
        <v>43290</v>
      </c>
      <c r="T240" t="s">
        <v>7445</v>
      </c>
      <c r="U240" t="s">
        <v>2992</v>
      </c>
      <c r="V240" t="s">
        <v>7051</v>
      </c>
      <c r="W240" t="s">
        <v>2434</v>
      </c>
      <c r="X240" s="2">
        <v>108</v>
      </c>
      <c r="Y240" t="s">
        <v>2</v>
      </c>
      <c r="Z240" t="s">
        <v>3</v>
      </c>
      <c r="AA240" s="5">
        <v>0</v>
      </c>
      <c r="AB240" t="s">
        <v>17</v>
      </c>
      <c r="AL240" t="s">
        <v>8205</v>
      </c>
    </row>
    <row r="241" spans="1:38">
      <c r="A241" t="s">
        <v>2994</v>
      </c>
      <c r="B241" t="s">
        <v>3089</v>
      </c>
      <c r="C241" t="s">
        <v>3071</v>
      </c>
      <c r="D241" t="s">
        <v>3072</v>
      </c>
      <c r="E241" s="2">
        <v>500</v>
      </c>
      <c r="F241" s="2">
        <v>500</v>
      </c>
      <c r="G241" s="3">
        <v>43287</v>
      </c>
      <c r="H241" s="4">
        <v>4.1666666666670002E-2</v>
      </c>
      <c r="I241" s="3">
        <v>43287</v>
      </c>
      <c r="J241" s="4">
        <v>0.23457175925925999</v>
      </c>
      <c r="K241" s="2">
        <v>0</v>
      </c>
      <c r="L241" t="s">
        <v>0</v>
      </c>
      <c r="M241" t="s">
        <v>3005</v>
      </c>
      <c r="N241" s="3">
        <v>43290</v>
      </c>
      <c r="O241" s="3">
        <v>43289</v>
      </c>
      <c r="P241" t="s">
        <v>2435</v>
      </c>
      <c r="Q241" t="s">
        <v>3090</v>
      </c>
      <c r="R241" t="s">
        <v>820</v>
      </c>
      <c r="S241" s="3">
        <v>43290</v>
      </c>
      <c r="T241" t="s">
        <v>7446</v>
      </c>
      <c r="U241" t="s">
        <v>3074</v>
      </c>
      <c r="V241" t="s">
        <v>2437</v>
      </c>
      <c r="W241" t="s">
        <v>2434</v>
      </c>
      <c r="X241" s="2">
        <v>108</v>
      </c>
      <c r="Y241" t="s">
        <v>2</v>
      </c>
      <c r="Z241" t="s">
        <v>3</v>
      </c>
      <c r="AA241" s="5">
        <v>0</v>
      </c>
      <c r="AB241" t="s">
        <v>17</v>
      </c>
      <c r="AL241" t="s">
        <v>8206</v>
      </c>
    </row>
    <row r="242" spans="1:38">
      <c r="A242" t="s">
        <v>2994</v>
      </c>
      <c r="B242" t="s">
        <v>3097</v>
      </c>
      <c r="C242" t="s">
        <v>2523</v>
      </c>
      <c r="D242" t="s">
        <v>2524</v>
      </c>
      <c r="E242" s="2">
        <v>500</v>
      </c>
      <c r="F242" s="2">
        <v>500</v>
      </c>
      <c r="G242" s="3">
        <v>43287</v>
      </c>
      <c r="H242" s="4">
        <v>0.80709490740740997</v>
      </c>
      <c r="I242" s="3">
        <v>43288</v>
      </c>
      <c r="J242" s="4">
        <v>0</v>
      </c>
      <c r="K242" s="2">
        <v>0</v>
      </c>
      <c r="L242" t="s">
        <v>0</v>
      </c>
      <c r="M242" t="s">
        <v>3005</v>
      </c>
      <c r="N242" s="3">
        <v>43290</v>
      </c>
      <c r="O242" s="3">
        <v>43289</v>
      </c>
      <c r="P242" t="s">
        <v>2435</v>
      </c>
      <c r="Q242" t="s">
        <v>3098</v>
      </c>
      <c r="R242" t="s">
        <v>820</v>
      </c>
      <c r="S242" s="3">
        <v>43290</v>
      </c>
      <c r="T242" t="s">
        <v>7447</v>
      </c>
      <c r="U242" t="s">
        <v>2526</v>
      </c>
      <c r="V242" t="s">
        <v>2513</v>
      </c>
      <c r="W242" t="s">
        <v>2434</v>
      </c>
      <c r="X242" s="2">
        <v>108</v>
      </c>
      <c r="Y242" t="s">
        <v>2</v>
      </c>
      <c r="Z242" t="s">
        <v>3</v>
      </c>
      <c r="AA242" s="5">
        <v>0</v>
      </c>
      <c r="AB242" t="s">
        <v>17</v>
      </c>
      <c r="AL242" t="s">
        <v>8207</v>
      </c>
    </row>
    <row r="243" spans="1:38">
      <c r="A243" t="s">
        <v>2994</v>
      </c>
      <c r="B243" t="s">
        <v>3099</v>
      </c>
      <c r="C243" t="s">
        <v>3100</v>
      </c>
      <c r="D243" t="s">
        <v>3101</v>
      </c>
      <c r="E243" s="2">
        <v>150</v>
      </c>
      <c r="F243" s="2">
        <v>150</v>
      </c>
      <c r="G243" s="3">
        <v>43287</v>
      </c>
      <c r="H243" s="4">
        <v>0.94212962962962998</v>
      </c>
      <c r="I243" s="3">
        <v>43288</v>
      </c>
      <c r="J243" s="4">
        <v>0</v>
      </c>
      <c r="K243" s="2">
        <v>0</v>
      </c>
      <c r="L243" t="s">
        <v>0</v>
      </c>
      <c r="M243" t="s">
        <v>3002</v>
      </c>
      <c r="N243" s="3">
        <v>43291</v>
      </c>
      <c r="O243" s="3">
        <v>43289</v>
      </c>
      <c r="P243" t="s">
        <v>3094</v>
      </c>
      <c r="Q243" t="s">
        <v>3102</v>
      </c>
      <c r="R243" t="s">
        <v>820</v>
      </c>
      <c r="S243" s="3">
        <v>43291</v>
      </c>
      <c r="T243" t="s">
        <v>7448</v>
      </c>
      <c r="U243" t="s">
        <v>3017</v>
      </c>
      <c r="V243" t="s">
        <v>3103</v>
      </c>
      <c r="W243" t="s">
        <v>2434</v>
      </c>
      <c r="X243" s="2">
        <v>108</v>
      </c>
      <c r="Y243" t="s">
        <v>2</v>
      </c>
      <c r="Z243" t="s">
        <v>3</v>
      </c>
      <c r="AA243" s="5">
        <v>0</v>
      </c>
      <c r="AB243" t="s">
        <v>17</v>
      </c>
      <c r="AL243" t="s">
        <v>8208</v>
      </c>
    </row>
    <row r="244" spans="1:38">
      <c r="A244" t="s">
        <v>2994</v>
      </c>
      <c r="B244" t="s">
        <v>3104</v>
      </c>
      <c r="C244" t="s">
        <v>3105</v>
      </c>
      <c r="D244" t="s">
        <v>3106</v>
      </c>
      <c r="E244" s="2">
        <v>100</v>
      </c>
      <c r="F244" s="2">
        <v>100</v>
      </c>
      <c r="G244" s="3">
        <v>43287</v>
      </c>
      <c r="H244" s="4">
        <v>0.96142361111110997</v>
      </c>
      <c r="I244" s="3">
        <v>43288</v>
      </c>
      <c r="J244" s="4">
        <v>0</v>
      </c>
      <c r="K244" s="2">
        <v>0</v>
      </c>
      <c r="L244" t="s">
        <v>0</v>
      </c>
      <c r="M244" t="s">
        <v>3015</v>
      </c>
      <c r="N244" s="3">
        <v>43291</v>
      </c>
      <c r="O244" s="3">
        <v>43289</v>
      </c>
      <c r="P244" t="s">
        <v>3055</v>
      </c>
      <c r="Q244" t="s">
        <v>3107</v>
      </c>
      <c r="R244" t="s">
        <v>820</v>
      </c>
      <c r="S244" s="3">
        <v>43291</v>
      </c>
      <c r="T244" t="s">
        <v>7449</v>
      </c>
      <c r="U244" t="s">
        <v>3017</v>
      </c>
      <c r="V244" t="s">
        <v>3108</v>
      </c>
      <c r="W244" t="s">
        <v>2434</v>
      </c>
      <c r="X244" s="2">
        <v>108</v>
      </c>
      <c r="Y244" t="s">
        <v>2</v>
      </c>
      <c r="Z244" t="s">
        <v>3</v>
      </c>
      <c r="AA244" s="5">
        <v>0</v>
      </c>
      <c r="AB244" t="s">
        <v>17</v>
      </c>
      <c r="AL244" t="s">
        <v>8209</v>
      </c>
    </row>
    <row r="245" spans="1:38">
      <c r="A245" t="s">
        <v>2994</v>
      </c>
      <c r="B245" t="s">
        <v>5052</v>
      </c>
      <c r="C245" t="s">
        <v>5053</v>
      </c>
      <c r="D245" t="s">
        <v>5054</v>
      </c>
      <c r="E245" s="2">
        <v>300</v>
      </c>
      <c r="F245" s="2">
        <v>300</v>
      </c>
      <c r="G245" s="3">
        <v>43288</v>
      </c>
      <c r="H245" s="4">
        <v>0.88425925925925997</v>
      </c>
      <c r="I245" s="3">
        <v>43289</v>
      </c>
      <c r="J245" s="4">
        <v>0</v>
      </c>
      <c r="K245" s="2">
        <v>20</v>
      </c>
      <c r="L245" t="s">
        <v>0</v>
      </c>
      <c r="M245" t="s">
        <v>2998</v>
      </c>
      <c r="N245" s="3">
        <v>43290</v>
      </c>
      <c r="O245" s="3">
        <v>43290</v>
      </c>
      <c r="P245" t="s">
        <v>13</v>
      </c>
      <c r="Q245" t="s">
        <v>5055</v>
      </c>
      <c r="R245" t="s">
        <v>820</v>
      </c>
      <c r="S245" s="3">
        <v>43290</v>
      </c>
      <c r="T245" t="s">
        <v>7450</v>
      </c>
      <c r="U245" t="s">
        <v>5056</v>
      </c>
      <c r="V245">
        <v>7301</v>
      </c>
      <c r="W245" t="s">
        <v>2434</v>
      </c>
      <c r="X245" s="2">
        <v>0</v>
      </c>
      <c r="Y245" t="s">
        <v>2</v>
      </c>
      <c r="Z245" t="s">
        <v>3</v>
      </c>
      <c r="AA245" s="5">
        <v>0</v>
      </c>
      <c r="AB245" t="s">
        <v>17</v>
      </c>
      <c r="AL245" t="s">
        <v>8210</v>
      </c>
    </row>
    <row r="246" spans="1:38">
      <c r="A246" t="s">
        <v>2994</v>
      </c>
      <c r="B246" t="s">
        <v>3109</v>
      </c>
      <c r="C246" t="s">
        <v>3110</v>
      </c>
      <c r="D246" t="s">
        <v>3111</v>
      </c>
      <c r="E246" s="2">
        <v>200</v>
      </c>
      <c r="F246" s="2">
        <v>200</v>
      </c>
      <c r="G246" s="3">
        <v>43288</v>
      </c>
      <c r="H246" s="4">
        <v>0.92283564814815</v>
      </c>
      <c r="I246" s="3">
        <v>43289</v>
      </c>
      <c r="J246" s="4">
        <v>0</v>
      </c>
      <c r="K246" s="2">
        <v>0</v>
      </c>
      <c r="L246" t="s">
        <v>0</v>
      </c>
      <c r="M246" t="s">
        <v>3112</v>
      </c>
      <c r="N246" s="3">
        <v>43291</v>
      </c>
      <c r="O246" s="3">
        <v>43290</v>
      </c>
      <c r="P246" t="s">
        <v>3113</v>
      </c>
      <c r="Q246" t="s">
        <v>3114</v>
      </c>
      <c r="R246" t="s">
        <v>820</v>
      </c>
      <c r="S246" s="3">
        <v>43291</v>
      </c>
      <c r="T246" t="s">
        <v>7451</v>
      </c>
      <c r="U246" t="s">
        <v>3017</v>
      </c>
      <c r="V246" t="s">
        <v>3115</v>
      </c>
      <c r="W246" t="s">
        <v>2434</v>
      </c>
      <c r="X246" s="2">
        <v>108</v>
      </c>
      <c r="Y246" t="s">
        <v>2</v>
      </c>
      <c r="Z246" t="s">
        <v>3</v>
      </c>
      <c r="AA246" s="5">
        <v>0</v>
      </c>
      <c r="AB246" t="s">
        <v>17</v>
      </c>
      <c r="AL246" t="s">
        <v>8211</v>
      </c>
    </row>
    <row r="247" spans="1:38">
      <c r="A247" t="s">
        <v>2994</v>
      </c>
      <c r="B247" t="s">
        <v>5711</v>
      </c>
      <c r="C247" t="s">
        <v>5712</v>
      </c>
      <c r="D247" t="s">
        <v>5713</v>
      </c>
      <c r="E247" s="2">
        <v>500</v>
      </c>
      <c r="F247" s="2">
        <v>500</v>
      </c>
      <c r="G247" s="3">
        <v>43288</v>
      </c>
      <c r="H247" s="4">
        <v>0.93979166666667002</v>
      </c>
      <c r="I247" s="3">
        <v>43289</v>
      </c>
      <c r="J247" s="4">
        <v>0.13269675925926</v>
      </c>
      <c r="K247" s="2">
        <v>20</v>
      </c>
      <c r="L247" t="s">
        <v>0</v>
      </c>
      <c r="M247" t="s">
        <v>3005</v>
      </c>
      <c r="N247" s="3">
        <v>43292</v>
      </c>
      <c r="O247" s="3">
        <v>43291</v>
      </c>
      <c r="P247" t="s">
        <v>2435</v>
      </c>
      <c r="Q247" t="s">
        <v>5714</v>
      </c>
      <c r="R247" t="s">
        <v>820</v>
      </c>
      <c r="S247" s="3">
        <v>43292</v>
      </c>
      <c r="T247" t="s">
        <v>7452</v>
      </c>
      <c r="U247" t="s">
        <v>2822</v>
      </c>
      <c r="V247" t="s">
        <v>5715</v>
      </c>
      <c r="W247" t="s">
        <v>2434</v>
      </c>
      <c r="X247" s="2">
        <v>108</v>
      </c>
      <c r="Y247" t="s">
        <v>2</v>
      </c>
      <c r="Z247" t="s">
        <v>3</v>
      </c>
      <c r="AA247" s="5">
        <v>0</v>
      </c>
      <c r="AB247" t="s">
        <v>17</v>
      </c>
      <c r="AI247" t="s">
        <v>6643</v>
      </c>
      <c r="AL247" t="s">
        <v>8212</v>
      </c>
    </row>
    <row r="248" spans="1:38">
      <c r="A248" t="s">
        <v>2994</v>
      </c>
      <c r="B248" t="s">
        <v>5716</v>
      </c>
      <c r="C248" t="s">
        <v>5717</v>
      </c>
      <c r="D248" t="s">
        <v>5718</v>
      </c>
      <c r="E248" s="2">
        <v>500</v>
      </c>
      <c r="F248" s="2">
        <v>500</v>
      </c>
      <c r="G248" s="3">
        <v>43289</v>
      </c>
      <c r="H248" s="4">
        <v>0.93979166666667002</v>
      </c>
      <c r="I248" s="3">
        <v>43290</v>
      </c>
      <c r="J248" s="4">
        <v>0.13269675925926</v>
      </c>
      <c r="K248" s="2">
        <v>20</v>
      </c>
      <c r="L248" t="s">
        <v>0</v>
      </c>
      <c r="M248" t="s">
        <v>3005</v>
      </c>
      <c r="N248" s="3">
        <v>43292</v>
      </c>
      <c r="O248" s="3">
        <v>43292</v>
      </c>
      <c r="P248" t="s">
        <v>2435</v>
      </c>
      <c r="Q248" t="s">
        <v>5719</v>
      </c>
      <c r="R248" t="s">
        <v>820</v>
      </c>
      <c r="S248" s="3">
        <v>43292</v>
      </c>
      <c r="T248" t="s">
        <v>7453</v>
      </c>
      <c r="U248" t="s">
        <v>5720</v>
      </c>
      <c r="V248" t="s">
        <v>2437</v>
      </c>
      <c r="W248" t="s">
        <v>2434</v>
      </c>
      <c r="X248" s="2">
        <v>108</v>
      </c>
      <c r="Y248" t="s">
        <v>2</v>
      </c>
      <c r="Z248" t="s">
        <v>3</v>
      </c>
      <c r="AA248" s="5">
        <v>0</v>
      </c>
      <c r="AB248" t="s">
        <v>17</v>
      </c>
      <c r="AL248" t="s">
        <v>8213</v>
      </c>
    </row>
    <row r="249" spans="1:38">
      <c r="A249" t="s">
        <v>2994</v>
      </c>
      <c r="B249" t="s">
        <v>7054</v>
      </c>
      <c r="C249" t="s">
        <v>7055</v>
      </c>
      <c r="D249" t="s">
        <v>7056</v>
      </c>
      <c r="E249" s="2">
        <v>25</v>
      </c>
      <c r="F249" s="2">
        <v>25</v>
      </c>
      <c r="G249" s="3">
        <v>43290</v>
      </c>
      <c r="H249" s="4">
        <v>0.99035879629629997</v>
      </c>
      <c r="I249" s="3">
        <v>43291</v>
      </c>
      <c r="J249" s="4">
        <v>0</v>
      </c>
      <c r="K249" s="2">
        <v>0</v>
      </c>
      <c r="L249" t="s">
        <v>0</v>
      </c>
      <c r="M249" t="s">
        <v>3088</v>
      </c>
      <c r="N249" s="3">
        <v>43293</v>
      </c>
      <c r="O249" s="3">
        <v>43292</v>
      </c>
      <c r="P249" t="s">
        <v>13</v>
      </c>
      <c r="Q249" t="s">
        <v>7057</v>
      </c>
      <c r="R249" t="s">
        <v>820</v>
      </c>
      <c r="S249" s="3">
        <v>43293</v>
      </c>
      <c r="T249" t="s">
        <v>7454</v>
      </c>
      <c r="U249">
        <v>2100</v>
      </c>
      <c r="V249">
        <v>7301</v>
      </c>
      <c r="W249" t="s">
        <v>2434</v>
      </c>
      <c r="X249" s="2">
        <v>108</v>
      </c>
      <c r="Y249" t="s">
        <v>2</v>
      </c>
      <c r="Z249" t="s">
        <v>3</v>
      </c>
      <c r="AA249" s="5">
        <v>0</v>
      </c>
      <c r="AB249" t="s">
        <v>17</v>
      </c>
      <c r="AL249" t="s">
        <v>8214</v>
      </c>
    </row>
    <row r="250" spans="1:38">
      <c r="A250" t="s">
        <v>2994</v>
      </c>
      <c r="B250" t="s">
        <v>7058</v>
      </c>
      <c r="C250" t="s">
        <v>7059</v>
      </c>
      <c r="D250" t="s">
        <v>7060</v>
      </c>
      <c r="E250" s="2">
        <v>300</v>
      </c>
      <c r="F250" s="2">
        <v>300</v>
      </c>
      <c r="G250" s="3">
        <v>43291</v>
      </c>
      <c r="H250" s="4">
        <v>0.88425925925925997</v>
      </c>
      <c r="I250" s="3">
        <v>43292</v>
      </c>
      <c r="J250" s="4">
        <v>0</v>
      </c>
      <c r="K250" s="2">
        <v>0</v>
      </c>
      <c r="L250" t="s">
        <v>0</v>
      </c>
      <c r="M250" t="s">
        <v>2998</v>
      </c>
      <c r="N250" s="3">
        <v>43294</v>
      </c>
      <c r="O250" s="3">
        <v>43293</v>
      </c>
      <c r="P250" t="s">
        <v>2507</v>
      </c>
      <c r="Q250" t="s">
        <v>7061</v>
      </c>
      <c r="R250" t="s">
        <v>820</v>
      </c>
      <c r="S250" s="3">
        <v>43294</v>
      </c>
      <c r="T250" t="s">
        <v>7455</v>
      </c>
      <c r="U250" t="s">
        <v>7062</v>
      </c>
      <c r="V250" t="s">
        <v>7063</v>
      </c>
      <c r="W250" t="s">
        <v>2434</v>
      </c>
      <c r="X250" s="2">
        <v>108</v>
      </c>
      <c r="Y250" t="s">
        <v>2</v>
      </c>
      <c r="Z250" t="s">
        <v>3</v>
      </c>
      <c r="AA250" s="5">
        <v>0</v>
      </c>
      <c r="AB250" t="s">
        <v>17</v>
      </c>
      <c r="AI250" t="s">
        <v>6643</v>
      </c>
      <c r="AL250" t="s">
        <v>8215</v>
      </c>
    </row>
    <row r="251" spans="1:38">
      <c r="A251" t="s">
        <v>2994</v>
      </c>
      <c r="B251" t="s">
        <v>7456</v>
      </c>
      <c r="C251" t="s">
        <v>2995</v>
      </c>
      <c r="D251" t="s">
        <v>2996</v>
      </c>
      <c r="E251" s="5">
        <v>6500.107</v>
      </c>
      <c r="F251" s="5">
        <v>6500.107</v>
      </c>
      <c r="G251" s="3">
        <v>43292</v>
      </c>
      <c r="H251" s="4">
        <v>8.3333333333329998E-2</v>
      </c>
      <c r="I251" s="3">
        <v>43294</v>
      </c>
      <c r="J251" s="4">
        <v>0.59108796296295996</v>
      </c>
      <c r="K251" s="2">
        <v>20</v>
      </c>
      <c r="L251" t="s">
        <v>0</v>
      </c>
      <c r="M251" t="s">
        <v>7457</v>
      </c>
      <c r="N251" s="3">
        <v>43369</v>
      </c>
      <c r="O251" s="3">
        <v>43296</v>
      </c>
      <c r="P251" t="s">
        <v>2997</v>
      </c>
      <c r="Q251" t="s">
        <v>7458</v>
      </c>
      <c r="R251" t="s">
        <v>820</v>
      </c>
      <c r="S251" s="3">
        <v>43369</v>
      </c>
      <c r="T251" t="s">
        <v>7459</v>
      </c>
      <c r="U251">
        <v>1010</v>
      </c>
      <c r="V251">
        <v>7101</v>
      </c>
      <c r="W251" t="s">
        <v>2434</v>
      </c>
      <c r="X251" s="2">
        <v>108</v>
      </c>
      <c r="Y251" t="s">
        <v>2</v>
      </c>
      <c r="Z251" t="s">
        <v>3</v>
      </c>
      <c r="AA251" s="5">
        <v>0</v>
      </c>
      <c r="AB251" t="s">
        <v>17</v>
      </c>
      <c r="AL251" t="s">
        <v>8216</v>
      </c>
    </row>
    <row r="252" spans="1:38">
      <c r="A252" t="s">
        <v>2994</v>
      </c>
      <c r="B252" t="s">
        <v>3121</v>
      </c>
      <c r="C252" t="s">
        <v>3022</v>
      </c>
      <c r="D252" t="s">
        <v>3023</v>
      </c>
      <c r="E252" s="2">
        <v>100</v>
      </c>
      <c r="F252" s="2">
        <v>100</v>
      </c>
      <c r="G252" s="3">
        <v>43295</v>
      </c>
      <c r="H252" s="4">
        <v>0.96142361111110997</v>
      </c>
      <c r="I252" s="3">
        <v>43296</v>
      </c>
      <c r="J252" s="4">
        <v>0</v>
      </c>
      <c r="K252" s="2">
        <v>20</v>
      </c>
      <c r="L252" t="s">
        <v>0</v>
      </c>
      <c r="M252" t="s">
        <v>3015</v>
      </c>
      <c r="N252" s="3">
        <v>43298</v>
      </c>
      <c r="O252" s="3">
        <v>43297</v>
      </c>
      <c r="P252" t="s">
        <v>3019</v>
      </c>
      <c r="Q252" t="s">
        <v>3122</v>
      </c>
      <c r="R252" t="s">
        <v>820</v>
      </c>
      <c r="S252" s="3">
        <v>43298</v>
      </c>
      <c r="T252" t="s">
        <v>7460</v>
      </c>
      <c r="U252" t="s">
        <v>2836</v>
      </c>
      <c r="V252" t="s">
        <v>3024</v>
      </c>
      <c r="W252" t="s">
        <v>2434</v>
      </c>
      <c r="X252" s="2">
        <v>108</v>
      </c>
      <c r="Y252" t="s">
        <v>2</v>
      </c>
      <c r="Z252" t="s">
        <v>3</v>
      </c>
      <c r="AA252" s="5">
        <v>0</v>
      </c>
      <c r="AB252" t="s">
        <v>17</v>
      </c>
      <c r="AI252" t="s">
        <v>6643</v>
      </c>
      <c r="AL252" t="s">
        <v>8217</v>
      </c>
    </row>
    <row r="253" spans="1:38">
      <c r="A253" t="s">
        <v>2994</v>
      </c>
      <c r="B253" t="s">
        <v>7461</v>
      </c>
      <c r="C253" t="s">
        <v>7462</v>
      </c>
      <c r="D253" t="s">
        <v>7463</v>
      </c>
      <c r="E253" s="2">
        <v>125</v>
      </c>
      <c r="F253" s="2">
        <v>125</v>
      </c>
      <c r="G253" s="3">
        <v>43296</v>
      </c>
      <c r="H253" s="4">
        <v>0.54513888888888995</v>
      </c>
      <c r="I253" s="3">
        <v>43296</v>
      </c>
      <c r="J253" s="4">
        <v>0.59336805555556005</v>
      </c>
      <c r="K253" s="2">
        <v>0</v>
      </c>
      <c r="L253" t="s">
        <v>0</v>
      </c>
      <c r="M253" t="s">
        <v>7464</v>
      </c>
      <c r="N253" s="3">
        <v>43299</v>
      </c>
      <c r="O253" s="3">
        <v>43298</v>
      </c>
      <c r="P253" t="s">
        <v>13</v>
      </c>
      <c r="Q253" t="s">
        <v>7465</v>
      </c>
      <c r="R253" t="s">
        <v>820</v>
      </c>
      <c r="S253" s="3">
        <v>43299</v>
      </c>
      <c r="U253">
        <v>7310</v>
      </c>
      <c r="V253">
        <v>111</v>
      </c>
      <c r="W253" t="s">
        <v>2434</v>
      </c>
      <c r="X253" s="2">
        <v>108</v>
      </c>
      <c r="Y253" t="s">
        <v>2</v>
      </c>
      <c r="Z253" t="s">
        <v>3</v>
      </c>
      <c r="AA253" s="5">
        <v>0</v>
      </c>
      <c r="AB253" t="s">
        <v>17</v>
      </c>
      <c r="AL253" t="s">
        <v>8596</v>
      </c>
    </row>
    <row r="254" spans="1:38">
      <c r="A254" t="s">
        <v>2994</v>
      </c>
      <c r="B254" t="s">
        <v>3135</v>
      </c>
      <c r="C254" t="s">
        <v>3075</v>
      </c>
      <c r="D254" t="s">
        <v>3076</v>
      </c>
      <c r="E254" s="2">
        <v>1000</v>
      </c>
      <c r="F254" s="2">
        <v>1000</v>
      </c>
      <c r="G254" s="3">
        <v>43296</v>
      </c>
      <c r="H254" s="4">
        <v>0.61420138888888998</v>
      </c>
      <c r="I254" s="3">
        <v>43297</v>
      </c>
      <c r="J254" s="4">
        <v>0</v>
      </c>
      <c r="K254" s="2">
        <v>0</v>
      </c>
      <c r="L254" t="s">
        <v>0</v>
      </c>
      <c r="M254" t="s">
        <v>3053</v>
      </c>
      <c r="N254" s="3">
        <v>43301</v>
      </c>
      <c r="O254" s="3">
        <v>43298</v>
      </c>
      <c r="P254" t="s">
        <v>3013</v>
      </c>
      <c r="Q254" t="s">
        <v>3136</v>
      </c>
      <c r="R254" t="s">
        <v>820</v>
      </c>
      <c r="S254" s="3">
        <v>43301</v>
      </c>
      <c r="T254" t="s">
        <v>7466</v>
      </c>
      <c r="U254">
        <v>1000</v>
      </c>
      <c r="V254" t="s">
        <v>3077</v>
      </c>
      <c r="W254" t="s">
        <v>2434</v>
      </c>
      <c r="X254" s="2">
        <v>108</v>
      </c>
      <c r="Y254" t="s">
        <v>2</v>
      </c>
      <c r="Z254" t="s">
        <v>3</v>
      </c>
      <c r="AA254" s="5">
        <v>0</v>
      </c>
      <c r="AB254" t="s">
        <v>17</v>
      </c>
      <c r="AI254" t="s">
        <v>6643</v>
      </c>
      <c r="AL254" t="s">
        <v>8218</v>
      </c>
    </row>
    <row r="255" spans="1:38">
      <c r="A255" t="s">
        <v>2994</v>
      </c>
      <c r="B255" t="s">
        <v>3125</v>
      </c>
      <c r="C255" t="s">
        <v>3000</v>
      </c>
      <c r="D255" t="s">
        <v>3001</v>
      </c>
      <c r="E255" s="2">
        <v>200</v>
      </c>
      <c r="F255" s="2">
        <v>200</v>
      </c>
      <c r="G255" s="3">
        <v>43296</v>
      </c>
      <c r="H255" s="4">
        <v>0.92283564814815</v>
      </c>
      <c r="I255" s="3">
        <v>43297</v>
      </c>
      <c r="J255" s="4">
        <v>0</v>
      </c>
      <c r="K255" s="2">
        <v>0</v>
      </c>
      <c r="L255" t="s">
        <v>0</v>
      </c>
      <c r="M255" t="s">
        <v>3112</v>
      </c>
      <c r="N255" s="3">
        <v>43301</v>
      </c>
      <c r="O255" s="3">
        <v>43298</v>
      </c>
      <c r="P255" t="s">
        <v>3003</v>
      </c>
      <c r="Q255" t="s">
        <v>3126</v>
      </c>
      <c r="R255" t="s">
        <v>820</v>
      </c>
      <c r="S255" s="3">
        <v>43301</v>
      </c>
      <c r="T255" t="s">
        <v>7467</v>
      </c>
      <c r="U255">
        <v>1000</v>
      </c>
      <c r="V255" t="s">
        <v>3004</v>
      </c>
      <c r="W255" t="s">
        <v>2434</v>
      </c>
      <c r="X255" s="2">
        <v>108</v>
      </c>
      <c r="Y255" t="s">
        <v>2</v>
      </c>
      <c r="Z255" t="s">
        <v>3</v>
      </c>
      <c r="AA255" s="5">
        <v>0</v>
      </c>
      <c r="AB255" t="s">
        <v>17</v>
      </c>
      <c r="AI255" t="s">
        <v>6643</v>
      </c>
      <c r="AL255" t="s">
        <v>8219</v>
      </c>
    </row>
    <row r="256" spans="1:38">
      <c r="A256" t="s">
        <v>2994</v>
      </c>
      <c r="B256" t="s">
        <v>3131</v>
      </c>
      <c r="C256" t="s">
        <v>3105</v>
      </c>
      <c r="D256" t="s">
        <v>3106</v>
      </c>
      <c r="E256" s="2">
        <v>100</v>
      </c>
      <c r="F256" s="2">
        <v>100</v>
      </c>
      <c r="G256" s="3">
        <v>43296</v>
      </c>
      <c r="H256" s="4">
        <v>0.96142361111110997</v>
      </c>
      <c r="I256" s="3">
        <v>43297</v>
      </c>
      <c r="J256" s="4">
        <v>0</v>
      </c>
      <c r="K256" s="2">
        <v>0</v>
      </c>
      <c r="L256" t="s">
        <v>0</v>
      </c>
      <c r="M256" t="s">
        <v>3015</v>
      </c>
      <c r="N256" s="3">
        <v>43301</v>
      </c>
      <c r="O256" s="3">
        <v>43298</v>
      </c>
      <c r="P256" t="s">
        <v>3055</v>
      </c>
      <c r="Q256" t="s">
        <v>3132</v>
      </c>
      <c r="R256" t="s">
        <v>820</v>
      </c>
      <c r="S256" s="3">
        <v>43301</v>
      </c>
      <c r="T256" t="s">
        <v>7468</v>
      </c>
      <c r="U256" t="s">
        <v>3017</v>
      </c>
      <c r="V256" t="s">
        <v>3108</v>
      </c>
      <c r="W256" t="s">
        <v>2434</v>
      </c>
      <c r="X256" s="2">
        <v>108</v>
      </c>
      <c r="Y256" t="s">
        <v>2</v>
      </c>
      <c r="Z256" t="s">
        <v>3</v>
      </c>
      <c r="AA256" s="5">
        <v>0</v>
      </c>
      <c r="AB256" t="s">
        <v>17</v>
      </c>
      <c r="AL256" t="s">
        <v>8220</v>
      </c>
    </row>
    <row r="257" spans="1:38">
      <c r="A257" t="s">
        <v>2994</v>
      </c>
      <c r="B257" t="s">
        <v>3133</v>
      </c>
      <c r="C257" t="s">
        <v>3110</v>
      </c>
      <c r="D257" t="s">
        <v>3111</v>
      </c>
      <c r="E257" s="2">
        <v>100</v>
      </c>
      <c r="F257" s="2">
        <v>100</v>
      </c>
      <c r="G257" s="3">
        <v>43296</v>
      </c>
      <c r="H257" s="4">
        <v>0.96142361111110997</v>
      </c>
      <c r="I257" s="3">
        <v>43297</v>
      </c>
      <c r="J257" s="4">
        <v>0</v>
      </c>
      <c r="K257" s="2">
        <v>0</v>
      </c>
      <c r="L257" t="s">
        <v>0</v>
      </c>
      <c r="M257" t="s">
        <v>3015</v>
      </c>
      <c r="N257" s="3">
        <v>43301</v>
      </c>
      <c r="O257" s="3">
        <v>43298</v>
      </c>
      <c r="P257" t="s">
        <v>3113</v>
      </c>
      <c r="Q257" t="s">
        <v>3134</v>
      </c>
      <c r="R257" t="s">
        <v>820</v>
      </c>
      <c r="S257" s="3">
        <v>43301</v>
      </c>
      <c r="T257" t="s">
        <v>7469</v>
      </c>
      <c r="U257" t="s">
        <v>3017</v>
      </c>
      <c r="V257" t="s">
        <v>3115</v>
      </c>
      <c r="W257" t="s">
        <v>2434</v>
      </c>
      <c r="X257" s="2">
        <v>108</v>
      </c>
      <c r="Y257" t="s">
        <v>2</v>
      </c>
      <c r="Z257" t="s">
        <v>3</v>
      </c>
      <c r="AA257" s="5">
        <v>0</v>
      </c>
      <c r="AB257" t="s">
        <v>17</v>
      </c>
      <c r="AL257" t="s">
        <v>8221</v>
      </c>
    </row>
    <row r="258" spans="1:38">
      <c r="A258" t="s">
        <v>2994</v>
      </c>
      <c r="B258" t="s">
        <v>3123</v>
      </c>
      <c r="C258" t="s">
        <v>3011</v>
      </c>
      <c r="D258" t="s">
        <v>3012</v>
      </c>
      <c r="E258" s="2">
        <v>2000</v>
      </c>
      <c r="F258" s="2">
        <v>2000</v>
      </c>
      <c r="G258" s="3">
        <v>43297</v>
      </c>
      <c r="H258" s="4">
        <v>0.2283912037037</v>
      </c>
      <c r="I258" s="3">
        <v>43298</v>
      </c>
      <c r="J258" s="4">
        <v>0</v>
      </c>
      <c r="K258" s="2">
        <v>0</v>
      </c>
      <c r="L258" t="s">
        <v>0</v>
      </c>
      <c r="M258" t="s">
        <v>3016</v>
      </c>
      <c r="N258" s="3">
        <v>43301</v>
      </c>
      <c r="O258" s="3">
        <v>43299</v>
      </c>
      <c r="P258" t="s">
        <v>3013</v>
      </c>
      <c r="Q258" t="s">
        <v>3124</v>
      </c>
      <c r="R258" t="s">
        <v>820</v>
      </c>
      <c r="S258" s="3">
        <v>43301</v>
      </c>
      <c r="T258" t="s">
        <v>7470</v>
      </c>
      <c r="U258">
        <v>1000</v>
      </c>
      <c r="V258" t="s">
        <v>3014</v>
      </c>
      <c r="W258" t="s">
        <v>2434</v>
      </c>
      <c r="X258" s="2">
        <v>108</v>
      </c>
      <c r="Y258" t="s">
        <v>2</v>
      </c>
      <c r="Z258" t="s">
        <v>3</v>
      </c>
      <c r="AA258" s="5">
        <v>0</v>
      </c>
      <c r="AB258" t="s">
        <v>17</v>
      </c>
      <c r="AL258" t="s">
        <v>8222</v>
      </c>
    </row>
    <row r="259" spans="1:38">
      <c r="A259" t="s">
        <v>2994</v>
      </c>
      <c r="B259" t="s">
        <v>3127</v>
      </c>
      <c r="C259" t="s">
        <v>3128</v>
      </c>
      <c r="D259" t="s">
        <v>3129</v>
      </c>
      <c r="E259" s="2">
        <v>100</v>
      </c>
      <c r="F259" s="2">
        <v>100</v>
      </c>
      <c r="G259" s="3">
        <v>43297</v>
      </c>
      <c r="H259" s="4">
        <v>0.96142361111110997</v>
      </c>
      <c r="I259" s="3">
        <v>43298</v>
      </c>
      <c r="J259" s="4">
        <v>0</v>
      </c>
      <c r="K259" s="2">
        <v>0</v>
      </c>
      <c r="L259" t="s">
        <v>0</v>
      </c>
      <c r="M259" t="s">
        <v>3015</v>
      </c>
      <c r="N259" s="3">
        <v>43300</v>
      </c>
      <c r="O259" s="3">
        <v>43299</v>
      </c>
      <c r="P259" t="s">
        <v>13</v>
      </c>
      <c r="Q259" t="s">
        <v>3130</v>
      </c>
      <c r="R259" t="s">
        <v>820</v>
      </c>
      <c r="S259" s="3">
        <v>43300</v>
      </c>
      <c r="T259" t="s">
        <v>7471</v>
      </c>
      <c r="U259">
        <v>1000</v>
      </c>
      <c r="V259">
        <v>7101</v>
      </c>
      <c r="W259" t="s">
        <v>2434</v>
      </c>
      <c r="X259" s="2">
        <v>108</v>
      </c>
      <c r="Y259" t="s">
        <v>2</v>
      </c>
      <c r="Z259" t="s">
        <v>3</v>
      </c>
      <c r="AA259" s="5">
        <v>0</v>
      </c>
      <c r="AB259" t="s">
        <v>17</v>
      </c>
      <c r="AL259" t="s">
        <v>8223</v>
      </c>
    </row>
    <row r="260" spans="1:38">
      <c r="A260" t="s">
        <v>2994</v>
      </c>
      <c r="B260" t="s">
        <v>3137</v>
      </c>
      <c r="C260" t="s">
        <v>3078</v>
      </c>
      <c r="D260" t="s">
        <v>3079</v>
      </c>
      <c r="E260" s="2">
        <v>500</v>
      </c>
      <c r="F260" s="2">
        <v>500</v>
      </c>
      <c r="G260" s="3">
        <v>43298</v>
      </c>
      <c r="H260" s="4">
        <v>0.80709490740740997</v>
      </c>
      <c r="I260" s="3">
        <v>43299</v>
      </c>
      <c r="J260" s="4">
        <v>0</v>
      </c>
      <c r="K260" s="2">
        <v>20</v>
      </c>
      <c r="L260" t="s">
        <v>0</v>
      </c>
      <c r="M260" t="s">
        <v>3005</v>
      </c>
      <c r="N260" s="3">
        <v>43301</v>
      </c>
      <c r="O260" s="3">
        <v>43300</v>
      </c>
      <c r="P260" t="s">
        <v>2435</v>
      </c>
      <c r="Q260" t="s">
        <v>3138</v>
      </c>
      <c r="R260" t="s">
        <v>820</v>
      </c>
      <c r="S260" s="3">
        <v>43301</v>
      </c>
      <c r="T260" t="s">
        <v>7472</v>
      </c>
      <c r="U260" t="s">
        <v>3080</v>
      </c>
      <c r="V260">
        <v>701</v>
      </c>
      <c r="W260" t="s">
        <v>2434</v>
      </c>
      <c r="X260" s="2">
        <v>108</v>
      </c>
      <c r="Y260" t="s">
        <v>2</v>
      </c>
      <c r="Z260" t="s">
        <v>3</v>
      </c>
      <c r="AA260" s="5">
        <v>0</v>
      </c>
      <c r="AB260" t="s">
        <v>17</v>
      </c>
      <c r="AL260" t="s">
        <v>8224</v>
      </c>
    </row>
    <row r="261" spans="1:38">
      <c r="A261" t="s">
        <v>3142</v>
      </c>
      <c r="B261" t="s">
        <v>3175</v>
      </c>
      <c r="C261" t="s">
        <v>3176</v>
      </c>
      <c r="D261" t="s">
        <v>3177</v>
      </c>
      <c r="E261" s="2">
        <v>75</v>
      </c>
      <c r="F261" s="2">
        <v>75</v>
      </c>
      <c r="G261" s="3">
        <v>43263</v>
      </c>
      <c r="H261" s="4">
        <v>0.97633101851852</v>
      </c>
      <c r="I261" s="3">
        <v>43264</v>
      </c>
      <c r="J261" s="4">
        <v>0</v>
      </c>
      <c r="K261" s="2">
        <v>25</v>
      </c>
      <c r="L261" t="s">
        <v>0</v>
      </c>
      <c r="M261" t="s">
        <v>3178</v>
      </c>
      <c r="N261" s="3">
        <v>43269</v>
      </c>
      <c r="O261" s="3">
        <v>43270</v>
      </c>
      <c r="P261" t="s">
        <v>28</v>
      </c>
      <c r="Q261" t="s">
        <v>1</v>
      </c>
      <c r="R261" t="s">
        <v>819</v>
      </c>
      <c r="S261" s="3"/>
      <c r="T261" t="s">
        <v>7473</v>
      </c>
      <c r="U261" t="s">
        <v>2667</v>
      </c>
      <c r="V261" t="s">
        <v>3179</v>
      </c>
      <c r="W261" t="s">
        <v>2434</v>
      </c>
      <c r="X261" s="2">
        <v>132</v>
      </c>
      <c r="Y261" t="s">
        <v>2</v>
      </c>
      <c r="Z261" t="s">
        <v>3</v>
      </c>
      <c r="AA261" s="5">
        <v>0</v>
      </c>
      <c r="AB261" t="s">
        <v>17</v>
      </c>
      <c r="AL261" t="s">
        <v>8225</v>
      </c>
    </row>
    <row r="262" spans="1:38">
      <c r="A262" t="s">
        <v>3142</v>
      </c>
      <c r="B262" t="s">
        <v>3182</v>
      </c>
      <c r="C262" t="s">
        <v>3153</v>
      </c>
      <c r="D262" t="s">
        <v>3154</v>
      </c>
      <c r="E262" s="2">
        <v>1175</v>
      </c>
      <c r="F262" s="2">
        <v>1175</v>
      </c>
      <c r="G262" s="3">
        <v>43264</v>
      </c>
      <c r="H262" s="4">
        <v>0.62910879629630001</v>
      </c>
      <c r="I262" s="3">
        <v>43265</v>
      </c>
      <c r="J262" s="4">
        <v>0</v>
      </c>
      <c r="K262" s="2">
        <v>10</v>
      </c>
      <c r="L262" t="s">
        <v>0</v>
      </c>
      <c r="M262" t="s">
        <v>3183</v>
      </c>
      <c r="N262" s="3">
        <v>43276</v>
      </c>
      <c r="O262" s="3">
        <v>43271</v>
      </c>
      <c r="P262" t="s">
        <v>13</v>
      </c>
      <c r="Q262" t="s">
        <v>1</v>
      </c>
      <c r="R262" t="s">
        <v>819</v>
      </c>
      <c r="S262" s="3"/>
      <c r="T262" t="s">
        <v>7474</v>
      </c>
      <c r="U262" t="s">
        <v>2667</v>
      </c>
      <c r="V262" t="s">
        <v>3155</v>
      </c>
      <c r="W262" t="s">
        <v>2434</v>
      </c>
      <c r="X262" s="2">
        <v>132</v>
      </c>
      <c r="Y262" t="s">
        <v>2</v>
      </c>
      <c r="Z262" t="s">
        <v>3</v>
      </c>
      <c r="AA262" s="5">
        <v>0</v>
      </c>
      <c r="AB262" t="s">
        <v>17</v>
      </c>
      <c r="AL262" t="s">
        <v>8226</v>
      </c>
    </row>
    <row r="263" spans="1:38">
      <c r="A263" t="s">
        <v>3142</v>
      </c>
      <c r="B263" t="s">
        <v>7064</v>
      </c>
      <c r="C263" t="s">
        <v>3164</v>
      </c>
      <c r="D263" t="s">
        <v>3165</v>
      </c>
      <c r="E263" s="2">
        <v>419</v>
      </c>
      <c r="F263" s="2">
        <v>519</v>
      </c>
      <c r="G263" s="3">
        <v>43265</v>
      </c>
      <c r="H263" s="4">
        <v>0.67407407407407005</v>
      </c>
      <c r="I263" s="3">
        <v>43265</v>
      </c>
      <c r="J263" s="4">
        <v>0.83189814814815</v>
      </c>
      <c r="K263" s="2">
        <v>0</v>
      </c>
      <c r="L263" t="s">
        <v>0</v>
      </c>
      <c r="M263" t="s">
        <v>3149</v>
      </c>
      <c r="N263" s="3">
        <v>43291</v>
      </c>
      <c r="O263" s="3">
        <v>43272</v>
      </c>
      <c r="P263" t="s">
        <v>13</v>
      </c>
      <c r="Q263" t="s">
        <v>1</v>
      </c>
      <c r="R263" t="s">
        <v>819</v>
      </c>
      <c r="S263" s="3"/>
      <c r="T263" t="s">
        <v>7475</v>
      </c>
      <c r="U263" t="s">
        <v>3166</v>
      </c>
      <c r="V263" t="s">
        <v>3167</v>
      </c>
      <c r="W263" t="s">
        <v>2434</v>
      </c>
      <c r="X263" s="2">
        <v>132</v>
      </c>
      <c r="Y263" t="s">
        <v>2</v>
      </c>
      <c r="Z263" t="s">
        <v>3</v>
      </c>
      <c r="AA263" s="5">
        <v>0</v>
      </c>
      <c r="AB263" t="s">
        <v>17</v>
      </c>
      <c r="AL263" t="s">
        <v>8227</v>
      </c>
    </row>
    <row r="264" spans="1:38">
      <c r="A264" t="s">
        <v>3142</v>
      </c>
      <c r="B264" t="s">
        <v>3163</v>
      </c>
      <c r="C264" t="s">
        <v>3164</v>
      </c>
      <c r="D264" t="s">
        <v>3165</v>
      </c>
      <c r="E264" s="2">
        <v>19</v>
      </c>
      <c r="F264" s="2">
        <v>519</v>
      </c>
      <c r="G264" s="3">
        <v>43266</v>
      </c>
      <c r="H264" s="4">
        <v>0.84217592592593005</v>
      </c>
      <c r="I264" s="3">
        <v>43267</v>
      </c>
      <c r="J264" s="4">
        <v>0</v>
      </c>
      <c r="K264" s="2">
        <v>0</v>
      </c>
      <c r="L264" t="s">
        <v>0</v>
      </c>
      <c r="M264" t="s">
        <v>3149</v>
      </c>
      <c r="N264" s="3">
        <v>43272</v>
      </c>
      <c r="O264" s="3">
        <v>43268</v>
      </c>
      <c r="P264" t="s">
        <v>13</v>
      </c>
      <c r="Q264" t="s">
        <v>1</v>
      </c>
      <c r="R264" t="s">
        <v>819</v>
      </c>
      <c r="S264" s="3"/>
      <c r="T264" t="s">
        <v>7476</v>
      </c>
      <c r="U264" t="s">
        <v>3166</v>
      </c>
      <c r="V264" t="s">
        <v>3167</v>
      </c>
      <c r="W264" t="s">
        <v>2434</v>
      </c>
      <c r="X264" s="2">
        <v>132</v>
      </c>
      <c r="Y264" t="s">
        <v>2</v>
      </c>
      <c r="Z264" t="s">
        <v>3</v>
      </c>
      <c r="AA264" s="5">
        <v>0</v>
      </c>
      <c r="AB264" t="s">
        <v>17</v>
      </c>
      <c r="AL264" t="s">
        <v>8228</v>
      </c>
    </row>
    <row r="265" spans="1:38">
      <c r="A265" t="s">
        <v>3142</v>
      </c>
      <c r="B265" t="s">
        <v>5057</v>
      </c>
      <c r="C265" t="s">
        <v>4198</v>
      </c>
      <c r="D265" t="s">
        <v>4199</v>
      </c>
      <c r="E265" s="5">
        <v>0.95</v>
      </c>
      <c r="F265" s="5">
        <v>25.95</v>
      </c>
      <c r="G265" s="3">
        <v>43267</v>
      </c>
      <c r="H265" s="4">
        <v>0.99210648148147995</v>
      </c>
      <c r="I265" s="3">
        <v>43268</v>
      </c>
      <c r="J265" s="4">
        <v>0</v>
      </c>
      <c r="K265" s="2">
        <v>0</v>
      </c>
      <c r="L265" t="s">
        <v>0</v>
      </c>
      <c r="M265" t="s">
        <v>3168</v>
      </c>
      <c r="N265" s="3">
        <v>43269</v>
      </c>
      <c r="O265" s="3">
        <v>43274</v>
      </c>
      <c r="P265" t="s">
        <v>13</v>
      </c>
      <c r="Q265" t="s">
        <v>1</v>
      </c>
      <c r="R265" t="s">
        <v>819</v>
      </c>
      <c r="S265" s="3"/>
      <c r="T265" t="s">
        <v>7477</v>
      </c>
      <c r="U265" t="s">
        <v>3151</v>
      </c>
      <c r="V265" t="s">
        <v>4201</v>
      </c>
      <c r="X265" s="2">
        <v>132</v>
      </c>
      <c r="Y265" t="s">
        <v>2</v>
      </c>
      <c r="Z265" t="s">
        <v>3</v>
      </c>
      <c r="AA265" s="5">
        <v>0</v>
      </c>
      <c r="AB265" t="s">
        <v>17</v>
      </c>
      <c r="AL265" t="s">
        <v>8229</v>
      </c>
    </row>
    <row r="266" spans="1:38">
      <c r="A266" t="s">
        <v>3142</v>
      </c>
      <c r="B266" t="s">
        <v>3188</v>
      </c>
      <c r="C266" t="s">
        <v>3189</v>
      </c>
      <c r="D266" t="s">
        <v>3190</v>
      </c>
      <c r="E266" s="2">
        <v>1000</v>
      </c>
      <c r="F266" s="2">
        <v>1000</v>
      </c>
      <c r="G266" s="3">
        <v>43273</v>
      </c>
      <c r="H266" s="4">
        <v>0.20833333333333001</v>
      </c>
      <c r="I266" s="3">
        <v>43273</v>
      </c>
      <c r="J266" s="4">
        <v>0.52399305555555997</v>
      </c>
      <c r="K266" s="2">
        <v>20</v>
      </c>
      <c r="L266" t="s">
        <v>0</v>
      </c>
      <c r="M266" t="s">
        <v>3145</v>
      </c>
      <c r="N266" s="3">
        <v>43276</v>
      </c>
      <c r="O266" s="3">
        <v>43275</v>
      </c>
      <c r="P266" t="s">
        <v>13</v>
      </c>
      <c r="Q266" t="s">
        <v>3191</v>
      </c>
      <c r="R266" t="s">
        <v>820</v>
      </c>
      <c r="S266" s="3">
        <v>43279</v>
      </c>
      <c r="T266" t="s">
        <v>7478</v>
      </c>
      <c r="U266" t="s">
        <v>3158</v>
      </c>
      <c r="V266" t="s">
        <v>3192</v>
      </c>
      <c r="W266" t="s">
        <v>2434</v>
      </c>
      <c r="X266" s="2">
        <v>132</v>
      </c>
      <c r="Y266" t="s">
        <v>2</v>
      </c>
      <c r="Z266" t="s">
        <v>3</v>
      </c>
      <c r="AA266" s="5">
        <v>0</v>
      </c>
      <c r="AB266" t="s">
        <v>17</v>
      </c>
      <c r="AL266" t="s">
        <v>8230</v>
      </c>
    </row>
    <row r="267" spans="1:38">
      <c r="A267" t="s">
        <v>3142</v>
      </c>
      <c r="B267" t="s">
        <v>7479</v>
      </c>
      <c r="C267" t="s">
        <v>5656</v>
      </c>
      <c r="D267" t="s">
        <v>5657</v>
      </c>
      <c r="E267" s="2">
        <v>25</v>
      </c>
      <c r="F267" s="2">
        <v>25</v>
      </c>
      <c r="G267" s="3">
        <v>43276</v>
      </c>
      <c r="H267" s="4">
        <v>0.49210648148148001</v>
      </c>
      <c r="I267" s="3">
        <v>43276</v>
      </c>
      <c r="J267" s="4">
        <v>0.5</v>
      </c>
      <c r="K267" s="2">
        <v>25</v>
      </c>
      <c r="L267" t="s">
        <v>0</v>
      </c>
      <c r="M267" t="s">
        <v>3168</v>
      </c>
      <c r="N267" s="3">
        <v>43278</v>
      </c>
      <c r="O267" s="3">
        <v>43278</v>
      </c>
      <c r="P267" t="s">
        <v>3150</v>
      </c>
      <c r="Q267" t="s">
        <v>7480</v>
      </c>
      <c r="R267" t="s">
        <v>820</v>
      </c>
      <c r="S267" s="3">
        <v>43278</v>
      </c>
      <c r="U267" t="s">
        <v>3151</v>
      </c>
      <c r="V267" t="s">
        <v>2437</v>
      </c>
      <c r="W267" t="s">
        <v>2434</v>
      </c>
      <c r="X267" s="2">
        <v>132</v>
      </c>
      <c r="Y267" t="s">
        <v>2</v>
      </c>
      <c r="Z267" t="s">
        <v>3</v>
      </c>
      <c r="AA267" s="5">
        <v>0</v>
      </c>
      <c r="AB267" t="s">
        <v>17</v>
      </c>
      <c r="AL267" t="s">
        <v>8597</v>
      </c>
    </row>
    <row r="268" spans="1:38">
      <c r="A268" t="s">
        <v>3142</v>
      </c>
      <c r="B268" t="s">
        <v>3197</v>
      </c>
      <c r="C268" t="s">
        <v>3198</v>
      </c>
      <c r="D268" t="s">
        <v>3199</v>
      </c>
      <c r="E268" s="2">
        <v>1000</v>
      </c>
      <c r="F268" s="2">
        <v>1000</v>
      </c>
      <c r="G268" s="3">
        <v>43289</v>
      </c>
      <c r="H268" s="4">
        <v>0</v>
      </c>
      <c r="I268" s="3">
        <v>43289</v>
      </c>
      <c r="J268" s="4">
        <v>0.31565972222222</v>
      </c>
      <c r="K268" s="2">
        <v>0</v>
      </c>
      <c r="L268" t="s">
        <v>0</v>
      </c>
      <c r="M268" t="s">
        <v>3145</v>
      </c>
      <c r="N268" s="3">
        <v>43292</v>
      </c>
      <c r="O268" s="3">
        <v>43291</v>
      </c>
      <c r="P268" t="s">
        <v>13</v>
      </c>
      <c r="Q268" t="s">
        <v>3200</v>
      </c>
      <c r="R268" t="s">
        <v>820</v>
      </c>
      <c r="S268" s="3">
        <v>43292</v>
      </c>
      <c r="T268" t="s">
        <v>7481</v>
      </c>
      <c r="U268">
        <v>945</v>
      </c>
      <c r="V268" t="s">
        <v>3201</v>
      </c>
      <c r="W268" t="s">
        <v>2434</v>
      </c>
      <c r="X268" s="2">
        <v>132</v>
      </c>
      <c r="Y268" t="s">
        <v>2</v>
      </c>
      <c r="Z268" t="s">
        <v>3</v>
      </c>
      <c r="AA268" s="5">
        <v>0</v>
      </c>
      <c r="AB268" t="s">
        <v>17</v>
      </c>
      <c r="AL268" t="s">
        <v>8231</v>
      </c>
    </row>
    <row r="269" spans="1:38">
      <c r="A269" t="s">
        <v>3142</v>
      </c>
      <c r="B269" t="s">
        <v>3202</v>
      </c>
      <c r="C269" t="s">
        <v>3156</v>
      </c>
      <c r="D269" t="s">
        <v>3157</v>
      </c>
      <c r="E269" s="2">
        <v>18000</v>
      </c>
      <c r="F269" s="2">
        <v>18000</v>
      </c>
      <c r="G269" s="3">
        <v>43289</v>
      </c>
      <c r="H269" s="4">
        <v>0.31818287037037002</v>
      </c>
      <c r="I269" s="3">
        <v>43295</v>
      </c>
      <c r="J269" s="4">
        <v>0</v>
      </c>
      <c r="K269" s="2">
        <v>0</v>
      </c>
      <c r="L269" t="s">
        <v>0</v>
      </c>
      <c r="M269" t="s">
        <v>3203</v>
      </c>
      <c r="N269" s="3">
        <v>43300</v>
      </c>
      <c r="O269" s="3">
        <v>43301</v>
      </c>
      <c r="P269" t="s">
        <v>133</v>
      </c>
      <c r="Q269" t="s">
        <v>3204</v>
      </c>
      <c r="R269" t="s">
        <v>820</v>
      </c>
      <c r="S269" s="3">
        <v>43300</v>
      </c>
      <c r="T269" t="s">
        <v>7482</v>
      </c>
      <c r="U269" t="s">
        <v>3158</v>
      </c>
      <c r="V269" t="s">
        <v>3159</v>
      </c>
      <c r="W269" t="s">
        <v>2434</v>
      </c>
      <c r="X269" s="2">
        <v>132</v>
      </c>
      <c r="Y269" t="s">
        <v>2</v>
      </c>
      <c r="Z269" t="s">
        <v>3</v>
      </c>
      <c r="AA269" s="5">
        <v>0</v>
      </c>
      <c r="AB269" t="s">
        <v>17</v>
      </c>
      <c r="AL269" t="s">
        <v>8232</v>
      </c>
    </row>
    <row r="270" spans="1:38">
      <c r="A270" t="s">
        <v>3142</v>
      </c>
      <c r="B270" t="s">
        <v>3205</v>
      </c>
      <c r="C270" t="s">
        <v>3206</v>
      </c>
      <c r="D270" t="s">
        <v>3207</v>
      </c>
      <c r="E270" s="2">
        <v>2000</v>
      </c>
      <c r="F270" s="2">
        <v>2000</v>
      </c>
      <c r="G270" s="3">
        <v>43294</v>
      </c>
      <c r="H270" s="4">
        <v>0.36869212962962999</v>
      </c>
      <c r="I270" s="3">
        <v>43295</v>
      </c>
      <c r="J270" s="4">
        <v>0</v>
      </c>
      <c r="K270" s="2">
        <v>0</v>
      </c>
      <c r="L270" t="s">
        <v>0</v>
      </c>
      <c r="M270" t="s">
        <v>3186</v>
      </c>
      <c r="N270" s="3">
        <v>43297</v>
      </c>
      <c r="O270" s="3">
        <v>43296</v>
      </c>
      <c r="P270" t="s">
        <v>13</v>
      </c>
      <c r="Q270" t="s">
        <v>3208</v>
      </c>
      <c r="R270" t="s">
        <v>820</v>
      </c>
      <c r="S270" s="3">
        <v>43297</v>
      </c>
      <c r="T270" t="s">
        <v>7483</v>
      </c>
      <c r="U270" t="s">
        <v>3184</v>
      </c>
      <c r="V270" t="s">
        <v>3209</v>
      </c>
      <c r="W270" t="s">
        <v>2434</v>
      </c>
      <c r="X270" s="2">
        <v>132</v>
      </c>
      <c r="Y270" t="s">
        <v>2</v>
      </c>
      <c r="Z270" t="s">
        <v>3</v>
      </c>
      <c r="AA270" s="5">
        <v>0</v>
      </c>
      <c r="AB270" t="s">
        <v>17</v>
      </c>
      <c r="AL270" t="s">
        <v>8233</v>
      </c>
    </row>
    <row r="271" spans="1:38">
      <c r="A271" t="s">
        <v>3210</v>
      </c>
      <c r="B271" t="s">
        <v>5748</v>
      </c>
      <c r="C271" t="s">
        <v>5749</v>
      </c>
      <c r="D271" t="s">
        <v>5750</v>
      </c>
      <c r="E271" s="2">
        <v>75</v>
      </c>
      <c r="F271" s="2">
        <v>100</v>
      </c>
      <c r="G271" s="3">
        <v>43272</v>
      </c>
      <c r="H271" s="4">
        <v>0.37900462962963</v>
      </c>
      <c r="I271" s="3">
        <v>43272</v>
      </c>
      <c r="J271" s="4">
        <v>0.40876157407406999</v>
      </c>
      <c r="K271" s="2">
        <v>25</v>
      </c>
      <c r="L271" t="s">
        <v>0</v>
      </c>
      <c r="M271" t="s">
        <v>3211</v>
      </c>
      <c r="N271" s="3">
        <v>43276</v>
      </c>
      <c r="O271" s="3">
        <v>43274</v>
      </c>
      <c r="P271" t="s">
        <v>25</v>
      </c>
      <c r="Q271" t="s">
        <v>1</v>
      </c>
      <c r="R271" t="s">
        <v>819</v>
      </c>
      <c r="S271" s="3"/>
      <c r="T271" t="s">
        <v>7484</v>
      </c>
      <c r="U271" t="s">
        <v>3235</v>
      </c>
      <c r="V271" t="s">
        <v>2608</v>
      </c>
      <c r="W271" t="s">
        <v>2434</v>
      </c>
      <c r="X271" s="2">
        <v>140</v>
      </c>
      <c r="Y271" t="s">
        <v>2</v>
      </c>
      <c r="Z271" t="s">
        <v>3</v>
      </c>
      <c r="AA271" s="5">
        <v>0</v>
      </c>
      <c r="AB271" t="s">
        <v>4</v>
      </c>
      <c r="AL271" t="s">
        <v>8234</v>
      </c>
    </row>
    <row r="272" spans="1:38">
      <c r="A272" t="s">
        <v>3210</v>
      </c>
      <c r="B272" t="s">
        <v>7073</v>
      </c>
      <c r="C272" t="s">
        <v>5749</v>
      </c>
      <c r="D272" t="s">
        <v>5750</v>
      </c>
      <c r="E272" s="5">
        <v>29.9</v>
      </c>
      <c r="F272" s="5">
        <v>529.9</v>
      </c>
      <c r="G272" s="3">
        <v>43272</v>
      </c>
      <c r="H272" s="4">
        <v>0.45587962962963002</v>
      </c>
      <c r="I272" s="3">
        <v>43272</v>
      </c>
      <c r="J272" s="4">
        <v>0.61358796296296003</v>
      </c>
      <c r="K272" s="2">
        <v>20</v>
      </c>
      <c r="L272" t="s">
        <v>0</v>
      </c>
      <c r="M272" t="s">
        <v>7485</v>
      </c>
      <c r="N272" s="3">
        <v>43286</v>
      </c>
      <c r="O272" s="3">
        <v>43274</v>
      </c>
      <c r="P272" t="s">
        <v>25</v>
      </c>
      <c r="Q272" t="s">
        <v>1</v>
      </c>
      <c r="R272" t="s">
        <v>819</v>
      </c>
      <c r="S272" s="3"/>
      <c r="T272" t="s">
        <v>7486</v>
      </c>
      <c r="U272" t="s">
        <v>3235</v>
      </c>
      <c r="V272" t="s">
        <v>2608</v>
      </c>
      <c r="W272" t="s">
        <v>2434</v>
      </c>
      <c r="X272" s="2">
        <v>140</v>
      </c>
      <c r="Y272" t="s">
        <v>2</v>
      </c>
      <c r="Z272" t="s">
        <v>3</v>
      </c>
      <c r="AA272" s="5">
        <v>0</v>
      </c>
      <c r="AB272" t="s">
        <v>4</v>
      </c>
      <c r="AL272" t="s">
        <v>8235</v>
      </c>
    </row>
    <row r="273" spans="1:38">
      <c r="A273" t="s">
        <v>3210</v>
      </c>
      <c r="B273" t="s">
        <v>3228</v>
      </c>
      <c r="C273" t="s">
        <v>3229</v>
      </c>
      <c r="D273" t="s">
        <v>3230</v>
      </c>
      <c r="E273" s="5">
        <v>1056.7</v>
      </c>
      <c r="F273" s="5">
        <v>1056.7</v>
      </c>
      <c r="G273" s="3">
        <v>43272</v>
      </c>
      <c r="H273" s="4">
        <v>0.62296296296296005</v>
      </c>
      <c r="I273" s="3">
        <v>43272</v>
      </c>
      <c r="J273" s="4">
        <v>0.93745370370369996</v>
      </c>
      <c r="K273" s="2">
        <v>0</v>
      </c>
      <c r="L273" t="s">
        <v>0</v>
      </c>
      <c r="M273" t="s">
        <v>7072</v>
      </c>
      <c r="N273" s="3">
        <v>43272</v>
      </c>
      <c r="O273" s="3">
        <v>43274</v>
      </c>
      <c r="P273" t="s">
        <v>114</v>
      </c>
      <c r="Q273" t="s">
        <v>3231</v>
      </c>
      <c r="R273" t="s">
        <v>820</v>
      </c>
      <c r="S273" s="3">
        <v>43272</v>
      </c>
      <c r="T273" t="s">
        <v>7487</v>
      </c>
      <c r="U273" t="s">
        <v>3232</v>
      </c>
      <c r="V273">
        <v>112</v>
      </c>
      <c r="W273" t="s">
        <v>2434</v>
      </c>
      <c r="X273" s="2">
        <v>140</v>
      </c>
      <c r="Y273" t="s">
        <v>2</v>
      </c>
      <c r="Z273" t="s">
        <v>3</v>
      </c>
      <c r="AA273" s="5">
        <v>0</v>
      </c>
      <c r="AB273" t="s">
        <v>4</v>
      </c>
      <c r="AL273" t="s">
        <v>8236</v>
      </c>
    </row>
    <row r="274" spans="1:38">
      <c r="A274" t="s">
        <v>3210</v>
      </c>
      <c r="B274" t="s">
        <v>3233</v>
      </c>
      <c r="C274" t="s">
        <v>176</v>
      </c>
      <c r="D274" t="s">
        <v>177</v>
      </c>
      <c r="E274" s="2">
        <v>100</v>
      </c>
      <c r="F274" s="2">
        <v>100</v>
      </c>
      <c r="G274" s="3">
        <v>43272</v>
      </c>
      <c r="H274" s="4">
        <v>0.95666666666667</v>
      </c>
      <c r="I274" s="3">
        <v>43272</v>
      </c>
      <c r="J274" s="4">
        <v>0.98642361111110999</v>
      </c>
      <c r="K274" s="2">
        <v>0</v>
      </c>
      <c r="L274" t="s">
        <v>0</v>
      </c>
      <c r="M274" t="s">
        <v>3211</v>
      </c>
      <c r="N274" s="3">
        <v>43273</v>
      </c>
      <c r="O274" s="3">
        <v>43274</v>
      </c>
      <c r="P274" t="s">
        <v>25</v>
      </c>
      <c r="Q274" t="s">
        <v>3234</v>
      </c>
      <c r="R274" t="s">
        <v>820</v>
      </c>
      <c r="S274" s="3">
        <v>43273</v>
      </c>
      <c r="T274" t="s">
        <v>7488</v>
      </c>
      <c r="U274" t="s">
        <v>3235</v>
      </c>
      <c r="V274" t="s">
        <v>3236</v>
      </c>
      <c r="W274" t="s">
        <v>2434</v>
      </c>
      <c r="X274" s="2">
        <v>140</v>
      </c>
      <c r="Y274" t="s">
        <v>2</v>
      </c>
      <c r="Z274" t="s">
        <v>3</v>
      </c>
      <c r="AA274" s="5">
        <v>0</v>
      </c>
      <c r="AB274" t="s">
        <v>4</v>
      </c>
      <c r="AL274" t="s">
        <v>8237</v>
      </c>
    </row>
    <row r="275" spans="1:38">
      <c r="A275" t="s">
        <v>3210</v>
      </c>
      <c r="B275" t="s">
        <v>5743</v>
      </c>
      <c r="C275" t="s">
        <v>5744</v>
      </c>
      <c r="D275" t="s">
        <v>5745</v>
      </c>
      <c r="E275" s="2">
        <v>100</v>
      </c>
      <c r="F275" s="2">
        <v>100</v>
      </c>
      <c r="G275" s="3">
        <v>43273</v>
      </c>
      <c r="H275" s="4">
        <v>4.0254629629630001E-2</v>
      </c>
      <c r="I275" s="3">
        <v>43273</v>
      </c>
      <c r="J275" s="4">
        <v>7.0011574074069993E-2</v>
      </c>
      <c r="K275" s="2">
        <v>25</v>
      </c>
      <c r="L275" t="s">
        <v>0</v>
      </c>
      <c r="M275" t="s">
        <v>3211</v>
      </c>
      <c r="N275" s="3">
        <v>43276</v>
      </c>
      <c r="O275" s="3">
        <v>43275</v>
      </c>
      <c r="P275" t="s">
        <v>25</v>
      </c>
      <c r="Q275" t="s">
        <v>5746</v>
      </c>
      <c r="R275" t="s">
        <v>820</v>
      </c>
      <c r="S275" s="3">
        <v>43276</v>
      </c>
      <c r="T275" t="s">
        <v>7489</v>
      </c>
      <c r="U275" t="s">
        <v>3255</v>
      </c>
      <c r="V275" t="s">
        <v>5747</v>
      </c>
      <c r="W275" t="s">
        <v>2434</v>
      </c>
      <c r="X275" s="2">
        <v>140</v>
      </c>
      <c r="Y275" t="s">
        <v>2</v>
      </c>
      <c r="Z275" t="s">
        <v>3</v>
      </c>
      <c r="AA275" s="5">
        <v>0</v>
      </c>
      <c r="AB275" t="s">
        <v>4</v>
      </c>
      <c r="AL275" t="s">
        <v>8238</v>
      </c>
    </row>
    <row r="276" spans="1:38">
      <c r="A276" t="s">
        <v>3210</v>
      </c>
      <c r="B276" t="s">
        <v>3251</v>
      </c>
      <c r="C276" t="s">
        <v>3252</v>
      </c>
      <c r="D276" t="s">
        <v>3253</v>
      </c>
      <c r="E276" s="5">
        <v>3170.1</v>
      </c>
      <c r="F276" s="5">
        <v>3170.1</v>
      </c>
      <c r="G276" s="3">
        <v>43273</v>
      </c>
      <c r="H276" s="4">
        <v>0.12476851851852</v>
      </c>
      <c r="I276" s="3">
        <v>43274</v>
      </c>
      <c r="J276" s="4">
        <v>6.8252314814810006E-2</v>
      </c>
      <c r="K276" s="2">
        <v>20</v>
      </c>
      <c r="L276" t="s">
        <v>0</v>
      </c>
      <c r="M276" t="s">
        <v>3214</v>
      </c>
      <c r="N276" s="3">
        <v>43277</v>
      </c>
      <c r="O276" s="3">
        <v>43276</v>
      </c>
      <c r="P276" t="s">
        <v>25</v>
      </c>
      <c r="Q276" t="s">
        <v>3254</v>
      </c>
      <c r="R276" t="s">
        <v>820</v>
      </c>
      <c r="S276" s="3">
        <v>43277</v>
      </c>
      <c r="T276" t="s">
        <v>7490</v>
      </c>
      <c r="U276" t="s">
        <v>3255</v>
      </c>
      <c r="V276" t="s">
        <v>3256</v>
      </c>
      <c r="W276" t="s">
        <v>2434</v>
      </c>
      <c r="X276" s="2">
        <v>140</v>
      </c>
      <c r="Y276" t="s">
        <v>2</v>
      </c>
      <c r="Z276" t="s">
        <v>3</v>
      </c>
      <c r="AA276" s="5">
        <v>0</v>
      </c>
      <c r="AB276" t="s">
        <v>4</v>
      </c>
      <c r="AL276" t="s">
        <v>8239</v>
      </c>
    </row>
    <row r="277" spans="1:38">
      <c r="A277" t="s">
        <v>3210</v>
      </c>
      <c r="B277" t="s">
        <v>3257</v>
      </c>
      <c r="C277" t="s">
        <v>3258</v>
      </c>
      <c r="D277" t="s">
        <v>3259</v>
      </c>
      <c r="E277" s="5">
        <v>2113.4</v>
      </c>
      <c r="F277" s="5">
        <v>2113.4</v>
      </c>
      <c r="G277" s="3">
        <v>43274</v>
      </c>
      <c r="H277" s="4">
        <v>8.3333333333329998E-2</v>
      </c>
      <c r="I277" s="3">
        <v>43274</v>
      </c>
      <c r="J277" s="4">
        <v>0.71232638888888999</v>
      </c>
      <c r="K277" s="2">
        <v>0</v>
      </c>
      <c r="L277" t="s">
        <v>0</v>
      </c>
      <c r="M277" t="s">
        <v>3219</v>
      </c>
      <c r="N277" s="3">
        <v>43279</v>
      </c>
      <c r="O277" s="3">
        <v>43276</v>
      </c>
      <c r="P277" t="s">
        <v>23</v>
      </c>
      <c r="Q277" t="s">
        <v>3260</v>
      </c>
      <c r="R277" t="s">
        <v>820</v>
      </c>
      <c r="S277" s="3">
        <v>43279</v>
      </c>
      <c r="T277" t="s">
        <v>7491</v>
      </c>
      <c r="U277" t="s">
        <v>2720</v>
      </c>
      <c r="V277" t="s">
        <v>3261</v>
      </c>
      <c r="W277" t="s">
        <v>2434</v>
      </c>
      <c r="X277" s="2">
        <v>140</v>
      </c>
      <c r="Y277" t="s">
        <v>2</v>
      </c>
      <c r="Z277" t="s">
        <v>3</v>
      </c>
      <c r="AA277" s="5">
        <v>0</v>
      </c>
      <c r="AB277" t="s">
        <v>4</v>
      </c>
      <c r="AI277" t="s">
        <v>6643</v>
      </c>
      <c r="AL277" t="s">
        <v>8240</v>
      </c>
    </row>
    <row r="278" spans="1:38">
      <c r="A278" t="s">
        <v>3210</v>
      </c>
      <c r="B278" t="s">
        <v>3237</v>
      </c>
      <c r="C278" t="s">
        <v>3238</v>
      </c>
      <c r="D278" t="s">
        <v>3239</v>
      </c>
      <c r="E278" s="5">
        <v>5283.5</v>
      </c>
      <c r="F278" s="5">
        <v>5283.5</v>
      </c>
      <c r="G278" s="3">
        <v>43275</v>
      </c>
      <c r="H278" s="4">
        <v>4.1666666666670002E-2</v>
      </c>
      <c r="I278" s="3">
        <v>43276</v>
      </c>
      <c r="J278" s="4">
        <v>0.61413194444443997</v>
      </c>
      <c r="K278" s="2">
        <v>0</v>
      </c>
      <c r="L278" t="s">
        <v>0</v>
      </c>
      <c r="M278" t="s">
        <v>3215</v>
      </c>
      <c r="N278" s="3">
        <v>43276</v>
      </c>
      <c r="O278" s="3">
        <v>43278</v>
      </c>
      <c r="P278" t="s">
        <v>1442</v>
      </c>
      <c r="Q278" t="s">
        <v>3241</v>
      </c>
      <c r="R278" t="s">
        <v>820</v>
      </c>
      <c r="S278" s="3">
        <v>43276</v>
      </c>
      <c r="T278" t="s">
        <v>7492</v>
      </c>
      <c r="U278" t="s">
        <v>3242</v>
      </c>
      <c r="V278" t="s">
        <v>3243</v>
      </c>
      <c r="W278" t="s">
        <v>2434</v>
      </c>
      <c r="X278" s="2">
        <v>140</v>
      </c>
      <c r="Y278" t="s">
        <v>2</v>
      </c>
      <c r="Z278" t="s">
        <v>3</v>
      </c>
      <c r="AA278" s="5">
        <v>0</v>
      </c>
      <c r="AB278" t="s">
        <v>4</v>
      </c>
      <c r="AL278" t="s">
        <v>8241</v>
      </c>
    </row>
    <row r="279" spans="1:38">
      <c r="A279" t="s">
        <v>3210</v>
      </c>
      <c r="B279" t="s">
        <v>3276</v>
      </c>
      <c r="C279" t="s">
        <v>3277</v>
      </c>
      <c r="D279" t="s">
        <v>3278</v>
      </c>
      <c r="E279" s="5">
        <v>1056.7</v>
      </c>
      <c r="F279" s="5">
        <v>1056.7</v>
      </c>
      <c r="G279" s="3">
        <v>43277</v>
      </c>
      <c r="H279" s="4">
        <v>4.1666666666670002E-2</v>
      </c>
      <c r="I279" s="3">
        <v>43277</v>
      </c>
      <c r="J279" s="4">
        <v>0.35615740740740998</v>
      </c>
      <c r="K279" s="2">
        <v>0</v>
      </c>
      <c r="L279" t="s">
        <v>0</v>
      </c>
      <c r="M279" t="s">
        <v>7072</v>
      </c>
      <c r="N279" s="3">
        <v>43287</v>
      </c>
      <c r="O279" s="3">
        <v>43279</v>
      </c>
      <c r="P279" t="s">
        <v>114</v>
      </c>
      <c r="Q279" t="s">
        <v>3279</v>
      </c>
      <c r="R279" t="s">
        <v>820</v>
      </c>
      <c r="S279" s="3">
        <v>43287</v>
      </c>
      <c r="T279" t="s">
        <v>7493</v>
      </c>
      <c r="U279">
        <v>905</v>
      </c>
      <c r="V279" t="s">
        <v>2608</v>
      </c>
      <c r="W279" t="s">
        <v>2434</v>
      </c>
      <c r="X279" s="2">
        <v>140</v>
      </c>
      <c r="Y279" t="s">
        <v>2</v>
      </c>
      <c r="Z279" t="s">
        <v>3</v>
      </c>
      <c r="AA279" s="5">
        <v>0</v>
      </c>
      <c r="AB279" t="s">
        <v>4</v>
      </c>
      <c r="AL279" t="s">
        <v>8242</v>
      </c>
    </row>
    <row r="280" spans="1:38">
      <c r="A280" t="s">
        <v>3210</v>
      </c>
      <c r="B280" t="s">
        <v>5073</v>
      </c>
      <c r="C280" t="s">
        <v>5074</v>
      </c>
      <c r="D280" t="s">
        <v>5075</v>
      </c>
      <c r="E280" s="5">
        <v>1056.7</v>
      </c>
      <c r="F280" s="5">
        <v>1056.7</v>
      </c>
      <c r="G280" s="3">
        <v>43277</v>
      </c>
      <c r="H280" s="4">
        <v>0.37699074074074002</v>
      </c>
      <c r="I280" s="3">
        <v>43277</v>
      </c>
      <c r="J280" s="4">
        <v>0.69148148148148003</v>
      </c>
      <c r="K280" s="2">
        <v>0</v>
      </c>
      <c r="L280" t="s">
        <v>0</v>
      </c>
      <c r="M280" t="s">
        <v>7072</v>
      </c>
      <c r="N280" s="3">
        <v>43284</v>
      </c>
      <c r="O280" s="3">
        <v>43279</v>
      </c>
      <c r="P280" t="s">
        <v>132</v>
      </c>
      <c r="Q280" t="s">
        <v>5076</v>
      </c>
      <c r="R280" t="s">
        <v>820</v>
      </c>
      <c r="S280" s="3">
        <v>43284</v>
      </c>
      <c r="T280" t="s">
        <v>7494</v>
      </c>
      <c r="U280" t="s">
        <v>2655</v>
      </c>
      <c r="V280" t="s">
        <v>5077</v>
      </c>
      <c r="W280" t="s">
        <v>2434</v>
      </c>
      <c r="X280" s="2">
        <v>140</v>
      </c>
      <c r="Y280" t="s">
        <v>2</v>
      </c>
      <c r="Z280" t="s">
        <v>3</v>
      </c>
      <c r="AA280" s="5">
        <v>0</v>
      </c>
      <c r="AB280" t="s">
        <v>4</v>
      </c>
      <c r="AL280" t="s">
        <v>8243</v>
      </c>
    </row>
    <row r="281" spans="1:38">
      <c r="A281" t="s">
        <v>3210</v>
      </c>
      <c r="B281" t="s">
        <v>3271</v>
      </c>
      <c r="C281" t="s">
        <v>3272</v>
      </c>
      <c r="D281" t="s">
        <v>3273</v>
      </c>
      <c r="E281" s="5">
        <v>2113.4</v>
      </c>
      <c r="F281" s="5">
        <v>2113.4</v>
      </c>
      <c r="G281" s="3">
        <v>43277</v>
      </c>
      <c r="H281" s="4">
        <v>0.71231481481480996</v>
      </c>
      <c r="I281" s="3">
        <v>43278</v>
      </c>
      <c r="J281" s="4">
        <v>0.34130787037037003</v>
      </c>
      <c r="K281" s="2">
        <v>20</v>
      </c>
      <c r="L281" t="s">
        <v>0</v>
      </c>
      <c r="M281" t="s">
        <v>3219</v>
      </c>
      <c r="N281" s="3">
        <v>43292</v>
      </c>
      <c r="O281" s="3">
        <v>43280</v>
      </c>
      <c r="P281" t="s">
        <v>132</v>
      </c>
      <c r="Q281" t="s">
        <v>3274</v>
      </c>
      <c r="R281" t="s">
        <v>820</v>
      </c>
      <c r="S281" s="3">
        <v>43292</v>
      </c>
      <c r="T281" t="s">
        <v>7495</v>
      </c>
      <c r="U281" t="s">
        <v>2626</v>
      </c>
      <c r="V281" t="s">
        <v>3275</v>
      </c>
      <c r="W281" t="s">
        <v>2434</v>
      </c>
      <c r="X281" s="2">
        <v>140</v>
      </c>
      <c r="Y281" t="s">
        <v>2</v>
      </c>
      <c r="Z281" t="s">
        <v>3</v>
      </c>
      <c r="AA281" s="5">
        <v>0</v>
      </c>
      <c r="AB281" t="s">
        <v>4</v>
      </c>
      <c r="AI281" t="s">
        <v>6643</v>
      </c>
      <c r="AL281" t="s">
        <v>8244</v>
      </c>
    </row>
    <row r="282" spans="1:38">
      <c r="A282" t="s">
        <v>3210</v>
      </c>
      <c r="B282" t="s">
        <v>3280</v>
      </c>
      <c r="C282" t="s">
        <v>3217</v>
      </c>
      <c r="D282" t="s">
        <v>3218</v>
      </c>
      <c r="E282" s="2">
        <v>2000</v>
      </c>
      <c r="F282" s="2">
        <v>2000</v>
      </c>
      <c r="G282" s="3">
        <v>43278</v>
      </c>
      <c r="H282" s="4">
        <v>0.36609953703704001</v>
      </c>
      <c r="I282" s="3">
        <v>43278</v>
      </c>
      <c r="J282" s="4">
        <v>0.96134259259259003</v>
      </c>
      <c r="K282" s="2">
        <v>0</v>
      </c>
      <c r="L282" t="s">
        <v>0</v>
      </c>
      <c r="M282" t="s">
        <v>3221</v>
      </c>
      <c r="N282" s="3">
        <v>43284</v>
      </c>
      <c r="O282" s="3">
        <v>43280</v>
      </c>
      <c r="P282" t="s">
        <v>3220</v>
      </c>
      <c r="Q282" t="s">
        <v>3281</v>
      </c>
      <c r="R282" t="s">
        <v>820</v>
      </c>
      <c r="S282" s="3">
        <v>43284</v>
      </c>
      <c r="T282" t="s">
        <v>7496</v>
      </c>
      <c r="U282" t="s">
        <v>2626</v>
      </c>
      <c r="V282">
        <v>31142</v>
      </c>
      <c r="W282" t="s">
        <v>2434</v>
      </c>
      <c r="X282" s="2">
        <v>140</v>
      </c>
      <c r="Y282" t="s">
        <v>2</v>
      </c>
      <c r="Z282" t="s">
        <v>3</v>
      </c>
      <c r="AA282" s="5">
        <v>0</v>
      </c>
      <c r="AB282" t="s">
        <v>17</v>
      </c>
      <c r="AL282" t="s">
        <v>8245</v>
      </c>
    </row>
    <row r="283" spans="1:38">
      <c r="A283" t="s">
        <v>3210</v>
      </c>
      <c r="B283" t="s">
        <v>3262</v>
      </c>
      <c r="C283" t="s">
        <v>3263</v>
      </c>
      <c r="D283" t="s">
        <v>3264</v>
      </c>
      <c r="E283" s="2">
        <v>2000</v>
      </c>
      <c r="F283" s="2">
        <v>2000</v>
      </c>
      <c r="G283" s="3">
        <v>43278</v>
      </c>
      <c r="H283" s="4">
        <v>0.98217592592592995</v>
      </c>
      <c r="I283" s="3">
        <v>43279</v>
      </c>
      <c r="J283" s="4">
        <v>0.57741898148147996</v>
      </c>
      <c r="K283" s="2">
        <v>20</v>
      </c>
      <c r="L283" t="s">
        <v>0</v>
      </c>
      <c r="M283" t="s">
        <v>3221</v>
      </c>
      <c r="N283" s="3">
        <v>43286</v>
      </c>
      <c r="O283" s="3">
        <v>43281</v>
      </c>
      <c r="P283" t="s">
        <v>136</v>
      </c>
      <c r="Q283" t="s">
        <v>3265</v>
      </c>
      <c r="R283" t="s">
        <v>820</v>
      </c>
      <c r="S283" s="3">
        <v>43286</v>
      </c>
      <c r="T283" t="s">
        <v>7497</v>
      </c>
      <c r="U283" t="s">
        <v>3222</v>
      </c>
      <c r="V283">
        <v>71257</v>
      </c>
      <c r="W283" t="s">
        <v>2434</v>
      </c>
      <c r="X283" s="2">
        <v>140</v>
      </c>
      <c r="Y283" t="s">
        <v>2</v>
      </c>
      <c r="Z283" t="s">
        <v>3</v>
      </c>
      <c r="AA283" s="5">
        <v>0</v>
      </c>
      <c r="AB283" t="s">
        <v>17</v>
      </c>
      <c r="AI283" t="s">
        <v>6643</v>
      </c>
      <c r="AL283" t="s">
        <v>8246</v>
      </c>
    </row>
    <row r="284" spans="1:38">
      <c r="A284" t="s">
        <v>3210</v>
      </c>
      <c r="B284" t="s">
        <v>3300</v>
      </c>
      <c r="C284" t="s">
        <v>3223</v>
      </c>
      <c r="D284" t="s">
        <v>3224</v>
      </c>
      <c r="E284" s="2">
        <v>1000</v>
      </c>
      <c r="F284" s="2">
        <v>1000</v>
      </c>
      <c r="G284" s="3">
        <v>43279</v>
      </c>
      <c r="H284" s="4">
        <v>0.59825231481481</v>
      </c>
      <c r="I284" s="3">
        <v>43279</v>
      </c>
      <c r="J284" s="4">
        <v>0.89586805555556004</v>
      </c>
      <c r="K284" s="2">
        <v>0</v>
      </c>
      <c r="L284" t="s">
        <v>0</v>
      </c>
      <c r="M284" t="s">
        <v>3225</v>
      </c>
      <c r="N284" s="3">
        <v>43283</v>
      </c>
      <c r="O284" s="3">
        <v>43281</v>
      </c>
      <c r="P284" t="s">
        <v>178</v>
      </c>
      <c r="Q284" t="s">
        <v>3301</v>
      </c>
      <c r="R284" t="s">
        <v>820</v>
      </c>
      <c r="S284" s="3">
        <v>43283</v>
      </c>
      <c r="T284" t="s">
        <v>7498</v>
      </c>
      <c r="U284" t="s">
        <v>3226</v>
      </c>
      <c r="V284" t="s">
        <v>3227</v>
      </c>
      <c r="W284" t="s">
        <v>2434</v>
      </c>
      <c r="X284" s="2">
        <v>140</v>
      </c>
      <c r="Y284" t="s">
        <v>2</v>
      </c>
      <c r="Z284" t="s">
        <v>3</v>
      </c>
      <c r="AA284" s="5">
        <v>0</v>
      </c>
      <c r="AB284" t="s">
        <v>17</v>
      </c>
      <c r="AL284" t="s">
        <v>8247</v>
      </c>
    </row>
    <row r="285" spans="1:38">
      <c r="A285" t="s">
        <v>3210</v>
      </c>
      <c r="B285" t="s">
        <v>3266</v>
      </c>
      <c r="C285" t="s">
        <v>3267</v>
      </c>
      <c r="D285" t="s">
        <v>3268</v>
      </c>
      <c r="E285" s="2">
        <v>1000</v>
      </c>
      <c r="F285" s="2">
        <v>1000</v>
      </c>
      <c r="G285" s="3">
        <v>43279</v>
      </c>
      <c r="H285" s="4">
        <v>0.93753472222222001</v>
      </c>
      <c r="I285" s="3">
        <v>43280</v>
      </c>
      <c r="J285" s="4">
        <v>0.23515046296295999</v>
      </c>
      <c r="K285" s="2">
        <v>0</v>
      </c>
      <c r="L285" t="s">
        <v>0</v>
      </c>
      <c r="M285" t="s">
        <v>3225</v>
      </c>
      <c r="N285" s="3">
        <v>43286</v>
      </c>
      <c r="O285" s="3">
        <v>43282</v>
      </c>
      <c r="P285" t="s">
        <v>147</v>
      </c>
      <c r="Q285" t="s">
        <v>3269</v>
      </c>
      <c r="R285" t="s">
        <v>820</v>
      </c>
      <c r="S285" s="3">
        <v>43286</v>
      </c>
      <c r="T285" t="s">
        <v>7499</v>
      </c>
      <c r="U285" t="s">
        <v>3222</v>
      </c>
      <c r="V285" t="s">
        <v>3270</v>
      </c>
      <c r="W285" t="s">
        <v>2434</v>
      </c>
      <c r="X285" s="2">
        <v>140</v>
      </c>
      <c r="Y285" t="s">
        <v>2</v>
      </c>
      <c r="Z285" t="s">
        <v>3</v>
      </c>
      <c r="AA285" s="5">
        <v>0</v>
      </c>
      <c r="AB285" t="s">
        <v>17</v>
      </c>
      <c r="AL285" t="s">
        <v>8248</v>
      </c>
    </row>
    <row r="286" spans="1:38">
      <c r="A286" t="s">
        <v>3210</v>
      </c>
      <c r="B286" t="s">
        <v>7500</v>
      </c>
      <c r="C286" t="s">
        <v>7501</v>
      </c>
      <c r="D286" t="s">
        <v>7502</v>
      </c>
      <c r="E286" s="2">
        <v>50</v>
      </c>
      <c r="F286" s="2">
        <v>50</v>
      </c>
      <c r="G286" s="3">
        <v>43280</v>
      </c>
      <c r="H286" s="4">
        <v>0.25598379629630003</v>
      </c>
      <c r="I286" s="3">
        <v>43280</v>
      </c>
      <c r="J286" s="4">
        <v>0.27086805555555998</v>
      </c>
      <c r="K286" s="2">
        <v>25</v>
      </c>
      <c r="L286" t="s">
        <v>0</v>
      </c>
      <c r="M286" t="s">
        <v>7503</v>
      </c>
      <c r="N286" s="3">
        <v>43283</v>
      </c>
      <c r="O286" s="3">
        <v>43282</v>
      </c>
      <c r="P286" t="s">
        <v>7504</v>
      </c>
      <c r="Q286" t="s">
        <v>7505</v>
      </c>
      <c r="R286" t="s">
        <v>820</v>
      </c>
      <c r="S286" s="3">
        <v>43283</v>
      </c>
      <c r="T286" t="s">
        <v>7506</v>
      </c>
      <c r="U286" t="s">
        <v>7507</v>
      </c>
      <c r="V286" t="s">
        <v>7508</v>
      </c>
      <c r="W286" t="s">
        <v>2434</v>
      </c>
      <c r="X286" s="2">
        <v>140</v>
      </c>
      <c r="Y286" t="s">
        <v>2</v>
      </c>
      <c r="Z286" t="s">
        <v>3</v>
      </c>
      <c r="AA286" s="5">
        <v>0</v>
      </c>
      <c r="AB286" t="s">
        <v>17</v>
      </c>
      <c r="AL286" t="s">
        <v>8249</v>
      </c>
    </row>
    <row r="287" spans="1:38">
      <c r="A287" t="s">
        <v>3210</v>
      </c>
      <c r="B287" t="s">
        <v>7509</v>
      </c>
      <c r="C287" t="s">
        <v>3217</v>
      </c>
      <c r="D287" t="s">
        <v>3218</v>
      </c>
      <c r="E287" s="2">
        <v>1950</v>
      </c>
      <c r="F287" s="2">
        <v>1950</v>
      </c>
      <c r="G287" s="3">
        <v>43281</v>
      </c>
      <c r="H287" s="4">
        <v>0.41964120370370001</v>
      </c>
      <c r="I287" s="3">
        <v>43282</v>
      </c>
      <c r="J287" s="4">
        <v>0</v>
      </c>
      <c r="K287" s="2">
        <v>2</v>
      </c>
      <c r="L287" t="s">
        <v>0</v>
      </c>
      <c r="M287" t="s">
        <v>7510</v>
      </c>
      <c r="N287" s="3">
        <v>43270</v>
      </c>
      <c r="O287" s="3">
        <v>43284</v>
      </c>
      <c r="P287" t="s">
        <v>3220</v>
      </c>
      <c r="Q287" t="s">
        <v>1</v>
      </c>
      <c r="R287" t="s">
        <v>819</v>
      </c>
      <c r="S287" s="3"/>
      <c r="T287" t="s">
        <v>1</v>
      </c>
      <c r="U287" t="s">
        <v>2626</v>
      </c>
      <c r="V287">
        <v>31142</v>
      </c>
      <c r="W287" t="s">
        <v>2434</v>
      </c>
      <c r="X287" s="2">
        <v>0</v>
      </c>
      <c r="Y287" t="s">
        <v>2</v>
      </c>
      <c r="Z287" t="s">
        <v>3</v>
      </c>
      <c r="AA287" s="5">
        <v>0</v>
      </c>
      <c r="AB287" t="s">
        <v>30</v>
      </c>
      <c r="AL287" t="s">
        <v>8250</v>
      </c>
    </row>
    <row r="288" spans="1:38">
      <c r="A288" t="s">
        <v>3210</v>
      </c>
      <c r="B288" t="s">
        <v>3282</v>
      </c>
      <c r="C288" t="s">
        <v>3283</v>
      </c>
      <c r="D288" t="s">
        <v>3284</v>
      </c>
      <c r="E288" s="2">
        <v>500</v>
      </c>
      <c r="F288" s="2">
        <v>500</v>
      </c>
      <c r="G288" s="3">
        <v>43287</v>
      </c>
      <c r="H288" s="4">
        <v>0.85119212962962998</v>
      </c>
      <c r="I288" s="3">
        <v>43288</v>
      </c>
      <c r="J288" s="4">
        <v>0</v>
      </c>
      <c r="K288" s="2">
        <v>0</v>
      </c>
      <c r="L288" t="s">
        <v>0</v>
      </c>
      <c r="M288" t="s">
        <v>3247</v>
      </c>
      <c r="N288" s="3">
        <v>43291</v>
      </c>
      <c r="O288" s="3">
        <v>43289</v>
      </c>
      <c r="P288" t="s">
        <v>132</v>
      </c>
      <c r="Q288" t="s">
        <v>3285</v>
      </c>
      <c r="R288" t="s">
        <v>820</v>
      </c>
      <c r="S288" s="3">
        <v>43291</v>
      </c>
      <c r="T288" t="s">
        <v>7511</v>
      </c>
      <c r="U288" t="s">
        <v>3286</v>
      </c>
      <c r="V288" t="s">
        <v>3287</v>
      </c>
      <c r="W288" t="s">
        <v>2434</v>
      </c>
      <c r="X288" s="2">
        <v>140</v>
      </c>
      <c r="Y288" t="s">
        <v>2</v>
      </c>
      <c r="Z288" t="s">
        <v>3</v>
      </c>
      <c r="AA288" s="5">
        <v>0</v>
      </c>
      <c r="AB288" t="s">
        <v>17</v>
      </c>
      <c r="AI288" t="s">
        <v>6643</v>
      </c>
      <c r="AL288" t="s">
        <v>8251</v>
      </c>
    </row>
    <row r="289" spans="1:38">
      <c r="A289" t="s">
        <v>3210</v>
      </c>
      <c r="B289" t="s">
        <v>3288</v>
      </c>
      <c r="C289" t="s">
        <v>3289</v>
      </c>
      <c r="D289" t="s">
        <v>3290</v>
      </c>
      <c r="E289" s="2">
        <v>300</v>
      </c>
      <c r="F289" s="2">
        <v>300</v>
      </c>
      <c r="G289" s="3">
        <v>43287</v>
      </c>
      <c r="H289" s="4">
        <v>0.91071759259259</v>
      </c>
      <c r="I289" s="3">
        <v>43288</v>
      </c>
      <c r="J289" s="4">
        <v>0</v>
      </c>
      <c r="K289" s="2">
        <v>0</v>
      </c>
      <c r="L289" t="s">
        <v>0</v>
      </c>
      <c r="M289" t="s">
        <v>3291</v>
      </c>
      <c r="N289" s="3">
        <v>43291</v>
      </c>
      <c r="O289" s="3">
        <v>43289</v>
      </c>
      <c r="P289" t="s">
        <v>3216</v>
      </c>
      <c r="Q289" t="s">
        <v>3292</v>
      </c>
      <c r="R289" t="s">
        <v>820</v>
      </c>
      <c r="S289" s="3">
        <v>43291</v>
      </c>
      <c r="T289" t="s">
        <v>7512</v>
      </c>
      <c r="U289" t="s">
        <v>2711</v>
      </c>
      <c r="V289" t="s">
        <v>3293</v>
      </c>
      <c r="W289" t="s">
        <v>2434</v>
      </c>
      <c r="X289" s="2">
        <v>140</v>
      </c>
      <c r="Y289" t="s">
        <v>2</v>
      </c>
      <c r="Z289" t="s">
        <v>3</v>
      </c>
      <c r="AA289" s="5">
        <v>0</v>
      </c>
      <c r="AB289" t="s">
        <v>17</v>
      </c>
      <c r="AI289" t="s">
        <v>6643</v>
      </c>
      <c r="AL289" t="s">
        <v>8252</v>
      </c>
    </row>
    <row r="290" spans="1:38">
      <c r="A290" t="s">
        <v>3210</v>
      </c>
      <c r="B290" t="s">
        <v>7513</v>
      </c>
      <c r="C290" t="s">
        <v>7514</v>
      </c>
      <c r="D290" t="s">
        <v>7515</v>
      </c>
      <c r="E290" s="2">
        <v>500</v>
      </c>
      <c r="F290" s="2">
        <v>500</v>
      </c>
      <c r="G290" s="3">
        <v>43288</v>
      </c>
      <c r="H290" s="4">
        <v>0.68155092592593003</v>
      </c>
      <c r="I290" s="3">
        <v>43288</v>
      </c>
      <c r="J290" s="4">
        <v>0.83035879629630005</v>
      </c>
      <c r="K290" s="2">
        <v>0</v>
      </c>
      <c r="L290" t="s">
        <v>0</v>
      </c>
      <c r="M290" t="s">
        <v>3247</v>
      </c>
      <c r="N290" s="3">
        <v>43291</v>
      </c>
      <c r="O290" s="3">
        <v>43290</v>
      </c>
      <c r="P290" t="s">
        <v>13</v>
      </c>
      <c r="Q290" t="s">
        <v>7516</v>
      </c>
      <c r="R290" t="s">
        <v>820</v>
      </c>
      <c r="S290" s="3">
        <v>43291</v>
      </c>
      <c r="T290" t="s">
        <v>7517</v>
      </c>
      <c r="U290" t="s">
        <v>3235</v>
      </c>
      <c r="V290" t="s">
        <v>7518</v>
      </c>
      <c r="W290" t="s">
        <v>2434</v>
      </c>
      <c r="X290" s="2">
        <v>140</v>
      </c>
      <c r="Y290" t="s">
        <v>2</v>
      </c>
      <c r="Z290" t="s">
        <v>3</v>
      </c>
      <c r="AA290" s="5">
        <v>0</v>
      </c>
      <c r="AB290" t="s">
        <v>17</v>
      </c>
      <c r="AI290" t="s">
        <v>6643</v>
      </c>
      <c r="AL290" t="s">
        <v>8253</v>
      </c>
    </row>
    <row r="291" spans="1:38">
      <c r="A291" t="s">
        <v>3210</v>
      </c>
      <c r="B291" t="s">
        <v>3294</v>
      </c>
      <c r="C291" t="s">
        <v>3295</v>
      </c>
      <c r="D291" t="s">
        <v>3296</v>
      </c>
      <c r="E291" s="2">
        <v>500</v>
      </c>
      <c r="F291" s="2">
        <v>500</v>
      </c>
      <c r="G291" s="3">
        <v>43288</v>
      </c>
      <c r="H291" s="4">
        <v>0.85119212962962998</v>
      </c>
      <c r="I291" s="3">
        <v>43289</v>
      </c>
      <c r="J291" s="4">
        <v>0</v>
      </c>
      <c r="K291" s="2">
        <v>0</v>
      </c>
      <c r="L291" t="s">
        <v>0</v>
      </c>
      <c r="M291" t="s">
        <v>3247</v>
      </c>
      <c r="N291" s="3">
        <v>43291</v>
      </c>
      <c r="O291" s="3">
        <v>43290</v>
      </c>
      <c r="P291" t="s">
        <v>181</v>
      </c>
      <c r="Q291" t="s">
        <v>3297</v>
      </c>
      <c r="R291" t="s">
        <v>820</v>
      </c>
      <c r="S291" s="3">
        <v>43291</v>
      </c>
      <c r="T291" t="s">
        <v>7519</v>
      </c>
      <c r="U291" t="s">
        <v>3298</v>
      </c>
      <c r="V291" t="s">
        <v>3299</v>
      </c>
      <c r="W291" t="s">
        <v>2434</v>
      </c>
      <c r="X291" s="2">
        <v>140</v>
      </c>
      <c r="Y291" t="s">
        <v>2</v>
      </c>
      <c r="Z291" t="s">
        <v>3</v>
      </c>
      <c r="AA291" s="5">
        <v>0</v>
      </c>
      <c r="AB291" t="s">
        <v>17</v>
      </c>
      <c r="AI291" t="s">
        <v>6643</v>
      </c>
      <c r="AL291" t="s">
        <v>8254</v>
      </c>
    </row>
    <row r="292" spans="1:38">
      <c r="A292" t="s">
        <v>3210</v>
      </c>
      <c r="B292" t="s">
        <v>4209</v>
      </c>
      <c r="C292" t="s">
        <v>3252</v>
      </c>
      <c r="D292" t="s">
        <v>3253</v>
      </c>
      <c r="E292" s="2">
        <v>2000</v>
      </c>
      <c r="F292" s="2">
        <v>2000</v>
      </c>
      <c r="G292" s="3">
        <v>43289</v>
      </c>
      <c r="H292" s="4">
        <v>0.40475694444443999</v>
      </c>
      <c r="I292" s="3">
        <v>43290</v>
      </c>
      <c r="J292" s="4">
        <v>0</v>
      </c>
      <c r="K292" s="2">
        <v>20</v>
      </c>
      <c r="L292" t="s">
        <v>0</v>
      </c>
      <c r="M292" t="s">
        <v>3221</v>
      </c>
      <c r="N292" s="3">
        <v>43293</v>
      </c>
      <c r="O292" s="3">
        <v>43291</v>
      </c>
      <c r="P292" t="s">
        <v>25</v>
      </c>
      <c r="Q292" t="s">
        <v>4210</v>
      </c>
      <c r="R292" t="s">
        <v>820</v>
      </c>
      <c r="S292" s="3">
        <v>43293</v>
      </c>
      <c r="T292" t="s">
        <v>7520</v>
      </c>
      <c r="U292" t="s">
        <v>3255</v>
      </c>
      <c r="V292" t="s">
        <v>3256</v>
      </c>
      <c r="W292" t="s">
        <v>2434</v>
      </c>
      <c r="X292" s="2">
        <v>140</v>
      </c>
      <c r="Y292" t="s">
        <v>2</v>
      </c>
      <c r="Z292" t="s">
        <v>3</v>
      </c>
      <c r="AA292" s="5">
        <v>0</v>
      </c>
      <c r="AB292" t="s">
        <v>17</v>
      </c>
      <c r="AL292" t="s">
        <v>8255</v>
      </c>
    </row>
    <row r="293" spans="1:38">
      <c r="A293" t="s">
        <v>3210</v>
      </c>
      <c r="B293" t="s">
        <v>3248</v>
      </c>
      <c r="C293" t="s">
        <v>3249</v>
      </c>
      <c r="D293" t="s">
        <v>3250</v>
      </c>
      <c r="E293" s="2">
        <v>1950</v>
      </c>
      <c r="F293" s="2">
        <v>1950</v>
      </c>
      <c r="G293" s="3">
        <v>43290</v>
      </c>
      <c r="H293" s="4">
        <v>0.40475694444443999</v>
      </c>
      <c r="I293" s="3">
        <v>43290</v>
      </c>
      <c r="J293" s="4">
        <v>0.98511574074074004</v>
      </c>
      <c r="K293" s="2">
        <v>20</v>
      </c>
      <c r="L293" t="s">
        <v>0</v>
      </c>
      <c r="M293" t="s">
        <v>7510</v>
      </c>
      <c r="N293" s="3">
        <v>43276</v>
      </c>
      <c r="O293" s="3">
        <v>43292</v>
      </c>
      <c r="P293" t="s">
        <v>114</v>
      </c>
      <c r="Q293" t="s">
        <v>1</v>
      </c>
      <c r="R293" t="s">
        <v>819</v>
      </c>
      <c r="S293" s="3"/>
      <c r="T293" t="s">
        <v>7521</v>
      </c>
      <c r="U293" t="s">
        <v>2611</v>
      </c>
      <c r="V293">
        <v>111</v>
      </c>
      <c r="W293" t="s">
        <v>2434</v>
      </c>
      <c r="X293" s="2">
        <v>140</v>
      </c>
      <c r="Y293" t="s">
        <v>2</v>
      </c>
      <c r="Z293" t="s">
        <v>3</v>
      </c>
      <c r="AA293" s="5">
        <v>0</v>
      </c>
      <c r="AB293" t="s">
        <v>17</v>
      </c>
      <c r="AL293" t="s">
        <v>8256</v>
      </c>
    </row>
    <row r="294" spans="1:38">
      <c r="A294" t="s">
        <v>3210</v>
      </c>
      <c r="B294" t="s">
        <v>3302</v>
      </c>
      <c r="C294" t="s">
        <v>3238</v>
      </c>
      <c r="D294" t="s">
        <v>3239</v>
      </c>
      <c r="E294" s="2">
        <v>5000</v>
      </c>
      <c r="F294" s="2">
        <v>5000</v>
      </c>
      <c r="G294" s="3">
        <v>43293</v>
      </c>
      <c r="H294" s="4">
        <v>0.51190972222221998</v>
      </c>
      <c r="I294" s="3">
        <v>43295</v>
      </c>
      <c r="J294" s="4">
        <v>0</v>
      </c>
      <c r="K294" s="2">
        <v>0</v>
      </c>
      <c r="L294" t="s">
        <v>0</v>
      </c>
      <c r="M294" t="s">
        <v>3240</v>
      </c>
      <c r="N294" s="3">
        <v>43298</v>
      </c>
      <c r="O294" s="3">
        <v>43296</v>
      </c>
      <c r="P294" t="s">
        <v>1442</v>
      </c>
      <c r="Q294" t="s">
        <v>3303</v>
      </c>
      <c r="R294" t="s">
        <v>820</v>
      </c>
      <c r="S294" s="3">
        <v>43298</v>
      </c>
      <c r="T294" t="s">
        <v>7522</v>
      </c>
      <c r="U294" t="s">
        <v>3242</v>
      </c>
      <c r="V294" t="s">
        <v>3243</v>
      </c>
      <c r="W294" t="s">
        <v>2434</v>
      </c>
      <c r="X294" s="2">
        <v>140</v>
      </c>
      <c r="Y294" t="s">
        <v>2</v>
      </c>
      <c r="Z294" t="s">
        <v>3</v>
      </c>
      <c r="AA294" s="5">
        <v>0</v>
      </c>
      <c r="AB294" t="s">
        <v>17</v>
      </c>
      <c r="AL294" t="s">
        <v>8257</v>
      </c>
    </row>
    <row r="295" spans="1:38">
      <c r="A295" t="s">
        <v>3210</v>
      </c>
      <c r="B295" t="s">
        <v>3304</v>
      </c>
      <c r="C295" t="s">
        <v>3305</v>
      </c>
      <c r="D295" t="s">
        <v>3306</v>
      </c>
      <c r="E295" s="2">
        <v>1000</v>
      </c>
      <c r="F295" s="2">
        <v>1000</v>
      </c>
      <c r="G295" s="3">
        <v>43295</v>
      </c>
      <c r="H295" s="4">
        <v>0.70238425925925996</v>
      </c>
      <c r="I295" s="3">
        <v>43296</v>
      </c>
      <c r="J295" s="4">
        <v>0</v>
      </c>
      <c r="K295" s="2">
        <v>20</v>
      </c>
      <c r="L295" t="s">
        <v>0</v>
      </c>
      <c r="M295" t="s">
        <v>3225</v>
      </c>
      <c r="N295" s="3">
        <v>43299</v>
      </c>
      <c r="O295" s="3">
        <v>43297</v>
      </c>
      <c r="P295" t="s">
        <v>114</v>
      </c>
      <c r="Q295" t="s">
        <v>3307</v>
      </c>
      <c r="R295" t="s">
        <v>820</v>
      </c>
      <c r="S295" s="3">
        <v>43299</v>
      </c>
      <c r="T295" t="s">
        <v>7523</v>
      </c>
      <c r="U295">
        <v>131</v>
      </c>
      <c r="V295" t="s">
        <v>3308</v>
      </c>
      <c r="W295" t="s">
        <v>2434</v>
      </c>
      <c r="X295" s="2">
        <v>140</v>
      </c>
      <c r="Y295" t="s">
        <v>2</v>
      </c>
      <c r="Z295" t="s">
        <v>3</v>
      </c>
      <c r="AA295" s="5">
        <v>0</v>
      </c>
      <c r="AB295" t="s">
        <v>17</v>
      </c>
      <c r="AL295" t="s">
        <v>8258</v>
      </c>
    </row>
    <row r="296" spans="1:38">
      <c r="A296" t="s">
        <v>3210</v>
      </c>
      <c r="B296" t="s">
        <v>3309</v>
      </c>
      <c r="C296" t="s">
        <v>3310</v>
      </c>
      <c r="D296" t="s">
        <v>3311</v>
      </c>
      <c r="E296" s="2">
        <v>1000</v>
      </c>
      <c r="F296" s="2">
        <v>1000</v>
      </c>
      <c r="G296" s="3">
        <v>43296</v>
      </c>
      <c r="H296" s="4">
        <v>0.70238425925925996</v>
      </c>
      <c r="I296" s="3">
        <v>43297</v>
      </c>
      <c r="J296" s="4">
        <v>0</v>
      </c>
      <c r="K296" s="2">
        <v>20</v>
      </c>
      <c r="L296" t="s">
        <v>0</v>
      </c>
      <c r="M296" t="s">
        <v>3225</v>
      </c>
      <c r="N296" s="3">
        <v>43299</v>
      </c>
      <c r="O296" s="3">
        <v>43298</v>
      </c>
      <c r="P296" t="s">
        <v>147</v>
      </c>
      <c r="Q296" t="s">
        <v>3312</v>
      </c>
      <c r="R296" t="s">
        <v>820</v>
      </c>
      <c r="S296" s="3">
        <v>43299</v>
      </c>
      <c r="T296" t="s">
        <v>7524</v>
      </c>
      <c r="U296" t="s">
        <v>2626</v>
      </c>
      <c r="V296" t="s">
        <v>3313</v>
      </c>
      <c r="W296" t="s">
        <v>2434</v>
      </c>
      <c r="X296" s="2">
        <v>140</v>
      </c>
      <c r="Y296" t="s">
        <v>2</v>
      </c>
      <c r="Z296" t="s">
        <v>3</v>
      </c>
      <c r="AA296" s="5">
        <v>0</v>
      </c>
      <c r="AB296" t="s">
        <v>17</v>
      </c>
      <c r="AL296" t="s">
        <v>8259</v>
      </c>
    </row>
    <row r="297" spans="1:38">
      <c r="A297" t="s">
        <v>3210</v>
      </c>
      <c r="B297" t="s">
        <v>5078</v>
      </c>
      <c r="C297" t="s">
        <v>5079</v>
      </c>
      <c r="D297" t="s">
        <v>5080</v>
      </c>
      <c r="E297" s="2">
        <v>2000</v>
      </c>
      <c r="F297" s="2">
        <v>2000</v>
      </c>
      <c r="G297" s="3">
        <v>43299</v>
      </c>
      <c r="H297" s="4">
        <v>0.40475694444443999</v>
      </c>
      <c r="I297" s="3">
        <v>43300</v>
      </c>
      <c r="J297" s="4">
        <v>0</v>
      </c>
      <c r="K297" s="2">
        <v>20</v>
      </c>
      <c r="L297" t="s">
        <v>0</v>
      </c>
      <c r="M297" t="s">
        <v>3221</v>
      </c>
      <c r="N297" s="3">
        <v>43304</v>
      </c>
      <c r="O297" s="3">
        <v>43301</v>
      </c>
      <c r="P297" t="s">
        <v>132</v>
      </c>
      <c r="Q297" t="s">
        <v>5081</v>
      </c>
      <c r="R297" t="s">
        <v>820</v>
      </c>
      <c r="S297" s="3">
        <v>43304</v>
      </c>
      <c r="T297" t="s">
        <v>7525</v>
      </c>
      <c r="U297" t="s">
        <v>3222</v>
      </c>
      <c r="V297" t="s">
        <v>5082</v>
      </c>
      <c r="W297" t="s">
        <v>2434</v>
      </c>
      <c r="X297" s="2">
        <v>140</v>
      </c>
      <c r="Y297" t="s">
        <v>2</v>
      </c>
      <c r="Z297" t="s">
        <v>3</v>
      </c>
      <c r="AA297" s="5">
        <v>0</v>
      </c>
      <c r="AB297" t="s">
        <v>17</v>
      </c>
      <c r="AL297" t="s">
        <v>8260</v>
      </c>
    </row>
    <row r="298" spans="1:38">
      <c r="A298" t="s">
        <v>3210</v>
      </c>
      <c r="B298" t="s">
        <v>7074</v>
      </c>
      <c r="C298" t="s">
        <v>7075</v>
      </c>
      <c r="D298" t="s">
        <v>7076</v>
      </c>
      <c r="E298" s="2">
        <v>2000</v>
      </c>
      <c r="F298" s="2">
        <v>2000</v>
      </c>
      <c r="G298" s="3">
        <v>43299</v>
      </c>
      <c r="H298" s="4">
        <v>0.40475694444443999</v>
      </c>
      <c r="I298" s="3">
        <v>43300</v>
      </c>
      <c r="J298" s="4">
        <v>0</v>
      </c>
      <c r="K298" s="2">
        <v>20</v>
      </c>
      <c r="L298" t="s">
        <v>0</v>
      </c>
      <c r="M298" t="s">
        <v>3221</v>
      </c>
      <c r="N298" s="3">
        <v>43298</v>
      </c>
      <c r="O298" s="3">
        <v>43299</v>
      </c>
      <c r="P298" t="s">
        <v>13</v>
      </c>
      <c r="Q298" t="s">
        <v>7077</v>
      </c>
      <c r="R298" t="s">
        <v>820</v>
      </c>
      <c r="S298" s="3">
        <v>43298</v>
      </c>
      <c r="T298" t="s">
        <v>7526</v>
      </c>
      <c r="U298" t="s">
        <v>3212</v>
      </c>
      <c r="V298" t="s">
        <v>7078</v>
      </c>
      <c r="X298" s="2">
        <v>140</v>
      </c>
      <c r="Y298" t="s">
        <v>2</v>
      </c>
      <c r="Z298" t="s">
        <v>3</v>
      </c>
      <c r="AA298" s="5">
        <v>0</v>
      </c>
      <c r="AB298" t="s">
        <v>17</v>
      </c>
      <c r="AL298" t="s">
        <v>8261</v>
      </c>
    </row>
    <row r="299" spans="1:38">
      <c r="A299" t="s">
        <v>3317</v>
      </c>
      <c r="B299" t="s">
        <v>3517</v>
      </c>
      <c r="C299" t="s">
        <v>3518</v>
      </c>
      <c r="D299" t="s">
        <v>3519</v>
      </c>
      <c r="E299" s="2">
        <v>1000</v>
      </c>
      <c r="F299" s="2">
        <v>2000</v>
      </c>
      <c r="G299" s="3">
        <v>43271</v>
      </c>
      <c r="H299" s="4">
        <v>0.41944444444444001</v>
      </c>
      <c r="I299" s="3">
        <v>43271</v>
      </c>
      <c r="J299" s="4">
        <v>0.99021990740740995</v>
      </c>
      <c r="K299" s="2">
        <v>0</v>
      </c>
      <c r="L299" t="s">
        <v>0</v>
      </c>
      <c r="M299" t="s">
        <v>3327</v>
      </c>
      <c r="N299" s="3">
        <v>43277</v>
      </c>
      <c r="O299" s="3">
        <v>43273</v>
      </c>
      <c r="P299" t="s">
        <v>6</v>
      </c>
      <c r="Q299" t="s">
        <v>3520</v>
      </c>
      <c r="R299" t="s">
        <v>820</v>
      </c>
      <c r="S299" s="3">
        <v>43277</v>
      </c>
      <c r="T299" t="s">
        <v>7527</v>
      </c>
      <c r="U299">
        <v>925</v>
      </c>
      <c r="V299" t="s">
        <v>3521</v>
      </c>
      <c r="W299" t="s">
        <v>2434</v>
      </c>
      <c r="X299" s="2">
        <v>146</v>
      </c>
      <c r="Y299" t="s">
        <v>2</v>
      </c>
      <c r="Z299" t="s">
        <v>3</v>
      </c>
      <c r="AA299" s="5">
        <v>0</v>
      </c>
      <c r="AB299" t="s">
        <v>4</v>
      </c>
      <c r="AI299" t="s">
        <v>6643</v>
      </c>
      <c r="AL299" t="s">
        <v>8262</v>
      </c>
    </row>
    <row r="300" spans="1:38">
      <c r="A300" t="s">
        <v>3317</v>
      </c>
      <c r="B300" t="s">
        <v>3561</v>
      </c>
      <c r="C300" t="s">
        <v>3139</v>
      </c>
      <c r="D300" t="s">
        <v>3140</v>
      </c>
      <c r="E300" s="5">
        <v>2099.1999999999998</v>
      </c>
      <c r="F300" s="5">
        <v>2099.1999999999998</v>
      </c>
      <c r="G300" s="3">
        <v>43271</v>
      </c>
      <c r="H300" s="4">
        <v>0.83630787037037002</v>
      </c>
      <c r="I300" s="3">
        <v>43272</v>
      </c>
      <c r="J300" s="4">
        <v>0.43539351851851998</v>
      </c>
      <c r="K300" s="2">
        <v>0</v>
      </c>
      <c r="L300" t="s">
        <v>0</v>
      </c>
      <c r="M300" t="s">
        <v>7085</v>
      </c>
      <c r="N300" s="3">
        <v>43277</v>
      </c>
      <c r="O300" s="3">
        <v>43274</v>
      </c>
      <c r="P300" t="s">
        <v>6</v>
      </c>
      <c r="Q300" t="s">
        <v>3562</v>
      </c>
      <c r="R300" t="s">
        <v>820</v>
      </c>
      <c r="S300" s="3">
        <v>43277</v>
      </c>
      <c r="T300" t="s">
        <v>7528</v>
      </c>
      <c r="U300">
        <v>925</v>
      </c>
      <c r="V300" t="s">
        <v>3141</v>
      </c>
      <c r="W300" t="s">
        <v>2434</v>
      </c>
      <c r="X300" s="2">
        <v>146</v>
      </c>
      <c r="Y300" t="s">
        <v>2</v>
      </c>
      <c r="Z300" t="s">
        <v>3</v>
      </c>
      <c r="AA300" s="5">
        <v>0</v>
      </c>
      <c r="AB300" t="s">
        <v>4</v>
      </c>
      <c r="AI300" t="s">
        <v>6643</v>
      </c>
      <c r="AL300" t="s">
        <v>8263</v>
      </c>
    </row>
    <row r="301" spans="1:38">
      <c r="A301" t="s">
        <v>3317</v>
      </c>
      <c r="B301" t="s">
        <v>5756</v>
      </c>
      <c r="C301" t="s">
        <v>5757</v>
      </c>
      <c r="D301" t="s">
        <v>5758</v>
      </c>
      <c r="E301" s="2">
        <v>150</v>
      </c>
      <c r="F301" s="2">
        <v>150</v>
      </c>
      <c r="G301" s="3">
        <v>43272</v>
      </c>
      <c r="H301" s="4">
        <v>0.33680555555556002</v>
      </c>
      <c r="I301" s="3">
        <v>43272</v>
      </c>
      <c r="J301" s="4">
        <v>0.37961805555556</v>
      </c>
      <c r="K301" s="2">
        <v>10</v>
      </c>
      <c r="L301" t="s">
        <v>0</v>
      </c>
      <c r="M301" t="s">
        <v>3323</v>
      </c>
      <c r="N301" s="3">
        <v>43284</v>
      </c>
      <c r="O301" s="3">
        <v>43274</v>
      </c>
      <c r="P301" t="s">
        <v>13</v>
      </c>
      <c r="Q301" t="s">
        <v>5759</v>
      </c>
      <c r="R301" t="s">
        <v>820</v>
      </c>
      <c r="S301" s="3">
        <v>43284</v>
      </c>
      <c r="T301" t="s">
        <v>7529</v>
      </c>
      <c r="U301" t="s">
        <v>5760</v>
      </c>
      <c r="V301" t="s">
        <v>5761</v>
      </c>
      <c r="X301" s="2">
        <v>146</v>
      </c>
      <c r="Y301" t="s">
        <v>2</v>
      </c>
      <c r="Z301" t="s">
        <v>3</v>
      </c>
      <c r="AA301" s="5">
        <v>0</v>
      </c>
      <c r="AB301" t="s">
        <v>17</v>
      </c>
      <c r="AI301" t="s">
        <v>6643</v>
      </c>
      <c r="AL301" t="s">
        <v>8264</v>
      </c>
    </row>
    <row r="302" spans="1:38">
      <c r="A302" t="s">
        <v>3317</v>
      </c>
      <c r="B302" t="s">
        <v>3534</v>
      </c>
      <c r="C302" t="s">
        <v>154</v>
      </c>
      <c r="D302" t="s">
        <v>155</v>
      </c>
      <c r="E302" s="2">
        <v>150</v>
      </c>
      <c r="F302" s="2">
        <v>150</v>
      </c>
      <c r="G302" s="3">
        <v>43272</v>
      </c>
      <c r="H302" s="4">
        <v>0.42038194444443999</v>
      </c>
      <c r="I302" s="3">
        <v>43272</v>
      </c>
      <c r="J302" s="4">
        <v>0.46319444444444002</v>
      </c>
      <c r="K302" s="2">
        <v>20</v>
      </c>
      <c r="L302" t="s">
        <v>0</v>
      </c>
      <c r="M302" t="s">
        <v>3323</v>
      </c>
      <c r="N302" s="3">
        <v>43280</v>
      </c>
      <c r="O302" s="3">
        <v>43274</v>
      </c>
      <c r="P302" t="s">
        <v>13</v>
      </c>
      <c r="Q302" t="s">
        <v>3535</v>
      </c>
      <c r="R302" t="s">
        <v>820</v>
      </c>
      <c r="S302" s="3">
        <v>43276</v>
      </c>
      <c r="T302" t="s">
        <v>7530</v>
      </c>
      <c r="U302" t="s">
        <v>3513</v>
      </c>
      <c r="V302" t="s">
        <v>3536</v>
      </c>
      <c r="W302" t="s">
        <v>2434</v>
      </c>
      <c r="X302" s="2">
        <v>146</v>
      </c>
      <c r="Y302" t="s">
        <v>2</v>
      </c>
      <c r="Z302" t="s">
        <v>3</v>
      </c>
      <c r="AA302" s="5">
        <v>0</v>
      </c>
      <c r="AB302" t="s">
        <v>4</v>
      </c>
      <c r="AL302" t="s">
        <v>8265</v>
      </c>
    </row>
    <row r="303" spans="1:38">
      <c r="A303" t="s">
        <v>3317</v>
      </c>
      <c r="B303" t="s">
        <v>3547</v>
      </c>
      <c r="C303" t="s">
        <v>3548</v>
      </c>
      <c r="D303" t="s">
        <v>3549</v>
      </c>
      <c r="E303" s="5">
        <v>2099.1999999999998</v>
      </c>
      <c r="F303" s="5">
        <v>2099.1999999999998</v>
      </c>
      <c r="G303" s="3">
        <v>43272</v>
      </c>
      <c r="H303" s="4">
        <v>0.50396990740740999</v>
      </c>
      <c r="I303" s="3">
        <v>43273</v>
      </c>
      <c r="J303" s="4">
        <v>0.10305555555555999</v>
      </c>
      <c r="K303" s="2">
        <v>0</v>
      </c>
      <c r="L303" t="s">
        <v>0</v>
      </c>
      <c r="M303" t="s">
        <v>7085</v>
      </c>
      <c r="N303" s="3">
        <v>43276</v>
      </c>
      <c r="O303" s="3">
        <v>43275</v>
      </c>
      <c r="P303" t="s">
        <v>13</v>
      </c>
      <c r="Q303" t="s">
        <v>3550</v>
      </c>
      <c r="R303" t="s">
        <v>820</v>
      </c>
      <c r="S303" s="3">
        <v>43276</v>
      </c>
      <c r="T303" t="s">
        <v>7531</v>
      </c>
      <c r="U303" t="s">
        <v>2649</v>
      </c>
      <c r="V303" t="s">
        <v>3551</v>
      </c>
      <c r="W303" t="s">
        <v>2434</v>
      </c>
      <c r="X303" s="2">
        <v>146</v>
      </c>
      <c r="Y303" t="s">
        <v>2</v>
      </c>
      <c r="Z303" t="s">
        <v>3</v>
      </c>
      <c r="AA303" s="5">
        <v>0</v>
      </c>
      <c r="AB303" t="s">
        <v>4</v>
      </c>
      <c r="AI303" t="s">
        <v>6643</v>
      </c>
      <c r="AL303" t="s">
        <v>8266</v>
      </c>
    </row>
    <row r="304" spans="1:38">
      <c r="A304" t="s">
        <v>3317</v>
      </c>
      <c r="B304" t="s">
        <v>3552</v>
      </c>
      <c r="C304" t="s">
        <v>3553</v>
      </c>
      <c r="D304" t="s">
        <v>3554</v>
      </c>
      <c r="E304" s="5">
        <v>1049.5999999999999</v>
      </c>
      <c r="F304" s="5">
        <v>1049.5999999999999</v>
      </c>
      <c r="G304" s="3">
        <v>43273</v>
      </c>
      <c r="H304" s="4">
        <v>0.12681712962962999</v>
      </c>
      <c r="I304" s="3">
        <v>43273</v>
      </c>
      <c r="J304" s="4">
        <v>0.42636574074074002</v>
      </c>
      <c r="K304" s="2">
        <v>0</v>
      </c>
      <c r="L304" t="s">
        <v>0</v>
      </c>
      <c r="M304" t="s">
        <v>7532</v>
      </c>
      <c r="N304" s="3">
        <v>43283</v>
      </c>
      <c r="O304" s="3">
        <v>43275</v>
      </c>
      <c r="P304" t="s">
        <v>9</v>
      </c>
      <c r="Q304" t="s">
        <v>3555</v>
      </c>
      <c r="R304" t="s">
        <v>820</v>
      </c>
      <c r="S304" s="3">
        <v>43283</v>
      </c>
      <c r="T304" t="s">
        <v>7533</v>
      </c>
      <c r="U304" t="s">
        <v>2702</v>
      </c>
      <c r="V304">
        <v>71938</v>
      </c>
      <c r="W304" t="s">
        <v>2434</v>
      </c>
      <c r="X304" s="2">
        <v>146</v>
      </c>
      <c r="Y304" t="s">
        <v>2</v>
      </c>
      <c r="Z304" t="s">
        <v>3</v>
      </c>
      <c r="AA304" s="5">
        <v>0</v>
      </c>
      <c r="AB304" t="s">
        <v>4</v>
      </c>
      <c r="AI304" t="s">
        <v>6643</v>
      </c>
      <c r="AL304" t="s">
        <v>8267</v>
      </c>
    </row>
    <row r="305" spans="1:38">
      <c r="A305" t="s">
        <v>3317</v>
      </c>
      <c r="B305" t="s">
        <v>3347</v>
      </c>
      <c r="C305" t="s">
        <v>3348</v>
      </c>
      <c r="D305" t="s">
        <v>3349</v>
      </c>
      <c r="E305" s="5">
        <v>1057.4000000000001</v>
      </c>
      <c r="F305" s="5">
        <v>1057.4000000000001</v>
      </c>
      <c r="G305" s="3">
        <v>43273</v>
      </c>
      <c r="H305" s="4">
        <v>0.62717592592592997</v>
      </c>
      <c r="I305" s="3">
        <v>43273</v>
      </c>
      <c r="J305" s="4">
        <v>0.92894675925925996</v>
      </c>
      <c r="K305" s="2">
        <v>20</v>
      </c>
      <c r="L305" t="s">
        <v>0</v>
      </c>
      <c r="M305" t="s">
        <v>3318</v>
      </c>
      <c r="N305" s="3">
        <v>43278</v>
      </c>
      <c r="O305" s="3">
        <v>43275</v>
      </c>
      <c r="P305" t="s">
        <v>13</v>
      </c>
      <c r="Q305" t="s">
        <v>3350</v>
      </c>
      <c r="R305" t="s">
        <v>820</v>
      </c>
      <c r="S305" s="3">
        <v>43278</v>
      </c>
      <c r="T305" t="s">
        <v>7534</v>
      </c>
      <c r="U305" t="s">
        <v>3335</v>
      </c>
      <c r="V305" t="s">
        <v>3351</v>
      </c>
      <c r="W305" t="s">
        <v>2434</v>
      </c>
      <c r="X305" s="2">
        <v>146</v>
      </c>
      <c r="Y305" t="s">
        <v>2</v>
      </c>
      <c r="Z305" t="s">
        <v>3</v>
      </c>
      <c r="AA305" s="5">
        <v>0</v>
      </c>
      <c r="AB305" t="s">
        <v>4</v>
      </c>
      <c r="AI305" t="s">
        <v>6643</v>
      </c>
      <c r="AL305" t="s">
        <v>8268</v>
      </c>
    </row>
    <row r="306" spans="1:38">
      <c r="A306" t="s">
        <v>3317</v>
      </c>
      <c r="B306" t="s">
        <v>3365</v>
      </c>
      <c r="C306" t="s">
        <v>3366</v>
      </c>
      <c r="D306" t="s">
        <v>3367</v>
      </c>
      <c r="E306" s="2">
        <v>150</v>
      </c>
      <c r="F306" s="2">
        <v>150</v>
      </c>
      <c r="G306" s="3">
        <v>43273</v>
      </c>
      <c r="H306" s="4">
        <v>0.91638888888889003</v>
      </c>
      <c r="I306" s="3">
        <v>43273</v>
      </c>
      <c r="J306" s="4">
        <v>0.95920138888888995</v>
      </c>
      <c r="K306" s="2">
        <v>20</v>
      </c>
      <c r="L306" t="s">
        <v>0</v>
      </c>
      <c r="M306" t="s">
        <v>3323</v>
      </c>
      <c r="N306" s="3">
        <v>43279</v>
      </c>
      <c r="O306" s="3">
        <v>43275</v>
      </c>
      <c r="P306" t="s">
        <v>13</v>
      </c>
      <c r="Q306" t="s">
        <v>3368</v>
      </c>
      <c r="R306" t="s">
        <v>820</v>
      </c>
      <c r="S306" s="3">
        <v>43279</v>
      </c>
      <c r="T306" t="s">
        <v>7535</v>
      </c>
      <c r="U306">
        <v>364</v>
      </c>
      <c r="V306" t="s">
        <v>3369</v>
      </c>
      <c r="W306" t="s">
        <v>2434</v>
      </c>
      <c r="X306" s="2">
        <v>146</v>
      </c>
      <c r="Y306" t="s">
        <v>2</v>
      </c>
      <c r="Z306" t="s">
        <v>3</v>
      </c>
      <c r="AA306" s="5">
        <v>0</v>
      </c>
      <c r="AB306" t="s">
        <v>4</v>
      </c>
      <c r="AI306" t="s">
        <v>6643</v>
      </c>
      <c r="AL306" t="s">
        <v>8269</v>
      </c>
    </row>
    <row r="307" spans="1:38">
      <c r="A307" t="s">
        <v>3317</v>
      </c>
      <c r="B307" t="s">
        <v>3360</v>
      </c>
      <c r="C307" t="s">
        <v>3361</v>
      </c>
      <c r="D307" t="s">
        <v>3362</v>
      </c>
      <c r="E307" s="5">
        <v>2766.4</v>
      </c>
      <c r="F307" s="5">
        <v>2766.4</v>
      </c>
      <c r="G307" s="3">
        <v>43274</v>
      </c>
      <c r="H307" s="4">
        <v>2.0833333333330002E-2</v>
      </c>
      <c r="I307" s="3">
        <v>43274</v>
      </c>
      <c r="J307" s="4">
        <v>0.81033564814814996</v>
      </c>
      <c r="K307" s="2">
        <v>0</v>
      </c>
      <c r="L307" t="s">
        <v>0</v>
      </c>
      <c r="M307" t="s">
        <v>7536</v>
      </c>
      <c r="N307" s="3">
        <v>43284</v>
      </c>
      <c r="O307" s="3">
        <v>43276</v>
      </c>
      <c r="P307" t="s">
        <v>13</v>
      </c>
      <c r="Q307" t="s">
        <v>3363</v>
      </c>
      <c r="R307" t="s">
        <v>820</v>
      </c>
      <c r="S307" s="3">
        <v>43284</v>
      </c>
      <c r="T307" t="s">
        <v>7537</v>
      </c>
      <c r="U307" t="s">
        <v>3364</v>
      </c>
      <c r="V307" t="s">
        <v>2437</v>
      </c>
      <c r="W307" t="s">
        <v>2434</v>
      </c>
      <c r="X307" s="2">
        <v>146</v>
      </c>
      <c r="Y307" t="s">
        <v>2</v>
      </c>
      <c r="Z307" t="s">
        <v>3</v>
      </c>
      <c r="AA307" s="5">
        <v>0</v>
      </c>
      <c r="AB307" t="s">
        <v>4</v>
      </c>
      <c r="AI307" t="s">
        <v>6643</v>
      </c>
      <c r="AL307" t="s">
        <v>8270</v>
      </c>
    </row>
    <row r="308" spans="1:38">
      <c r="A308" t="s">
        <v>3317</v>
      </c>
      <c r="B308" t="s">
        <v>3358</v>
      </c>
      <c r="C308" t="s">
        <v>3338</v>
      </c>
      <c r="D308" t="s">
        <v>3339</v>
      </c>
      <c r="E308" s="5">
        <v>528.70000000000005</v>
      </c>
      <c r="F308" s="5">
        <v>528.70000000000005</v>
      </c>
      <c r="G308" s="3">
        <v>43274</v>
      </c>
      <c r="H308" s="4">
        <v>0.83116898148148</v>
      </c>
      <c r="I308" s="3">
        <v>43274</v>
      </c>
      <c r="J308" s="4">
        <v>0.98204861111110997</v>
      </c>
      <c r="K308" s="2">
        <v>20</v>
      </c>
      <c r="L308" t="s">
        <v>0</v>
      </c>
      <c r="M308" t="s">
        <v>3330</v>
      </c>
      <c r="N308" s="3">
        <v>43279</v>
      </c>
      <c r="O308" s="3">
        <v>43276</v>
      </c>
      <c r="P308" t="s">
        <v>13</v>
      </c>
      <c r="Q308" t="s">
        <v>3359</v>
      </c>
      <c r="R308" t="s">
        <v>820</v>
      </c>
      <c r="S308" s="3">
        <v>43279</v>
      </c>
      <c r="T308" t="s">
        <v>7538</v>
      </c>
      <c r="U308" t="s">
        <v>3335</v>
      </c>
      <c r="V308" t="s">
        <v>2437</v>
      </c>
      <c r="W308" t="s">
        <v>2434</v>
      </c>
      <c r="X308" s="2">
        <v>146</v>
      </c>
      <c r="Y308" t="s">
        <v>2</v>
      </c>
      <c r="Z308" t="s">
        <v>3</v>
      </c>
      <c r="AA308" s="5">
        <v>0</v>
      </c>
      <c r="AB308" t="s">
        <v>4</v>
      </c>
      <c r="AI308" t="s">
        <v>6643</v>
      </c>
      <c r="AL308" t="s">
        <v>8271</v>
      </c>
    </row>
    <row r="309" spans="1:38">
      <c r="A309" t="s">
        <v>3317</v>
      </c>
      <c r="B309" t="s">
        <v>3370</v>
      </c>
      <c r="C309" t="s">
        <v>3371</v>
      </c>
      <c r="D309" t="s">
        <v>3372</v>
      </c>
      <c r="E309" s="2">
        <v>2000</v>
      </c>
      <c r="F309" s="2">
        <v>2000</v>
      </c>
      <c r="G309" s="3">
        <v>43275</v>
      </c>
      <c r="H309" s="4">
        <v>4.1666666666670002E-2</v>
      </c>
      <c r="I309" s="3">
        <v>43275</v>
      </c>
      <c r="J309" s="4">
        <v>0.61244212962962996</v>
      </c>
      <c r="K309" s="2">
        <v>0</v>
      </c>
      <c r="L309" t="s">
        <v>0</v>
      </c>
      <c r="M309" t="s">
        <v>3327</v>
      </c>
      <c r="N309" s="3">
        <v>43117</v>
      </c>
      <c r="O309" s="3">
        <v>43277</v>
      </c>
      <c r="P309" t="s">
        <v>13</v>
      </c>
      <c r="Q309" t="s">
        <v>3373</v>
      </c>
      <c r="R309" t="s">
        <v>820</v>
      </c>
      <c r="S309" s="3">
        <v>43283</v>
      </c>
      <c r="T309" t="s">
        <v>7539</v>
      </c>
      <c r="U309">
        <v>357</v>
      </c>
      <c r="V309" t="s">
        <v>3374</v>
      </c>
      <c r="W309" t="s">
        <v>2434</v>
      </c>
      <c r="X309" s="2">
        <v>146</v>
      </c>
      <c r="Y309" t="s">
        <v>2</v>
      </c>
      <c r="Z309" t="s">
        <v>3</v>
      </c>
      <c r="AA309" s="5">
        <v>0</v>
      </c>
      <c r="AB309" t="s">
        <v>17</v>
      </c>
      <c r="AI309" t="s">
        <v>6643</v>
      </c>
      <c r="AL309" t="s">
        <v>8272</v>
      </c>
    </row>
    <row r="310" spans="1:38">
      <c r="A310" t="s">
        <v>3317</v>
      </c>
      <c r="B310" t="s">
        <v>5091</v>
      </c>
      <c r="C310" t="s">
        <v>5092</v>
      </c>
      <c r="D310" t="s">
        <v>5093</v>
      </c>
      <c r="E310" s="2">
        <v>2000</v>
      </c>
      <c r="F310" s="2">
        <v>2000</v>
      </c>
      <c r="G310" s="3">
        <v>43275</v>
      </c>
      <c r="H310" s="4">
        <v>0.70833333333333004</v>
      </c>
      <c r="I310" s="3">
        <v>43276</v>
      </c>
      <c r="J310" s="4">
        <v>0.27910879629629998</v>
      </c>
      <c r="K310" s="2">
        <v>0</v>
      </c>
      <c r="L310" t="s">
        <v>0</v>
      </c>
      <c r="M310" t="s">
        <v>3327</v>
      </c>
      <c r="N310" s="3">
        <v>43290</v>
      </c>
      <c r="O310" s="3">
        <v>43278</v>
      </c>
      <c r="P310" t="s">
        <v>13</v>
      </c>
      <c r="Q310" t="s">
        <v>5094</v>
      </c>
      <c r="R310" t="s">
        <v>820</v>
      </c>
      <c r="S310" s="3">
        <v>43290</v>
      </c>
      <c r="T310" t="s">
        <v>7540</v>
      </c>
      <c r="U310">
        <v>4521</v>
      </c>
      <c r="V310">
        <v>1001</v>
      </c>
      <c r="W310" t="s">
        <v>2434</v>
      </c>
      <c r="X310" s="2">
        <v>146</v>
      </c>
      <c r="Y310" t="s">
        <v>2</v>
      </c>
      <c r="Z310" t="s">
        <v>3</v>
      </c>
      <c r="AA310" s="5">
        <v>0</v>
      </c>
      <c r="AB310" t="s">
        <v>17</v>
      </c>
      <c r="AI310" t="s">
        <v>6643</v>
      </c>
      <c r="AL310" t="s">
        <v>8273</v>
      </c>
    </row>
    <row r="311" spans="1:38">
      <c r="A311" t="s">
        <v>3317</v>
      </c>
      <c r="B311" t="s">
        <v>3384</v>
      </c>
      <c r="C311" t="s">
        <v>3385</v>
      </c>
      <c r="D311" t="s">
        <v>3386</v>
      </c>
      <c r="E311" s="2">
        <v>1000</v>
      </c>
      <c r="F311" s="2">
        <v>1000</v>
      </c>
      <c r="G311" s="3">
        <v>43276</v>
      </c>
      <c r="H311" s="4">
        <v>0.45833333333332998</v>
      </c>
      <c r="I311" s="3">
        <v>43276</v>
      </c>
      <c r="J311" s="4">
        <v>0.74372685185184995</v>
      </c>
      <c r="K311" s="2">
        <v>0</v>
      </c>
      <c r="L311" t="s">
        <v>0</v>
      </c>
      <c r="M311" t="s">
        <v>3331</v>
      </c>
      <c r="N311" s="3">
        <v>43283</v>
      </c>
      <c r="O311" s="3">
        <v>43278</v>
      </c>
      <c r="P311" t="s">
        <v>13</v>
      </c>
      <c r="Q311" t="s">
        <v>3387</v>
      </c>
      <c r="R311" t="s">
        <v>820</v>
      </c>
      <c r="S311" s="3">
        <v>43283</v>
      </c>
      <c r="T311" t="s">
        <v>7541</v>
      </c>
      <c r="U311" t="s">
        <v>3388</v>
      </c>
      <c r="V311" t="s">
        <v>3389</v>
      </c>
      <c r="W311" t="s">
        <v>2434</v>
      </c>
      <c r="X311" s="2">
        <v>146</v>
      </c>
      <c r="Y311" t="s">
        <v>2</v>
      </c>
      <c r="Z311" t="s">
        <v>3</v>
      </c>
      <c r="AA311" s="5">
        <v>0</v>
      </c>
      <c r="AB311" t="s">
        <v>17</v>
      </c>
      <c r="AI311" t="s">
        <v>6643</v>
      </c>
      <c r="AL311" t="s">
        <v>8274</v>
      </c>
    </row>
    <row r="312" spans="1:38">
      <c r="A312" t="s">
        <v>3317</v>
      </c>
      <c r="B312" t="s">
        <v>7542</v>
      </c>
      <c r="C312" t="s">
        <v>7543</v>
      </c>
      <c r="D312" t="s">
        <v>7544</v>
      </c>
      <c r="E312" s="2">
        <v>500</v>
      </c>
      <c r="F312" s="2">
        <v>500</v>
      </c>
      <c r="G312" s="3">
        <v>43276</v>
      </c>
      <c r="H312" s="4">
        <v>0.75</v>
      </c>
      <c r="I312" s="3">
        <v>43276</v>
      </c>
      <c r="J312" s="4">
        <v>0.89269675925925995</v>
      </c>
      <c r="K312" s="2">
        <v>20</v>
      </c>
      <c r="L312" t="s">
        <v>0</v>
      </c>
      <c r="M312" t="s">
        <v>3320</v>
      </c>
      <c r="N312" s="3">
        <v>43279</v>
      </c>
      <c r="O312" s="3">
        <v>43278</v>
      </c>
      <c r="P312" t="s">
        <v>13</v>
      </c>
      <c r="Q312" t="s">
        <v>7545</v>
      </c>
      <c r="R312" t="s">
        <v>820</v>
      </c>
      <c r="S312" s="3">
        <v>43279</v>
      </c>
      <c r="T312" t="s">
        <v>7546</v>
      </c>
      <c r="U312" t="s">
        <v>3326</v>
      </c>
      <c r="V312" t="s">
        <v>7547</v>
      </c>
      <c r="W312" t="s">
        <v>2434</v>
      </c>
      <c r="X312" s="2">
        <v>146</v>
      </c>
      <c r="Y312" t="s">
        <v>2</v>
      </c>
      <c r="Z312" t="s">
        <v>3</v>
      </c>
      <c r="AA312" s="5">
        <v>0</v>
      </c>
      <c r="AB312" t="s">
        <v>17</v>
      </c>
      <c r="AI312" t="s">
        <v>6643</v>
      </c>
      <c r="AL312" t="s">
        <v>8275</v>
      </c>
    </row>
    <row r="313" spans="1:38">
      <c r="A313" t="s">
        <v>3317</v>
      </c>
      <c r="B313" t="s">
        <v>3395</v>
      </c>
      <c r="C313" t="s">
        <v>3396</v>
      </c>
      <c r="D313" t="s">
        <v>3397</v>
      </c>
      <c r="E313" s="2">
        <v>2000</v>
      </c>
      <c r="F313" s="2">
        <v>2000</v>
      </c>
      <c r="G313" s="3">
        <v>43276</v>
      </c>
      <c r="H313" s="4">
        <v>0.95833333333333004</v>
      </c>
      <c r="I313" s="3">
        <v>43277</v>
      </c>
      <c r="J313" s="4">
        <v>0.52910879629630003</v>
      </c>
      <c r="K313" s="2">
        <v>0</v>
      </c>
      <c r="L313" t="s">
        <v>0</v>
      </c>
      <c r="M313" t="s">
        <v>3327</v>
      </c>
      <c r="N313" s="3">
        <v>43286</v>
      </c>
      <c r="O313" s="3">
        <v>43279</v>
      </c>
      <c r="P313" t="s">
        <v>13</v>
      </c>
      <c r="Q313" t="s">
        <v>3398</v>
      </c>
      <c r="R313" t="s">
        <v>820</v>
      </c>
      <c r="S313" s="3">
        <v>43286</v>
      </c>
      <c r="T313" t="s">
        <v>7548</v>
      </c>
      <c r="U313">
        <v>553</v>
      </c>
      <c r="V313" t="s">
        <v>3399</v>
      </c>
      <c r="W313" t="s">
        <v>2434</v>
      </c>
      <c r="X313" s="2">
        <v>146</v>
      </c>
      <c r="Y313" t="s">
        <v>2</v>
      </c>
      <c r="Z313" t="s">
        <v>3</v>
      </c>
      <c r="AA313" s="5">
        <v>0</v>
      </c>
      <c r="AB313" t="s">
        <v>17</v>
      </c>
      <c r="AI313" t="s">
        <v>6643</v>
      </c>
      <c r="AL313" t="s">
        <v>8276</v>
      </c>
    </row>
    <row r="314" spans="1:38">
      <c r="A314" t="s">
        <v>3317</v>
      </c>
      <c r="B314" t="s">
        <v>3403</v>
      </c>
      <c r="C314" t="s">
        <v>3404</v>
      </c>
      <c r="D314" t="s">
        <v>3405</v>
      </c>
      <c r="E314" s="2">
        <v>1275</v>
      </c>
      <c r="F314" s="2">
        <v>1275</v>
      </c>
      <c r="G314" s="3">
        <v>43277</v>
      </c>
      <c r="H314" s="4">
        <v>0.58333333333333004</v>
      </c>
      <c r="I314" s="3">
        <v>43277</v>
      </c>
      <c r="J314" s="4">
        <v>0.94719907407407</v>
      </c>
      <c r="K314" s="2">
        <v>0</v>
      </c>
      <c r="L314" t="s">
        <v>0</v>
      </c>
      <c r="M314" t="s">
        <v>5083</v>
      </c>
      <c r="N314" s="3">
        <v>43284</v>
      </c>
      <c r="O314" s="3">
        <v>43279</v>
      </c>
      <c r="P314" t="s">
        <v>28</v>
      </c>
      <c r="Q314" t="s">
        <v>3406</v>
      </c>
      <c r="R314" t="s">
        <v>820</v>
      </c>
      <c r="S314" s="3">
        <v>43284</v>
      </c>
      <c r="T314" t="s">
        <v>7549</v>
      </c>
      <c r="U314" t="s">
        <v>3407</v>
      </c>
      <c r="V314">
        <v>739</v>
      </c>
      <c r="W314" t="s">
        <v>2434</v>
      </c>
      <c r="X314" s="2">
        <v>146</v>
      </c>
      <c r="Y314" t="s">
        <v>2</v>
      </c>
      <c r="Z314" t="s">
        <v>3</v>
      </c>
      <c r="AA314" s="5">
        <v>0</v>
      </c>
      <c r="AB314" t="s">
        <v>17</v>
      </c>
      <c r="AI314" t="s">
        <v>6643</v>
      </c>
      <c r="AL314" t="s">
        <v>8277</v>
      </c>
    </row>
    <row r="315" spans="1:38">
      <c r="A315" t="s">
        <v>3317</v>
      </c>
      <c r="B315" t="s">
        <v>3408</v>
      </c>
      <c r="C315" t="s">
        <v>3321</v>
      </c>
      <c r="D315" t="s">
        <v>3322</v>
      </c>
      <c r="E315" s="2">
        <v>500</v>
      </c>
      <c r="F315" s="2">
        <v>500</v>
      </c>
      <c r="G315" s="3">
        <v>43278</v>
      </c>
      <c r="H315" s="4">
        <v>4.1666666666670002E-2</v>
      </c>
      <c r="I315" s="3">
        <v>43278</v>
      </c>
      <c r="J315" s="4">
        <v>0.18436342592593</v>
      </c>
      <c r="K315" s="2">
        <v>0</v>
      </c>
      <c r="L315" t="s">
        <v>0</v>
      </c>
      <c r="M315" t="s">
        <v>3320</v>
      </c>
      <c r="N315" s="3">
        <v>43285</v>
      </c>
      <c r="O315" s="3">
        <v>43280</v>
      </c>
      <c r="P315" t="s">
        <v>13</v>
      </c>
      <c r="Q315" t="s">
        <v>3409</v>
      </c>
      <c r="R315" t="s">
        <v>820</v>
      </c>
      <c r="S315" s="3">
        <v>43285</v>
      </c>
      <c r="T315" t="s">
        <v>7550</v>
      </c>
      <c r="U315">
        <v>4521</v>
      </c>
      <c r="V315" t="s">
        <v>2437</v>
      </c>
      <c r="W315" t="s">
        <v>2434</v>
      </c>
      <c r="X315" s="2">
        <v>146</v>
      </c>
      <c r="Y315" t="s">
        <v>2</v>
      </c>
      <c r="Z315" t="s">
        <v>3</v>
      </c>
      <c r="AA315" s="5">
        <v>0</v>
      </c>
      <c r="AB315" t="s">
        <v>17</v>
      </c>
      <c r="AI315" t="s">
        <v>6643</v>
      </c>
      <c r="AL315" t="s">
        <v>8278</v>
      </c>
    </row>
    <row r="316" spans="1:38">
      <c r="A316" t="s">
        <v>3317</v>
      </c>
      <c r="B316" t="s">
        <v>3421</v>
      </c>
      <c r="C316" t="s">
        <v>3422</v>
      </c>
      <c r="D316" t="s">
        <v>3423</v>
      </c>
      <c r="E316" s="2">
        <v>1000</v>
      </c>
      <c r="F316" s="2">
        <v>1000</v>
      </c>
      <c r="G316" s="3">
        <v>43278</v>
      </c>
      <c r="H316" s="4">
        <v>0.25</v>
      </c>
      <c r="I316" s="3">
        <v>43278</v>
      </c>
      <c r="J316" s="4">
        <v>0.53539351851852002</v>
      </c>
      <c r="K316" s="2">
        <v>20</v>
      </c>
      <c r="L316" t="s">
        <v>0</v>
      </c>
      <c r="M316" t="s">
        <v>3331</v>
      </c>
      <c r="N316" s="3">
        <v>43284</v>
      </c>
      <c r="O316" s="3">
        <v>43280</v>
      </c>
      <c r="P316" t="s">
        <v>13</v>
      </c>
      <c r="Q316" t="s">
        <v>3424</v>
      </c>
      <c r="R316" t="s">
        <v>820</v>
      </c>
      <c r="S316" s="3">
        <v>43284</v>
      </c>
      <c r="T316" t="s">
        <v>7551</v>
      </c>
      <c r="U316" t="s">
        <v>3425</v>
      </c>
      <c r="V316">
        <v>7001</v>
      </c>
      <c r="W316" t="s">
        <v>2434</v>
      </c>
      <c r="X316" s="2">
        <v>146</v>
      </c>
      <c r="Y316" t="s">
        <v>2</v>
      </c>
      <c r="Z316" t="s">
        <v>3</v>
      </c>
      <c r="AA316" s="5">
        <v>0</v>
      </c>
      <c r="AB316" t="s">
        <v>17</v>
      </c>
      <c r="AI316" t="s">
        <v>6643</v>
      </c>
      <c r="AL316" t="s">
        <v>8279</v>
      </c>
    </row>
    <row r="317" spans="1:38">
      <c r="A317" t="s">
        <v>3317</v>
      </c>
      <c r="B317" t="s">
        <v>3390</v>
      </c>
      <c r="C317" t="s">
        <v>3391</v>
      </c>
      <c r="D317" t="s">
        <v>3392</v>
      </c>
      <c r="E317" s="2">
        <v>100</v>
      </c>
      <c r="F317" s="2">
        <v>100</v>
      </c>
      <c r="G317" s="3">
        <v>43278</v>
      </c>
      <c r="H317" s="4">
        <v>0.58333333333333004</v>
      </c>
      <c r="I317" s="3">
        <v>43278</v>
      </c>
      <c r="J317" s="4">
        <v>0.61187499999999995</v>
      </c>
      <c r="K317" s="2">
        <v>0</v>
      </c>
      <c r="L317" t="s">
        <v>0</v>
      </c>
      <c r="M317" t="s">
        <v>3336</v>
      </c>
      <c r="N317" s="3">
        <v>43283</v>
      </c>
      <c r="O317" s="3">
        <v>43280</v>
      </c>
      <c r="P317" t="s">
        <v>13</v>
      </c>
      <c r="Q317" t="s">
        <v>3393</v>
      </c>
      <c r="R317" t="s">
        <v>820</v>
      </c>
      <c r="S317" s="3">
        <v>43283</v>
      </c>
      <c r="T317" t="s">
        <v>7552</v>
      </c>
      <c r="U317" t="s">
        <v>3335</v>
      </c>
      <c r="V317" t="s">
        <v>3394</v>
      </c>
      <c r="W317" t="s">
        <v>2434</v>
      </c>
      <c r="X317" s="2">
        <v>146</v>
      </c>
      <c r="Y317" t="s">
        <v>2</v>
      </c>
      <c r="Z317" t="s">
        <v>3</v>
      </c>
      <c r="AA317" s="5">
        <v>0</v>
      </c>
      <c r="AB317" t="s">
        <v>17</v>
      </c>
      <c r="AI317" t="s">
        <v>6643</v>
      </c>
      <c r="AL317" t="s">
        <v>8280</v>
      </c>
    </row>
    <row r="318" spans="1:38">
      <c r="A318" t="s">
        <v>3317</v>
      </c>
      <c r="B318" t="s">
        <v>3410</v>
      </c>
      <c r="C318" t="s">
        <v>3411</v>
      </c>
      <c r="D318" t="s">
        <v>3412</v>
      </c>
      <c r="E318" s="2">
        <v>500</v>
      </c>
      <c r="F318" s="2">
        <v>500</v>
      </c>
      <c r="G318" s="3">
        <v>43278</v>
      </c>
      <c r="H318" s="4">
        <v>0.70833333333333004</v>
      </c>
      <c r="I318" s="3">
        <v>43278</v>
      </c>
      <c r="J318" s="4">
        <v>0.85103009259258999</v>
      </c>
      <c r="K318" s="2">
        <v>20</v>
      </c>
      <c r="L318" t="s">
        <v>0</v>
      </c>
      <c r="M318" t="s">
        <v>3320</v>
      </c>
      <c r="N318" s="3">
        <v>43286</v>
      </c>
      <c r="O318" s="3">
        <v>43280</v>
      </c>
      <c r="P318" t="s">
        <v>3413</v>
      </c>
      <c r="Q318" t="s">
        <v>3414</v>
      </c>
      <c r="R318" t="s">
        <v>820</v>
      </c>
      <c r="S318" s="3">
        <v>43286</v>
      </c>
      <c r="T318" t="s">
        <v>7553</v>
      </c>
      <c r="U318" t="s">
        <v>3319</v>
      </c>
      <c r="V318" t="s">
        <v>3415</v>
      </c>
      <c r="W318" t="s">
        <v>2434</v>
      </c>
      <c r="X318" s="2">
        <v>146</v>
      </c>
      <c r="Y318" t="s">
        <v>2</v>
      </c>
      <c r="Z318" t="s">
        <v>3</v>
      </c>
      <c r="AA318" s="5">
        <v>0</v>
      </c>
      <c r="AB318" t="s">
        <v>17</v>
      </c>
      <c r="AI318" t="s">
        <v>6643</v>
      </c>
      <c r="AL318" t="s">
        <v>8281</v>
      </c>
    </row>
    <row r="319" spans="1:38">
      <c r="A319" t="s">
        <v>3317</v>
      </c>
      <c r="B319" t="s">
        <v>3426</v>
      </c>
      <c r="C319" t="s">
        <v>3427</v>
      </c>
      <c r="D319" t="s">
        <v>3428</v>
      </c>
      <c r="E319" s="2">
        <v>2000</v>
      </c>
      <c r="F319" s="2">
        <v>2000</v>
      </c>
      <c r="G319" s="3">
        <v>43278</v>
      </c>
      <c r="H319" s="4">
        <v>0.91666666666666996</v>
      </c>
      <c r="I319" s="3">
        <v>43279</v>
      </c>
      <c r="J319" s="4">
        <v>0.48744212962963002</v>
      </c>
      <c r="K319" s="2">
        <v>0</v>
      </c>
      <c r="L319" t="s">
        <v>0</v>
      </c>
      <c r="M319" t="s">
        <v>3327</v>
      </c>
      <c r="N319" s="3">
        <v>43286</v>
      </c>
      <c r="O319" s="3">
        <v>43281</v>
      </c>
      <c r="P319" t="s">
        <v>13</v>
      </c>
      <c r="Q319" t="s">
        <v>3429</v>
      </c>
      <c r="R319" t="s">
        <v>820</v>
      </c>
      <c r="S319" s="3">
        <v>43286</v>
      </c>
      <c r="T319" t="s">
        <v>7554</v>
      </c>
      <c r="U319">
        <v>3706</v>
      </c>
      <c r="V319" t="s">
        <v>3430</v>
      </c>
      <c r="W319" t="s">
        <v>2434</v>
      </c>
      <c r="X319" s="2">
        <v>146</v>
      </c>
      <c r="Y319" t="s">
        <v>2</v>
      </c>
      <c r="Z319" t="s">
        <v>3</v>
      </c>
      <c r="AA319" s="5">
        <v>0</v>
      </c>
      <c r="AB319" t="s">
        <v>17</v>
      </c>
      <c r="AI319" t="s">
        <v>6643</v>
      </c>
      <c r="AL319" t="s">
        <v>8282</v>
      </c>
    </row>
    <row r="320" spans="1:38">
      <c r="A320" t="s">
        <v>3317</v>
      </c>
      <c r="B320" t="s">
        <v>5772</v>
      </c>
      <c r="C320" t="s">
        <v>5773</v>
      </c>
      <c r="D320" t="s">
        <v>5774</v>
      </c>
      <c r="E320" s="2">
        <v>500</v>
      </c>
      <c r="F320" s="2">
        <v>500</v>
      </c>
      <c r="G320" s="3">
        <v>43279</v>
      </c>
      <c r="H320" s="4">
        <v>0.58333333333333004</v>
      </c>
      <c r="I320" s="3">
        <v>43279</v>
      </c>
      <c r="J320" s="4">
        <v>0.72603009259258999</v>
      </c>
      <c r="K320" s="2">
        <v>0</v>
      </c>
      <c r="L320" t="s">
        <v>0</v>
      </c>
      <c r="M320" t="s">
        <v>3320</v>
      </c>
      <c r="N320" s="3">
        <v>43293</v>
      </c>
      <c r="O320" s="3">
        <v>43281</v>
      </c>
      <c r="P320" t="s">
        <v>13</v>
      </c>
      <c r="Q320" t="s">
        <v>5775</v>
      </c>
      <c r="R320" t="s">
        <v>820</v>
      </c>
      <c r="S320" s="3">
        <v>43293</v>
      </c>
      <c r="T320" t="s">
        <v>7555</v>
      </c>
      <c r="U320" t="s">
        <v>3319</v>
      </c>
      <c r="V320" t="s">
        <v>5776</v>
      </c>
      <c r="W320" t="s">
        <v>2434</v>
      </c>
      <c r="X320" s="2">
        <v>146</v>
      </c>
      <c r="Y320" t="s">
        <v>2</v>
      </c>
      <c r="Z320" t="s">
        <v>3</v>
      </c>
      <c r="AA320" s="5">
        <v>0</v>
      </c>
      <c r="AB320" t="s">
        <v>17</v>
      </c>
      <c r="AI320" t="s">
        <v>6643</v>
      </c>
      <c r="AL320" t="s">
        <v>8283</v>
      </c>
    </row>
    <row r="321" spans="1:38">
      <c r="A321" t="s">
        <v>3317</v>
      </c>
      <c r="B321" t="s">
        <v>3416</v>
      </c>
      <c r="C321" t="s">
        <v>3417</v>
      </c>
      <c r="D321" t="s">
        <v>3418</v>
      </c>
      <c r="E321" s="2">
        <v>1000</v>
      </c>
      <c r="F321" s="2">
        <v>1000</v>
      </c>
      <c r="G321" s="3">
        <v>43280</v>
      </c>
      <c r="H321" s="4">
        <v>0.16666666666666999</v>
      </c>
      <c r="I321" s="3">
        <v>43280</v>
      </c>
      <c r="J321" s="4">
        <v>0.45206018518518998</v>
      </c>
      <c r="K321" s="2">
        <v>0</v>
      </c>
      <c r="L321" t="s">
        <v>0</v>
      </c>
      <c r="M321" t="s">
        <v>3331</v>
      </c>
      <c r="N321" s="3">
        <v>43287</v>
      </c>
      <c r="O321" s="3">
        <v>43282</v>
      </c>
      <c r="P321" t="s">
        <v>13</v>
      </c>
      <c r="Q321" t="s">
        <v>3419</v>
      </c>
      <c r="R321" t="s">
        <v>820</v>
      </c>
      <c r="S321" s="3">
        <v>43287</v>
      </c>
      <c r="T321" t="s">
        <v>7556</v>
      </c>
      <c r="U321" t="s">
        <v>3319</v>
      </c>
      <c r="V321" t="s">
        <v>3420</v>
      </c>
      <c r="W321" t="s">
        <v>2434</v>
      </c>
      <c r="X321" s="2">
        <v>146</v>
      </c>
      <c r="Y321" t="s">
        <v>2</v>
      </c>
      <c r="Z321" t="s">
        <v>3</v>
      </c>
      <c r="AA321" s="5">
        <v>0</v>
      </c>
      <c r="AB321" t="s">
        <v>17</v>
      </c>
      <c r="AI321" t="s">
        <v>6643</v>
      </c>
      <c r="AL321" t="s">
        <v>8284</v>
      </c>
    </row>
    <row r="322" spans="1:38">
      <c r="A322" t="s">
        <v>3317</v>
      </c>
      <c r="B322" t="s">
        <v>7557</v>
      </c>
      <c r="C322" t="s">
        <v>3499</v>
      </c>
      <c r="D322" t="s">
        <v>3500</v>
      </c>
      <c r="E322" s="2">
        <v>2000</v>
      </c>
      <c r="F322" s="2">
        <v>2000</v>
      </c>
      <c r="G322" s="3">
        <v>43280</v>
      </c>
      <c r="H322" s="4">
        <v>0.49172453703704</v>
      </c>
      <c r="I322" s="3">
        <v>43281</v>
      </c>
      <c r="J322" s="4">
        <v>6.25E-2</v>
      </c>
      <c r="K322" s="2">
        <v>2</v>
      </c>
      <c r="L322" t="s">
        <v>0</v>
      </c>
      <c r="M322" t="s">
        <v>3327</v>
      </c>
      <c r="N322" s="3">
        <v>43269</v>
      </c>
      <c r="O322" s="3">
        <v>43285</v>
      </c>
      <c r="P322" t="s">
        <v>13</v>
      </c>
      <c r="Q322" t="s">
        <v>1</v>
      </c>
      <c r="R322" t="s">
        <v>819</v>
      </c>
      <c r="S322" s="3"/>
      <c r="U322">
        <v>925</v>
      </c>
      <c r="V322" t="s">
        <v>3501</v>
      </c>
      <c r="W322" t="s">
        <v>2434</v>
      </c>
      <c r="X322" s="2">
        <v>0</v>
      </c>
      <c r="Y322" t="s">
        <v>2</v>
      </c>
      <c r="Z322" t="s">
        <v>3</v>
      </c>
      <c r="AA322" s="5">
        <v>0</v>
      </c>
      <c r="AB322" t="s">
        <v>30</v>
      </c>
      <c r="AI322" t="s">
        <v>6643</v>
      </c>
      <c r="AL322" t="s">
        <v>8598</v>
      </c>
    </row>
    <row r="323" spans="1:38">
      <c r="A323" t="s">
        <v>3317</v>
      </c>
      <c r="B323" t="s">
        <v>5086</v>
      </c>
      <c r="C323" t="s">
        <v>5087</v>
      </c>
      <c r="D323" t="s">
        <v>5088</v>
      </c>
      <c r="E323" s="2">
        <v>1000</v>
      </c>
      <c r="F323" s="2">
        <v>1000</v>
      </c>
      <c r="G323" s="3">
        <v>43281</v>
      </c>
      <c r="H323" s="4">
        <v>8.3333333333329998E-2</v>
      </c>
      <c r="I323" s="3">
        <v>43281</v>
      </c>
      <c r="J323" s="4">
        <v>0.36872685185185</v>
      </c>
      <c r="K323" s="2">
        <v>0</v>
      </c>
      <c r="L323" t="s">
        <v>0</v>
      </c>
      <c r="M323" t="s">
        <v>3331</v>
      </c>
      <c r="N323" s="3">
        <v>43283</v>
      </c>
      <c r="O323" s="3">
        <v>43283</v>
      </c>
      <c r="P323" t="s">
        <v>16</v>
      </c>
      <c r="Q323" t="s">
        <v>5089</v>
      </c>
      <c r="R323" t="s">
        <v>820</v>
      </c>
      <c r="S323" s="3">
        <v>43283</v>
      </c>
      <c r="T323" t="s">
        <v>7558</v>
      </c>
      <c r="U323" t="s">
        <v>3610</v>
      </c>
      <c r="V323" t="s">
        <v>5090</v>
      </c>
      <c r="W323" t="s">
        <v>2434</v>
      </c>
      <c r="X323" s="2">
        <v>146</v>
      </c>
      <c r="Y323" t="s">
        <v>2</v>
      </c>
      <c r="Z323" t="s">
        <v>3</v>
      </c>
      <c r="AA323" s="5">
        <v>0</v>
      </c>
      <c r="AB323" t="s">
        <v>17</v>
      </c>
      <c r="AL323" t="s">
        <v>8285</v>
      </c>
    </row>
    <row r="324" spans="1:38">
      <c r="A324" t="s">
        <v>3317</v>
      </c>
      <c r="B324" t="s">
        <v>7559</v>
      </c>
      <c r="C324" t="s">
        <v>7560</v>
      </c>
      <c r="D324" t="s">
        <v>7561</v>
      </c>
      <c r="E324" s="2">
        <v>25</v>
      </c>
      <c r="F324" s="2">
        <v>25</v>
      </c>
      <c r="G324" s="3">
        <v>43281</v>
      </c>
      <c r="H324" s="4">
        <v>0.82934027777777997</v>
      </c>
      <c r="I324" s="3">
        <v>43281</v>
      </c>
      <c r="J324" s="4">
        <v>0.83646990740741001</v>
      </c>
      <c r="K324" s="2">
        <v>0</v>
      </c>
      <c r="L324" t="s">
        <v>0</v>
      </c>
      <c r="M324" t="s">
        <v>7562</v>
      </c>
      <c r="N324" s="3">
        <v>43276</v>
      </c>
      <c r="O324" s="3">
        <v>43283</v>
      </c>
      <c r="P324" t="s">
        <v>13</v>
      </c>
      <c r="Q324" t="s">
        <v>7563</v>
      </c>
      <c r="R324" t="s">
        <v>820</v>
      </c>
      <c r="S324" s="3">
        <v>43276</v>
      </c>
      <c r="U324" t="s">
        <v>3335</v>
      </c>
      <c r="V324" t="s">
        <v>7564</v>
      </c>
      <c r="W324" t="s">
        <v>2434</v>
      </c>
      <c r="X324" s="2">
        <v>146</v>
      </c>
      <c r="Y324" t="s">
        <v>2</v>
      </c>
      <c r="Z324" t="s">
        <v>3</v>
      </c>
      <c r="AA324" s="5">
        <v>0</v>
      </c>
      <c r="AB324" t="s">
        <v>17</v>
      </c>
      <c r="AI324" t="s">
        <v>6643</v>
      </c>
      <c r="AL324" t="s">
        <v>8599</v>
      </c>
    </row>
    <row r="325" spans="1:38">
      <c r="A325" t="s">
        <v>3317</v>
      </c>
      <c r="B325" t="s">
        <v>7565</v>
      </c>
      <c r="C325" t="s">
        <v>7566</v>
      </c>
      <c r="D325" t="s">
        <v>7567</v>
      </c>
      <c r="E325" s="2">
        <v>500</v>
      </c>
      <c r="F325" s="2">
        <v>500</v>
      </c>
      <c r="G325" s="3">
        <v>43281</v>
      </c>
      <c r="H325" s="4">
        <v>0.85730324074074005</v>
      </c>
      <c r="I325" s="3">
        <v>43282</v>
      </c>
      <c r="J325" s="4">
        <v>0</v>
      </c>
      <c r="K325" s="2">
        <v>25</v>
      </c>
      <c r="L325" t="s">
        <v>0</v>
      </c>
      <c r="M325" t="s">
        <v>3320</v>
      </c>
      <c r="N325" s="3">
        <v>43284</v>
      </c>
      <c r="O325" s="3">
        <v>43283</v>
      </c>
      <c r="P325" t="s">
        <v>13</v>
      </c>
      <c r="Q325" t="s">
        <v>7568</v>
      </c>
      <c r="R325" t="s">
        <v>820</v>
      </c>
      <c r="S325" s="3">
        <v>43284</v>
      </c>
      <c r="T325" t="s">
        <v>7569</v>
      </c>
      <c r="U325" t="s">
        <v>7570</v>
      </c>
      <c r="V325" t="s">
        <v>7571</v>
      </c>
      <c r="X325" s="2">
        <v>146</v>
      </c>
      <c r="Y325" t="s">
        <v>2</v>
      </c>
      <c r="Z325" t="s">
        <v>3</v>
      </c>
      <c r="AA325" s="5">
        <v>0</v>
      </c>
      <c r="AB325" t="s">
        <v>17</v>
      </c>
      <c r="AI325" t="s">
        <v>6643</v>
      </c>
      <c r="AL325" t="s">
        <v>8286</v>
      </c>
    </row>
    <row r="326" spans="1:38">
      <c r="A326" t="s">
        <v>3317</v>
      </c>
      <c r="B326" t="s">
        <v>3379</v>
      </c>
      <c r="C326" t="s">
        <v>3380</v>
      </c>
      <c r="D326" t="s">
        <v>3381</v>
      </c>
      <c r="E326" s="2">
        <v>2000</v>
      </c>
      <c r="F326" s="2">
        <v>2000</v>
      </c>
      <c r="G326" s="3">
        <v>43287</v>
      </c>
      <c r="H326" s="4">
        <v>0.42922453703704</v>
      </c>
      <c r="I326" s="3">
        <v>43288</v>
      </c>
      <c r="J326" s="4">
        <v>0</v>
      </c>
      <c r="K326" s="2">
        <v>0</v>
      </c>
      <c r="L326" t="s">
        <v>0</v>
      </c>
      <c r="M326" t="s">
        <v>3327</v>
      </c>
      <c r="N326" s="3">
        <v>43290</v>
      </c>
      <c r="O326" s="3">
        <v>43289</v>
      </c>
      <c r="P326" t="s">
        <v>13</v>
      </c>
      <c r="Q326" t="s">
        <v>3382</v>
      </c>
      <c r="R326" t="s">
        <v>820</v>
      </c>
      <c r="S326" s="3">
        <v>43290</v>
      </c>
      <c r="T326" t="s">
        <v>7572</v>
      </c>
      <c r="U326" t="s">
        <v>3335</v>
      </c>
      <c r="V326" t="s">
        <v>3383</v>
      </c>
      <c r="W326" t="s">
        <v>2434</v>
      </c>
      <c r="X326" s="2">
        <v>146</v>
      </c>
      <c r="Y326" t="s">
        <v>2</v>
      </c>
      <c r="Z326" t="s">
        <v>3</v>
      </c>
      <c r="AA326" s="5">
        <v>0</v>
      </c>
      <c r="AB326" t="s">
        <v>17</v>
      </c>
      <c r="AI326" t="s">
        <v>6643</v>
      </c>
      <c r="AL326" t="s">
        <v>8287</v>
      </c>
    </row>
    <row r="327" spans="1:38">
      <c r="A327" t="s">
        <v>3317</v>
      </c>
      <c r="B327" t="s">
        <v>3443</v>
      </c>
      <c r="C327" t="s">
        <v>3444</v>
      </c>
      <c r="D327" t="s">
        <v>3445</v>
      </c>
      <c r="E327" s="2">
        <v>2000</v>
      </c>
      <c r="F327" s="2">
        <v>2000</v>
      </c>
      <c r="G327" s="3">
        <v>43288</v>
      </c>
      <c r="H327" s="4">
        <v>0.42922453703704</v>
      </c>
      <c r="I327" s="3">
        <v>43289</v>
      </c>
      <c r="J327" s="4">
        <v>0</v>
      </c>
      <c r="K327" s="2">
        <v>20</v>
      </c>
      <c r="L327" t="s">
        <v>0</v>
      </c>
      <c r="M327" t="s">
        <v>3327</v>
      </c>
      <c r="N327" s="3">
        <v>43298</v>
      </c>
      <c r="O327" s="3">
        <v>43290</v>
      </c>
      <c r="P327" t="s">
        <v>13</v>
      </c>
      <c r="Q327" t="s">
        <v>3446</v>
      </c>
      <c r="R327" t="s">
        <v>820</v>
      </c>
      <c r="S327" s="3">
        <v>43298</v>
      </c>
      <c r="T327" t="s">
        <v>7573</v>
      </c>
      <c r="U327" t="s">
        <v>3335</v>
      </c>
      <c r="V327" t="s">
        <v>3447</v>
      </c>
      <c r="W327" t="s">
        <v>2434</v>
      </c>
      <c r="X327" s="2">
        <v>146</v>
      </c>
      <c r="Y327" t="s">
        <v>2</v>
      </c>
      <c r="Z327" t="s">
        <v>3</v>
      </c>
      <c r="AA327" s="5">
        <v>0</v>
      </c>
      <c r="AB327" t="s">
        <v>17</v>
      </c>
      <c r="AI327" t="s">
        <v>6643</v>
      </c>
      <c r="AL327" t="s">
        <v>8288</v>
      </c>
    </row>
    <row r="328" spans="1:38">
      <c r="A328" t="s">
        <v>3317</v>
      </c>
      <c r="B328" t="s">
        <v>3436</v>
      </c>
      <c r="C328" t="s">
        <v>3437</v>
      </c>
      <c r="D328" t="s">
        <v>3438</v>
      </c>
      <c r="E328" s="2">
        <v>1000</v>
      </c>
      <c r="F328" s="2">
        <v>1000</v>
      </c>
      <c r="G328" s="3">
        <v>43288</v>
      </c>
      <c r="H328" s="4">
        <v>0.71460648148147998</v>
      </c>
      <c r="I328" s="3">
        <v>43289</v>
      </c>
      <c r="J328" s="4">
        <v>0</v>
      </c>
      <c r="K328" s="2">
        <v>0</v>
      </c>
      <c r="L328" t="s">
        <v>0</v>
      </c>
      <c r="M328" t="s">
        <v>3331</v>
      </c>
      <c r="N328" s="3">
        <v>43290</v>
      </c>
      <c r="O328" s="3">
        <v>43290</v>
      </c>
      <c r="P328" t="s">
        <v>13</v>
      </c>
      <c r="Q328" t="s">
        <v>3439</v>
      </c>
      <c r="R328" t="s">
        <v>820</v>
      </c>
      <c r="S328" s="3">
        <v>43290</v>
      </c>
      <c r="T328" t="s">
        <v>7574</v>
      </c>
      <c r="U328" t="s">
        <v>3319</v>
      </c>
      <c r="V328" t="s">
        <v>3440</v>
      </c>
      <c r="W328" t="s">
        <v>2434</v>
      </c>
      <c r="X328" s="2">
        <v>146</v>
      </c>
      <c r="Y328" t="s">
        <v>2</v>
      </c>
      <c r="Z328" t="s">
        <v>3</v>
      </c>
      <c r="AA328" s="5">
        <v>0</v>
      </c>
      <c r="AB328" t="s">
        <v>17</v>
      </c>
      <c r="AI328" t="s">
        <v>6643</v>
      </c>
      <c r="AL328" t="s">
        <v>8289</v>
      </c>
    </row>
    <row r="329" spans="1:38">
      <c r="A329" t="s">
        <v>3317</v>
      </c>
      <c r="B329" t="s">
        <v>5084</v>
      </c>
      <c r="C329" t="s">
        <v>3481</v>
      </c>
      <c r="D329" t="s">
        <v>3482</v>
      </c>
      <c r="E329" s="2">
        <v>2000</v>
      </c>
      <c r="F329" s="2">
        <v>2000</v>
      </c>
      <c r="G329" s="3">
        <v>43289</v>
      </c>
      <c r="H329" s="4">
        <v>0.125</v>
      </c>
      <c r="I329" s="3">
        <v>43289</v>
      </c>
      <c r="J329" s="4">
        <v>0.69577546296296</v>
      </c>
      <c r="K329" s="2">
        <v>20</v>
      </c>
      <c r="L329" t="s">
        <v>0</v>
      </c>
      <c r="M329" t="s">
        <v>3327</v>
      </c>
      <c r="N329" s="3">
        <v>43287</v>
      </c>
      <c r="O329" s="3">
        <v>43291</v>
      </c>
      <c r="P329" t="s">
        <v>13</v>
      </c>
      <c r="Q329" t="s">
        <v>5085</v>
      </c>
      <c r="R329" t="s">
        <v>820</v>
      </c>
      <c r="S329" s="3">
        <v>43290</v>
      </c>
      <c r="T329" t="s">
        <v>7575</v>
      </c>
      <c r="U329" t="s">
        <v>3483</v>
      </c>
      <c r="V329" t="s">
        <v>3484</v>
      </c>
      <c r="W329" t="s">
        <v>2434</v>
      </c>
      <c r="X329" s="2">
        <v>146</v>
      </c>
      <c r="Y329" t="s">
        <v>2</v>
      </c>
      <c r="Z329" t="s">
        <v>3</v>
      </c>
      <c r="AA329" s="5">
        <v>0</v>
      </c>
      <c r="AB329" t="s">
        <v>17</v>
      </c>
      <c r="AI329" t="s">
        <v>6643</v>
      </c>
      <c r="AL329" t="s">
        <v>8290</v>
      </c>
    </row>
    <row r="330" spans="1:38">
      <c r="A330" t="s">
        <v>3317</v>
      </c>
      <c r="B330" t="s">
        <v>3375</v>
      </c>
      <c r="C330" t="s">
        <v>3376</v>
      </c>
      <c r="D330" t="s">
        <v>3377</v>
      </c>
      <c r="E330" s="2">
        <v>2000</v>
      </c>
      <c r="F330" s="2">
        <v>2000</v>
      </c>
      <c r="G330" s="3">
        <v>43289</v>
      </c>
      <c r="H330" s="4">
        <v>0.42922453703704</v>
      </c>
      <c r="I330" s="3">
        <v>43290</v>
      </c>
      <c r="J330" s="4">
        <v>0</v>
      </c>
      <c r="K330" s="2">
        <v>0</v>
      </c>
      <c r="L330" t="s">
        <v>0</v>
      </c>
      <c r="M330" t="s">
        <v>3327</v>
      </c>
      <c r="N330" s="3">
        <v>43290</v>
      </c>
      <c r="O330" s="3">
        <v>43291</v>
      </c>
      <c r="P330" t="s">
        <v>13</v>
      </c>
      <c r="Q330" t="s">
        <v>3378</v>
      </c>
      <c r="R330" t="s">
        <v>820</v>
      </c>
      <c r="S330" s="3">
        <v>43290</v>
      </c>
      <c r="T330" t="s">
        <v>7576</v>
      </c>
      <c r="U330" t="s">
        <v>3335</v>
      </c>
      <c r="V330">
        <v>4262</v>
      </c>
      <c r="W330" t="s">
        <v>2434</v>
      </c>
      <c r="X330" s="2">
        <v>146</v>
      </c>
      <c r="Y330" t="s">
        <v>2</v>
      </c>
      <c r="Z330" t="s">
        <v>3</v>
      </c>
      <c r="AA330" s="5">
        <v>0</v>
      </c>
      <c r="AB330" t="s">
        <v>17</v>
      </c>
      <c r="AI330" t="s">
        <v>6643</v>
      </c>
      <c r="AL330" t="s">
        <v>8291</v>
      </c>
    </row>
    <row r="331" spans="1:38">
      <c r="A331" t="s">
        <v>3317</v>
      </c>
      <c r="B331" t="s">
        <v>3460</v>
      </c>
      <c r="C331" t="s">
        <v>3461</v>
      </c>
      <c r="D331" t="s">
        <v>3462</v>
      </c>
      <c r="E331" s="2">
        <v>475</v>
      </c>
      <c r="F331" s="2">
        <v>475</v>
      </c>
      <c r="G331" s="3">
        <v>43290</v>
      </c>
      <c r="H331" s="4">
        <v>0.85730324074074005</v>
      </c>
      <c r="I331" s="3">
        <v>43290</v>
      </c>
      <c r="J331" s="4">
        <v>0.99285879629630003</v>
      </c>
      <c r="K331" s="2">
        <v>20</v>
      </c>
      <c r="L331" t="s">
        <v>0</v>
      </c>
      <c r="M331" t="s">
        <v>7577</v>
      </c>
      <c r="N331" s="3">
        <v>43301</v>
      </c>
      <c r="O331" s="3">
        <v>43292</v>
      </c>
      <c r="P331" t="s">
        <v>13</v>
      </c>
      <c r="Q331" t="s">
        <v>3463</v>
      </c>
      <c r="R331" t="s">
        <v>820</v>
      </c>
      <c r="S331" s="3">
        <v>43301</v>
      </c>
      <c r="T331" t="s">
        <v>7578</v>
      </c>
      <c r="U331" t="s">
        <v>3326</v>
      </c>
      <c r="V331" t="s">
        <v>3464</v>
      </c>
      <c r="W331" t="s">
        <v>2434</v>
      </c>
      <c r="X331" s="2">
        <v>146</v>
      </c>
      <c r="Y331" t="s">
        <v>2</v>
      </c>
      <c r="Z331" t="s">
        <v>3</v>
      </c>
      <c r="AA331" s="5">
        <v>0</v>
      </c>
      <c r="AB331" t="s">
        <v>17</v>
      </c>
      <c r="AI331" t="s">
        <v>6643</v>
      </c>
      <c r="AL331" t="s">
        <v>8292</v>
      </c>
    </row>
    <row r="332" spans="1:38">
      <c r="A332" t="s">
        <v>3317</v>
      </c>
      <c r="B332" t="s">
        <v>3450</v>
      </c>
      <c r="C332" t="s">
        <v>3451</v>
      </c>
      <c r="D332" t="s">
        <v>3452</v>
      </c>
      <c r="E332" s="2">
        <v>5000</v>
      </c>
      <c r="F332" s="2">
        <v>5000</v>
      </c>
      <c r="G332" s="3">
        <v>43291</v>
      </c>
      <c r="H332" s="4">
        <v>0.57305555555555998</v>
      </c>
      <c r="I332" s="3">
        <v>43293</v>
      </c>
      <c r="J332" s="4">
        <v>0</v>
      </c>
      <c r="K332" s="2">
        <v>20</v>
      </c>
      <c r="L332" t="s">
        <v>0</v>
      </c>
      <c r="M332" t="s">
        <v>3453</v>
      </c>
      <c r="N332" s="3">
        <v>43299</v>
      </c>
      <c r="O332" s="3">
        <v>43294</v>
      </c>
      <c r="P332" t="s">
        <v>13</v>
      </c>
      <c r="Q332" t="s">
        <v>3454</v>
      </c>
      <c r="R332" t="s">
        <v>820</v>
      </c>
      <c r="S332" s="3">
        <v>43299</v>
      </c>
      <c r="T332" t="s">
        <v>7579</v>
      </c>
      <c r="U332">
        <v>420</v>
      </c>
      <c r="V332" t="s">
        <v>3455</v>
      </c>
      <c r="W332" t="s">
        <v>2434</v>
      </c>
      <c r="X332" s="2">
        <v>146</v>
      </c>
      <c r="Y332" t="s">
        <v>2</v>
      </c>
      <c r="Z332" t="s">
        <v>3</v>
      </c>
      <c r="AA332" s="5">
        <v>0</v>
      </c>
      <c r="AB332" t="s">
        <v>17</v>
      </c>
      <c r="AI332" t="s">
        <v>6643</v>
      </c>
      <c r="AL332" t="s">
        <v>8293</v>
      </c>
    </row>
    <row r="333" spans="1:38">
      <c r="A333" t="s">
        <v>3317</v>
      </c>
      <c r="B333" t="s">
        <v>3441</v>
      </c>
      <c r="C333" t="s">
        <v>3396</v>
      </c>
      <c r="D333" t="s">
        <v>3397</v>
      </c>
      <c r="E333" s="2">
        <v>2000</v>
      </c>
      <c r="F333" s="2">
        <v>2000</v>
      </c>
      <c r="G333" s="3">
        <v>43293</v>
      </c>
      <c r="H333" s="4">
        <v>0.42922453703704</v>
      </c>
      <c r="I333" s="3">
        <v>43294</v>
      </c>
      <c r="J333" s="4">
        <v>0</v>
      </c>
      <c r="K333" s="2">
        <v>0</v>
      </c>
      <c r="L333" t="s">
        <v>0</v>
      </c>
      <c r="M333" t="s">
        <v>3327</v>
      </c>
      <c r="N333" s="3">
        <v>43297</v>
      </c>
      <c r="O333" s="3">
        <v>43295</v>
      </c>
      <c r="P333" t="s">
        <v>13</v>
      </c>
      <c r="Q333" t="s">
        <v>3442</v>
      </c>
      <c r="R333" t="s">
        <v>820</v>
      </c>
      <c r="S333" s="3">
        <v>43297</v>
      </c>
      <c r="T333" t="s">
        <v>7580</v>
      </c>
      <c r="U333">
        <v>553</v>
      </c>
      <c r="V333" t="s">
        <v>3399</v>
      </c>
      <c r="W333" t="s">
        <v>2434</v>
      </c>
      <c r="X333" s="2">
        <v>146</v>
      </c>
      <c r="Y333" t="s">
        <v>2</v>
      </c>
      <c r="Z333" t="s">
        <v>3</v>
      </c>
      <c r="AA333" s="5">
        <v>0</v>
      </c>
      <c r="AB333" t="s">
        <v>17</v>
      </c>
      <c r="AI333" t="s">
        <v>6643</v>
      </c>
      <c r="AL333" t="s">
        <v>8294</v>
      </c>
    </row>
    <row r="334" spans="1:38">
      <c r="A334" t="s">
        <v>3317</v>
      </c>
      <c r="B334" t="s">
        <v>5762</v>
      </c>
      <c r="C334" t="s">
        <v>5763</v>
      </c>
      <c r="D334" t="s">
        <v>5764</v>
      </c>
      <c r="E334" s="2">
        <v>1000</v>
      </c>
      <c r="F334" s="2">
        <v>1000</v>
      </c>
      <c r="G334" s="3">
        <v>43293</v>
      </c>
      <c r="H334" s="4">
        <v>0.71460648148147998</v>
      </c>
      <c r="I334" s="3">
        <v>43294</v>
      </c>
      <c r="J334" s="4">
        <v>0</v>
      </c>
      <c r="K334" s="2">
        <v>0</v>
      </c>
      <c r="L334" t="s">
        <v>0</v>
      </c>
      <c r="M334" t="s">
        <v>3331</v>
      </c>
      <c r="N334" s="3">
        <v>43292</v>
      </c>
      <c r="O334" s="3">
        <v>43295</v>
      </c>
      <c r="P334" t="s">
        <v>13</v>
      </c>
      <c r="Q334" t="s">
        <v>5765</v>
      </c>
      <c r="R334" t="s">
        <v>820</v>
      </c>
      <c r="S334" s="3">
        <v>43292</v>
      </c>
      <c r="T334" t="s">
        <v>7581</v>
      </c>
      <c r="U334" t="s">
        <v>3326</v>
      </c>
      <c r="V334" t="s">
        <v>5766</v>
      </c>
      <c r="W334" t="s">
        <v>2434</v>
      </c>
      <c r="X334" s="2">
        <v>146</v>
      </c>
      <c r="Y334" t="s">
        <v>2</v>
      </c>
      <c r="Z334" t="s">
        <v>3</v>
      </c>
      <c r="AA334" s="5">
        <v>0</v>
      </c>
      <c r="AB334" t="s">
        <v>17</v>
      </c>
      <c r="AI334" t="s">
        <v>6643</v>
      </c>
      <c r="AL334" t="s">
        <v>8295</v>
      </c>
    </row>
    <row r="335" spans="1:38">
      <c r="A335" t="s">
        <v>3317</v>
      </c>
      <c r="B335" t="s">
        <v>5767</v>
      </c>
      <c r="C335" t="s">
        <v>5768</v>
      </c>
      <c r="D335" t="s">
        <v>5769</v>
      </c>
      <c r="E335" s="2">
        <v>1000</v>
      </c>
      <c r="F335" s="2">
        <v>1000</v>
      </c>
      <c r="G335" s="3">
        <v>43293</v>
      </c>
      <c r="H335" s="4">
        <v>0.71460648148147998</v>
      </c>
      <c r="I335" s="3">
        <v>43294</v>
      </c>
      <c r="J335" s="4">
        <v>0</v>
      </c>
      <c r="K335" s="2">
        <v>0</v>
      </c>
      <c r="L335" t="s">
        <v>0</v>
      </c>
      <c r="M335" t="s">
        <v>3331</v>
      </c>
      <c r="N335" s="3">
        <v>43292</v>
      </c>
      <c r="O335" s="3">
        <v>43295</v>
      </c>
      <c r="P335" t="s">
        <v>13</v>
      </c>
      <c r="Q335" t="s">
        <v>5770</v>
      </c>
      <c r="R335" t="s">
        <v>820</v>
      </c>
      <c r="S335" s="3">
        <v>43292</v>
      </c>
      <c r="T335" t="s">
        <v>7582</v>
      </c>
      <c r="U335" t="s">
        <v>3326</v>
      </c>
      <c r="V335" t="s">
        <v>5771</v>
      </c>
      <c r="W335" t="s">
        <v>2434</v>
      </c>
      <c r="X335" s="2">
        <v>146</v>
      </c>
      <c r="Y335" t="s">
        <v>2</v>
      </c>
      <c r="Z335" t="s">
        <v>3</v>
      </c>
      <c r="AA335" s="5">
        <v>0</v>
      </c>
      <c r="AB335" t="s">
        <v>17</v>
      </c>
      <c r="AI335" t="s">
        <v>6643</v>
      </c>
      <c r="AL335" t="s">
        <v>8296</v>
      </c>
    </row>
    <row r="336" spans="1:38">
      <c r="A336" t="s">
        <v>3317</v>
      </c>
      <c r="B336" t="s">
        <v>3448</v>
      </c>
      <c r="C336" t="s">
        <v>3422</v>
      </c>
      <c r="D336" t="s">
        <v>3423</v>
      </c>
      <c r="E336" s="2">
        <v>2000</v>
      </c>
      <c r="F336" s="2">
        <v>2000</v>
      </c>
      <c r="G336" s="3">
        <v>43294</v>
      </c>
      <c r="H336" s="4">
        <v>0.42922453703704</v>
      </c>
      <c r="I336" s="3">
        <v>43295</v>
      </c>
      <c r="J336" s="4">
        <v>0</v>
      </c>
      <c r="K336" s="2">
        <v>20</v>
      </c>
      <c r="L336" t="s">
        <v>0</v>
      </c>
      <c r="M336" t="s">
        <v>3327</v>
      </c>
      <c r="N336" s="3">
        <v>43298</v>
      </c>
      <c r="O336" s="3">
        <v>43296</v>
      </c>
      <c r="P336" t="s">
        <v>13</v>
      </c>
      <c r="Q336" t="s">
        <v>3449</v>
      </c>
      <c r="R336" t="s">
        <v>820</v>
      </c>
      <c r="S336" s="3">
        <v>43298</v>
      </c>
      <c r="T336" t="s">
        <v>7583</v>
      </c>
      <c r="U336" t="s">
        <v>3425</v>
      </c>
      <c r="V336">
        <v>7001</v>
      </c>
      <c r="W336" t="s">
        <v>2434</v>
      </c>
      <c r="X336" s="2">
        <v>146</v>
      </c>
      <c r="Y336" t="s">
        <v>2</v>
      </c>
      <c r="Z336" t="s">
        <v>3</v>
      </c>
      <c r="AA336" s="5">
        <v>0</v>
      </c>
      <c r="AB336" t="s">
        <v>17</v>
      </c>
      <c r="AI336" t="s">
        <v>6643</v>
      </c>
      <c r="AL336" t="s">
        <v>8297</v>
      </c>
    </row>
    <row r="337" spans="1:38">
      <c r="A337" t="s">
        <v>3317</v>
      </c>
      <c r="B337" t="s">
        <v>3456</v>
      </c>
      <c r="C337" t="s">
        <v>3457</v>
      </c>
      <c r="D337" t="s">
        <v>3458</v>
      </c>
      <c r="E337" s="2">
        <v>1000</v>
      </c>
      <c r="F337" s="2">
        <v>1000</v>
      </c>
      <c r="G337" s="3">
        <v>43294</v>
      </c>
      <c r="H337" s="4">
        <v>0.71460648148147998</v>
      </c>
      <c r="I337" s="3">
        <v>43295</v>
      </c>
      <c r="J337" s="4">
        <v>0</v>
      </c>
      <c r="K337" s="2">
        <v>20</v>
      </c>
      <c r="L337" t="s">
        <v>0</v>
      </c>
      <c r="M337" t="s">
        <v>3331</v>
      </c>
      <c r="N337" s="3">
        <v>43300</v>
      </c>
      <c r="O337" s="3">
        <v>43296</v>
      </c>
      <c r="P337" t="s">
        <v>13</v>
      </c>
      <c r="Q337" t="s">
        <v>3459</v>
      </c>
      <c r="R337" t="s">
        <v>820</v>
      </c>
      <c r="S337" s="3">
        <v>43300</v>
      </c>
      <c r="T337" t="s">
        <v>7584</v>
      </c>
      <c r="U337">
        <v>553</v>
      </c>
      <c r="V337">
        <v>7001</v>
      </c>
      <c r="W337" t="s">
        <v>2434</v>
      </c>
      <c r="X337" s="2">
        <v>146</v>
      </c>
      <c r="Y337" t="s">
        <v>2</v>
      </c>
      <c r="Z337" t="s">
        <v>3</v>
      </c>
      <c r="AA337" s="5">
        <v>0</v>
      </c>
      <c r="AB337" t="s">
        <v>17</v>
      </c>
      <c r="AI337" t="s">
        <v>6643</v>
      </c>
      <c r="AL337" t="s">
        <v>8298</v>
      </c>
    </row>
    <row r="338" spans="1:38">
      <c r="A338" t="s">
        <v>3317</v>
      </c>
      <c r="B338" t="s">
        <v>7585</v>
      </c>
      <c r="C338" t="s">
        <v>7586</v>
      </c>
      <c r="D338" t="s">
        <v>7587</v>
      </c>
      <c r="E338" s="2">
        <v>300</v>
      </c>
      <c r="F338" s="2">
        <v>300</v>
      </c>
      <c r="G338" s="3">
        <v>43295</v>
      </c>
      <c r="H338" s="4">
        <v>0.37596064814815</v>
      </c>
      <c r="I338" s="3">
        <v>43295</v>
      </c>
      <c r="J338" s="4">
        <v>0.46157407407406997</v>
      </c>
      <c r="K338" s="2">
        <v>0</v>
      </c>
      <c r="L338" t="s">
        <v>0</v>
      </c>
      <c r="M338" t="s">
        <v>3468</v>
      </c>
      <c r="N338" s="3">
        <v>43298</v>
      </c>
      <c r="O338" s="3">
        <v>43297</v>
      </c>
      <c r="P338" t="s">
        <v>13</v>
      </c>
      <c r="Q338" t="s">
        <v>7588</v>
      </c>
      <c r="R338" t="s">
        <v>820</v>
      </c>
      <c r="S338" s="3">
        <v>43298</v>
      </c>
      <c r="T338" t="s">
        <v>7589</v>
      </c>
      <c r="U338">
        <v>357</v>
      </c>
      <c r="V338" t="s">
        <v>7590</v>
      </c>
      <c r="W338" t="s">
        <v>2434</v>
      </c>
      <c r="X338" s="2">
        <v>146</v>
      </c>
      <c r="Y338" t="s">
        <v>2</v>
      </c>
      <c r="Z338" t="s">
        <v>3</v>
      </c>
      <c r="AA338" s="5">
        <v>0</v>
      </c>
      <c r="AB338" t="s">
        <v>17</v>
      </c>
      <c r="AI338" t="s">
        <v>6643</v>
      </c>
      <c r="AL338" t="s">
        <v>8299</v>
      </c>
    </row>
    <row r="339" spans="1:38">
      <c r="A339" t="s">
        <v>3317</v>
      </c>
      <c r="B339" t="s">
        <v>3116</v>
      </c>
      <c r="C339" t="s">
        <v>3117</v>
      </c>
      <c r="D339" t="s">
        <v>3118</v>
      </c>
      <c r="E339" s="2">
        <v>2000</v>
      </c>
      <c r="F339" s="2">
        <v>2000</v>
      </c>
      <c r="G339" s="3">
        <v>43295</v>
      </c>
      <c r="H339" s="4">
        <v>0.48240740740741</v>
      </c>
      <c r="I339" s="3">
        <v>43296</v>
      </c>
      <c r="J339" s="4">
        <v>5.3182870370369999E-2</v>
      </c>
      <c r="K339" s="2">
        <v>0</v>
      </c>
      <c r="L339" t="s">
        <v>0</v>
      </c>
      <c r="M339" t="s">
        <v>3327</v>
      </c>
      <c r="N339" s="3">
        <v>43297</v>
      </c>
      <c r="O339" s="3">
        <v>43298</v>
      </c>
      <c r="P339" t="s">
        <v>9</v>
      </c>
      <c r="Q339" t="s">
        <v>3119</v>
      </c>
      <c r="R339" t="s">
        <v>820</v>
      </c>
      <c r="S339" s="3">
        <v>43297</v>
      </c>
      <c r="T339" t="s">
        <v>7591</v>
      </c>
      <c r="U339" t="s">
        <v>2486</v>
      </c>
      <c r="V339" t="s">
        <v>3120</v>
      </c>
      <c r="W339" t="s">
        <v>2434</v>
      </c>
      <c r="X339" s="2">
        <v>146</v>
      </c>
      <c r="Y339" t="s">
        <v>2</v>
      </c>
      <c r="Z339" t="s">
        <v>3</v>
      </c>
      <c r="AA339" s="5">
        <v>0</v>
      </c>
      <c r="AB339" t="s">
        <v>17</v>
      </c>
      <c r="AI339" t="s">
        <v>6643</v>
      </c>
      <c r="AL339" t="s">
        <v>8300</v>
      </c>
    </row>
    <row r="340" spans="1:38">
      <c r="A340" t="s">
        <v>3317</v>
      </c>
      <c r="B340" t="s">
        <v>5117</v>
      </c>
      <c r="C340" t="s">
        <v>3848</v>
      </c>
      <c r="D340" t="s">
        <v>3849</v>
      </c>
      <c r="E340" s="2">
        <v>2000</v>
      </c>
      <c r="F340" s="2">
        <v>2000</v>
      </c>
      <c r="G340" s="3">
        <v>43295</v>
      </c>
      <c r="H340" s="4">
        <v>0.48240740740741</v>
      </c>
      <c r="I340" s="3">
        <v>43296</v>
      </c>
      <c r="J340" s="4">
        <v>5.3182870370369999E-2</v>
      </c>
      <c r="K340" s="2">
        <v>0</v>
      </c>
      <c r="L340" t="s">
        <v>0</v>
      </c>
      <c r="M340" t="s">
        <v>3327</v>
      </c>
      <c r="N340" s="3">
        <v>43290</v>
      </c>
      <c r="O340" s="3">
        <v>43298</v>
      </c>
      <c r="P340" t="s">
        <v>13</v>
      </c>
      <c r="Q340" t="s">
        <v>5118</v>
      </c>
      <c r="R340" t="s">
        <v>820</v>
      </c>
      <c r="S340" s="3">
        <v>43290</v>
      </c>
      <c r="T340" t="s">
        <v>7592</v>
      </c>
      <c r="U340" t="s">
        <v>3652</v>
      </c>
      <c r="V340" t="s">
        <v>3850</v>
      </c>
      <c r="W340" t="s">
        <v>2434</v>
      </c>
      <c r="X340" s="2">
        <v>146</v>
      </c>
      <c r="Y340" t="s">
        <v>2</v>
      </c>
      <c r="Z340" t="s">
        <v>3</v>
      </c>
      <c r="AA340" s="5">
        <v>0</v>
      </c>
      <c r="AB340" t="s">
        <v>17</v>
      </c>
      <c r="AI340" t="s">
        <v>6643</v>
      </c>
      <c r="AL340" t="s">
        <v>8301</v>
      </c>
    </row>
    <row r="341" spans="1:38">
      <c r="A341" t="s">
        <v>3317</v>
      </c>
      <c r="B341" t="s">
        <v>5751</v>
      </c>
      <c r="C341" t="s">
        <v>5752</v>
      </c>
      <c r="D341" t="s">
        <v>5753</v>
      </c>
      <c r="E341" s="2">
        <v>5000</v>
      </c>
      <c r="F341" s="2">
        <v>5000</v>
      </c>
      <c r="G341" s="3">
        <v>43296</v>
      </c>
      <c r="H341" s="4">
        <v>0.57305555555555998</v>
      </c>
      <c r="I341" s="3">
        <v>43298</v>
      </c>
      <c r="J341" s="4">
        <v>0</v>
      </c>
      <c r="K341" s="2">
        <v>20</v>
      </c>
      <c r="L341" t="s">
        <v>0</v>
      </c>
      <c r="M341" t="s">
        <v>3453</v>
      </c>
      <c r="N341" s="3">
        <v>43293</v>
      </c>
      <c r="O341" s="3">
        <v>43299</v>
      </c>
      <c r="P341" t="s">
        <v>3531</v>
      </c>
      <c r="Q341" t="s">
        <v>5754</v>
      </c>
      <c r="R341" t="s">
        <v>820</v>
      </c>
      <c r="S341" s="3">
        <v>43293</v>
      </c>
      <c r="T341" t="s">
        <v>7593</v>
      </c>
      <c r="U341" t="s">
        <v>3621</v>
      </c>
      <c r="V341" t="s">
        <v>5755</v>
      </c>
      <c r="W341" t="s">
        <v>2434</v>
      </c>
      <c r="X341" s="2">
        <v>146</v>
      </c>
      <c r="Y341" t="s">
        <v>2</v>
      </c>
      <c r="Z341" t="s">
        <v>3</v>
      </c>
      <c r="AA341" s="5">
        <v>0</v>
      </c>
      <c r="AB341" t="s">
        <v>17</v>
      </c>
      <c r="AI341" t="s">
        <v>6643</v>
      </c>
      <c r="AL341" t="s">
        <v>8302</v>
      </c>
    </row>
    <row r="342" spans="1:38">
      <c r="A342" t="s">
        <v>3317</v>
      </c>
      <c r="B342" t="s">
        <v>5782</v>
      </c>
      <c r="C342" t="s">
        <v>5783</v>
      </c>
      <c r="D342" t="s">
        <v>5784</v>
      </c>
      <c r="E342" s="2">
        <v>1000</v>
      </c>
      <c r="F342" s="2">
        <v>1000</v>
      </c>
      <c r="G342" s="3">
        <v>43296</v>
      </c>
      <c r="H342" s="4">
        <v>0.74120370370370003</v>
      </c>
      <c r="I342" s="3">
        <v>43297</v>
      </c>
      <c r="J342" s="4">
        <v>2.659722222222E-2</v>
      </c>
      <c r="K342" s="2">
        <v>20</v>
      </c>
      <c r="L342" t="s">
        <v>0</v>
      </c>
      <c r="M342" t="s">
        <v>3331</v>
      </c>
      <c r="N342" s="3">
        <v>43298</v>
      </c>
      <c r="O342" s="3">
        <v>43299</v>
      </c>
      <c r="P342" t="s">
        <v>13</v>
      </c>
      <c r="Q342" t="s">
        <v>5785</v>
      </c>
      <c r="R342" t="s">
        <v>820</v>
      </c>
      <c r="S342" s="3">
        <v>43298</v>
      </c>
      <c r="T342" t="s">
        <v>7594</v>
      </c>
      <c r="U342" t="s">
        <v>2535</v>
      </c>
      <c r="V342" t="s">
        <v>5786</v>
      </c>
      <c r="W342" t="s">
        <v>2434</v>
      </c>
      <c r="X342" s="2">
        <v>146</v>
      </c>
      <c r="Y342" t="s">
        <v>2</v>
      </c>
      <c r="Z342" t="s">
        <v>3</v>
      </c>
      <c r="AA342" s="5">
        <v>0</v>
      </c>
      <c r="AB342" t="s">
        <v>17</v>
      </c>
      <c r="AL342" t="s">
        <v>8303</v>
      </c>
    </row>
    <row r="343" spans="1:38">
      <c r="A343" t="s">
        <v>3317</v>
      </c>
      <c r="B343" t="s">
        <v>5787</v>
      </c>
      <c r="C343" t="s">
        <v>5788</v>
      </c>
      <c r="D343" t="s">
        <v>5789</v>
      </c>
      <c r="E343" s="2">
        <v>500</v>
      </c>
      <c r="F343" s="2">
        <v>500</v>
      </c>
      <c r="G343" s="3">
        <v>43296</v>
      </c>
      <c r="H343" s="4">
        <v>0.87060185185185002</v>
      </c>
      <c r="I343" s="3">
        <v>43297</v>
      </c>
      <c r="J343" s="4">
        <v>1.329861111111E-2</v>
      </c>
      <c r="K343" s="2">
        <v>0</v>
      </c>
      <c r="L343" t="s">
        <v>0</v>
      </c>
      <c r="M343" t="s">
        <v>3320</v>
      </c>
      <c r="N343" s="3">
        <v>43300</v>
      </c>
      <c r="O343" s="3">
        <v>43299</v>
      </c>
      <c r="P343" t="s">
        <v>14</v>
      </c>
      <c r="Q343" t="s">
        <v>5790</v>
      </c>
      <c r="R343" t="s">
        <v>820</v>
      </c>
      <c r="S343" s="3">
        <v>43300</v>
      </c>
      <c r="T343" t="s">
        <v>7595</v>
      </c>
      <c r="U343" t="s">
        <v>2702</v>
      </c>
      <c r="V343" t="s">
        <v>5791</v>
      </c>
      <c r="W343" t="s">
        <v>2434</v>
      </c>
      <c r="X343" s="2">
        <v>146</v>
      </c>
      <c r="Y343" t="s">
        <v>2</v>
      </c>
      <c r="Z343" t="s">
        <v>3</v>
      </c>
      <c r="AA343" s="5">
        <v>0</v>
      </c>
      <c r="AB343" t="s">
        <v>17</v>
      </c>
      <c r="AL343" t="s">
        <v>8304</v>
      </c>
    </row>
    <row r="344" spans="1:38">
      <c r="A344" t="s">
        <v>3317</v>
      </c>
      <c r="B344" t="s">
        <v>5095</v>
      </c>
      <c r="C344" t="s">
        <v>5096</v>
      </c>
      <c r="D344" t="s">
        <v>5097</v>
      </c>
      <c r="E344" s="2">
        <v>2000</v>
      </c>
      <c r="F344" s="2">
        <v>2000</v>
      </c>
      <c r="G344" s="3">
        <v>43298</v>
      </c>
      <c r="H344" s="4">
        <v>0.42922453703704</v>
      </c>
      <c r="I344" s="3">
        <v>43299</v>
      </c>
      <c r="J344" s="4">
        <v>0</v>
      </c>
      <c r="K344" s="2">
        <v>0</v>
      </c>
      <c r="L344" t="s">
        <v>0</v>
      </c>
      <c r="M344" t="s">
        <v>3327</v>
      </c>
      <c r="N344" s="3">
        <v>43298</v>
      </c>
      <c r="O344" s="3">
        <v>43300</v>
      </c>
      <c r="P344" t="s">
        <v>13</v>
      </c>
      <c r="Q344" t="s">
        <v>5098</v>
      </c>
      <c r="R344" t="s">
        <v>820</v>
      </c>
      <c r="S344" s="3">
        <v>43298</v>
      </c>
      <c r="T344" t="s">
        <v>7596</v>
      </c>
      <c r="U344">
        <v>357</v>
      </c>
      <c r="V344" t="s">
        <v>5099</v>
      </c>
      <c r="W344" t="s">
        <v>2434</v>
      </c>
      <c r="X344" s="2">
        <v>146</v>
      </c>
      <c r="Y344" t="s">
        <v>2</v>
      </c>
      <c r="Z344" t="s">
        <v>3</v>
      </c>
      <c r="AA344" s="5">
        <v>0</v>
      </c>
      <c r="AB344" t="s">
        <v>17</v>
      </c>
      <c r="AI344" t="s">
        <v>6643</v>
      </c>
      <c r="AL344" t="s">
        <v>8305</v>
      </c>
    </row>
    <row r="345" spans="1:38">
      <c r="A345" t="s">
        <v>3317</v>
      </c>
      <c r="B345" t="s">
        <v>5020</v>
      </c>
      <c r="C345" t="s">
        <v>5021</v>
      </c>
      <c r="D345" t="s">
        <v>5022</v>
      </c>
      <c r="E345" s="2">
        <v>3000</v>
      </c>
      <c r="F345" s="2">
        <v>3000</v>
      </c>
      <c r="G345" s="3">
        <v>43299</v>
      </c>
      <c r="H345" s="4">
        <v>0.88738425925926001</v>
      </c>
      <c r="I345" s="3">
        <v>43300</v>
      </c>
      <c r="J345" s="4">
        <v>0.74355324074074003</v>
      </c>
      <c r="K345" s="2">
        <v>0</v>
      </c>
      <c r="L345" t="s">
        <v>0</v>
      </c>
      <c r="M345" t="s">
        <v>7082</v>
      </c>
      <c r="N345" s="3"/>
      <c r="O345" s="3">
        <v>43302</v>
      </c>
      <c r="P345" t="s">
        <v>13</v>
      </c>
      <c r="Q345" t="s">
        <v>5023</v>
      </c>
      <c r="R345" t="s">
        <v>820</v>
      </c>
      <c r="S345" s="3">
        <v>43313</v>
      </c>
      <c r="T345" t="s">
        <v>1</v>
      </c>
      <c r="U345" t="s">
        <v>3169</v>
      </c>
      <c r="V345" t="s">
        <v>5024</v>
      </c>
      <c r="W345" t="s">
        <v>2434</v>
      </c>
      <c r="X345" s="2">
        <v>0</v>
      </c>
      <c r="Y345" t="s">
        <v>2</v>
      </c>
      <c r="Z345" t="s">
        <v>3</v>
      </c>
      <c r="AA345" s="5">
        <v>0</v>
      </c>
      <c r="AB345" t="s">
        <v>29</v>
      </c>
      <c r="AI345" t="s">
        <v>6643</v>
      </c>
      <c r="AL345" t="s">
        <v>8306</v>
      </c>
    </row>
    <row r="346" spans="1:38">
      <c r="A346" t="s">
        <v>3317</v>
      </c>
      <c r="B346" t="s">
        <v>3465</v>
      </c>
      <c r="C346" t="s">
        <v>3466</v>
      </c>
      <c r="D346" t="s">
        <v>3467</v>
      </c>
      <c r="E346" s="2">
        <v>300</v>
      </c>
      <c r="F346" s="2">
        <v>300</v>
      </c>
      <c r="G346" s="3">
        <v>43299</v>
      </c>
      <c r="H346" s="4">
        <v>0.91438657407406998</v>
      </c>
      <c r="I346" s="3">
        <v>43300</v>
      </c>
      <c r="J346" s="4">
        <v>0</v>
      </c>
      <c r="K346" s="2">
        <v>0</v>
      </c>
      <c r="L346" t="s">
        <v>0</v>
      </c>
      <c r="M346" t="s">
        <v>3468</v>
      </c>
      <c r="N346" s="3">
        <v>43304</v>
      </c>
      <c r="O346" s="3">
        <v>43301</v>
      </c>
      <c r="P346" t="s">
        <v>13</v>
      </c>
      <c r="Q346" t="s">
        <v>3469</v>
      </c>
      <c r="R346" t="s">
        <v>820</v>
      </c>
      <c r="S346" s="3">
        <v>43304</v>
      </c>
      <c r="T346" t="s">
        <v>7597</v>
      </c>
      <c r="U346">
        <v>357</v>
      </c>
      <c r="V346" t="s">
        <v>3470</v>
      </c>
      <c r="W346" t="s">
        <v>2434</v>
      </c>
      <c r="X346" s="2">
        <v>146</v>
      </c>
      <c r="Y346" t="s">
        <v>2</v>
      </c>
      <c r="Z346" t="s">
        <v>3</v>
      </c>
      <c r="AA346" s="5">
        <v>0</v>
      </c>
      <c r="AB346" t="s">
        <v>17</v>
      </c>
      <c r="AI346" t="s">
        <v>6643</v>
      </c>
      <c r="AL346" t="s">
        <v>8307</v>
      </c>
    </row>
    <row r="347" spans="1:38">
      <c r="A347" t="s">
        <v>3473</v>
      </c>
      <c r="B347" t="s">
        <v>3494</v>
      </c>
      <c r="C347" t="s">
        <v>3495</v>
      </c>
      <c r="D347" t="s">
        <v>3496</v>
      </c>
      <c r="E347" s="5">
        <v>37.9</v>
      </c>
      <c r="F347" s="5">
        <v>537.9</v>
      </c>
      <c r="G347" s="3">
        <v>43266</v>
      </c>
      <c r="H347" s="4">
        <v>0.47991898148147999</v>
      </c>
      <c r="I347" s="3">
        <v>43266</v>
      </c>
      <c r="J347" s="4">
        <v>0.60931712962963003</v>
      </c>
      <c r="K347" s="2">
        <v>0</v>
      </c>
      <c r="L347" t="s">
        <v>0</v>
      </c>
      <c r="M347" t="s">
        <v>3497</v>
      </c>
      <c r="N347" s="3">
        <v>43270</v>
      </c>
      <c r="O347" s="3">
        <v>43268</v>
      </c>
      <c r="P347" t="s">
        <v>13</v>
      </c>
      <c r="Q347" t="s">
        <v>1</v>
      </c>
      <c r="R347" t="s">
        <v>819</v>
      </c>
      <c r="S347" s="3"/>
      <c r="T347" t="s">
        <v>7598</v>
      </c>
      <c r="U347" t="s">
        <v>2486</v>
      </c>
      <c r="V347" t="s">
        <v>3498</v>
      </c>
      <c r="W347" t="s">
        <v>2434</v>
      </c>
      <c r="X347" s="2">
        <v>161</v>
      </c>
      <c r="Y347" t="s">
        <v>2</v>
      </c>
      <c r="Z347" t="s">
        <v>3</v>
      </c>
      <c r="AA347" s="5">
        <v>0</v>
      </c>
      <c r="AB347" t="s">
        <v>17</v>
      </c>
      <c r="AL347" t="s">
        <v>8308</v>
      </c>
    </row>
    <row r="348" spans="1:38">
      <c r="A348" t="s">
        <v>3473</v>
      </c>
      <c r="B348" t="s">
        <v>3528</v>
      </c>
      <c r="C348" t="s">
        <v>3529</v>
      </c>
      <c r="D348" t="s">
        <v>3530</v>
      </c>
      <c r="E348" s="5">
        <v>2184.4</v>
      </c>
      <c r="F348" s="5">
        <v>4184.3999999999996</v>
      </c>
      <c r="G348" s="3">
        <v>43271</v>
      </c>
      <c r="H348" s="4">
        <v>0.42577546296295998</v>
      </c>
      <c r="I348" s="3">
        <v>43272</v>
      </c>
      <c r="J348" s="4">
        <v>0.50869212962962995</v>
      </c>
      <c r="K348" s="2">
        <v>0</v>
      </c>
      <c r="L348" t="s">
        <v>0</v>
      </c>
      <c r="M348" t="s">
        <v>7599</v>
      </c>
      <c r="N348" s="3">
        <v>43276</v>
      </c>
      <c r="O348" s="3">
        <v>43274</v>
      </c>
      <c r="P348" t="s">
        <v>3531</v>
      </c>
      <c r="Q348" t="s">
        <v>3532</v>
      </c>
      <c r="R348" t="s">
        <v>820</v>
      </c>
      <c r="S348" s="3">
        <v>43276</v>
      </c>
      <c r="T348" t="s">
        <v>7600</v>
      </c>
      <c r="U348" t="s">
        <v>3508</v>
      </c>
      <c r="V348" t="s">
        <v>3533</v>
      </c>
      <c r="W348" t="s">
        <v>2434</v>
      </c>
      <c r="X348" s="2">
        <v>161</v>
      </c>
      <c r="Y348" t="s">
        <v>2</v>
      </c>
      <c r="Z348" t="s">
        <v>3</v>
      </c>
      <c r="AA348" s="5">
        <v>0</v>
      </c>
      <c r="AB348" t="s">
        <v>4</v>
      </c>
      <c r="AI348" t="s">
        <v>6643</v>
      </c>
      <c r="AL348" t="s">
        <v>8309</v>
      </c>
    </row>
    <row r="349" spans="1:38">
      <c r="A349" t="s">
        <v>3473</v>
      </c>
      <c r="B349" t="s">
        <v>5069</v>
      </c>
      <c r="C349" t="s">
        <v>5070</v>
      </c>
      <c r="D349" t="s">
        <v>5071</v>
      </c>
      <c r="E349" s="2">
        <v>25</v>
      </c>
      <c r="F349" s="2">
        <v>25</v>
      </c>
      <c r="G349" s="3">
        <v>43271</v>
      </c>
      <c r="H349" s="4">
        <v>0.42797453703704003</v>
      </c>
      <c r="I349" s="3">
        <v>43271</v>
      </c>
      <c r="J349" s="4">
        <v>0.43444444444444003</v>
      </c>
      <c r="K349" s="2">
        <v>25</v>
      </c>
      <c r="L349" t="s">
        <v>0</v>
      </c>
      <c r="M349" t="s">
        <v>3477</v>
      </c>
      <c r="N349" s="3">
        <v>43278</v>
      </c>
      <c r="O349" s="3">
        <v>43273</v>
      </c>
      <c r="P349" t="s">
        <v>13</v>
      </c>
      <c r="Q349" t="s">
        <v>1</v>
      </c>
      <c r="R349" t="s">
        <v>819</v>
      </c>
      <c r="S349" s="3"/>
      <c r="T349" t="s">
        <v>7601</v>
      </c>
      <c r="U349" t="s">
        <v>2711</v>
      </c>
      <c r="V349" t="s">
        <v>5072</v>
      </c>
      <c r="W349" t="s">
        <v>2434</v>
      </c>
      <c r="X349" s="2">
        <v>0</v>
      </c>
      <c r="Y349" t="s">
        <v>2</v>
      </c>
      <c r="Z349" t="s">
        <v>3</v>
      </c>
      <c r="AA349" s="5">
        <v>0</v>
      </c>
      <c r="AB349" t="s">
        <v>17</v>
      </c>
      <c r="AI349" t="s">
        <v>6643</v>
      </c>
      <c r="AL349" t="s">
        <v>8310</v>
      </c>
    </row>
    <row r="350" spans="1:38">
      <c r="A350" t="s">
        <v>3473</v>
      </c>
      <c r="B350" t="s">
        <v>3569</v>
      </c>
      <c r="C350" t="s">
        <v>3570</v>
      </c>
      <c r="D350" t="s">
        <v>3571</v>
      </c>
      <c r="E350" s="2">
        <v>150</v>
      </c>
      <c r="F350" s="2">
        <v>150</v>
      </c>
      <c r="G350" s="3">
        <v>43272</v>
      </c>
      <c r="H350" s="4">
        <v>0.50268518518519001</v>
      </c>
      <c r="I350" s="3">
        <v>43272</v>
      </c>
      <c r="J350" s="4">
        <v>0.54150462962962997</v>
      </c>
      <c r="K350" s="2">
        <v>0</v>
      </c>
      <c r="L350" t="s">
        <v>0</v>
      </c>
      <c r="M350" t="s">
        <v>5777</v>
      </c>
      <c r="N350" s="3">
        <v>43277</v>
      </c>
      <c r="O350" s="3">
        <v>43274</v>
      </c>
      <c r="P350" t="s">
        <v>24</v>
      </c>
      <c r="Q350" t="s">
        <v>3572</v>
      </c>
      <c r="R350" t="s">
        <v>820</v>
      </c>
      <c r="S350" s="3">
        <v>43277</v>
      </c>
      <c r="T350" t="s">
        <v>7602</v>
      </c>
      <c r="U350" t="s">
        <v>2649</v>
      </c>
      <c r="V350" t="s">
        <v>3573</v>
      </c>
      <c r="W350" t="s">
        <v>2434</v>
      </c>
      <c r="X350" s="2">
        <v>161</v>
      </c>
      <c r="Y350" t="s">
        <v>2</v>
      </c>
      <c r="Z350" t="s">
        <v>3</v>
      </c>
      <c r="AA350" s="5">
        <v>0</v>
      </c>
      <c r="AB350" t="s">
        <v>4</v>
      </c>
      <c r="AI350" t="s">
        <v>6643</v>
      </c>
      <c r="AL350" t="s">
        <v>8311</v>
      </c>
    </row>
    <row r="351" spans="1:38">
      <c r="A351" t="s">
        <v>3473</v>
      </c>
      <c r="B351" t="s">
        <v>3244</v>
      </c>
      <c r="C351" t="s">
        <v>151</v>
      </c>
      <c r="D351" t="s">
        <v>152</v>
      </c>
      <c r="E351" s="5">
        <v>1046.0999999999999</v>
      </c>
      <c r="F351" s="5">
        <v>1046.0999999999999</v>
      </c>
      <c r="G351" s="3">
        <v>43272</v>
      </c>
      <c r="H351" s="4">
        <v>0.59341435185184999</v>
      </c>
      <c r="I351" s="3">
        <v>43272</v>
      </c>
      <c r="J351" s="4">
        <v>0.86414351851852</v>
      </c>
      <c r="K351" s="2">
        <v>20</v>
      </c>
      <c r="L351" t="s">
        <v>0</v>
      </c>
      <c r="M351" t="s">
        <v>5779</v>
      </c>
      <c r="N351" s="3">
        <v>43272</v>
      </c>
      <c r="O351" s="3">
        <v>43274</v>
      </c>
      <c r="P351" t="s">
        <v>13</v>
      </c>
      <c r="Q351" t="s">
        <v>3245</v>
      </c>
      <c r="R351" t="s">
        <v>820</v>
      </c>
      <c r="S351" s="3">
        <v>43276</v>
      </c>
      <c r="T351" t="s">
        <v>7603</v>
      </c>
      <c r="U351" t="s">
        <v>2611</v>
      </c>
      <c r="V351" t="s">
        <v>3246</v>
      </c>
      <c r="W351" t="s">
        <v>2434</v>
      </c>
      <c r="X351" s="2">
        <v>161</v>
      </c>
      <c r="Y351" t="s">
        <v>2</v>
      </c>
      <c r="Z351" t="s">
        <v>3</v>
      </c>
      <c r="AA351" s="5">
        <v>0</v>
      </c>
      <c r="AB351" t="s">
        <v>4</v>
      </c>
      <c r="AI351" t="s">
        <v>6643</v>
      </c>
      <c r="AL351" t="s">
        <v>8312</v>
      </c>
    </row>
    <row r="352" spans="1:38">
      <c r="A352" t="s">
        <v>3473</v>
      </c>
      <c r="B352" t="s">
        <v>3542</v>
      </c>
      <c r="C352" t="s">
        <v>3543</v>
      </c>
      <c r="D352" t="s">
        <v>3544</v>
      </c>
      <c r="E352" s="5">
        <v>523.04999999999995</v>
      </c>
      <c r="F352" s="5">
        <v>523.04999999999995</v>
      </c>
      <c r="G352" s="3">
        <v>43272</v>
      </c>
      <c r="H352" s="4">
        <v>0.88537037037037003</v>
      </c>
      <c r="I352" s="3">
        <v>43273</v>
      </c>
      <c r="J352" s="4">
        <v>2.0740740740740001E-2</v>
      </c>
      <c r="K352" s="2">
        <v>0</v>
      </c>
      <c r="L352" t="s">
        <v>0</v>
      </c>
      <c r="M352" t="s">
        <v>5778</v>
      </c>
      <c r="N352" s="3">
        <v>43279</v>
      </c>
      <c r="O352" s="3">
        <v>43275</v>
      </c>
      <c r="P352" t="s">
        <v>26</v>
      </c>
      <c r="Q352" t="s">
        <v>3545</v>
      </c>
      <c r="R352" t="s">
        <v>820</v>
      </c>
      <c r="S352" s="3">
        <v>43279</v>
      </c>
      <c r="T352" t="s">
        <v>7604</v>
      </c>
      <c r="U352">
        <v>945</v>
      </c>
      <c r="V352" t="s">
        <v>3546</v>
      </c>
      <c r="W352" t="s">
        <v>2434</v>
      </c>
      <c r="X352" s="2">
        <v>161</v>
      </c>
      <c r="Y352" t="s">
        <v>2</v>
      </c>
      <c r="Z352" t="s">
        <v>3</v>
      </c>
      <c r="AA352" s="5">
        <v>0</v>
      </c>
      <c r="AB352" t="s">
        <v>4</v>
      </c>
      <c r="AI352" t="s">
        <v>6643</v>
      </c>
      <c r="AL352" t="s">
        <v>8313</v>
      </c>
    </row>
    <row r="353" spans="1:38">
      <c r="A353" t="s">
        <v>3473</v>
      </c>
      <c r="B353" t="s">
        <v>3563</v>
      </c>
      <c r="C353" t="s">
        <v>3564</v>
      </c>
      <c r="D353" t="s">
        <v>3565</v>
      </c>
      <c r="E353" s="5">
        <v>523.04999999999995</v>
      </c>
      <c r="F353" s="5">
        <v>523.04999999999995</v>
      </c>
      <c r="G353" s="3">
        <v>43273</v>
      </c>
      <c r="H353" s="4">
        <v>1.0798611111109999E-2</v>
      </c>
      <c r="I353" s="3">
        <v>43273</v>
      </c>
      <c r="J353" s="4">
        <v>0.14616898148148</v>
      </c>
      <c r="K353" s="2">
        <v>0</v>
      </c>
      <c r="L353" t="s">
        <v>0</v>
      </c>
      <c r="M353" t="s">
        <v>5778</v>
      </c>
      <c r="N353" s="3">
        <v>43278</v>
      </c>
      <c r="O353" s="3">
        <v>43275</v>
      </c>
      <c r="P353" t="s">
        <v>13</v>
      </c>
      <c r="Q353" t="s">
        <v>3566</v>
      </c>
      <c r="R353" t="s">
        <v>820</v>
      </c>
      <c r="S353" s="3">
        <v>43278</v>
      </c>
      <c r="T353" t="s">
        <v>7605</v>
      </c>
      <c r="U353" t="s">
        <v>3567</v>
      </c>
      <c r="V353" t="s">
        <v>3568</v>
      </c>
      <c r="W353" t="s">
        <v>2434</v>
      </c>
      <c r="X353" s="2">
        <v>161</v>
      </c>
      <c r="Y353" t="s">
        <v>2</v>
      </c>
      <c r="Z353" t="s">
        <v>3</v>
      </c>
      <c r="AA353" s="5">
        <v>0</v>
      </c>
      <c r="AB353" t="s">
        <v>4</v>
      </c>
      <c r="AL353" t="s">
        <v>8314</v>
      </c>
    </row>
    <row r="354" spans="1:38">
      <c r="A354" t="s">
        <v>3473</v>
      </c>
      <c r="B354" t="s">
        <v>3732</v>
      </c>
      <c r="C354" t="s">
        <v>3353</v>
      </c>
      <c r="D354" t="s">
        <v>3354</v>
      </c>
      <c r="E354" s="5">
        <v>6224.2950000000001</v>
      </c>
      <c r="F354" s="5">
        <v>6224.2950000000001</v>
      </c>
      <c r="G354" s="3">
        <v>43273</v>
      </c>
      <c r="H354" s="4">
        <v>0.17815972222222001</v>
      </c>
      <c r="I354" s="3">
        <v>43274</v>
      </c>
      <c r="J354" s="4">
        <v>0.78900462962963003</v>
      </c>
      <c r="K354" s="2">
        <v>0</v>
      </c>
      <c r="L354" t="s">
        <v>0</v>
      </c>
      <c r="M354" t="s">
        <v>7086</v>
      </c>
      <c r="N354" s="3">
        <v>43277</v>
      </c>
      <c r="O354" s="3">
        <v>43276</v>
      </c>
      <c r="P354" t="s">
        <v>21</v>
      </c>
      <c r="Q354" t="s">
        <v>3733</v>
      </c>
      <c r="R354" t="s">
        <v>820</v>
      </c>
      <c r="S354" s="3">
        <v>43277</v>
      </c>
      <c r="T354" t="s">
        <v>7606</v>
      </c>
      <c r="U354" t="s">
        <v>3356</v>
      </c>
      <c r="V354" t="s">
        <v>3357</v>
      </c>
      <c r="W354" t="s">
        <v>2434</v>
      </c>
      <c r="X354" s="2">
        <v>161</v>
      </c>
      <c r="Y354" t="s">
        <v>2</v>
      </c>
      <c r="Z354" t="s">
        <v>3</v>
      </c>
      <c r="AA354" s="5">
        <v>0</v>
      </c>
      <c r="AB354" t="s">
        <v>4</v>
      </c>
      <c r="AI354" t="s">
        <v>6643</v>
      </c>
      <c r="AL354" t="s">
        <v>8315</v>
      </c>
    </row>
    <row r="355" spans="1:38">
      <c r="A355" t="s">
        <v>3473</v>
      </c>
      <c r="B355" t="s">
        <v>3611</v>
      </c>
      <c r="C355" t="s">
        <v>3612</v>
      </c>
      <c r="D355" t="s">
        <v>3613</v>
      </c>
      <c r="E355" s="5">
        <v>526.35</v>
      </c>
      <c r="F355" s="5">
        <v>526.35</v>
      </c>
      <c r="G355" s="3">
        <v>43275</v>
      </c>
      <c r="H355" s="4">
        <v>2.0833333333330002E-2</v>
      </c>
      <c r="I355" s="3">
        <v>43275</v>
      </c>
      <c r="J355" s="4">
        <v>0.15704861111110999</v>
      </c>
      <c r="K355" s="2">
        <v>0</v>
      </c>
      <c r="L355" t="s">
        <v>0</v>
      </c>
      <c r="M355" t="s">
        <v>7607</v>
      </c>
      <c r="N355" s="3">
        <v>43283</v>
      </c>
      <c r="O355" s="3">
        <v>43277</v>
      </c>
      <c r="P355" t="s">
        <v>9</v>
      </c>
      <c r="Q355" t="s">
        <v>3614</v>
      </c>
      <c r="R355" t="s">
        <v>820</v>
      </c>
      <c r="S355" s="3">
        <v>43283</v>
      </c>
      <c r="T355" t="s">
        <v>7608</v>
      </c>
      <c r="U355" t="s">
        <v>3615</v>
      </c>
      <c r="V355" t="s">
        <v>3616</v>
      </c>
      <c r="W355" t="s">
        <v>2434</v>
      </c>
      <c r="X355" s="2">
        <v>161</v>
      </c>
      <c r="Y355" t="s">
        <v>2</v>
      </c>
      <c r="Z355" t="s">
        <v>3</v>
      </c>
      <c r="AA355" s="5">
        <v>0</v>
      </c>
      <c r="AB355" t="s">
        <v>4</v>
      </c>
      <c r="AL355" t="s">
        <v>8316</v>
      </c>
    </row>
    <row r="356" spans="1:38">
      <c r="A356" t="s">
        <v>3473</v>
      </c>
      <c r="B356" t="s">
        <v>3582</v>
      </c>
      <c r="C356" t="s">
        <v>3583</v>
      </c>
      <c r="D356" t="s">
        <v>3584</v>
      </c>
      <c r="E356" s="5">
        <v>526.70000000000005</v>
      </c>
      <c r="F356" s="5">
        <v>526.70000000000005</v>
      </c>
      <c r="G356" s="3">
        <v>43275</v>
      </c>
      <c r="H356" s="4">
        <v>0.17788194444444</v>
      </c>
      <c r="I356" s="3">
        <v>43275</v>
      </c>
      <c r="J356" s="4">
        <v>0.31418981481481001</v>
      </c>
      <c r="K356" s="2">
        <v>0</v>
      </c>
      <c r="L356" t="s">
        <v>0</v>
      </c>
      <c r="M356" t="s">
        <v>7609</v>
      </c>
      <c r="N356" s="3">
        <v>43283</v>
      </c>
      <c r="O356" s="3">
        <v>43277</v>
      </c>
      <c r="P356" t="s">
        <v>21</v>
      </c>
      <c r="Q356" t="s">
        <v>3585</v>
      </c>
      <c r="R356" t="s">
        <v>820</v>
      </c>
      <c r="S356" s="3">
        <v>43283</v>
      </c>
      <c r="T356" t="s">
        <v>7610</v>
      </c>
      <c r="U356" t="s">
        <v>3586</v>
      </c>
      <c r="V356" t="s">
        <v>3587</v>
      </c>
      <c r="W356" t="s">
        <v>2434</v>
      </c>
      <c r="X356" s="2">
        <v>161</v>
      </c>
      <c r="Y356" t="s">
        <v>2</v>
      </c>
      <c r="Z356" t="s">
        <v>3</v>
      </c>
      <c r="AA356" s="5">
        <v>0</v>
      </c>
      <c r="AB356" t="s">
        <v>4</v>
      </c>
      <c r="AI356" t="s">
        <v>6643</v>
      </c>
      <c r="AL356" t="s">
        <v>8317</v>
      </c>
    </row>
    <row r="357" spans="1:38">
      <c r="A357" t="s">
        <v>3473</v>
      </c>
      <c r="B357" t="s">
        <v>3578</v>
      </c>
      <c r="C357" t="s">
        <v>3579</v>
      </c>
      <c r="D357" t="s">
        <v>3580</v>
      </c>
      <c r="E357" s="5">
        <v>1046.0999999999999</v>
      </c>
      <c r="F357" s="5">
        <v>1046.0999999999999</v>
      </c>
      <c r="G357" s="3">
        <v>43275</v>
      </c>
      <c r="H357" s="4">
        <v>0.33502314814814999</v>
      </c>
      <c r="I357" s="3">
        <v>43275</v>
      </c>
      <c r="J357" s="4">
        <v>0.60575231481480996</v>
      </c>
      <c r="K357" s="2">
        <v>20</v>
      </c>
      <c r="L357" t="s">
        <v>0</v>
      </c>
      <c r="M357" t="s">
        <v>5779</v>
      </c>
      <c r="N357" s="3">
        <v>43283</v>
      </c>
      <c r="O357" s="3">
        <v>43277</v>
      </c>
      <c r="P357" t="s">
        <v>28</v>
      </c>
      <c r="Q357" t="s">
        <v>3581</v>
      </c>
      <c r="R357" t="s">
        <v>820</v>
      </c>
      <c r="S357" s="3">
        <v>43283</v>
      </c>
      <c r="T357" t="s">
        <v>7611</v>
      </c>
      <c r="U357" t="s">
        <v>2667</v>
      </c>
      <c r="V357">
        <v>739</v>
      </c>
      <c r="W357" t="s">
        <v>2434</v>
      </c>
      <c r="X357" s="2">
        <v>161</v>
      </c>
      <c r="Y357" t="s">
        <v>2</v>
      </c>
      <c r="Z357" t="s">
        <v>3</v>
      </c>
      <c r="AA357" s="5">
        <v>0</v>
      </c>
      <c r="AB357" t="s">
        <v>4</v>
      </c>
      <c r="AL357" t="s">
        <v>8318</v>
      </c>
    </row>
    <row r="358" spans="1:38">
      <c r="A358" t="s">
        <v>3473</v>
      </c>
      <c r="B358" t="s">
        <v>3352</v>
      </c>
      <c r="C358" t="s">
        <v>3353</v>
      </c>
      <c r="D358" t="s">
        <v>3354</v>
      </c>
      <c r="E358" s="5">
        <v>2092.1999999999998</v>
      </c>
      <c r="F358" s="5">
        <v>2092.1999999999998</v>
      </c>
      <c r="G358" s="3">
        <v>43275</v>
      </c>
      <c r="H358" s="4">
        <v>0.62658564814814999</v>
      </c>
      <c r="I358" s="3">
        <v>43276</v>
      </c>
      <c r="J358" s="4">
        <v>0.16804398148148</v>
      </c>
      <c r="K358" s="2">
        <v>0</v>
      </c>
      <c r="L358" t="s">
        <v>0</v>
      </c>
      <c r="M358" t="s">
        <v>7612</v>
      </c>
      <c r="N358" s="3">
        <v>43278</v>
      </c>
      <c r="O358" s="3">
        <v>43278</v>
      </c>
      <c r="P358" t="s">
        <v>21</v>
      </c>
      <c r="Q358" t="s">
        <v>3355</v>
      </c>
      <c r="R358" t="s">
        <v>820</v>
      </c>
      <c r="S358" s="3">
        <v>43278</v>
      </c>
      <c r="T358" t="s">
        <v>7613</v>
      </c>
      <c r="U358" t="s">
        <v>3356</v>
      </c>
      <c r="V358" t="s">
        <v>3357</v>
      </c>
      <c r="W358" t="s">
        <v>2434</v>
      </c>
      <c r="X358" s="2">
        <v>161</v>
      </c>
      <c r="Y358" t="s">
        <v>2</v>
      </c>
      <c r="Z358" t="s">
        <v>3</v>
      </c>
      <c r="AA358" s="5">
        <v>0</v>
      </c>
      <c r="AB358" t="s">
        <v>4</v>
      </c>
      <c r="AI358" t="s">
        <v>6643</v>
      </c>
      <c r="AL358" t="s">
        <v>8319</v>
      </c>
    </row>
    <row r="359" spans="1:38">
      <c r="A359" t="s">
        <v>3473</v>
      </c>
      <c r="B359" t="s">
        <v>3510</v>
      </c>
      <c r="C359" t="s">
        <v>172</v>
      </c>
      <c r="D359" t="s">
        <v>173</v>
      </c>
      <c r="E359" s="5">
        <v>1046.0999999999999</v>
      </c>
      <c r="F359" s="5">
        <v>1046.0999999999999</v>
      </c>
      <c r="G359" s="3">
        <v>43276</v>
      </c>
      <c r="H359" s="4">
        <v>0.21964120370369999</v>
      </c>
      <c r="I359" s="3">
        <v>43276</v>
      </c>
      <c r="J359" s="4">
        <v>0.49037037037037001</v>
      </c>
      <c r="K359" s="2">
        <v>0</v>
      </c>
      <c r="L359" t="s">
        <v>0</v>
      </c>
      <c r="M359" t="s">
        <v>5779</v>
      </c>
      <c r="N359" s="3">
        <v>43276</v>
      </c>
      <c r="O359" s="3">
        <v>43278</v>
      </c>
      <c r="P359" t="s">
        <v>7</v>
      </c>
      <c r="Q359" t="s">
        <v>3511</v>
      </c>
      <c r="R359" t="s">
        <v>820</v>
      </c>
      <c r="S359" s="3">
        <v>43276</v>
      </c>
      <c r="T359" t="s">
        <v>7614</v>
      </c>
      <c r="U359">
        <v>945</v>
      </c>
      <c r="V359" t="s">
        <v>3512</v>
      </c>
      <c r="W359" t="s">
        <v>2434</v>
      </c>
      <c r="X359" s="2">
        <v>161</v>
      </c>
      <c r="Y359" t="s">
        <v>2</v>
      </c>
      <c r="Z359" t="s">
        <v>3</v>
      </c>
      <c r="AA359" s="5">
        <v>0</v>
      </c>
      <c r="AB359" t="s">
        <v>4</v>
      </c>
      <c r="AI359" t="s">
        <v>6643</v>
      </c>
      <c r="AL359" t="s">
        <v>8320</v>
      </c>
    </row>
    <row r="360" spans="1:38">
      <c r="A360" t="s">
        <v>3473</v>
      </c>
      <c r="B360" t="s">
        <v>3648</v>
      </c>
      <c r="C360" t="s">
        <v>3649</v>
      </c>
      <c r="D360" t="s">
        <v>3650</v>
      </c>
      <c r="E360" s="2">
        <v>500</v>
      </c>
      <c r="F360" s="2">
        <v>500</v>
      </c>
      <c r="G360" s="3">
        <v>43276</v>
      </c>
      <c r="H360" s="4">
        <v>0.53203703703703997</v>
      </c>
      <c r="I360" s="3">
        <v>43276</v>
      </c>
      <c r="J360" s="4">
        <v>0.66143518518518996</v>
      </c>
      <c r="K360" s="2">
        <v>0</v>
      </c>
      <c r="L360" t="s">
        <v>0</v>
      </c>
      <c r="M360" t="s">
        <v>3497</v>
      </c>
      <c r="N360" s="3">
        <v>43285</v>
      </c>
      <c r="O360" s="3">
        <v>43278</v>
      </c>
      <c r="P360" t="s">
        <v>14</v>
      </c>
      <c r="Q360" t="s">
        <v>3651</v>
      </c>
      <c r="R360" t="s">
        <v>820</v>
      </c>
      <c r="S360" s="3">
        <v>43285</v>
      </c>
      <c r="T360" t="s">
        <v>7615</v>
      </c>
      <c r="U360" t="s">
        <v>3652</v>
      </c>
      <c r="V360" t="s">
        <v>3653</v>
      </c>
      <c r="W360" t="s">
        <v>2434</v>
      </c>
      <c r="X360" s="2">
        <v>161</v>
      </c>
      <c r="Y360" t="s">
        <v>2</v>
      </c>
      <c r="Z360" t="s">
        <v>3</v>
      </c>
      <c r="AA360" s="5">
        <v>0</v>
      </c>
      <c r="AB360" t="s">
        <v>17</v>
      </c>
      <c r="AL360" t="s">
        <v>8321</v>
      </c>
    </row>
    <row r="361" spans="1:38">
      <c r="A361" t="s">
        <v>3473</v>
      </c>
      <c r="B361" t="s">
        <v>7616</v>
      </c>
      <c r="C361" t="s">
        <v>7617</v>
      </c>
      <c r="D361" t="s">
        <v>7618</v>
      </c>
      <c r="E361" s="2">
        <v>475</v>
      </c>
      <c r="F361" s="2">
        <v>475</v>
      </c>
      <c r="G361" s="3">
        <v>43276</v>
      </c>
      <c r="H361" s="4">
        <v>0.625</v>
      </c>
      <c r="I361" s="3">
        <v>43276</v>
      </c>
      <c r="J361" s="4">
        <v>0.74792824074074005</v>
      </c>
      <c r="K361" s="2">
        <v>10</v>
      </c>
      <c r="L361" t="s">
        <v>0</v>
      </c>
      <c r="M361" t="s">
        <v>7619</v>
      </c>
      <c r="N361" s="3">
        <v>43280</v>
      </c>
      <c r="O361" s="3">
        <v>43283</v>
      </c>
      <c r="P361" t="s">
        <v>13</v>
      </c>
      <c r="Q361" t="s">
        <v>7620</v>
      </c>
      <c r="R361" t="s">
        <v>820</v>
      </c>
      <c r="S361" s="3">
        <v>43280</v>
      </c>
      <c r="U361" t="s">
        <v>3610</v>
      </c>
      <c r="V361" t="s">
        <v>7621</v>
      </c>
      <c r="X361" s="2">
        <v>161</v>
      </c>
      <c r="Y361" t="s">
        <v>2</v>
      </c>
      <c r="Z361" t="s">
        <v>3</v>
      </c>
      <c r="AA361" s="5">
        <v>0</v>
      </c>
      <c r="AB361" t="s">
        <v>17</v>
      </c>
      <c r="AL361" t="s">
        <v>8600</v>
      </c>
    </row>
    <row r="362" spans="1:38">
      <c r="A362" t="s">
        <v>3473</v>
      </c>
      <c r="B362" t="s">
        <v>3593</v>
      </c>
      <c r="C362" t="s">
        <v>3514</v>
      </c>
      <c r="D362" t="s">
        <v>3515</v>
      </c>
      <c r="E362" s="2">
        <v>2000</v>
      </c>
      <c r="F362" s="2">
        <v>2000</v>
      </c>
      <c r="G362" s="3">
        <v>43276</v>
      </c>
      <c r="H362" s="4">
        <v>0.91666666666666996</v>
      </c>
      <c r="I362" s="3">
        <v>43277</v>
      </c>
      <c r="J362" s="4">
        <v>0.43425925925926001</v>
      </c>
      <c r="K362" s="2">
        <v>20</v>
      </c>
      <c r="L362" t="s">
        <v>0</v>
      </c>
      <c r="M362" t="s">
        <v>3476</v>
      </c>
      <c r="N362" s="3">
        <v>43287</v>
      </c>
      <c r="O362" s="3">
        <v>43279</v>
      </c>
      <c r="P362" t="s">
        <v>13</v>
      </c>
      <c r="Q362" t="s">
        <v>3594</v>
      </c>
      <c r="R362" t="s">
        <v>820</v>
      </c>
      <c r="S362" s="3">
        <v>43287</v>
      </c>
      <c r="T362" t="s">
        <v>7622</v>
      </c>
      <c r="U362" t="s">
        <v>2486</v>
      </c>
      <c r="V362" t="s">
        <v>3516</v>
      </c>
      <c r="W362" t="s">
        <v>2434</v>
      </c>
      <c r="X362" s="2">
        <v>161</v>
      </c>
      <c r="Y362" t="s">
        <v>2</v>
      </c>
      <c r="Z362" t="s">
        <v>3</v>
      </c>
      <c r="AA362" s="5">
        <v>0</v>
      </c>
      <c r="AB362" t="s">
        <v>17</v>
      </c>
      <c r="AI362" t="s">
        <v>6643</v>
      </c>
      <c r="AL362" t="s">
        <v>8322</v>
      </c>
    </row>
    <row r="363" spans="1:38">
      <c r="A363" t="s">
        <v>3473</v>
      </c>
      <c r="B363" t="s">
        <v>3597</v>
      </c>
      <c r="C363" t="s">
        <v>3598</v>
      </c>
      <c r="D363" t="s">
        <v>3599</v>
      </c>
      <c r="E363" s="2">
        <v>1000</v>
      </c>
      <c r="F363" s="2">
        <v>1000</v>
      </c>
      <c r="G363" s="3">
        <v>43277</v>
      </c>
      <c r="H363" s="4">
        <v>0.22069444444444</v>
      </c>
      <c r="I363" s="3">
        <v>43277</v>
      </c>
      <c r="J363" s="4">
        <v>0.47949074074074</v>
      </c>
      <c r="K363" s="2">
        <v>0</v>
      </c>
      <c r="L363" t="s">
        <v>0</v>
      </c>
      <c r="M363" t="s">
        <v>3493</v>
      </c>
      <c r="N363" s="3">
        <v>43284</v>
      </c>
      <c r="O363" s="3">
        <v>43279</v>
      </c>
      <c r="P363" t="s">
        <v>127</v>
      </c>
      <c r="Q363" t="s">
        <v>3600</v>
      </c>
      <c r="R363" t="s">
        <v>820</v>
      </c>
      <c r="S363" s="3">
        <v>43284</v>
      </c>
      <c r="T363" t="s">
        <v>7623</v>
      </c>
      <c r="U363" t="s">
        <v>2486</v>
      </c>
      <c r="V363" t="s">
        <v>3601</v>
      </c>
      <c r="W363" t="s">
        <v>2434</v>
      </c>
      <c r="X363" s="2">
        <v>161</v>
      </c>
      <c r="Y363" t="s">
        <v>2</v>
      </c>
      <c r="Z363" t="s">
        <v>3</v>
      </c>
      <c r="AA363" s="5">
        <v>0</v>
      </c>
      <c r="AB363" t="s">
        <v>17</v>
      </c>
      <c r="AL363" t="s">
        <v>8323</v>
      </c>
    </row>
    <row r="364" spans="1:38">
      <c r="A364" t="s">
        <v>3473</v>
      </c>
      <c r="B364" t="s">
        <v>3602</v>
      </c>
      <c r="C364" t="s">
        <v>3603</v>
      </c>
      <c r="D364" t="s">
        <v>3604</v>
      </c>
      <c r="E364" s="2">
        <v>125</v>
      </c>
      <c r="F364" s="2">
        <v>125</v>
      </c>
      <c r="G364" s="3">
        <v>43277</v>
      </c>
      <c r="H364" s="4">
        <v>0.50032407407406998</v>
      </c>
      <c r="I364" s="3">
        <v>43277</v>
      </c>
      <c r="J364" s="4">
        <v>0.53267361111111</v>
      </c>
      <c r="K364" s="2">
        <v>0</v>
      </c>
      <c r="L364" t="s">
        <v>0</v>
      </c>
      <c r="M364" t="s">
        <v>3605</v>
      </c>
      <c r="N364" s="3">
        <v>43280</v>
      </c>
      <c r="O364" s="3">
        <v>43279</v>
      </c>
      <c r="P364" t="s">
        <v>13</v>
      </c>
      <c r="Q364" t="s">
        <v>3606</v>
      </c>
      <c r="R364" t="s">
        <v>820</v>
      </c>
      <c r="S364" s="3">
        <v>43280</v>
      </c>
      <c r="T364" t="s">
        <v>7624</v>
      </c>
      <c r="U364">
        <v>945</v>
      </c>
      <c r="V364" t="s">
        <v>3607</v>
      </c>
      <c r="W364" t="s">
        <v>2434</v>
      </c>
      <c r="X364" s="2">
        <v>161</v>
      </c>
      <c r="Y364" t="s">
        <v>2</v>
      </c>
      <c r="Z364" t="s">
        <v>3</v>
      </c>
      <c r="AA364" s="5">
        <v>0</v>
      </c>
      <c r="AB364" t="s">
        <v>17</v>
      </c>
      <c r="AI364" t="s">
        <v>6643</v>
      </c>
      <c r="AL364" t="s">
        <v>8324</v>
      </c>
    </row>
    <row r="365" spans="1:38">
      <c r="A365" t="s">
        <v>3473</v>
      </c>
      <c r="B365" t="s">
        <v>7625</v>
      </c>
      <c r="C365" t="s">
        <v>7626</v>
      </c>
      <c r="D365" t="s">
        <v>7627</v>
      </c>
      <c r="E365" s="2">
        <v>100</v>
      </c>
      <c r="F365" s="2">
        <v>100</v>
      </c>
      <c r="G365" s="3">
        <v>43277</v>
      </c>
      <c r="H365" s="4">
        <v>0.55350694444444004</v>
      </c>
      <c r="I365" s="3">
        <v>43277</v>
      </c>
      <c r="J365" s="4">
        <v>0.57938657407407002</v>
      </c>
      <c r="K365" s="2">
        <v>10</v>
      </c>
      <c r="L365" t="s">
        <v>0</v>
      </c>
      <c r="M365" t="s">
        <v>3485</v>
      </c>
      <c r="N365" s="3">
        <v>43279</v>
      </c>
      <c r="O365" s="3">
        <v>43279</v>
      </c>
      <c r="P365" t="s">
        <v>13</v>
      </c>
      <c r="Q365" t="s">
        <v>7628</v>
      </c>
      <c r="R365" t="s">
        <v>820</v>
      </c>
      <c r="S365" s="3">
        <v>43279</v>
      </c>
      <c r="T365" t="s">
        <v>7629</v>
      </c>
      <c r="U365">
        <v>925</v>
      </c>
      <c r="V365" t="s">
        <v>7630</v>
      </c>
      <c r="X365" s="2">
        <v>161</v>
      </c>
      <c r="Y365" t="s">
        <v>2</v>
      </c>
      <c r="Z365" t="s">
        <v>3</v>
      </c>
      <c r="AA365" s="5">
        <v>0</v>
      </c>
      <c r="AB365" t="s">
        <v>17</v>
      </c>
      <c r="AL365" t="s">
        <v>8325</v>
      </c>
    </row>
    <row r="366" spans="1:38">
      <c r="A366" t="s">
        <v>3473</v>
      </c>
      <c r="B366" t="s">
        <v>3636</v>
      </c>
      <c r="C366" t="s">
        <v>3637</v>
      </c>
      <c r="D366" t="s">
        <v>3638</v>
      </c>
      <c r="E366" s="2">
        <v>500</v>
      </c>
      <c r="F366" s="2">
        <v>500</v>
      </c>
      <c r="G366" s="3">
        <v>43277</v>
      </c>
      <c r="H366" s="4">
        <v>0.60021990740741005</v>
      </c>
      <c r="I366" s="3">
        <v>43277</v>
      </c>
      <c r="J366" s="4">
        <v>0.72961805555556003</v>
      </c>
      <c r="K366" s="2">
        <v>0</v>
      </c>
      <c r="L366" t="s">
        <v>0</v>
      </c>
      <c r="M366" t="s">
        <v>3497</v>
      </c>
      <c r="N366" s="3">
        <v>43285</v>
      </c>
      <c r="O366" s="3">
        <v>43279</v>
      </c>
      <c r="P366" t="s">
        <v>9</v>
      </c>
      <c r="Q366" t="s">
        <v>3639</v>
      </c>
      <c r="R366" t="s">
        <v>820</v>
      </c>
      <c r="S366" s="3">
        <v>43285</v>
      </c>
      <c r="T366" t="s">
        <v>7631</v>
      </c>
      <c r="U366" t="s">
        <v>3640</v>
      </c>
      <c r="V366" t="s">
        <v>3616</v>
      </c>
      <c r="W366" t="s">
        <v>2434</v>
      </c>
      <c r="X366" s="2">
        <v>161</v>
      </c>
      <c r="Y366" t="s">
        <v>2</v>
      </c>
      <c r="Z366" t="s">
        <v>3</v>
      </c>
      <c r="AA366" s="5">
        <v>0</v>
      </c>
      <c r="AB366" t="s">
        <v>17</v>
      </c>
      <c r="AL366" t="s">
        <v>8326</v>
      </c>
    </row>
    <row r="367" spans="1:38">
      <c r="A367" t="s">
        <v>3473</v>
      </c>
      <c r="B367" t="s">
        <v>3623</v>
      </c>
      <c r="C367" t="s">
        <v>2620</v>
      </c>
      <c r="D367" t="s">
        <v>2621</v>
      </c>
      <c r="E367" s="2">
        <v>1000</v>
      </c>
      <c r="F367" s="2">
        <v>1000</v>
      </c>
      <c r="G367" s="3">
        <v>43277</v>
      </c>
      <c r="H367" s="4">
        <v>0.77128472222222</v>
      </c>
      <c r="I367" s="3">
        <v>43278</v>
      </c>
      <c r="J367" s="4">
        <v>3.0081018518519999E-2</v>
      </c>
      <c r="K367" s="2">
        <v>0</v>
      </c>
      <c r="L367" t="s">
        <v>0</v>
      </c>
      <c r="M367" t="s">
        <v>3493</v>
      </c>
      <c r="N367" s="3">
        <v>43280</v>
      </c>
      <c r="O367" s="3">
        <v>43280</v>
      </c>
      <c r="P367" t="s">
        <v>6</v>
      </c>
      <c r="Q367" t="s">
        <v>3624</v>
      </c>
      <c r="R367" t="s">
        <v>820</v>
      </c>
      <c r="S367" s="3">
        <v>43280</v>
      </c>
      <c r="T367" t="s">
        <v>7632</v>
      </c>
      <c r="U367">
        <v>940</v>
      </c>
      <c r="V367" t="s">
        <v>2622</v>
      </c>
      <c r="W367" t="s">
        <v>2434</v>
      </c>
      <c r="X367" s="2">
        <v>161</v>
      </c>
      <c r="Y367" t="s">
        <v>2</v>
      </c>
      <c r="Z367" t="s">
        <v>3</v>
      </c>
      <c r="AA367" s="5">
        <v>0</v>
      </c>
      <c r="AB367" t="s">
        <v>17</v>
      </c>
      <c r="AI367" t="s">
        <v>6643</v>
      </c>
      <c r="AL367" t="s">
        <v>8327</v>
      </c>
    </row>
    <row r="368" spans="1:38">
      <c r="A368" t="s">
        <v>3473</v>
      </c>
      <c r="B368" t="s">
        <v>3625</v>
      </c>
      <c r="C368" t="s">
        <v>3626</v>
      </c>
      <c r="D368" t="s">
        <v>3627</v>
      </c>
      <c r="E368" s="2">
        <v>1000</v>
      </c>
      <c r="F368" s="2">
        <v>1000</v>
      </c>
      <c r="G368" s="3">
        <v>43278</v>
      </c>
      <c r="H368" s="4">
        <v>5.0914351851849997E-2</v>
      </c>
      <c r="I368" s="3">
        <v>43278</v>
      </c>
      <c r="J368" s="4">
        <v>0.30971064814815003</v>
      </c>
      <c r="K368" s="2">
        <v>0</v>
      </c>
      <c r="L368" t="s">
        <v>0</v>
      </c>
      <c r="M368" t="s">
        <v>3493</v>
      </c>
      <c r="N368" s="3">
        <v>43286</v>
      </c>
      <c r="O368" s="3">
        <v>43280</v>
      </c>
      <c r="P368" t="s">
        <v>13</v>
      </c>
      <c r="Q368" t="s">
        <v>3628</v>
      </c>
      <c r="R368" t="s">
        <v>820</v>
      </c>
      <c r="S368" s="3">
        <v>43286</v>
      </c>
      <c r="T368" t="s">
        <v>7633</v>
      </c>
      <c r="U368" t="s">
        <v>3629</v>
      </c>
      <c r="V368" t="s">
        <v>3630</v>
      </c>
      <c r="W368" t="s">
        <v>2434</v>
      </c>
      <c r="X368" s="2">
        <v>161</v>
      </c>
      <c r="Y368" t="s">
        <v>2</v>
      </c>
      <c r="Z368" t="s">
        <v>3</v>
      </c>
      <c r="AA368" s="5">
        <v>0</v>
      </c>
      <c r="AB368" t="s">
        <v>17</v>
      </c>
      <c r="AL368" t="s">
        <v>8328</v>
      </c>
    </row>
    <row r="369" spans="1:38">
      <c r="A369" t="s">
        <v>3473</v>
      </c>
      <c r="B369" t="s">
        <v>3193</v>
      </c>
      <c r="C369" t="s">
        <v>156</v>
      </c>
      <c r="D369" t="s">
        <v>157</v>
      </c>
      <c r="E369" s="2">
        <v>1000</v>
      </c>
      <c r="F369" s="2">
        <v>1000</v>
      </c>
      <c r="G369" s="3">
        <v>43278</v>
      </c>
      <c r="H369" s="4">
        <v>0.63100694444444005</v>
      </c>
      <c r="I369" s="3">
        <v>43278</v>
      </c>
      <c r="J369" s="4">
        <v>0.88980324074074002</v>
      </c>
      <c r="K369" s="2">
        <v>20</v>
      </c>
      <c r="L369" t="s">
        <v>0</v>
      </c>
      <c r="M369" t="s">
        <v>3493</v>
      </c>
      <c r="N369" s="3">
        <v>43286</v>
      </c>
      <c r="O369" s="3">
        <v>43280</v>
      </c>
      <c r="P369" t="s">
        <v>22</v>
      </c>
      <c r="Q369" t="s">
        <v>3194</v>
      </c>
      <c r="R369" t="s">
        <v>820</v>
      </c>
      <c r="S369" s="3">
        <v>43286</v>
      </c>
      <c r="T369" t="s">
        <v>7634</v>
      </c>
      <c r="U369" t="s">
        <v>3195</v>
      </c>
      <c r="V369" t="s">
        <v>3196</v>
      </c>
      <c r="W369" t="s">
        <v>2434</v>
      </c>
      <c r="X369" s="2">
        <v>161</v>
      </c>
      <c r="Y369" t="s">
        <v>2</v>
      </c>
      <c r="Z369" t="s">
        <v>3</v>
      </c>
      <c r="AA369" s="5">
        <v>0</v>
      </c>
      <c r="AB369" t="s">
        <v>17</v>
      </c>
      <c r="AL369" t="s">
        <v>8329</v>
      </c>
    </row>
    <row r="370" spans="1:38">
      <c r="A370" t="s">
        <v>3473</v>
      </c>
      <c r="B370" t="s">
        <v>3641</v>
      </c>
      <c r="C370" t="s">
        <v>3642</v>
      </c>
      <c r="D370" t="s">
        <v>3643</v>
      </c>
      <c r="E370" s="2">
        <v>100</v>
      </c>
      <c r="F370" s="2">
        <v>100</v>
      </c>
      <c r="G370" s="3">
        <v>43278</v>
      </c>
      <c r="H370" s="4">
        <v>0.91063657407406995</v>
      </c>
      <c r="I370" s="3">
        <v>43278</v>
      </c>
      <c r="J370" s="4">
        <v>0.93651620370370003</v>
      </c>
      <c r="K370" s="2">
        <v>0</v>
      </c>
      <c r="L370" t="s">
        <v>0</v>
      </c>
      <c r="M370" t="s">
        <v>3485</v>
      </c>
      <c r="N370" s="3">
        <v>43286</v>
      </c>
      <c r="O370" s="3">
        <v>43280</v>
      </c>
      <c r="P370" t="s">
        <v>22</v>
      </c>
      <c r="Q370" t="s">
        <v>3644</v>
      </c>
      <c r="R370" t="s">
        <v>820</v>
      </c>
      <c r="S370" s="3">
        <v>43286</v>
      </c>
      <c r="T370" t="s">
        <v>7635</v>
      </c>
      <c r="U370">
        <v>920</v>
      </c>
      <c r="V370" t="s">
        <v>3645</v>
      </c>
      <c r="W370" t="s">
        <v>2434</v>
      </c>
      <c r="X370" s="2">
        <v>161</v>
      </c>
      <c r="Y370" t="s">
        <v>2</v>
      </c>
      <c r="Z370" t="s">
        <v>3</v>
      </c>
      <c r="AA370" s="5">
        <v>0</v>
      </c>
      <c r="AB370" t="s">
        <v>17</v>
      </c>
      <c r="AI370" t="s">
        <v>6643</v>
      </c>
      <c r="AL370" t="s">
        <v>8330</v>
      </c>
    </row>
    <row r="371" spans="1:38">
      <c r="A371" t="s">
        <v>3473</v>
      </c>
      <c r="B371" t="s">
        <v>3631</v>
      </c>
      <c r="C371" t="s">
        <v>3632</v>
      </c>
      <c r="D371" t="s">
        <v>3633</v>
      </c>
      <c r="E371" s="2">
        <v>500</v>
      </c>
      <c r="F371" s="2">
        <v>500</v>
      </c>
      <c r="G371" s="3">
        <v>43279</v>
      </c>
      <c r="H371" s="4">
        <v>4.1666666666670002E-2</v>
      </c>
      <c r="I371" s="3">
        <v>43279</v>
      </c>
      <c r="J371" s="4">
        <v>0.17106481481481001</v>
      </c>
      <c r="K371" s="2">
        <v>20</v>
      </c>
      <c r="L371" t="s">
        <v>0</v>
      </c>
      <c r="M371" t="s">
        <v>3497</v>
      </c>
      <c r="N371" s="3">
        <v>43285</v>
      </c>
      <c r="O371" s="3">
        <v>43281</v>
      </c>
      <c r="P371" t="s">
        <v>15</v>
      </c>
      <c r="Q371" t="s">
        <v>3634</v>
      </c>
      <c r="R371" t="s">
        <v>820</v>
      </c>
      <c r="S371" s="3">
        <v>43285</v>
      </c>
      <c r="T371" t="s">
        <v>7636</v>
      </c>
      <c r="U371" t="s">
        <v>2702</v>
      </c>
      <c r="V371" t="s">
        <v>3635</v>
      </c>
      <c r="W371" t="s">
        <v>2434</v>
      </c>
      <c r="X371" s="2">
        <v>161</v>
      </c>
      <c r="Y371" t="s">
        <v>2</v>
      </c>
      <c r="Z371" t="s">
        <v>3</v>
      </c>
      <c r="AA371" s="5">
        <v>0</v>
      </c>
      <c r="AB371" t="s">
        <v>17</v>
      </c>
      <c r="AL371" t="s">
        <v>8331</v>
      </c>
    </row>
    <row r="372" spans="1:38">
      <c r="A372" t="s">
        <v>3473</v>
      </c>
      <c r="B372" t="s">
        <v>3654</v>
      </c>
      <c r="C372" t="s">
        <v>3655</v>
      </c>
      <c r="D372" t="s">
        <v>3656</v>
      </c>
      <c r="E372" s="2">
        <v>1000</v>
      </c>
      <c r="F372" s="2">
        <v>1000</v>
      </c>
      <c r="G372" s="3">
        <v>43279</v>
      </c>
      <c r="H372" s="4">
        <v>0.21273148148147999</v>
      </c>
      <c r="I372" s="3">
        <v>43279</v>
      </c>
      <c r="J372" s="4">
        <v>0.47152777777777999</v>
      </c>
      <c r="K372" s="2">
        <v>0</v>
      </c>
      <c r="L372" t="s">
        <v>0</v>
      </c>
      <c r="M372" t="s">
        <v>3493</v>
      </c>
      <c r="N372" s="3">
        <v>43284</v>
      </c>
      <c r="O372" s="3">
        <v>43281</v>
      </c>
      <c r="P372" t="s">
        <v>3531</v>
      </c>
      <c r="Q372" t="s">
        <v>3657</v>
      </c>
      <c r="R372" t="s">
        <v>820</v>
      </c>
      <c r="S372" s="3">
        <v>43284</v>
      </c>
      <c r="T372" t="s">
        <v>7637</v>
      </c>
      <c r="U372" t="s">
        <v>3658</v>
      </c>
      <c r="V372">
        <v>901</v>
      </c>
      <c r="W372" t="s">
        <v>2434</v>
      </c>
      <c r="X372" s="2">
        <v>161</v>
      </c>
      <c r="Y372" t="s">
        <v>2</v>
      </c>
      <c r="Z372" t="s">
        <v>3</v>
      </c>
      <c r="AA372" s="5">
        <v>0</v>
      </c>
      <c r="AB372" t="s">
        <v>17</v>
      </c>
      <c r="AI372" t="s">
        <v>6643</v>
      </c>
      <c r="AL372" t="s">
        <v>8332</v>
      </c>
    </row>
    <row r="373" spans="1:38">
      <c r="A373" t="s">
        <v>3473</v>
      </c>
      <c r="B373" t="s">
        <v>5780</v>
      </c>
      <c r="C373" t="s">
        <v>3557</v>
      </c>
      <c r="D373" t="s">
        <v>3558</v>
      </c>
      <c r="E373" s="2">
        <v>1000</v>
      </c>
      <c r="F373" s="2">
        <v>1000</v>
      </c>
      <c r="G373" s="3">
        <v>43279</v>
      </c>
      <c r="H373" s="4">
        <v>0.54166666666666996</v>
      </c>
      <c r="I373" s="3">
        <v>43279</v>
      </c>
      <c r="J373" s="4">
        <v>0.80046296296296005</v>
      </c>
      <c r="K373" s="2">
        <v>0</v>
      </c>
      <c r="L373" t="s">
        <v>0</v>
      </c>
      <c r="M373" t="s">
        <v>3493</v>
      </c>
      <c r="N373" s="3">
        <v>43292</v>
      </c>
      <c r="O373" s="3">
        <v>43281</v>
      </c>
      <c r="P373" t="s">
        <v>11</v>
      </c>
      <c r="Q373" t="s">
        <v>5781</v>
      </c>
      <c r="R373" t="s">
        <v>820</v>
      </c>
      <c r="S373" s="3">
        <v>43292</v>
      </c>
      <c r="T373" t="s">
        <v>7638</v>
      </c>
      <c r="U373" t="s">
        <v>2702</v>
      </c>
      <c r="V373" t="s">
        <v>3560</v>
      </c>
      <c r="W373" t="s">
        <v>2434</v>
      </c>
      <c r="X373" s="2">
        <v>161</v>
      </c>
      <c r="Y373" t="s">
        <v>2</v>
      </c>
      <c r="Z373" t="s">
        <v>3</v>
      </c>
      <c r="AA373" s="5">
        <v>0</v>
      </c>
      <c r="AB373" t="s">
        <v>17</v>
      </c>
      <c r="AI373" t="s">
        <v>6643</v>
      </c>
      <c r="AL373" t="s">
        <v>8333</v>
      </c>
    </row>
    <row r="374" spans="1:38">
      <c r="A374" t="s">
        <v>3473</v>
      </c>
      <c r="B374" t="s">
        <v>7079</v>
      </c>
      <c r="C374" t="s">
        <v>7080</v>
      </c>
      <c r="D374" t="s">
        <v>7081</v>
      </c>
      <c r="E374" s="2">
        <v>3000</v>
      </c>
      <c r="F374" s="2">
        <v>3000</v>
      </c>
      <c r="G374" s="3">
        <v>43279</v>
      </c>
      <c r="H374" s="4">
        <v>0.75</v>
      </c>
      <c r="I374" s="3">
        <v>43280</v>
      </c>
      <c r="J374" s="4">
        <v>0.52640046296295995</v>
      </c>
      <c r="K374" s="2">
        <v>0</v>
      </c>
      <c r="L374" t="s">
        <v>0</v>
      </c>
      <c r="M374" t="s">
        <v>3504</v>
      </c>
      <c r="N374" s="3">
        <v>43293</v>
      </c>
      <c r="O374" s="3">
        <v>43282</v>
      </c>
      <c r="P374" t="s">
        <v>22</v>
      </c>
      <c r="Q374" t="s">
        <v>7083</v>
      </c>
      <c r="R374" t="s">
        <v>820</v>
      </c>
      <c r="S374" s="3">
        <v>43293</v>
      </c>
      <c r="T374" t="s">
        <v>7639</v>
      </c>
      <c r="U374">
        <v>925</v>
      </c>
      <c r="V374" t="s">
        <v>7084</v>
      </c>
      <c r="W374" t="s">
        <v>2434</v>
      </c>
      <c r="X374" s="2">
        <v>161</v>
      </c>
      <c r="Y374" t="s">
        <v>2</v>
      </c>
      <c r="Z374" t="s">
        <v>3</v>
      </c>
      <c r="AA374" s="5">
        <v>0</v>
      </c>
      <c r="AB374" t="s">
        <v>17</v>
      </c>
      <c r="AI374" t="s">
        <v>6643</v>
      </c>
      <c r="AL374" t="s">
        <v>8334</v>
      </c>
    </row>
    <row r="375" spans="1:38">
      <c r="A375" t="s">
        <v>3473</v>
      </c>
      <c r="B375" t="s">
        <v>3608</v>
      </c>
      <c r="C375" t="s">
        <v>172</v>
      </c>
      <c r="D375" t="s">
        <v>173</v>
      </c>
      <c r="E375" s="2">
        <v>2000</v>
      </c>
      <c r="F375" s="2">
        <v>2000</v>
      </c>
      <c r="G375" s="3">
        <v>43280</v>
      </c>
      <c r="H375" s="4">
        <v>0.20833333333333001</v>
      </c>
      <c r="I375" s="3">
        <v>43280</v>
      </c>
      <c r="J375" s="4">
        <v>0.72592592592592997</v>
      </c>
      <c r="K375" s="2">
        <v>0</v>
      </c>
      <c r="L375" t="s">
        <v>0</v>
      </c>
      <c r="M375" t="s">
        <v>3476</v>
      </c>
      <c r="N375" s="3">
        <v>43290</v>
      </c>
      <c r="O375" s="3">
        <v>43282</v>
      </c>
      <c r="P375" t="s">
        <v>7</v>
      </c>
      <c r="Q375" t="s">
        <v>3609</v>
      </c>
      <c r="R375" t="s">
        <v>820</v>
      </c>
      <c r="S375" s="3">
        <v>43290</v>
      </c>
      <c r="T375" t="s">
        <v>7640</v>
      </c>
      <c r="U375">
        <v>945</v>
      </c>
      <c r="V375" t="s">
        <v>3512</v>
      </c>
      <c r="W375" t="s">
        <v>2434</v>
      </c>
      <c r="X375" s="2">
        <v>161</v>
      </c>
      <c r="Y375" t="s">
        <v>2</v>
      </c>
      <c r="Z375" t="s">
        <v>3</v>
      </c>
      <c r="AA375" s="5">
        <v>0</v>
      </c>
      <c r="AB375" t="s">
        <v>17</v>
      </c>
      <c r="AI375" t="s">
        <v>6643</v>
      </c>
      <c r="AL375" t="s">
        <v>8335</v>
      </c>
    </row>
    <row r="376" spans="1:38">
      <c r="A376" t="s">
        <v>3473</v>
      </c>
      <c r="B376" t="s">
        <v>5100</v>
      </c>
      <c r="C376" t="s">
        <v>5101</v>
      </c>
      <c r="D376" t="s">
        <v>5102</v>
      </c>
      <c r="E376" s="2">
        <v>1000</v>
      </c>
      <c r="F376" s="2">
        <v>1000</v>
      </c>
      <c r="G376" s="3">
        <v>43280</v>
      </c>
      <c r="H376" s="4">
        <v>0.74120370370370003</v>
      </c>
      <c r="I376" s="3">
        <v>43281</v>
      </c>
      <c r="J376" s="4">
        <v>0</v>
      </c>
      <c r="K376" s="2">
        <v>20</v>
      </c>
      <c r="L376" t="s">
        <v>0</v>
      </c>
      <c r="M376" t="s">
        <v>3493</v>
      </c>
      <c r="N376" s="3">
        <v>43287</v>
      </c>
      <c r="O376" s="3">
        <v>43282</v>
      </c>
      <c r="P376" t="s">
        <v>13</v>
      </c>
      <c r="Q376" t="s">
        <v>5103</v>
      </c>
      <c r="R376" t="s">
        <v>820</v>
      </c>
      <c r="S376" s="3">
        <v>43287</v>
      </c>
      <c r="T376" t="s">
        <v>7641</v>
      </c>
      <c r="U376">
        <v>925</v>
      </c>
      <c r="V376" t="s">
        <v>5104</v>
      </c>
      <c r="W376" t="s">
        <v>2434</v>
      </c>
      <c r="X376" s="2">
        <v>161</v>
      </c>
      <c r="Y376" t="s">
        <v>2</v>
      </c>
      <c r="Z376" t="s">
        <v>3</v>
      </c>
      <c r="AA376" s="5">
        <v>0</v>
      </c>
      <c r="AB376" t="s">
        <v>17</v>
      </c>
      <c r="AI376" t="s">
        <v>6643</v>
      </c>
      <c r="AL376" t="s">
        <v>8336</v>
      </c>
    </row>
    <row r="377" spans="1:38">
      <c r="A377" t="s">
        <v>3473</v>
      </c>
      <c r="B377" t="s">
        <v>7642</v>
      </c>
      <c r="C377" t="s">
        <v>4003</v>
      </c>
      <c r="D377" t="s">
        <v>4004</v>
      </c>
      <c r="E377" s="2">
        <v>1600</v>
      </c>
      <c r="F377" s="2">
        <v>1600</v>
      </c>
      <c r="G377" s="3">
        <v>43281</v>
      </c>
      <c r="H377" s="4">
        <v>0</v>
      </c>
      <c r="I377" s="3">
        <v>43281</v>
      </c>
      <c r="J377" s="4">
        <v>0.41407407407406999</v>
      </c>
      <c r="K377" s="2">
        <v>0</v>
      </c>
      <c r="L377" t="s">
        <v>0</v>
      </c>
      <c r="M377" t="s">
        <v>7643</v>
      </c>
      <c r="N377" s="3">
        <v>43280</v>
      </c>
      <c r="O377" s="3">
        <v>43283</v>
      </c>
      <c r="P377" t="s">
        <v>6</v>
      </c>
      <c r="Q377" t="s">
        <v>1</v>
      </c>
      <c r="R377" t="s">
        <v>819</v>
      </c>
      <c r="S377" s="3"/>
      <c r="T377" t="s">
        <v>7644</v>
      </c>
      <c r="U377" t="s">
        <v>4005</v>
      </c>
      <c r="V377" t="s">
        <v>4006</v>
      </c>
      <c r="W377" t="s">
        <v>2434</v>
      </c>
      <c r="X377" s="2">
        <v>161</v>
      </c>
      <c r="Y377" t="s">
        <v>2</v>
      </c>
      <c r="Z377" t="s">
        <v>3</v>
      </c>
      <c r="AA377" s="5">
        <v>0</v>
      </c>
      <c r="AB377" t="s">
        <v>17</v>
      </c>
      <c r="AL377" t="s">
        <v>8337</v>
      </c>
    </row>
    <row r="378" spans="1:38">
      <c r="A378" t="s">
        <v>3473</v>
      </c>
      <c r="B378" t="s">
        <v>5105</v>
      </c>
      <c r="C378" t="s">
        <v>3478</v>
      </c>
      <c r="D378" t="s">
        <v>3479</v>
      </c>
      <c r="E378" s="2">
        <v>100</v>
      </c>
      <c r="F378" s="2">
        <v>100</v>
      </c>
      <c r="G378" s="3">
        <v>43281</v>
      </c>
      <c r="H378" s="4">
        <v>0.5</v>
      </c>
      <c r="I378" s="3">
        <v>43281</v>
      </c>
      <c r="J378" s="4">
        <v>0.52587962962962997</v>
      </c>
      <c r="K378" s="2">
        <v>0</v>
      </c>
      <c r="L378" t="s">
        <v>0</v>
      </c>
      <c r="M378" t="s">
        <v>3485</v>
      </c>
      <c r="N378" s="3">
        <v>43290</v>
      </c>
      <c r="O378" s="3">
        <v>43283</v>
      </c>
      <c r="P378" t="s">
        <v>13</v>
      </c>
      <c r="Q378" t="s">
        <v>5106</v>
      </c>
      <c r="R378" t="s">
        <v>820</v>
      </c>
      <c r="S378" s="3">
        <v>43290</v>
      </c>
      <c r="T378" t="s">
        <v>7645</v>
      </c>
      <c r="U378" t="s">
        <v>2638</v>
      </c>
      <c r="V378" t="s">
        <v>3480</v>
      </c>
      <c r="W378" t="s">
        <v>2434</v>
      </c>
      <c r="X378" s="2">
        <v>161</v>
      </c>
      <c r="Y378" t="s">
        <v>2</v>
      </c>
      <c r="Z378" t="s">
        <v>3</v>
      </c>
      <c r="AA378" s="5">
        <v>0</v>
      </c>
      <c r="AB378" t="s">
        <v>17</v>
      </c>
      <c r="AI378" t="s">
        <v>6643</v>
      </c>
      <c r="AL378" t="s">
        <v>8338</v>
      </c>
    </row>
    <row r="379" spans="1:38">
      <c r="A379" t="s">
        <v>3473</v>
      </c>
      <c r="B379" t="s">
        <v>5738</v>
      </c>
      <c r="C379" t="s">
        <v>5739</v>
      </c>
      <c r="D379" t="s">
        <v>5740</v>
      </c>
      <c r="E379" s="2">
        <v>100</v>
      </c>
      <c r="F379" s="2">
        <v>100</v>
      </c>
      <c r="G379" s="3">
        <v>43281</v>
      </c>
      <c r="H379" s="4">
        <v>0.66666666666666996</v>
      </c>
      <c r="I379" s="3">
        <v>43281</v>
      </c>
      <c r="J379" s="4">
        <v>0.69254629629630005</v>
      </c>
      <c r="K379" s="2">
        <v>0</v>
      </c>
      <c r="L379" t="s">
        <v>0</v>
      </c>
      <c r="M379" t="s">
        <v>3485</v>
      </c>
      <c r="N379" s="3">
        <v>43291</v>
      </c>
      <c r="O379" s="3">
        <v>43283</v>
      </c>
      <c r="P379" t="s">
        <v>13</v>
      </c>
      <c r="Q379" t="s">
        <v>5741</v>
      </c>
      <c r="R379" t="s">
        <v>820</v>
      </c>
      <c r="S379" s="3">
        <v>43291</v>
      </c>
      <c r="T379" t="s">
        <v>7646</v>
      </c>
      <c r="U379" t="s">
        <v>5742</v>
      </c>
      <c r="V379" t="s">
        <v>2437</v>
      </c>
      <c r="W379" t="s">
        <v>2434</v>
      </c>
      <c r="X379" s="2">
        <v>161</v>
      </c>
      <c r="Y379" t="s">
        <v>2</v>
      </c>
      <c r="Z379" t="s">
        <v>3</v>
      </c>
      <c r="AA379" s="5">
        <v>0</v>
      </c>
      <c r="AB379" t="s">
        <v>17</v>
      </c>
      <c r="AL379" t="s">
        <v>8339</v>
      </c>
    </row>
    <row r="380" spans="1:38">
      <c r="A380" t="s">
        <v>3473</v>
      </c>
      <c r="B380" t="s">
        <v>7647</v>
      </c>
      <c r="C380" t="s">
        <v>7617</v>
      </c>
      <c r="D380" t="s">
        <v>7618</v>
      </c>
      <c r="E380" s="2">
        <v>875</v>
      </c>
      <c r="F380" s="2">
        <v>875</v>
      </c>
      <c r="G380" s="3">
        <v>43281</v>
      </c>
      <c r="H380" s="4">
        <v>0.77355324074073994</v>
      </c>
      <c r="I380" s="3">
        <v>43282</v>
      </c>
      <c r="J380" s="4">
        <v>0</v>
      </c>
      <c r="K380" s="2">
        <v>20</v>
      </c>
      <c r="L380" t="s">
        <v>0</v>
      </c>
      <c r="M380" t="s">
        <v>7648</v>
      </c>
      <c r="N380" s="3">
        <v>43292</v>
      </c>
      <c r="O380" s="3">
        <v>43288</v>
      </c>
      <c r="P380" t="s">
        <v>13</v>
      </c>
      <c r="Q380" t="s">
        <v>7649</v>
      </c>
      <c r="R380" t="s">
        <v>820</v>
      </c>
      <c r="S380" s="3">
        <v>43292</v>
      </c>
      <c r="T380" t="s">
        <v>7650</v>
      </c>
      <c r="U380" t="s">
        <v>3610</v>
      </c>
      <c r="V380" t="s">
        <v>7621</v>
      </c>
      <c r="X380" s="2">
        <v>161</v>
      </c>
      <c r="Y380" t="s">
        <v>2</v>
      </c>
      <c r="Z380" t="s">
        <v>3</v>
      </c>
      <c r="AA380" s="5">
        <v>0</v>
      </c>
      <c r="AB380" t="s">
        <v>17</v>
      </c>
      <c r="AL380" t="s">
        <v>8340</v>
      </c>
    </row>
    <row r="381" spans="1:38">
      <c r="A381" t="s">
        <v>3473</v>
      </c>
      <c r="B381" t="s">
        <v>7651</v>
      </c>
      <c r="C381" t="s">
        <v>7652</v>
      </c>
      <c r="D381" t="s">
        <v>7653</v>
      </c>
      <c r="E381" s="2">
        <v>600</v>
      </c>
      <c r="F381" s="2">
        <v>600</v>
      </c>
      <c r="G381" s="3">
        <v>43287</v>
      </c>
      <c r="H381" s="4">
        <v>2.0833333333330002E-2</v>
      </c>
      <c r="I381" s="3">
        <v>43287</v>
      </c>
      <c r="J381" s="4">
        <v>0.17611111111111</v>
      </c>
      <c r="K381" s="2">
        <v>20</v>
      </c>
      <c r="L381" t="s">
        <v>0</v>
      </c>
      <c r="M381" t="s">
        <v>3684</v>
      </c>
      <c r="N381" s="3">
        <v>43290</v>
      </c>
      <c r="O381" s="3">
        <v>43289</v>
      </c>
      <c r="P381" t="s">
        <v>13</v>
      </c>
      <c r="Q381" t="s">
        <v>7654</v>
      </c>
      <c r="R381" t="s">
        <v>820</v>
      </c>
      <c r="S381" s="3">
        <v>43290</v>
      </c>
      <c r="T381" t="s">
        <v>7655</v>
      </c>
      <c r="U381" t="s">
        <v>3335</v>
      </c>
      <c r="V381" t="s">
        <v>7656</v>
      </c>
      <c r="W381" t="s">
        <v>2434</v>
      </c>
      <c r="X381" s="2">
        <v>161</v>
      </c>
      <c r="Y381" t="s">
        <v>2</v>
      </c>
      <c r="Z381" t="s">
        <v>3</v>
      </c>
      <c r="AA381" s="5">
        <v>0</v>
      </c>
      <c r="AB381" t="s">
        <v>17</v>
      </c>
      <c r="AI381" t="s">
        <v>6643</v>
      </c>
      <c r="AL381" t="s">
        <v>8341</v>
      </c>
    </row>
    <row r="382" spans="1:38">
      <c r="A382" t="s">
        <v>3473</v>
      </c>
      <c r="B382" t="s">
        <v>3659</v>
      </c>
      <c r="C382" t="s">
        <v>3660</v>
      </c>
      <c r="D382" t="s">
        <v>3661</v>
      </c>
      <c r="E382" s="2">
        <v>2000</v>
      </c>
      <c r="F382" s="2">
        <v>2000</v>
      </c>
      <c r="G382" s="3">
        <v>43287</v>
      </c>
      <c r="H382" s="4">
        <v>0.48240740740741</v>
      </c>
      <c r="I382" s="3">
        <v>43288</v>
      </c>
      <c r="J382" s="4">
        <v>0</v>
      </c>
      <c r="K382" s="2">
        <v>20</v>
      </c>
      <c r="L382" t="s">
        <v>0</v>
      </c>
      <c r="M382" t="s">
        <v>3476</v>
      </c>
      <c r="N382" s="3">
        <v>43291</v>
      </c>
      <c r="O382" s="3">
        <v>43289</v>
      </c>
      <c r="P382" t="s">
        <v>15</v>
      </c>
      <c r="Q382" t="s">
        <v>3662</v>
      </c>
      <c r="R382" t="s">
        <v>820</v>
      </c>
      <c r="S382" s="3">
        <v>43291</v>
      </c>
      <c r="T382" t="s">
        <v>7657</v>
      </c>
      <c r="U382" t="s">
        <v>2649</v>
      </c>
      <c r="V382" t="s">
        <v>3663</v>
      </c>
      <c r="W382" t="s">
        <v>2434</v>
      </c>
      <c r="X382" s="2">
        <v>161</v>
      </c>
      <c r="Y382" t="s">
        <v>2</v>
      </c>
      <c r="Z382" t="s">
        <v>3</v>
      </c>
      <c r="AA382" s="5">
        <v>0</v>
      </c>
      <c r="AB382" t="s">
        <v>17</v>
      </c>
      <c r="AI382" t="s">
        <v>6643</v>
      </c>
      <c r="AL382" t="s">
        <v>8342</v>
      </c>
    </row>
    <row r="383" spans="1:38">
      <c r="A383" t="s">
        <v>3473</v>
      </c>
      <c r="B383" t="s">
        <v>3664</v>
      </c>
      <c r="C383" t="s">
        <v>3665</v>
      </c>
      <c r="D383" t="s">
        <v>3666</v>
      </c>
      <c r="E383" s="2">
        <v>500</v>
      </c>
      <c r="F383" s="2">
        <v>500</v>
      </c>
      <c r="G383" s="3">
        <v>43287</v>
      </c>
      <c r="H383" s="4">
        <v>0.87060185185185002</v>
      </c>
      <c r="I383" s="3">
        <v>43288</v>
      </c>
      <c r="J383" s="4">
        <v>0</v>
      </c>
      <c r="K383" s="2">
        <v>0</v>
      </c>
      <c r="L383" t="s">
        <v>0</v>
      </c>
      <c r="M383" t="s">
        <v>3497</v>
      </c>
      <c r="N383" s="3">
        <v>43291</v>
      </c>
      <c r="O383" s="3">
        <v>43289</v>
      </c>
      <c r="P383" t="s">
        <v>22</v>
      </c>
      <c r="Q383" t="s">
        <v>3667</v>
      </c>
      <c r="R383" t="s">
        <v>820</v>
      </c>
      <c r="S383" s="3">
        <v>43291</v>
      </c>
      <c r="T383" t="s">
        <v>7658</v>
      </c>
      <c r="U383">
        <v>920</v>
      </c>
      <c r="V383" t="s">
        <v>3668</v>
      </c>
      <c r="W383" t="s">
        <v>2434</v>
      </c>
      <c r="X383" s="2">
        <v>161</v>
      </c>
      <c r="Y383" t="s">
        <v>2</v>
      </c>
      <c r="Z383" t="s">
        <v>3</v>
      </c>
      <c r="AA383" s="5">
        <v>0</v>
      </c>
      <c r="AB383" t="s">
        <v>17</v>
      </c>
      <c r="AI383" t="s">
        <v>6643</v>
      </c>
      <c r="AL383" t="s">
        <v>8343</v>
      </c>
    </row>
    <row r="384" spans="1:38">
      <c r="A384" t="s">
        <v>3473</v>
      </c>
      <c r="B384" t="s">
        <v>5107</v>
      </c>
      <c r="C384" t="s">
        <v>5108</v>
      </c>
      <c r="D384" t="s">
        <v>5109</v>
      </c>
      <c r="E384" s="2">
        <v>500</v>
      </c>
      <c r="F384" s="2">
        <v>500</v>
      </c>
      <c r="G384" s="3">
        <v>43287</v>
      </c>
      <c r="H384" s="4">
        <v>0.87060185185185002</v>
      </c>
      <c r="I384" s="3">
        <v>43288</v>
      </c>
      <c r="J384" s="4">
        <v>0</v>
      </c>
      <c r="K384" s="2">
        <v>20</v>
      </c>
      <c r="L384" t="s">
        <v>0</v>
      </c>
      <c r="M384" t="s">
        <v>3497</v>
      </c>
      <c r="N384" s="3">
        <v>43291</v>
      </c>
      <c r="O384" s="3">
        <v>43289</v>
      </c>
      <c r="P384" t="s">
        <v>15</v>
      </c>
      <c r="Q384" t="s">
        <v>5110</v>
      </c>
      <c r="R384" t="s">
        <v>820</v>
      </c>
      <c r="S384" s="3">
        <v>43291</v>
      </c>
      <c r="T384" t="s">
        <v>7659</v>
      </c>
      <c r="U384" t="s">
        <v>3567</v>
      </c>
      <c r="V384" t="s">
        <v>5111</v>
      </c>
      <c r="W384" t="s">
        <v>2434</v>
      </c>
      <c r="X384" s="2">
        <v>161</v>
      </c>
      <c r="Y384" t="s">
        <v>2</v>
      </c>
      <c r="Z384" t="s">
        <v>3</v>
      </c>
      <c r="AA384" s="5">
        <v>0</v>
      </c>
      <c r="AB384" t="s">
        <v>17</v>
      </c>
      <c r="AL384" t="s">
        <v>8344</v>
      </c>
    </row>
    <row r="385" spans="1:38">
      <c r="A385" t="s">
        <v>3473</v>
      </c>
      <c r="B385" t="s">
        <v>3669</v>
      </c>
      <c r="C385" t="s">
        <v>3670</v>
      </c>
      <c r="D385" t="s">
        <v>3671</v>
      </c>
      <c r="E385" s="2">
        <v>1000</v>
      </c>
      <c r="F385" s="2">
        <v>1000</v>
      </c>
      <c r="G385" s="3">
        <v>43288</v>
      </c>
      <c r="H385" s="4">
        <v>0.58333333333333004</v>
      </c>
      <c r="I385" s="3">
        <v>43288</v>
      </c>
      <c r="J385" s="4">
        <v>0.84212962962963001</v>
      </c>
      <c r="K385" s="2">
        <v>20</v>
      </c>
      <c r="L385" t="s">
        <v>0</v>
      </c>
      <c r="M385" t="s">
        <v>3493</v>
      </c>
      <c r="N385" s="3">
        <v>43291</v>
      </c>
      <c r="O385" s="3">
        <v>43290</v>
      </c>
      <c r="P385" t="s">
        <v>13</v>
      </c>
      <c r="Q385" t="s">
        <v>3672</v>
      </c>
      <c r="R385" t="s">
        <v>820</v>
      </c>
      <c r="S385" s="3">
        <v>43291</v>
      </c>
      <c r="T385" t="s">
        <v>7660</v>
      </c>
      <c r="U385" t="s">
        <v>2486</v>
      </c>
      <c r="V385" t="s">
        <v>3673</v>
      </c>
      <c r="W385" t="s">
        <v>2434</v>
      </c>
      <c r="X385" s="2">
        <v>161</v>
      </c>
      <c r="Y385" t="s">
        <v>2</v>
      </c>
      <c r="Z385" t="s">
        <v>3</v>
      </c>
      <c r="AA385" s="5">
        <v>0</v>
      </c>
      <c r="AB385" t="s">
        <v>17</v>
      </c>
      <c r="AI385" t="s">
        <v>6643</v>
      </c>
      <c r="AL385" t="s">
        <v>8345</v>
      </c>
    </row>
    <row r="386" spans="1:38">
      <c r="A386" t="s">
        <v>3473</v>
      </c>
      <c r="B386" t="s">
        <v>3617</v>
      </c>
      <c r="C386" t="s">
        <v>3618</v>
      </c>
      <c r="D386" t="s">
        <v>3619</v>
      </c>
      <c r="E386" s="2">
        <v>1000</v>
      </c>
      <c r="F386" s="2">
        <v>1000</v>
      </c>
      <c r="G386" s="3">
        <v>43288</v>
      </c>
      <c r="H386" s="4">
        <v>0.74120370370370003</v>
      </c>
      <c r="I386" s="3">
        <v>43289</v>
      </c>
      <c r="J386" s="4">
        <v>0</v>
      </c>
      <c r="K386" s="2">
        <v>0</v>
      </c>
      <c r="L386" t="s">
        <v>0</v>
      </c>
      <c r="M386" t="s">
        <v>3493</v>
      </c>
      <c r="N386" s="3">
        <v>43290</v>
      </c>
      <c r="O386" s="3">
        <v>43290</v>
      </c>
      <c r="P386" t="s">
        <v>3531</v>
      </c>
      <c r="Q386" t="s">
        <v>3620</v>
      </c>
      <c r="R386" t="s">
        <v>820</v>
      </c>
      <c r="S386" s="3">
        <v>43290</v>
      </c>
      <c r="T386" t="s">
        <v>7661</v>
      </c>
      <c r="U386" t="s">
        <v>3621</v>
      </c>
      <c r="V386" t="s">
        <v>3622</v>
      </c>
      <c r="W386" t="s">
        <v>2434</v>
      </c>
      <c r="X386" s="2">
        <v>161</v>
      </c>
      <c r="Y386" t="s">
        <v>2</v>
      </c>
      <c r="Z386" t="s">
        <v>3</v>
      </c>
      <c r="AA386" s="5">
        <v>0</v>
      </c>
      <c r="AB386" t="s">
        <v>17</v>
      </c>
      <c r="AI386" t="s">
        <v>6643</v>
      </c>
      <c r="AL386" t="s">
        <v>8346</v>
      </c>
    </row>
    <row r="387" spans="1:38">
      <c r="A387" t="s">
        <v>3473</v>
      </c>
      <c r="B387" t="s">
        <v>3687</v>
      </c>
      <c r="C387" t="s">
        <v>3688</v>
      </c>
      <c r="D387" t="s">
        <v>3689</v>
      </c>
      <c r="E387" s="2">
        <v>500</v>
      </c>
      <c r="F387" s="2">
        <v>500</v>
      </c>
      <c r="G387" s="3">
        <v>43288</v>
      </c>
      <c r="H387" s="4">
        <v>0.87060185185185002</v>
      </c>
      <c r="I387" s="3">
        <v>43289</v>
      </c>
      <c r="J387" s="4">
        <v>0</v>
      </c>
      <c r="K387" s="2">
        <v>20</v>
      </c>
      <c r="L387" t="s">
        <v>0</v>
      </c>
      <c r="M387" t="s">
        <v>3497</v>
      </c>
      <c r="N387" s="3">
        <v>43293</v>
      </c>
      <c r="O387" s="3">
        <v>43290</v>
      </c>
      <c r="P387" t="s">
        <v>15</v>
      </c>
      <c r="Q387" t="s">
        <v>3690</v>
      </c>
      <c r="R387" t="s">
        <v>822</v>
      </c>
      <c r="S387" s="3">
        <v>43293</v>
      </c>
      <c r="T387" t="s">
        <v>7662</v>
      </c>
      <c r="U387" t="s">
        <v>3169</v>
      </c>
      <c r="V387" t="s">
        <v>3691</v>
      </c>
      <c r="W387" t="s">
        <v>2434</v>
      </c>
      <c r="X387" s="2">
        <v>161</v>
      </c>
      <c r="Y387" t="s">
        <v>2</v>
      </c>
      <c r="Z387" t="s">
        <v>3</v>
      </c>
      <c r="AA387" s="5">
        <v>0</v>
      </c>
      <c r="AB387" t="s">
        <v>17</v>
      </c>
      <c r="AL387" t="s">
        <v>8347</v>
      </c>
    </row>
    <row r="388" spans="1:38">
      <c r="A388" t="s">
        <v>3473</v>
      </c>
      <c r="B388" t="s">
        <v>3681</v>
      </c>
      <c r="C388" t="s">
        <v>3682</v>
      </c>
      <c r="D388" t="s">
        <v>3683</v>
      </c>
      <c r="E388" s="2">
        <v>600</v>
      </c>
      <c r="F388" s="2">
        <v>600</v>
      </c>
      <c r="G388" s="3">
        <v>43289</v>
      </c>
      <c r="H388" s="4">
        <v>0.25</v>
      </c>
      <c r="I388" s="3">
        <v>43289</v>
      </c>
      <c r="J388" s="4">
        <v>0.40527777777778001</v>
      </c>
      <c r="K388" s="2">
        <v>0</v>
      </c>
      <c r="L388" t="s">
        <v>0</v>
      </c>
      <c r="M388" t="s">
        <v>3684</v>
      </c>
      <c r="N388" s="3">
        <v>43291</v>
      </c>
      <c r="O388" s="3">
        <v>43291</v>
      </c>
      <c r="P388" t="s">
        <v>13</v>
      </c>
      <c r="Q388" t="s">
        <v>3685</v>
      </c>
      <c r="R388" t="s">
        <v>820</v>
      </c>
      <c r="S388" s="3">
        <v>43291</v>
      </c>
      <c r="T388" t="s">
        <v>7663</v>
      </c>
      <c r="U388" t="s">
        <v>2614</v>
      </c>
      <c r="V388" t="s">
        <v>3686</v>
      </c>
      <c r="X388" s="2">
        <v>161</v>
      </c>
      <c r="Y388" t="s">
        <v>2</v>
      </c>
      <c r="Z388" t="s">
        <v>3</v>
      </c>
      <c r="AA388" s="5">
        <v>0</v>
      </c>
      <c r="AB388" t="s">
        <v>17</v>
      </c>
      <c r="AI388" t="s">
        <v>6643</v>
      </c>
      <c r="AL388" t="s">
        <v>8348</v>
      </c>
    </row>
    <row r="389" spans="1:38">
      <c r="A389" t="s">
        <v>3473</v>
      </c>
      <c r="B389" t="s">
        <v>5112</v>
      </c>
      <c r="C389" t="s">
        <v>5113</v>
      </c>
      <c r="D389" t="s">
        <v>5114</v>
      </c>
      <c r="E389" s="2">
        <v>375</v>
      </c>
      <c r="F389" s="2">
        <v>375</v>
      </c>
      <c r="G389" s="3">
        <v>43289</v>
      </c>
      <c r="H389" s="4">
        <v>0.41666666666667002</v>
      </c>
      <c r="I389" s="3">
        <v>43289</v>
      </c>
      <c r="J389" s="4">
        <v>0.51371527777778003</v>
      </c>
      <c r="K389" s="2">
        <v>0</v>
      </c>
      <c r="L389" t="s">
        <v>0</v>
      </c>
      <c r="M389" t="s">
        <v>7664</v>
      </c>
      <c r="N389" s="3">
        <v>43291</v>
      </c>
      <c r="O389" s="3">
        <v>43291</v>
      </c>
      <c r="P389" t="s">
        <v>9</v>
      </c>
      <c r="Q389" t="s">
        <v>5115</v>
      </c>
      <c r="R389" t="s">
        <v>820</v>
      </c>
      <c r="S389" s="3">
        <v>43291</v>
      </c>
      <c r="T389" t="s">
        <v>7665</v>
      </c>
      <c r="U389" t="s">
        <v>5116</v>
      </c>
      <c r="V389">
        <v>701</v>
      </c>
      <c r="W389" t="s">
        <v>2434</v>
      </c>
      <c r="X389" s="2">
        <v>161</v>
      </c>
      <c r="Y389" t="s">
        <v>2</v>
      </c>
      <c r="Z389" t="s">
        <v>3</v>
      </c>
      <c r="AA389" s="5">
        <v>0</v>
      </c>
      <c r="AB389" t="s">
        <v>17</v>
      </c>
      <c r="AL389" t="s">
        <v>8349</v>
      </c>
    </row>
    <row r="390" spans="1:38">
      <c r="A390" t="s">
        <v>3473</v>
      </c>
      <c r="B390" t="s">
        <v>3674</v>
      </c>
      <c r="C390" t="s">
        <v>3675</v>
      </c>
      <c r="D390" t="s">
        <v>3676</v>
      </c>
      <c r="E390" s="2">
        <v>2000</v>
      </c>
      <c r="F390" s="2">
        <v>2000</v>
      </c>
      <c r="G390" s="3">
        <v>43289</v>
      </c>
      <c r="H390" s="4">
        <v>0.48240740740741</v>
      </c>
      <c r="I390" s="3">
        <v>43290</v>
      </c>
      <c r="J390" s="4">
        <v>0</v>
      </c>
      <c r="K390" s="2">
        <v>20</v>
      </c>
      <c r="L390" t="s">
        <v>0</v>
      </c>
      <c r="M390" t="s">
        <v>3476</v>
      </c>
      <c r="N390" s="3">
        <v>43293</v>
      </c>
      <c r="O390" s="3">
        <v>43291</v>
      </c>
      <c r="P390" t="s">
        <v>13</v>
      </c>
      <c r="Q390" t="s">
        <v>3677</v>
      </c>
      <c r="R390" t="s">
        <v>820</v>
      </c>
      <c r="S390" s="3">
        <v>43293</v>
      </c>
      <c r="T390" t="s">
        <v>7666</v>
      </c>
      <c r="U390" t="s">
        <v>2486</v>
      </c>
      <c r="V390" t="s">
        <v>3678</v>
      </c>
      <c r="W390" t="s">
        <v>2434</v>
      </c>
      <c r="X390" s="2">
        <v>161</v>
      </c>
      <c r="Y390" t="s">
        <v>2</v>
      </c>
      <c r="Z390" t="s">
        <v>3</v>
      </c>
      <c r="AA390" s="5">
        <v>0</v>
      </c>
      <c r="AB390" t="s">
        <v>17</v>
      </c>
      <c r="AI390" t="s">
        <v>6643</v>
      </c>
      <c r="AL390" t="s">
        <v>8350</v>
      </c>
    </row>
    <row r="391" spans="1:38">
      <c r="A391" t="s">
        <v>3473</v>
      </c>
      <c r="B391" t="s">
        <v>3679</v>
      </c>
      <c r="C391" t="s">
        <v>3514</v>
      </c>
      <c r="D391" t="s">
        <v>3515</v>
      </c>
      <c r="E391" s="2">
        <v>1000</v>
      </c>
      <c r="F391" s="2">
        <v>1000</v>
      </c>
      <c r="G391" s="3">
        <v>43289</v>
      </c>
      <c r="H391" s="4">
        <v>0.74120370370370003</v>
      </c>
      <c r="I391" s="3">
        <v>43290</v>
      </c>
      <c r="J391" s="4">
        <v>0</v>
      </c>
      <c r="K391" s="2">
        <v>20</v>
      </c>
      <c r="L391" t="s">
        <v>0</v>
      </c>
      <c r="M391" t="s">
        <v>3493</v>
      </c>
      <c r="N391" s="3">
        <v>43293</v>
      </c>
      <c r="O391" s="3">
        <v>43291</v>
      </c>
      <c r="P391" t="s">
        <v>13</v>
      </c>
      <c r="Q391" t="s">
        <v>3680</v>
      </c>
      <c r="R391" t="s">
        <v>820</v>
      </c>
      <c r="S391" s="3">
        <v>43293</v>
      </c>
      <c r="T391" t="s">
        <v>7667</v>
      </c>
      <c r="U391" t="s">
        <v>2486</v>
      </c>
      <c r="V391" t="s">
        <v>3516</v>
      </c>
      <c r="W391" t="s">
        <v>2434</v>
      </c>
      <c r="X391" s="2">
        <v>161</v>
      </c>
      <c r="Y391" t="s">
        <v>2</v>
      </c>
      <c r="Z391" t="s">
        <v>3</v>
      </c>
      <c r="AA391" s="5">
        <v>0</v>
      </c>
      <c r="AB391" t="s">
        <v>17</v>
      </c>
      <c r="AI391" t="s">
        <v>6643</v>
      </c>
      <c r="AL391" t="s">
        <v>8351</v>
      </c>
    </row>
    <row r="392" spans="1:38">
      <c r="A392" t="s">
        <v>3473</v>
      </c>
      <c r="B392" t="s">
        <v>5060</v>
      </c>
      <c r="C392" t="s">
        <v>5061</v>
      </c>
      <c r="D392" t="s">
        <v>5062</v>
      </c>
      <c r="E392" s="2">
        <v>200</v>
      </c>
      <c r="F392" s="2">
        <v>200</v>
      </c>
      <c r="G392" s="3">
        <v>43289</v>
      </c>
      <c r="H392" s="4">
        <v>0.93686342592592997</v>
      </c>
      <c r="I392" s="3">
        <v>43289</v>
      </c>
      <c r="J392" s="4">
        <v>0.98862268518519003</v>
      </c>
      <c r="K392" s="2">
        <v>0</v>
      </c>
      <c r="L392" t="s">
        <v>0</v>
      </c>
      <c r="M392" t="s">
        <v>3698</v>
      </c>
      <c r="N392" s="3">
        <v>43290</v>
      </c>
      <c r="O392" s="3">
        <v>43291</v>
      </c>
      <c r="P392" t="s">
        <v>5</v>
      </c>
      <c r="Q392" t="s">
        <v>5063</v>
      </c>
      <c r="R392" t="s">
        <v>820</v>
      </c>
      <c r="S392" s="3">
        <v>43290</v>
      </c>
      <c r="T392" t="s">
        <v>7668</v>
      </c>
      <c r="U392">
        <v>945</v>
      </c>
      <c r="V392" t="s">
        <v>5064</v>
      </c>
      <c r="W392" t="s">
        <v>2434</v>
      </c>
      <c r="X392" s="2">
        <v>161</v>
      </c>
      <c r="Y392" t="s">
        <v>2</v>
      </c>
      <c r="Z392" t="s">
        <v>3</v>
      </c>
      <c r="AA392" s="5">
        <v>0</v>
      </c>
      <c r="AB392" t="s">
        <v>17</v>
      </c>
      <c r="AL392" t="s">
        <v>8352</v>
      </c>
    </row>
    <row r="393" spans="1:38">
      <c r="A393" t="s">
        <v>3473</v>
      </c>
      <c r="B393" t="s">
        <v>7052</v>
      </c>
      <c r="C393" t="s">
        <v>3117</v>
      </c>
      <c r="D393" t="s">
        <v>3118</v>
      </c>
      <c r="E393" s="2">
        <v>500</v>
      </c>
      <c r="F393" s="2">
        <v>500</v>
      </c>
      <c r="G393" s="3">
        <v>43290</v>
      </c>
      <c r="H393" s="4">
        <v>0.80709490740740997</v>
      </c>
      <c r="I393" s="3">
        <v>43290</v>
      </c>
      <c r="J393" s="4">
        <v>0.93649305555555995</v>
      </c>
      <c r="K393" s="2">
        <v>0</v>
      </c>
      <c r="L393" t="s">
        <v>0</v>
      </c>
      <c r="M393" t="s">
        <v>3497</v>
      </c>
      <c r="N393" s="3">
        <v>43293</v>
      </c>
      <c r="O393" s="3">
        <v>43292</v>
      </c>
      <c r="P393" t="s">
        <v>9</v>
      </c>
      <c r="Q393" t="s">
        <v>7053</v>
      </c>
      <c r="R393" t="s">
        <v>820</v>
      </c>
      <c r="S393" s="3">
        <v>43293</v>
      </c>
      <c r="T393" t="s">
        <v>7669</v>
      </c>
      <c r="U393" t="s">
        <v>2486</v>
      </c>
      <c r="V393" t="s">
        <v>3120</v>
      </c>
      <c r="W393" t="s">
        <v>2434</v>
      </c>
      <c r="X393" s="2">
        <v>161</v>
      </c>
      <c r="Y393" t="s">
        <v>2</v>
      </c>
      <c r="Z393" t="s">
        <v>3</v>
      </c>
      <c r="AA393" s="5">
        <v>0</v>
      </c>
      <c r="AB393" t="s">
        <v>17</v>
      </c>
      <c r="AI393" t="s">
        <v>6643</v>
      </c>
      <c r="AL393" t="s">
        <v>8353</v>
      </c>
    </row>
    <row r="394" spans="1:38">
      <c r="A394" t="s">
        <v>3473</v>
      </c>
      <c r="B394" t="s">
        <v>3595</v>
      </c>
      <c r="C394" t="s">
        <v>3583</v>
      </c>
      <c r="D394" t="s">
        <v>3584</v>
      </c>
      <c r="E394" s="2">
        <v>500</v>
      </c>
      <c r="F394" s="2">
        <v>500</v>
      </c>
      <c r="G394" s="3">
        <v>43290</v>
      </c>
      <c r="H394" s="4">
        <v>0.87060185185185002</v>
      </c>
      <c r="I394" s="3">
        <v>43291</v>
      </c>
      <c r="J394" s="4">
        <v>0</v>
      </c>
      <c r="K394" s="2">
        <v>0</v>
      </c>
      <c r="L394" t="s">
        <v>0</v>
      </c>
      <c r="M394" t="s">
        <v>3497</v>
      </c>
      <c r="N394" s="3">
        <v>43283</v>
      </c>
      <c r="O394" s="3">
        <v>43292</v>
      </c>
      <c r="P394" t="s">
        <v>21</v>
      </c>
      <c r="Q394" t="s">
        <v>3596</v>
      </c>
      <c r="R394" t="s">
        <v>820</v>
      </c>
      <c r="S394" s="3">
        <v>43293</v>
      </c>
      <c r="T394" t="s">
        <v>7670</v>
      </c>
      <c r="U394" t="s">
        <v>3586</v>
      </c>
      <c r="V394" t="s">
        <v>3587</v>
      </c>
      <c r="W394" t="s">
        <v>2434</v>
      </c>
      <c r="X394" s="2">
        <v>161</v>
      </c>
      <c r="Y394" t="s">
        <v>2</v>
      </c>
      <c r="Z394" t="s">
        <v>3</v>
      </c>
      <c r="AA394" s="5">
        <v>0</v>
      </c>
      <c r="AB394" t="s">
        <v>17</v>
      </c>
      <c r="AI394" t="s">
        <v>6643</v>
      </c>
      <c r="AL394" t="s">
        <v>8354</v>
      </c>
    </row>
    <row r="395" spans="1:38">
      <c r="A395" t="s">
        <v>3473</v>
      </c>
      <c r="B395" t="s">
        <v>7087</v>
      </c>
      <c r="C395" t="s">
        <v>3637</v>
      </c>
      <c r="D395" t="s">
        <v>3638</v>
      </c>
      <c r="E395" s="2">
        <v>500</v>
      </c>
      <c r="F395" s="2">
        <v>500</v>
      </c>
      <c r="G395" s="3">
        <v>43290</v>
      </c>
      <c r="H395" s="4">
        <v>0.87060185185185002</v>
      </c>
      <c r="I395" s="3">
        <v>43291</v>
      </c>
      <c r="J395" s="4">
        <v>0</v>
      </c>
      <c r="K395" s="2">
        <v>0</v>
      </c>
      <c r="L395" t="s">
        <v>0</v>
      </c>
      <c r="M395" t="s">
        <v>3497</v>
      </c>
      <c r="N395" s="3">
        <v>43293</v>
      </c>
      <c r="O395" s="3">
        <v>43292</v>
      </c>
      <c r="P395" t="s">
        <v>9</v>
      </c>
      <c r="Q395" t="s">
        <v>7088</v>
      </c>
      <c r="R395" t="s">
        <v>820</v>
      </c>
      <c r="S395" s="3">
        <v>43293</v>
      </c>
      <c r="T395" t="s">
        <v>7671</v>
      </c>
      <c r="U395" t="s">
        <v>3640</v>
      </c>
      <c r="V395" t="s">
        <v>3616</v>
      </c>
      <c r="W395" t="s">
        <v>2434</v>
      </c>
      <c r="X395" s="2">
        <v>161</v>
      </c>
      <c r="Y395" t="s">
        <v>2</v>
      </c>
      <c r="Z395" t="s">
        <v>3</v>
      </c>
      <c r="AA395" s="5">
        <v>0</v>
      </c>
      <c r="AB395" t="s">
        <v>17</v>
      </c>
      <c r="AL395" t="s">
        <v>8355</v>
      </c>
    </row>
    <row r="396" spans="1:38">
      <c r="A396" t="s">
        <v>3473</v>
      </c>
      <c r="B396" t="s">
        <v>3646</v>
      </c>
      <c r="C396" t="s">
        <v>1443</v>
      </c>
      <c r="D396" t="s">
        <v>1444</v>
      </c>
      <c r="E396" s="2">
        <v>375</v>
      </c>
      <c r="F396" s="2">
        <v>375</v>
      </c>
      <c r="G396" s="3">
        <v>43290</v>
      </c>
      <c r="H396" s="4">
        <v>0.89648148148147999</v>
      </c>
      <c r="I396" s="3">
        <v>43290</v>
      </c>
      <c r="J396" s="4">
        <v>0.99353009259258995</v>
      </c>
      <c r="K396" s="2">
        <v>0</v>
      </c>
      <c r="L396" t="s">
        <v>0</v>
      </c>
      <c r="M396" t="s">
        <v>7664</v>
      </c>
      <c r="N396" s="3">
        <v>43287</v>
      </c>
      <c r="O396" s="3">
        <v>43292</v>
      </c>
      <c r="P396" t="s">
        <v>9</v>
      </c>
      <c r="Q396" t="s">
        <v>3647</v>
      </c>
      <c r="R396" t="s">
        <v>820</v>
      </c>
      <c r="S396" s="3">
        <v>43287</v>
      </c>
      <c r="T396" t="s">
        <v>7672</v>
      </c>
      <c r="U396" t="s">
        <v>2649</v>
      </c>
      <c r="V396" t="s">
        <v>3522</v>
      </c>
      <c r="W396" t="s">
        <v>2434</v>
      </c>
      <c r="X396" s="2">
        <v>161</v>
      </c>
      <c r="Y396" t="s">
        <v>2</v>
      </c>
      <c r="Z396" t="s">
        <v>3</v>
      </c>
      <c r="AA396" s="5">
        <v>0</v>
      </c>
      <c r="AB396" t="s">
        <v>17</v>
      </c>
      <c r="AL396" t="s">
        <v>8356</v>
      </c>
    </row>
    <row r="397" spans="1:38">
      <c r="A397" t="s">
        <v>3473</v>
      </c>
      <c r="B397" t="s">
        <v>3692</v>
      </c>
      <c r="C397" t="s">
        <v>3474</v>
      </c>
      <c r="D397" t="s">
        <v>3475</v>
      </c>
      <c r="E397" s="2">
        <v>2000</v>
      </c>
      <c r="F397" s="2">
        <v>2000</v>
      </c>
      <c r="G397" s="3">
        <v>43291</v>
      </c>
      <c r="H397" s="4">
        <v>0.48240740740741</v>
      </c>
      <c r="I397" s="3">
        <v>43292</v>
      </c>
      <c r="J397" s="4">
        <v>0</v>
      </c>
      <c r="K397" s="2">
        <v>0</v>
      </c>
      <c r="L397" t="s">
        <v>0</v>
      </c>
      <c r="M397" t="s">
        <v>3476</v>
      </c>
      <c r="N397" s="3">
        <v>43294</v>
      </c>
      <c r="O397" s="3">
        <v>43293</v>
      </c>
      <c r="P397" t="s">
        <v>6</v>
      </c>
      <c r="Q397" t="s">
        <v>3693</v>
      </c>
      <c r="R397" t="s">
        <v>820</v>
      </c>
      <c r="S397" s="3">
        <v>43294</v>
      </c>
      <c r="T397" t="s">
        <v>7673</v>
      </c>
      <c r="U397" t="s">
        <v>2720</v>
      </c>
      <c r="V397">
        <v>7056</v>
      </c>
      <c r="W397" t="s">
        <v>2434</v>
      </c>
      <c r="X397" s="2">
        <v>161</v>
      </c>
      <c r="Y397" t="s">
        <v>2</v>
      </c>
      <c r="Z397" t="s">
        <v>3</v>
      </c>
      <c r="AA397" s="5">
        <v>0</v>
      </c>
      <c r="AB397" t="s">
        <v>17</v>
      </c>
      <c r="AI397" t="s">
        <v>6643</v>
      </c>
      <c r="AL397" t="s">
        <v>8357</v>
      </c>
    </row>
    <row r="398" spans="1:38">
      <c r="A398" t="s">
        <v>3473</v>
      </c>
      <c r="B398" t="s">
        <v>3697</v>
      </c>
      <c r="C398" t="s">
        <v>3160</v>
      </c>
      <c r="D398" t="s">
        <v>3161</v>
      </c>
      <c r="E398" s="2">
        <v>200</v>
      </c>
      <c r="F398" s="2">
        <v>200</v>
      </c>
      <c r="G398" s="3">
        <v>43291</v>
      </c>
      <c r="H398" s="4">
        <v>0.94824074074074005</v>
      </c>
      <c r="I398" s="3">
        <v>43292</v>
      </c>
      <c r="J398" s="4">
        <v>0</v>
      </c>
      <c r="K398" s="2">
        <v>0</v>
      </c>
      <c r="L398" t="s">
        <v>0</v>
      </c>
      <c r="M398" t="s">
        <v>3698</v>
      </c>
      <c r="N398" s="3">
        <v>43298</v>
      </c>
      <c r="O398" s="3">
        <v>43293</v>
      </c>
      <c r="P398" t="s">
        <v>27</v>
      </c>
      <c r="Q398" t="s">
        <v>3699</v>
      </c>
      <c r="R398" t="s">
        <v>820</v>
      </c>
      <c r="S398" s="3">
        <v>43298</v>
      </c>
      <c r="T398" t="s">
        <v>7674</v>
      </c>
      <c r="U398" t="s">
        <v>2667</v>
      </c>
      <c r="V398" t="s">
        <v>3162</v>
      </c>
      <c r="W398" t="s">
        <v>2434</v>
      </c>
      <c r="X398" s="2">
        <v>161</v>
      </c>
      <c r="Y398" t="s">
        <v>2</v>
      </c>
      <c r="Z398" t="s">
        <v>3</v>
      </c>
      <c r="AA398" s="5">
        <v>0</v>
      </c>
      <c r="AB398" t="s">
        <v>17</v>
      </c>
      <c r="AL398" t="s">
        <v>8358</v>
      </c>
    </row>
    <row r="399" spans="1:38">
      <c r="A399" t="s">
        <v>3473</v>
      </c>
      <c r="B399" t="s">
        <v>3431</v>
      </c>
      <c r="C399" t="s">
        <v>3432</v>
      </c>
      <c r="D399" t="s">
        <v>3433</v>
      </c>
      <c r="E399" s="2">
        <v>2000</v>
      </c>
      <c r="F399" s="2">
        <v>2000</v>
      </c>
      <c r="G399" s="3">
        <v>43292</v>
      </c>
      <c r="H399" s="4">
        <v>0.42922453703704</v>
      </c>
      <c r="I399" s="3">
        <v>43292</v>
      </c>
      <c r="J399" s="4">
        <v>0.94681712962963005</v>
      </c>
      <c r="K399" s="2">
        <v>0</v>
      </c>
      <c r="L399" t="s">
        <v>0</v>
      </c>
      <c r="M399" t="s">
        <v>3476</v>
      </c>
      <c r="N399" s="3">
        <v>43290</v>
      </c>
      <c r="O399" s="3">
        <v>43294</v>
      </c>
      <c r="P399" t="s">
        <v>13</v>
      </c>
      <c r="Q399" t="s">
        <v>3434</v>
      </c>
      <c r="R399" t="s">
        <v>820</v>
      </c>
      <c r="S399" s="3">
        <v>43290</v>
      </c>
      <c r="T399" t="s">
        <v>7675</v>
      </c>
      <c r="U399" t="s">
        <v>2504</v>
      </c>
      <c r="V399" t="s">
        <v>3435</v>
      </c>
      <c r="W399" t="s">
        <v>2434</v>
      </c>
      <c r="X399" s="2">
        <v>161</v>
      </c>
      <c r="Y399" t="s">
        <v>2</v>
      </c>
      <c r="Z399" t="s">
        <v>3</v>
      </c>
      <c r="AA399" s="5">
        <v>0</v>
      </c>
      <c r="AB399" t="s">
        <v>17</v>
      </c>
      <c r="AI399" t="s">
        <v>6643</v>
      </c>
      <c r="AL399" t="s">
        <v>8359</v>
      </c>
    </row>
    <row r="400" spans="1:38">
      <c r="A400" t="s">
        <v>3473</v>
      </c>
      <c r="B400" t="s">
        <v>3700</v>
      </c>
      <c r="C400" t="s">
        <v>3701</v>
      </c>
      <c r="D400" t="s">
        <v>3702</v>
      </c>
      <c r="E400" s="2">
        <v>1000</v>
      </c>
      <c r="F400" s="2">
        <v>1000</v>
      </c>
      <c r="G400" s="3">
        <v>43292</v>
      </c>
      <c r="H400" s="4">
        <v>0.74120370370370003</v>
      </c>
      <c r="I400" s="3">
        <v>43293</v>
      </c>
      <c r="J400" s="4">
        <v>0</v>
      </c>
      <c r="K400" s="2">
        <v>0</v>
      </c>
      <c r="L400" t="s">
        <v>0</v>
      </c>
      <c r="M400" t="s">
        <v>3493</v>
      </c>
      <c r="N400" s="3">
        <v>43299</v>
      </c>
      <c r="O400" s="3">
        <v>43294</v>
      </c>
      <c r="P400" t="s">
        <v>13</v>
      </c>
      <c r="Q400" t="s">
        <v>3703</v>
      </c>
      <c r="R400" t="s">
        <v>820</v>
      </c>
      <c r="S400" s="3">
        <v>43299</v>
      </c>
      <c r="T400" t="s">
        <v>7676</v>
      </c>
      <c r="U400" t="s">
        <v>2504</v>
      </c>
      <c r="V400" t="s">
        <v>3704</v>
      </c>
      <c r="W400" t="s">
        <v>2434</v>
      </c>
      <c r="X400" s="2">
        <v>161</v>
      </c>
      <c r="Y400" t="s">
        <v>2</v>
      </c>
      <c r="Z400" t="s">
        <v>3</v>
      </c>
      <c r="AA400" s="5">
        <v>0</v>
      </c>
      <c r="AB400" t="s">
        <v>17</v>
      </c>
      <c r="AI400" t="s">
        <v>6643</v>
      </c>
      <c r="AL400" t="s">
        <v>8360</v>
      </c>
    </row>
    <row r="401" spans="1:38">
      <c r="A401" t="s">
        <v>3473</v>
      </c>
      <c r="B401" t="s">
        <v>2700</v>
      </c>
      <c r="C401" t="s">
        <v>123</v>
      </c>
      <c r="D401" t="s">
        <v>124</v>
      </c>
      <c r="E401" s="2">
        <v>3000</v>
      </c>
      <c r="F401" s="2">
        <v>3000</v>
      </c>
      <c r="G401" s="3">
        <v>43292</v>
      </c>
      <c r="H401" s="4">
        <v>0.88738425925926001</v>
      </c>
      <c r="I401" s="3">
        <v>43293</v>
      </c>
      <c r="J401" s="4">
        <v>0.66378472222221996</v>
      </c>
      <c r="K401" s="2">
        <v>0</v>
      </c>
      <c r="L401" t="s">
        <v>0</v>
      </c>
      <c r="M401" t="s">
        <v>3504</v>
      </c>
      <c r="N401" s="3">
        <v>43290</v>
      </c>
      <c r="O401" s="3">
        <v>43295</v>
      </c>
      <c r="P401" t="s">
        <v>15</v>
      </c>
      <c r="Q401" t="s">
        <v>2701</v>
      </c>
      <c r="R401" t="s">
        <v>820</v>
      </c>
      <c r="S401" s="3">
        <v>43290</v>
      </c>
      <c r="T401" t="s">
        <v>7677</v>
      </c>
      <c r="U401" t="s">
        <v>2702</v>
      </c>
      <c r="V401" t="s">
        <v>2703</v>
      </c>
      <c r="W401" t="s">
        <v>2434</v>
      </c>
      <c r="X401" s="2">
        <v>161</v>
      </c>
      <c r="Y401" t="s">
        <v>2</v>
      </c>
      <c r="Z401" t="s">
        <v>3</v>
      </c>
      <c r="AA401" s="5">
        <v>0</v>
      </c>
      <c r="AB401" t="s">
        <v>17</v>
      </c>
      <c r="AI401" t="s">
        <v>6643</v>
      </c>
      <c r="AL401" t="s">
        <v>8361</v>
      </c>
    </row>
    <row r="402" spans="1:38">
      <c r="A402" t="s">
        <v>3473</v>
      </c>
      <c r="B402" t="s">
        <v>3711</v>
      </c>
      <c r="C402" t="s">
        <v>3486</v>
      </c>
      <c r="D402" t="s">
        <v>3487</v>
      </c>
      <c r="E402" s="2">
        <v>25</v>
      </c>
      <c r="F402" s="2">
        <v>25</v>
      </c>
      <c r="G402" s="3">
        <v>43292</v>
      </c>
      <c r="H402" s="4">
        <v>0.99353009259258995</v>
      </c>
      <c r="I402" s="3">
        <v>43293</v>
      </c>
      <c r="J402" s="4">
        <v>0</v>
      </c>
      <c r="K402" s="2">
        <v>0</v>
      </c>
      <c r="L402" t="s">
        <v>0</v>
      </c>
      <c r="M402" t="s">
        <v>3477</v>
      </c>
      <c r="N402" s="3">
        <v>43301</v>
      </c>
      <c r="O402" s="3">
        <v>43294</v>
      </c>
      <c r="P402" t="s">
        <v>13</v>
      </c>
      <c r="Q402" t="s">
        <v>3712</v>
      </c>
      <c r="R402" t="s">
        <v>820</v>
      </c>
      <c r="S402" s="3">
        <v>43301</v>
      </c>
      <c r="T402" t="s">
        <v>7678</v>
      </c>
      <c r="U402">
        <v>500</v>
      </c>
      <c r="V402">
        <v>739</v>
      </c>
      <c r="W402" t="s">
        <v>2434</v>
      </c>
      <c r="X402" s="2">
        <v>161</v>
      </c>
      <c r="Y402" t="s">
        <v>2</v>
      </c>
      <c r="Z402" t="s">
        <v>3</v>
      </c>
      <c r="AA402" s="5">
        <v>0</v>
      </c>
      <c r="AB402" t="s">
        <v>17</v>
      </c>
      <c r="AI402" t="s">
        <v>6643</v>
      </c>
      <c r="AL402" t="s">
        <v>8362</v>
      </c>
    </row>
    <row r="403" spans="1:38">
      <c r="A403" t="s">
        <v>3473</v>
      </c>
      <c r="B403" t="s">
        <v>7679</v>
      </c>
      <c r="C403" t="s">
        <v>7680</v>
      </c>
      <c r="D403" t="s">
        <v>7681</v>
      </c>
      <c r="E403" s="2">
        <v>500</v>
      </c>
      <c r="F403" s="2">
        <v>500</v>
      </c>
      <c r="G403" s="3">
        <v>43293</v>
      </c>
      <c r="H403" s="4">
        <v>0.77769675925925996</v>
      </c>
      <c r="I403" s="3">
        <v>43293</v>
      </c>
      <c r="J403" s="4">
        <v>0.90709490740740994</v>
      </c>
      <c r="K403" s="2">
        <v>0</v>
      </c>
      <c r="L403" t="s">
        <v>0</v>
      </c>
      <c r="M403" t="s">
        <v>3497</v>
      </c>
      <c r="N403" s="3">
        <v>43297</v>
      </c>
      <c r="O403" s="3">
        <v>43295</v>
      </c>
      <c r="P403" t="s">
        <v>32</v>
      </c>
      <c r="Q403" t="s">
        <v>7682</v>
      </c>
      <c r="R403" t="s">
        <v>820</v>
      </c>
      <c r="S403" s="3">
        <v>43297</v>
      </c>
      <c r="T403" t="s">
        <v>7683</v>
      </c>
      <c r="U403">
        <v>500</v>
      </c>
      <c r="V403" t="s">
        <v>7684</v>
      </c>
      <c r="W403" t="s">
        <v>2434</v>
      </c>
      <c r="X403" s="2">
        <v>161</v>
      </c>
      <c r="Y403" t="s">
        <v>2</v>
      </c>
      <c r="Z403" t="s">
        <v>3</v>
      </c>
      <c r="AA403" s="5">
        <v>0</v>
      </c>
      <c r="AB403" t="s">
        <v>17</v>
      </c>
      <c r="AI403" t="s">
        <v>6643</v>
      </c>
      <c r="AL403" t="s">
        <v>8363</v>
      </c>
    </row>
    <row r="404" spans="1:38">
      <c r="A404" t="s">
        <v>3473</v>
      </c>
      <c r="B404" t="s">
        <v>3694</v>
      </c>
      <c r="C404" t="s">
        <v>1499</v>
      </c>
      <c r="D404" t="s">
        <v>1500</v>
      </c>
      <c r="E404" s="2">
        <v>500</v>
      </c>
      <c r="F404" s="2">
        <v>500</v>
      </c>
      <c r="G404" s="3">
        <v>43293</v>
      </c>
      <c r="H404" s="4">
        <v>0.87060185185185002</v>
      </c>
      <c r="I404" s="3">
        <v>43294</v>
      </c>
      <c r="J404" s="4">
        <v>0</v>
      </c>
      <c r="K404" s="2">
        <v>20</v>
      </c>
      <c r="L404" t="s">
        <v>0</v>
      </c>
      <c r="M404" t="s">
        <v>3497</v>
      </c>
      <c r="N404" s="3">
        <v>43297</v>
      </c>
      <c r="O404" s="3">
        <v>43295</v>
      </c>
      <c r="P404" t="s">
        <v>21</v>
      </c>
      <c r="Q404" t="s">
        <v>3695</v>
      </c>
      <c r="R404" t="s">
        <v>820</v>
      </c>
      <c r="S404" s="3">
        <v>43297</v>
      </c>
      <c r="T404" t="s">
        <v>7685</v>
      </c>
      <c r="U404" t="s">
        <v>3586</v>
      </c>
      <c r="V404" t="s">
        <v>3696</v>
      </c>
      <c r="W404" t="s">
        <v>2434</v>
      </c>
      <c r="X404" s="2">
        <v>161</v>
      </c>
      <c r="Y404" t="s">
        <v>2</v>
      </c>
      <c r="Z404" t="s">
        <v>3</v>
      </c>
      <c r="AA404" s="5">
        <v>0</v>
      </c>
      <c r="AB404" t="s">
        <v>17</v>
      </c>
      <c r="AL404" t="s">
        <v>8364</v>
      </c>
    </row>
    <row r="405" spans="1:38">
      <c r="A405" t="s">
        <v>3473</v>
      </c>
      <c r="B405" t="s">
        <v>7686</v>
      </c>
      <c r="C405" t="s">
        <v>7687</v>
      </c>
      <c r="D405" t="s">
        <v>7688</v>
      </c>
      <c r="E405" s="2">
        <v>500</v>
      </c>
      <c r="F405" s="2">
        <v>500</v>
      </c>
      <c r="G405" s="3">
        <v>43294</v>
      </c>
      <c r="H405" s="4">
        <v>0.69313657407407003</v>
      </c>
      <c r="I405" s="3">
        <v>43294</v>
      </c>
      <c r="J405" s="4">
        <v>0.82253472222222002</v>
      </c>
      <c r="K405" s="2">
        <v>20</v>
      </c>
      <c r="L405" t="s">
        <v>0</v>
      </c>
      <c r="M405" t="s">
        <v>3497</v>
      </c>
      <c r="N405" s="3">
        <v>43298</v>
      </c>
      <c r="O405" s="3">
        <v>43296</v>
      </c>
      <c r="P405" t="s">
        <v>13</v>
      </c>
      <c r="Q405" t="s">
        <v>7689</v>
      </c>
      <c r="R405" t="s">
        <v>820</v>
      </c>
      <c r="S405" s="3">
        <v>43298</v>
      </c>
      <c r="U405" t="s">
        <v>2702</v>
      </c>
      <c r="V405" t="s">
        <v>7690</v>
      </c>
      <c r="X405" s="2">
        <v>161</v>
      </c>
      <c r="Y405" t="s">
        <v>2</v>
      </c>
      <c r="Z405" t="s">
        <v>3</v>
      </c>
      <c r="AA405" s="5">
        <v>0</v>
      </c>
      <c r="AB405" t="s">
        <v>17</v>
      </c>
      <c r="AL405" t="s">
        <v>8601</v>
      </c>
    </row>
    <row r="406" spans="1:38">
      <c r="A406" t="s">
        <v>3473</v>
      </c>
      <c r="B406" t="s">
        <v>7691</v>
      </c>
      <c r="C406" t="s">
        <v>3557</v>
      </c>
      <c r="D406" t="s">
        <v>3558</v>
      </c>
      <c r="E406" s="2">
        <v>1000</v>
      </c>
      <c r="F406" s="2">
        <v>1000</v>
      </c>
      <c r="G406" s="3">
        <v>43294</v>
      </c>
      <c r="H406" s="4">
        <v>0.84336805555556005</v>
      </c>
      <c r="I406" s="3">
        <v>43295</v>
      </c>
      <c r="J406" s="4">
        <v>0.10216435185184999</v>
      </c>
      <c r="K406" s="2">
        <v>0</v>
      </c>
      <c r="L406" t="s">
        <v>0</v>
      </c>
      <c r="M406" t="s">
        <v>3493</v>
      </c>
      <c r="N406" s="3">
        <v>43298</v>
      </c>
      <c r="O406" s="3">
        <v>43297</v>
      </c>
      <c r="P406" t="s">
        <v>11</v>
      </c>
      <c r="Q406" t="s">
        <v>7692</v>
      </c>
      <c r="R406" t="s">
        <v>820</v>
      </c>
      <c r="S406" s="3">
        <v>43298</v>
      </c>
      <c r="T406" t="s">
        <v>7693</v>
      </c>
      <c r="U406" t="s">
        <v>2702</v>
      </c>
      <c r="V406" t="s">
        <v>3560</v>
      </c>
      <c r="W406" t="s">
        <v>2434</v>
      </c>
      <c r="X406" s="2">
        <v>161</v>
      </c>
      <c r="Y406" t="s">
        <v>2</v>
      </c>
      <c r="Z406" t="s">
        <v>3</v>
      </c>
      <c r="AA406" s="5">
        <v>0</v>
      </c>
      <c r="AB406" t="s">
        <v>17</v>
      </c>
      <c r="AI406" t="s">
        <v>6643</v>
      </c>
      <c r="AL406" t="s">
        <v>8365</v>
      </c>
    </row>
    <row r="407" spans="1:38">
      <c r="A407" t="s">
        <v>3473</v>
      </c>
      <c r="B407" t="s">
        <v>7694</v>
      </c>
      <c r="C407" t="s">
        <v>3612</v>
      </c>
      <c r="D407" t="s">
        <v>3613</v>
      </c>
      <c r="E407" s="2">
        <v>800</v>
      </c>
      <c r="F407" s="2">
        <v>800</v>
      </c>
      <c r="G407" s="3">
        <v>43295</v>
      </c>
      <c r="H407" s="4">
        <v>0.25453703703704</v>
      </c>
      <c r="I407" s="3">
        <v>43295</v>
      </c>
      <c r="J407" s="4">
        <v>0.46157407407406997</v>
      </c>
      <c r="K407" s="2">
        <v>0</v>
      </c>
      <c r="L407" t="s">
        <v>0</v>
      </c>
      <c r="M407" t="s">
        <v>7695</v>
      </c>
      <c r="N407" s="3">
        <v>43298</v>
      </c>
      <c r="O407" s="3">
        <v>43297</v>
      </c>
      <c r="P407" t="s">
        <v>9</v>
      </c>
      <c r="Q407" t="s">
        <v>7696</v>
      </c>
      <c r="R407" t="s">
        <v>820</v>
      </c>
      <c r="S407" s="3">
        <v>43298</v>
      </c>
      <c r="T407" t="s">
        <v>7697</v>
      </c>
      <c r="U407" t="s">
        <v>3615</v>
      </c>
      <c r="V407" t="s">
        <v>3616</v>
      </c>
      <c r="W407" t="s">
        <v>2434</v>
      </c>
      <c r="X407" s="2">
        <v>161</v>
      </c>
      <c r="Y407" t="s">
        <v>2</v>
      </c>
      <c r="Z407" t="s">
        <v>3</v>
      </c>
      <c r="AA407" s="5">
        <v>0</v>
      </c>
      <c r="AB407" t="s">
        <v>17</v>
      </c>
      <c r="AL407" t="s">
        <v>8366</v>
      </c>
    </row>
    <row r="408" spans="1:38">
      <c r="A408" t="s">
        <v>3473</v>
      </c>
      <c r="B408" t="s">
        <v>7698</v>
      </c>
      <c r="C408" t="s">
        <v>7699</v>
      </c>
      <c r="D408" t="s">
        <v>7700</v>
      </c>
      <c r="E408" s="2">
        <v>100</v>
      </c>
      <c r="F408" s="2">
        <v>100</v>
      </c>
      <c r="G408" s="3">
        <v>43295</v>
      </c>
      <c r="H408" s="4">
        <v>0.97412037037037003</v>
      </c>
      <c r="I408" s="3">
        <v>43296</v>
      </c>
      <c r="J408" s="4">
        <v>0</v>
      </c>
      <c r="K408" s="2">
        <v>0</v>
      </c>
      <c r="L408" t="s">
        <v>0</v>
      </c>
      <c r="M408" t="s">
        <v>3485</v>
      </c>
      <c r="N408" s="3">
        <v>43298</v>
      </c>
      <c r="O408" s="3">
        <v>43297</v>
      </c>
      <c r="P408" t="s">
        <v>13</v>
      </c>
      <c r="Q408" t="s">
        <v>7701</v>
      </c>
      <c r="R408" t="s">
        <v>820</v>
      </c>
      <c r="S408" s="3">
        <v>43298</v>
      </c>
      <c r="T408" t="s">
        <v>7702</v>
      </c>
      <c r="U408" t="s">
        <v>3184</v>
      </c>
      <c r="V408" t="s">
        <v>7703</v>
      </c>
      <c r="X408" s="2">
        <v>161</v>
      </c>
      <c r="Y408" t="s">
        <v>2</v>
      </c>
      <c r="Z408" t="s">
        <v>3</v>
      </c>
      <c r="AA408" s="5">
        <v>0</v>
      </c>
      <c r="AB408" t="s">
        <v>17</v>
      </c>
      <c r="AL408" t="s">
        <v>8367</v>
      </c>
    </row>
    <row r="409" spans="1:38">
      <c r="A409" t="s">
        <v>3473</v>
      </c>
      <c r="B409" t="s">
        <v>7704</v>
      </c>
      <c r="C409" t="s">
        <v>7705</v>
      </c>
      <c r="D409" t="s">
        <v>7706</v>
      </c>
      <c r="E409" s="2">
        <v>150</v>
      </c>
      <c r="F409" s="2">
        <v>150</v>
      </c>
      <c r="G409" s="3">
        <v>43296</v>
      </c>
      <c r="H409" s="4">
        <v>0.78827546296296003</v>
      </c>
      <c r="I409" s="3">
        <v>43296</v>
      </c>
      <c r="J409" s="4">
        <v>0.82709490740740998</v>
      </c>
      <c r="K409" s="2">
        <v>0</v>
      </c>
      <c r="L409" t="s">
        <v>0</v>
      </c>
      <c r="M409" t="s">
        <v>5777</v>
      </c>
      <c r="N409" s="3">
        <v>43299</v>
      </c>
      <c r="O409" s="3">
        <v>43298</v>
      </c>
      <c r="P409" t="s">
        <v>8</v>
      </c>
      <c r="Q409" t="s">
        <v>7707</v>
      </c>
      <c r="R409" t="s">
        <v>820</v>
      </c>
      <c r="S409" s="3">
        <v>43299</v>
      </c>
      <c r="T409" t="s">
        <v>7708</v>
      </c>
      <c r="U409" t="s">
        <v>5153</v>
      </c>
      <c r="V409" t="s">
        <v>3616</v>
      </c>
      <c r="W409" t="s">
        <v>2434</v>
      </c>
      <c r="X409" s="2">
        <v>161</v>
      </c>
      <c r="Y409" t="s">
        <v>2</v>
      </c>
      <c r="Z409" t="s">
        <v>3</v>
      </c>
      <c r="AA409" s="5">
        <v>0</v>
      </c>
      <c r="AB409" t="s">
        <v>17</v>
      </c>
      <c r="AL409" t="s">
        <v>8368</v>
      </c>
    </row>
    <row r="410" spans="1:38">
      <c r="A410" t="s">
        <v>3473</v>
      </c>
      <c r="B410" t="s">
        <v>7109</v>
      </c>
      <c r="C410" t="s">
        <v>3675</v>
      </c>
      <c r="D410" t="s">
        <v>3676</v>
      </c>
      <c r="E410" s="2">
        <v>3000</v>
      </c>
      <c r="F410" s="2">
        <v>3000</v>
      </c>
      <c r="G410" s="3">
        <v>43296</v>
      </c>
      <c r="H410" s="4">
        <v>0.84792824074074002</v>
      </c>
      <c r="I410" s="3">
        <v>43297</v>
      </c>
      <c r="J410" s="4">
        <v>0.62432870370369997</v>
      </c>
      <c r="K410" s="2">
        <v>20</v>
      </c>
      <c r="L410" t="s">
        <v>0</v>
      </c>
      <c r="M410" t="s">
        <v>3504</v>
      </c>
      <c r="N410" s="3">
        <v>43300</v>
      </c>
      <c r="O410" s="3">
        <v>43299</v>
      </c>
      <c r="P410" t="s">
        <v>13</v>
      </c>
      <c r="Q410" t="s">
        <v>7110</v>
      </c>
      <c r="R410" t="s">
        <v>820</v>
      </c>
      <c r="S410" s="3">
        <v>43300</v>
      </c>
      <c r="T410" t="s">
        <v>7709</v>
      </c>
      <c r="U410" t="s">
        <v>2486</v>
      </c>
      <c r="V410" t="s">
        <v>3678</v>
      </c>
      <c r="W410" t="s">
        <v>2434</v>
      </c>
      <c r="X410" s="2">
        <v>161</v>
      </c>
      <c r="Y410" t="s">
        <v>2</v>
      </c>
      <c r="Z410" t="s">
        <v>3</v>
      </c>
      <c r="AA410" s="5">
        <v>0</v>
      </c>
      <c r="AB410" t="s">
        <v>17</v>
      </c>
      <c r="AI410" t="s">
        <v>6643</v>
      </c>
      <c r="AL410" t="s">
        <v>8369</v>
      </c>
    </row>
    <row r="411" spans="1:38">
      <c r="A411" t="s">
        <v>3473</v>
      </c>
      <c r="B411" t="s">
        <v>3705</v>
      </c>
      <c r="C411" t="s">
        <v>3706</v>
      </c>
      <c r="D411" t="s">
        <v>3707</v>
      </c>
      <c r="E411" s="2">
        <v>2000</v>
      </c>
      <c r="F411" s="2">
        <v>2000</v>
      </c>
      <c r="G411" s="3">
        <v>43297</v>
      </c>
      <c r="H411" s="4">
        <v>0.48240740740741</v>
      </c>
      <c r="I411" s="3">
        <v>43298</v>
      </c>
      <c r="J411" s="4">
        <v>0</v>
      </c>
      <c r="K411" s="2">
        <v>20</v>
      </c>
      <c r="L411" t="s">
        <v>0</v>
      </c>
      <c r="M411" t="s">
        <v>3476</v>
      </c>
      <c r="N411" s="3">
        <v>43301</v>
      </c>
      <c r="O411" s="3">
        <v>43299</v>
      </c>
      <c r="P411" t="s">
        <v>10</v>
      </c>
      <c r="Q411" t="s">
        <v>3708</v>
      </c>
      <c r="R411" t="s">
        <v>820</v>
      </c>
      <c r="S411" s="3">
        <v>43301</v>
      </c>
      <c r="T411" t="s">
        <v>7710</v>
      </c>
      <c r="U411" t="s">
        <v>3709</v>
      </c>
      <c r="V411" t="s">
        <v>3710</v>
      </c>
      <c r="W411" t="s">
        <v>2434</v>
      </c>
      <c r="X411" s="2">
        <v>161</v>
      </c>
      <c r="Y411" t="s">
        <v>2</v>
      </c>
      <c r="Z411" t="s">
        <v>3</v>
      </c>
      <c r="AA411" s="5">
        <v>0</v>
      </c>
      <c r="AB411" t="s">
        <v>17</v>
      </c>
      <c r="AI411" t="s">
        <v>6643</v>
      </c>
      <c r="AL411" t="s">
        <v>8370</v>
      </c>
    </row>
    <row r="412" spans="1:38">
      <c r="A412" t="s">
        <v>3473</v>
      </c>
      <c r="B412" t="s">
        <v>7113</v>
      </c>
      <c r="C412" t="s">
        <v>3506</v>
      </c>
      <c r="D412" t="s">
        <v>3507</v>
      </c>
      <c r="E412" s="2">
        <v>3000</v>
      </c>
      <c r="F412" s="2">
        <v>3000</v>
      </c>
      <c r="G412" s="3">
        <v>43298</v>
      </c>
      <c r="H412" s="4">
        <v>0.86233796296295995</v>
      </c>
      <c r="I412" s="3">
        <v>43299</v>
      </c>
      <c r="J412" s="4">
        <v>0.63873842592593</v>
      </c>
      <c r="K412" s="2">
        <v>20</v>
      </c>
      <c r="L412" t="s">
        <v>0</v>
      </c>
      <c r="M412" t="s">
        <v>3504</v>
      </c>
      <c r="N412" s="3">
        <v>43312</v>
      </c>
      <c r="O412" s="3">
        <v>43301</v>
      </c>
      <c r="P412" t="s">
        <v>13</v>
      </c>
      <c r="Q412" t="s">
        <v>7115</v>
      </c>
      <c r="R412" t="s">
        <v>820</v>
      </c>
      <c r="S412" s="3">
        <v>43312</v>
      </c>
      <c r="T412" t="s">
        <v>7711</v>
      </c>
      <c r="U412" t="s">
        <v>3508</v>
      </c>
      <c r="V412" t="s">
        <v>3509</v>
      </c>
      <c r="W412" t="s">
        <v>2434</v>
      </c>
      <c r="X412" s="2">
        <v>161</v>
      </c>
      <c r="Y412" t="s">
        <v>2</v>
      </c>
      <c r="Z412" t="s">
        <v>3</v>
      </c>
      <c r="AA412" s="5">
        <v>0</v>
      </c>
      <c r="AB412" t="s">
        <v>17</v>
      </c>
      <c r="AI412" t="s">
        <v>6643</v>
      </c>
      <c r="AL412" t="s">
        <v>8371</v>
      </c>
    </row>
    <row r="413" spans="1:38">
      <c r="A413" t="s">
        <v>3715</v>
      </c>
      <c r="B413" t="s">
        <v>4002</v>
      </c>
      <c r="C413" t="s">
        <v>4003</v>
      </c>
      <c r="D413" t="s">
        <v>4004</v>
      </c>
      <c r="E413" s="2">
        <v>400</v>
      </c>
      <c r="F413" s="2">
        <v>20400</v>
      </c>
      <c r="G413" s="3">
        <v>43270</v>
      </c>
      <c r="H413" s="4">
        <v>0.66334490740741003</v>
      </c>
      <c r="I413" s="3">
        <v>43271</v>
      </c>
      <c r="J413" s="4">
        <v>0.76153935185184995</v>
      </c>
      <c r="K413" s="2">
        <v>0</v>
      </c>
      <c r="L413" t="s">
        <v>0</v>
      </c>
      <c r="M413" t="s">
        <v>3718</v>
      </c>
      <c r="N413" s="3">
        <v>43280</v>
      </c>
      <c r="O413" s="3">
        <v>43273</v>
      </c>
      <c r="P413" t="s">
        <v>6</v>
      </c>
      <c r="Q413" t="s">
        <v>1</v>
      </c>
      <c r="R413" t="s">
        <v>819</v>
      </c>
      <c r="S413" s="3"/>
      <c r="T413" t="s">
        <v>7712</v>
      </c>
      <c r="U413" t="s">
        <v>4005</v>
      </c>
      <c r="V413" t="s">
        <v>4006</v>
      </c>
      <c r="W413" t="s">
        <v>2434</v>
      </c>
      <c r="X413" s="2">
        <v>774</v>
      </c>
      <c r="Y413" t="s">
        <v>2</v>
      </c>
      <c r="Z413" t="s">
        <v>3</v>
      </c>
      <c r="AA413" s="5">
        <v>0</v>
      </c>
      <c r="AB413" t="s">
        <v>4</v>
      </c>
      <c r="AL413" t="s">
        <v>8372</v>
      </c>
    </row>
    <row r="414" spans="1:38">
      <c r="A414" t="s">
        <v>3715</v>
      </c>
      <c r="B414" t="s">
        <v>7713</v>
      </c>
      <c r="C414" t="s">
        <v>2609</v>
      </c>
      <c r="D414" t="s">
        <v>2610</v>
      </c>
      <c r="E414" s="2">
        <v>13280</v>
      </c>
      <c r="F414" s="2">
        <v>20280</v>
      </c>
      <c r="G414" s="3">
        <v>43271</v>
      </c>
      <c r="H414" s="4">
        <v>0.78237268518518999</v>
      </c>
      <c r="I414" s="3">
        <v>43272</v>
      </c>
      <c r="J414" s="4">
        <v>0.87410879629630001</v>
      </c>
      <c r="K414" s="2">
        <v>0</v>
      </c>
      <c r="L414" t="s">
        <v>0</v>
      </c>
      <c r="M414" t="s">
        <v>7714</v>
      </c>
      <c r="N414" s="3"/>
      <c r="O414" s="3">
        <v>43274</v>
      </c>
      <c r="P414" t="s">
        <v>6</v>
      </c>
      <c r="Q414" t="s">
        <v>5007</v>
      </c>
      <c r="R414" t="s">
        <v>820</v>
      </c>
      <c r="S414" s="3">
        <v>43284</v>
      </c>
      <c r="T414" t="s">
        <v>7715</v>
      </c>
      <c r="U414" t="s">
        <v>2611</v>
      </c>
      <c r="V414" t="s">
        <v>2612</v>
      </c>
      <c r="W414" t="s">
        <v>2434</v>
      </c>
      <c r="X414" s="2">
        <v>774</v>
      </c>
      <c r="Y414" t="s">
        <v>2</v>
      </c>
      <c r="Z414" t="s">
        <v>3</v>
      </c>
      <c r="AA414" s="5">
        <v>0</v>
      </c>
      <c r="AB414" t="s">
        <v>4</v>
      </c>
      <c r="AL414" t="s">
        <v>8373</v>
      </c>
    </row>
    <row r="415" spans="1:38">
      <c r="A415" t="s">
        <v>3715</v>
      </c>
      <c r="B415" t="s">
        <v>3725</v>
      </c>
      <c r="C415" t="s">
        <v>3726</v>
      </c>
      <c r="D415" t="s">
        <v>3727</v>
      </c>
      <c r="E415" s="2">
        <v>10100</v>
      </c>
      <c r="F415" s="2">
        <v>10100</v>
      </c>
      <c r="G415" s="3">
        <v>43272</v>
      </c>
      <c r="H415" s="4">
        <v>0.91577546296295997</v>
      </c>
      <c r="I415" s="3">
        <v>43273</v>
      </c>
      <c r="J415" s="4">
        <v>0.45949074074073998</v>
      </c>
      <c r="K415" s="2">
        <v>20</v>
      </c>
      <c r="L415" t="s">
        <v>0</v>
      </c>
      <c r="M415" t="s">
        <v>3719</v>
      </c>
      <c r="N415" s="3">
        <v>43304</v>
      </c>
      <c r="O415" s="3">
        <v>43275</v>
      </c>
      <c r="P415" t="s">
        <v>15</v>
      </c>
      <c r="Q415" t="s">
        <v>3728</v>
      </c>
      <c r="R415" t="s">
        <v>820</v>
      </c>
      <c r="S415" s="3">
        <v>43304</v>
      </c>
      <c r="T415" t="s">
        <v>7716</v>
      </c>
      <c r="U415" t="s">
        <v>2486</v>
      </c>
      <c r="V415" t="s">
        <v>3729</v>
      </c>
      <c r="W415" t="s">
        <v>2434</v>
      </c>
      <c r="X415" s="2">
        <v>774</v>
      </c>
      <c r="Y415" t="s">
        <v>2</v>
      </c>
      <c r="Z415" t="s">
        <v>3</v>
      </c>
      <c r="AA415" s="5">
        <v>0</v>
      </c>
      <c r="AB415" t="s">
        <v>4</v>
      </c>
      <c r="AI415" t="s">
        <v>6643</v>
      </c>
      <c r="AL415" t="s">
        <v>8374</v>
      </c>
    </row>
    <row r="416" spans="1:38">
      <c r="A416" t="s">
        <v>3715</v>
      </c>
      <c r="B416" t="s">
        <v>3758</v>
      </c>
      <c r="C416" t="s">
        <v>2739</v>
      </c>
      <c r="D416" t="s">
        <v>2740</v>
      </c>
      <c r="E416" s="2">
        <v>20200</v>
      </c>
      <c r="F416" s="2">
        <v>20200</v>
      </c>
      <c r="G416" s="3">
        <v>43273</v>
      </c>
      <c r="H416" s="4">
        <v>0.48032407407407002</v>
      </c>
      <c r="I416" s="3">
        <v>43274</v>
      </c>
      <c r="J416" s="4">
        <v>0.56774305555556004</v>
      </c>
      <c r="K416" s="2">
        <v>20</v>
      </c>
      <c r="L416" t="s">
        <v>0</v>
      </c>
      <c r="M416" t="s">
        <v>7717</v>
      </c>
      <c r="N416" s="3">
        <v>43280</v>
      </c>
      <c r="O416" s="3">
        <v>43276</v>
      </c>
      <c r="P416" t="s">
        <v>15</v>
      </c>
      <c r="Q416" t="s">
        <v>3759</v>
      </c>
      <c r="R416" t="s">
        <v>820</v>
      </c>
      <c r="S416" s="3">
        <v>43280</v>
      </c>
      <c r="T416" t="s">
        <v>7718</v>
      </c>
      <c r="U416" t="s">
        <v>2649</v>
      </c>
      <c r="V416" t="s">
        <v>2741</v>
      </c>
      <c r="W416" t="s">
        <v>2434</v>
      </c>
      <c r="X416" s="2">
        <v>774</v>
      </c>
      <c r="Y416" t="s">
        <v>2</v>
      </c>
      <c r="Z416" t="s">
        <v>3</v>
      </c>
      <c r="AA416" s="5">
        <v>0</v>
      </c>
      <c r="AB416" t="s">
        <v>4</v>
      </c>
      <c r="AL416" t="s">
        <v>8375</v>
      </c>
    </row>
    <row r="417" spans="1:38">
      <c r="A417" t="s">
        <v>3715</v>
      </c>
      <c r="B417" t="s">
        <v>2681</v>
      </c>
      <c r="C417" t="s">
        <v>139</v>
      </c>
      <c r="D417" t="s">
        <v>140</v>
      </c>
      <c r="E417" s="2">
        <v>10200</v>
      </c>
      <c r="F417" s="2">
        <v>10200</v>
      </c>
      <c r="G417" s="3">
        <v>43274</v>
      </c>
      <c r="H417" s="4">
        <v>0.58857638888888997</v>
      </c>
      <c r="I417" s="3">
        <v>43275</v>
      </c>
      <c r="J417" s="4">
        <v>0.13767361111111001</v>
      </c>
      <c r="K417" s="2">
        <v>0</v>
      </c>
      <c r="L417" t="s">
        <v>0</v>
      </c>
      <c r="M417" t="s">
        <v>5119</v>
      </c>
      <c r="N417" s="3">
        <v>43285</v>
      </c>
      <c r="O417" s="3">
        <v>43277</v>
      </c>
      <c r="P417" t="s">
        <v>13</v>
      </c>
      <c r="Q417" t="s">
        <v>2683</v>
      </c>
      <c r="R417" t="s">
        <v>820</v>
      </c>
      <c r="S417" s="3">
        <v>43285</v>
      </c>
      <c r="T417" t="s">
        <v>7719</v>
      </c>
      <c r="U417" t="s">
        <v>2674</v>
      </c>
      <c r="V417">
        <v>111</v>
      </c>
      <c r="W417" t="s">
        <v>2434</v>
      </c>
      <c r="X417" s="2">
        <v>774</v>
      </c>
      <c r="Y417" t="s">
        <v>2</v>
      </c>
      <c r="Z417" t="s">
        <v>3</v>
      </c>
      <c r="AA417" s="5">
        <v>0</v>
      </c>
      <c r="AB417" t="s">
        <v>4</v>
      </c>
      <c r="AL417" t="s">
        <v>8376</v>
      </c>
    </row>
    <row r="418" spans="1:38">
      <c r="A418" t="s">
        <v>3715</v>
      </c>
      <c r="B418" t="s">
        <v>3738</v>
      </c>
      <c r="C418" t="s">
        <v>2688</v>
      </c>
      <c r="D418" t="s">
        <v>2689</v>
      </c>
      <c r="E418" s="2">
        <v>20400</v>
      </c>
      <c r="F418" s="2">
        <v>20400</v>
      </c>
      <c r="G418" s="3">
        <v>43275</v>
      </c>
      <c r="H418" s="4">
        <v>0.15850694444444</v>
      </c>
      <c r="I418" s="3">
        <v>43276</v>
      </c>
      <c r="J418" s="4">
        <v>0.25670138888888999</v>
      </c>
      <c r="K418" s="2">
        <v>0</v>
      </c>
      <c r="L418" t="s">
        <v>0</v>
      </c>
      <c r="M418" t="s">
        <v>3718</v>
      </c>
      <c r="N418" s="3"/>
      <c r="O418" s="3">
        <v>43278</v>
      </c>
      <c r="P418" t="s">
        <v>13</v>
      </c>
      <c r="Q418" t="s">
        <v>3735</v>
      </c>
      <c r="R418" t="s">
        <v>822</v>
      </c>
      <c r="S418" s="3">
        <v>43277</v>
      </c>
      <c r="T418" t="s">
        <v>7720</v>
      </c>
      <c r="U418" t="s">
        <v>2535</v>
      </c>
      <c r="V418">
        <v>111</v>
      </c>
      <c r="W418" t="s">
        <v>2434</v>
      </c>
      <c r="X418" s="2">
        <v>774</v>
      </c>
      <c r="Y418" t="s">
        <v>2</v>
      </c>
      <c r="Z418" t="s">
        <v>3</v>
      </c>
      <c r="AA418" s="5">
        <v>0</v>
      </c>
      <c r="AB418" t="s">
        <v>4</v>
      </c>
      <c r="AL418" t="s">
        <v>8377</v>
      </c>
    </row>
    <row r="419" spans="1:38">
      <c r="A419" t="s">
        <v>3715</v>
      </c>
      <c r="B419" t="s">
        <v>3734</v>
      </c>
      <c r="C419" t="s">
        <v>2688</v>
      </c>
      <c r="D419" t="s">
        <v>2689</v>
      </c>
      <c r="E419" s="2">
        <v>20400</v>
      </c>
      <c r="F419" s="2">
        <v>20400</v>
      </c>
      <c r="G419" s="3">
        <v>43276</v>
      </c>
      <c r="H419" s="4">
        <v>0.27753472222221998</v>
      </c>
      <c r="I419" s="3">
        <v>43277</v>
      </c>
      <c r="J419" s="4">
        <v>0.37572916666667</v>
      </c>
      <c r="K419" s="2">
        <v>0</v>
      </c>
      <c r="L419" t="s">
        <v>0</v>
      </c>
      <c r="M419" t="s">
        <v>3718</v>
      </c>
      <c r="N419" s="3"/>
      <c r="O419" s="3">
        <v>43279</v>
      </c>
      <c r="P419" t="s">
        <v>13</v>
      </c>
      <c r="Q419" t="s">
        <v>3735</v>
      </c>
      <c r="R419" t="s">
        <v>820</v>
      </c>
      <c r="S419" s="3">
        <v>43280</v>
      </c>
      <c r="T419" t="s">
        <v>7721</v>
      </c>
      <c r="U419" t="s">
        <v>2535</v>
      </c>
      <c r="V419">
        <v>111</v>
      </c>
      <c r="W419" t="s">
        <v>2434</v>
      </c>
      <c r="X419" s="2">
        <v>774</v>
      </c>
      <c r="Y419" t="s">
        <v>2</v>
      </c>
      <c r="Z419" t="s">
        <v>3</v>
      </c>
      <c r="AA419" s="5">
        <v>0</v>
      </c>
      <c r="AB419" t="s">
        <v>4</v>
      </c>
      <c r="AL419" t="s">
        <v>8378</v>
      </c>
    </row>
    <row r="420" spans="1:38">
      <c r="A420" t="s">
        <v>3715</v>
      </c>
      <c r="B420" t="s">
        <v>7722</v>
      </c>
      <c r="C420" t="s">
        <v>2688</v>
      </c>
      <c r="D420" t="s">
        <v>2689</v>
      </c>
      <c r="E420" s="2">
        <v>20000</v>
      </c>
      <c r="F420" s="2">
        <v>20000</v>
      </c>
      <c r="G420" s="3">
        <v>43277</v>
      </c>
      <c r="H420" s="4">
        <v>0.39656249999999998</v>
      </c>
      <c r="I420" s="3">
        <v>43278</v>
      </c>
      <c r="J420" s="4">
        <v>0.47321759259259</v>
      </c>
      <c r="K420" s="2">
        <v>0</v>
      </c>
      <c r="L420" t="s">
        <v>0</v>
      </c>
      <c r="M420" t="s">
        <v>3723</v>
      </c>
      <c r="N420" s="3">
        <v>43282</v>
      </c>
      <c r="O420" s="3">
        <v>43280</v>
      </c>
      <c r="P420" t="s">
        <v>13</v>
      </c>
      <c r="Q420" t="s">
        <v>1</v>
      </c>
      <c r="R420" t="s">
        <v>821</v>
      </c>
      <c r="S420" s="3">
        <v>43313</v>
      </c>
      <c r="T420" t="s">
        <v>7723</v>
      </c>
      <c r="U420" t="s">
        <v>2535</v>
      </c>
      <c r="V420">
        <v>111</v>
      </c>
      <c r="W420" t="s">
        <v>2434</v>
      </c>
      <c r="X420" s="2">
        <v>774</v>
      </c>
      <c r="Y420" t="s">
        <v>2</v>
      </c>
      <c r="Z420" t="s">
        <v>3</v>
      </c>
      <c r="AA420" s="5">
        <v>0</v>
      </c>
      <c r="AB420" t="s">
        <v>17</v>
      </c>
      <c r="AL420" t="s">
        <v>8379</v>
      </c>
    </row>
    <row r="421" spans="1:38">
      <c r="A421" t="s">
        <v>3715</v>
      </c>
      <c r="B421" t="s">
        <v>7724</v>
      </c>
      <c r="C421" t="s">
        <v>3716</v>
      </c>
      <c r="D421" t="s">
        <v>3717</v>
      </c>
      <c r="E421" s="2">
        <v>20000</v>
      </c>
      <c r="F421" s="2">
        <v>20000</v>
      </c>
      <c r="G421" s="3">
        <v>43278</v>
      </c>
      <c r="H421" s="4">
        <v>0.49405092592592997</v>
      </c>
      <c r="I421" s="3">
        <v>43279</v>
      </c>
      <c r="J421" s="4">
        <v>0.57070601851851999</v>
      </c>
      <c r="K421" s="2">
        <v>0</v>
      </c>
      <c r="L421" t="s">
        <v>0</v>
      </c>
      <c r="M421" t="s">
        <v>3723</v>
      </c>
      <c r="N421" s="3"/>
      <c r="O421" s="3">
        <v>43281</v>
      </c>
      <c r="P421" t="s">
        <v>15</v>
      </c>
      <c r="Q421" t="s">
        <v>1</v>
      </c>
      <c r="R421" t="s">
        <v>819</v>
      </c>
      <c r="S421" s="3"/>
      <c r="T421" t="s">
        <v>7725</v>
      </c>
      <c r="U421" t="s">
        <v>2486</v>
      </c>
      <c r="V421">
        <v>111</v>
      </c>
      <c r="W421" t="s">
        <v>2434</v>
      </c>
      <c r="X421" s="2">
        <v>774</v>
      </c>
      <c r="Y421" t="s">
        <v>2</v>
      </c>
      <c r="Z421" t="s">
        <v>3</v>
      </c>
      <c r="AA421" s="5">
        <v>0</v>
      </c>
      <c r="AB421" t="s">
        <v>17</v>
      </c>
      <c r="AL421" t="s">
        <v>8380</v>
      </c>
    </row>
    <row r="422" spans="1:38">
      <c r="A422" t="s">
        <v>3715</v>
      </c>
      <c r="B422" t="s">
        <v>7726</v>
      </c>
      <c r="C422" t="s">
        <v>1497</v>
      </c>
      <c r="D422" t="s">
        <v>1498</v>
      </c>
      <c r="E422" s="2">
        <v>20000</v>
      </c>
      <c r="F422" s="2">
        <v>20000</v>
      </c>
      <c r="G422" s="3">
        <v>43280</v>
      </c>
      <c r="H422" s="4">
        <v>0.92334490740741004</v>
      </c>
      <c r="I422" s="3">
        <v>43282</v>
      </c>
      <c r="J422" s="4">
        <v>0</v>
      </c>
      <c r="K422" s="2">
        <v>2</v>
      </c>
      <c r="L422" t="s">
        <v>0</v>
      </c>
      <c r="M422" t="s">
        <v>3723</v>
      </c>
      <c r="N422" s="3">
        <v>43271</v>
      </c>
      <c r="O422" s="3">
        <v>43285</v>
      </c>
      <c r="P422" t="s">
        <v>13</v>
      </c>
      <c r="Q422" t="s">
        <v>1</v>
      </c>
      <c r="R422" t="s">
        <v>819</v>
      </c>
      <c r="S422" s="3"/>
      <c r="U422" t="s">
        <v>2649</v>
      </c>
      <c r="V422" t="s">
        <v>2650</v>
      </c>
      <c r="W422" t="s">
        <v>2434</v>
      </c>
      <c r="X422" s="2">
        <v>0</v>
      </c>
      <c r="Y422" t="s">
        <v>2</v>
      </c>
      <c r="Z422" t="s">
        <v>3</v>
      </c>
      <c r="AA422" s="5">
        <v>0</v>
      </c>
      <c r="AB422" t="s">
        <v>30</v>
      </c>
      <c r="AL422" t="s">
        <v>8602</v>
      </c>
    </row>
    <row r="423" spans="1:38">
      <c r="A423" t="s">
        <v>3715</v>
      </c>
      <c r="B423" t="s">
        <v>5120</v>
      </c>
      <c r="C423" t="s">
        <v>5121</v>
      </c>
      <c r="D423" t="s">
        <v>5122</v>
      </c>
      <c r="E423" s="2">
        <v>4450</v>
      </c>
      <c r="F423" s="2">
        <v>4450</v>
      </c>
      <c r="G423" s="3">
        <v>43288</v>
      </c>
      <c r="H423" s="4">
        <v>0.20833333333333001</v>
      </c>
      <c r="I423" s="3">
        <v>43288</v>
      </c>
      <c r="J423" s="4">
        <v>0.44789351851852</v>
      </c>
      <c r="K423" s="2">
        <v>0</v>
      </c>
      <c r="L423" t="s">
        <v>0</v>
      </c>
      <c r="M423" t="s">
        <v>5123</v>
      </c>
      <c r="N423" s="3">
        <v>43291</v>
      </c>
      <c r="O423" s="3">
        <v>43290</v>
      </c>
      <c r="P423" t="s">
        <v>9</v>
      </c>
      <c r="Q423" t="s">
        <v>5124</v>
      </c>
      <c r="R423" t="s">
        <v>820</v>
      </c>
      <c r="S423" s="3">
        <v>43291</v>
      </c>
      <c r="T423" t="s">
        <v>7727</v>
      </c>
      <c r="U423" t="s">
        <v>3615</v>
      </c>
      <c r="V423" t="s">
        <v>5125</v>
      </c>
      <c r="W423" t="s">
        <v>2434</v>
      </c>
      <c r="X423" s="2">
        <v>774</v>
      </c>
      <c r="Y423" t="s">
        <v>2</v>
      </c>
      <c r="Z423" t="s">
        <v>3</v>
      </c>
      <c r="AA423" s="5">
        <v>0</v>
      </c>
      <c r="AB423" t="s">
        <v>17</v>
      </c>
      <c r="AI423" t="s">
        <v>6643</v>
      </c>
      <c r="AL423" t="s">
        <v>8381</v>
      </c>
    </row>
    <row r="424" spans="1:38">
      <c r="A424" t="s">
        <v>3715</v>
      </c>
      <c r="B424" t="s">
        <v>5792</v>
      </c>
      <c r="C424" t="s">
        <v>137</v>
      </c>
      <c r="D424" t="s">
        <v>138</v>
      </c>
      <c r="E424" s="2">
        <v>20000</v>
      </c>
      <c r="F424" s="2">
        <v>20000</v>
      </c>
      <c r="G424" s="3">
        <v>43288</v>
      </c>
      <c r="H424" s="4">
        <v>0.92334490740741004</v>
      </c>
      <c r="I424" s="3">
        <v>43290</v>
      </c>
      <c r="J424" s="4">
        <v>0</v>
      </c>
      <c r="K424" s="2">
        <v>0</v>
      </c>
      <c r="L424" t="s">
        <v>0</v>
      </c>
      <c r="M424" t="s">
        <v>3723</v>
      </c>
      <c r="N424" s="3">
        <v>43292</v>
      </c>
      <c r="O424" s="3">
        <v>43291</v>
      </c>
      <c r="P424" t="s">
        <v>13</v>
      </c>
      <c r="Q424" t="s">
        <v>1</v>
      </c>
      <c r="R424" t="s">
        <v>821</v>
      </c>
      <c r="S424" s="3">
        <v>43344</v>
      </c>
      <c r="T424" t="s">
        <v>1</v>
      </c>
      <c r="U424" t="s">
        <v>2702</v>
      </c>
      <c r="V424">
        <v>111</v>
      </c>
      <c r="W424" t="s">
        <v>2434</v>
      </c>
      <c r="X424" s="2">
        <v>0</v>
      </c>
      <c r="Y424" t="s">
        <v>2</v>
      </c>
      <c r="Z424" t="s">
        <v>3</v>
      </c>
      <c r="AA424" s="5">
        <v>0</v>
      </c>
      <c r="AB424" t="s">
        <v>29</v>
      </c>
      <c r="AL424" t="s">
        <v>8382</v>
      </c>
    </row>
    <row r="425" spans="1:38">
      <c r="A425" t="s">
        <v>3715</v>
      </c>
      <c r="B425" t="s">
        <v>7728</v>
      </c>
      <c r="C425" t="s">
        <v>4070</v>
      </c>
      <c r="D425" t="s">
        <v>4071</v>
      </c>
      <c r="E425" s="2">
        <v>20000</v>
      </c>
      <c r="F425" s="2">
        <v>20000</v>
      </c>
      <c r="G425" s="3">
        <v>43293</v>
      </c>
      <c r="H425" s="4">
        <v>0.82585648148148005</v>
      </c>
      <c r="I425" s="3">
        <v>43294</v>
      </c>
      <c r="J425" s="4">
        <v>0.90251157407407001</v>
      </c>
      <c r="K425" s="2">
        <v>0</v>
      </c>
      <c r="L425" t="s">
        <v>0</v>
      </c>
      <c r="M425" t="s">
        <v>3723</v>
      </c>
      <c r="N425" s="3">
        <v>43290</v>
      </c>
      <c r="O425" s="3">
        <v>43296</v>
      </c>
      <c r="P425" t="s">
        <v>3720</v>
      </c>
      <c r="Q425" t="s">
        <v>1</v>
      </c>
      <c r="R425" t="s">
        <v>821</v>
      </c>
      <c r="S425" s="3">
        <v>43288</v>
      </c>
      <c r="T425" t="s">
        <v>1</v>
      </c>
      <c r="U425">
        <v>357</v>
      </c>
      <c r="V425" t="s">
        <v>2437</v>
      </c>
      <c r="W425" t="s">
        <v>2434</v>
      </c>
      <c r="X425" s="2">
        <v>0</v>
      </c>
      <c r="Y425" t="s">
        <v>2</v>
      </c>
      <c r="Z425" t="s">
        <v>3</v>
      </c>
      <c r="AA425" s="5">
        <v>0</v>
      </c>
      <c r="AB425" t="s">
        <v>29</v>
      </c>
      <c r="AI425" t="s">
        <v>6643</v>
      </c>
      <c r="AL425" t="s">
        <v>8383</v>
      </c>
    </row>
    <row r="426" spans="1:38">
      <c r="A426" t="s">
        <v>3760</v>
      </c>
      <c r="B426" t="s">
        <v>3801</v>
      </c>
      <c r="C426" t="s">
        <v>3802</v>
      </c>
      <c r="D426" t="s">
        <v>3803</v>
      </c>
      <c r="E426" s="2">
        <v>1200</v>
      </c>
      <c r="F426" s="2">
        <v>20200</v>
      </c>
      <c r="G426" s="3">
        <v>43271</v>
      </c>
      <c r="H426" s="4">
        <v>0.78741898148148004</v>
      </c>
      <c r="I426" s="3">
        <v>43272</v>
      </c>
      <c r="J426" s="4">
        <v>0.88476851851852001</v>
      </c>
      <c r="K426" s="2">
        <v>20</v>
      </c>
      <c r="L426" t="s">
        <v>0</v>
      </c>
      <c r="M426" t="s">
        <v>3767</v>
      </c>
      <c r="N426" s="3">
        <v>43286</v>
      </c>
      <c r="O426" s="3">
        <v>43274</v>
      </c>
      <c r="P426" t="s">
        <v>3150</v>
      </c>
      <c r="Q426" t="s">
        <v>3804</v>
      </c>
      <c r="R426" t="s">
        <v>820</v>
      </c>
      <c r="S426" s="3">
        <v>43286</v>
      </c>
      <c r="T426" t="s">
        <v>7729</v>
      </c>
      <c r="U426">
        <v>1731</v>
      </c>
      <c r="V426" t="s">
        <v>2437</v>
      </c>
      <c r="W426" t="s">
        <v>2434</v>
      </c>
      <c r="X426" s="2">
        <v>767</v>
      </c>
      <c r="Y426" t="s">
        <v>2</v>
      </c>
      <c r="Z426" t="s">
        <v>3</v>
      </c>
      <c r="AA426" s="5">
        <v>0</v>
      </c>
      <c r="AB426" t="s">
        <v>4</v>
      </c>
      <c r="AL426" t="s">
        <v>8384</v>
      </c>
    </row>
    <row r="427" spans="1:38">
      <c r="A427" t="s">
        <v>3760</v>
      </c>
      <c r="B427" t="s">
        <v>3787</v>
      </c>
      <c r="C427" t="s">
        <v>3788</v>
      </c>
      <c r="D427" t="s">
        <v>3789</v>
      </c>
      <c r="E427" s="5">
        <v>3047.7</v>
      </c>
      <c r="F427" s="5">
        <v>3047.7</v>
      </c>
      <c r="G427" s="3">
        <v>43272</v>
      </c>
      <c r="H427" s="4">
        <v>0.90560185185185005</v>
      </c>
      <c r="I427" s="3">
        <v>43273</v>
      </c>
      <c r="J427" s="4">
        <v>7.1168981481480001E-2</v>
      </c>
      <c r="K427" s="2">
        <v>20</v>
      </c>
      <c r="L427" t="s">
        <v>0</v>
      </c>
      <c r="M427" t="s">
        <v>7092</v>
      </c>
      <c r="N427" s="3">
        <v>43284</v>
      </c>
      <c r="O427" s="3">
        <v>43275</v>
      </c>
      <c r="P427" t="s">
        <v>3150</v>
      </c>
      <c r="Q427" t="s">
        <v>3790</v>
      </c>
      <c r="R427" t="s">
        <v>820</v>
      </c>
      <c r="S427" s="3">
        <v>43284</v>
      </c>
      <c r="T427" t="s">
        <v>7730</v>
      </c>
      <c r="U427" t="s">
        <v>3337</v>
      </c>
      <c r="V427" t="s">
        <v>2437</v>
      </c>
      <c r="W427" t="s">
        <v>2434</v>
      </c>
      <c r="X427" s="2">
        <v>767</v>
      </c>
      <c r="Y427" t="s">
        <v>2</v>
      </c>
      <c r="Z427" t="s">
        <v>3</v>
      </c>
      <c r="AA427" s="5">
        <v>0</v>
      </c>
      <c r="AB427" t="s">
        <v>4</v>
      </c>
      <c r="AL427" t="s">
        <v>8385</v>
      </c>
    </row>
    <row r="428" spans="1:38">
      <c r="A428" t="s">
        <v>3760</v>
      </c>
      <c r="B428" t="s">
        <v>3791</v>
      </c>
      <c r="C428" t="s">
        <v>3792</v>
      </c>
      <c r="D428" t="s">
        <v>3793</v>
      </c>
      <c r="E428" s="2">
        <v>10100</v>
      </c>
      <c r="F428" s="2">
        <v>10100</v>
      </c>
      <c r="G428" s="3">
        <v>43273</v>
      </c>
      <c r="H428" s="4">
        <v>9.2002314814809999E-2</v>
      </c>
      <c r="I428" s="3">
        <v>43273</v>
      </c>
      <c r="J428" s="4">
        <v>0.64067129629630004</v>
      </c>
      <c r="K428" s="2">
        <v>20</v>
      </c>
      <c r="L428" t="s">
        <v>0</v>
      </c>
      <c r="M428" t="s">
        <v>3853</v>
      </c>
      <c r="N428" s="3">
        <v>43298</v>
      </c>
      <c r="O428" s="3">
        <v>43275</v>
      </c>
      <c r="P428" t="s">
        <v>167</v>
      </c>
      <c r="Q428" t="s">
        <v>3794</v>
      </c>
      <c r="R428" t="s">
        <v>820</v>
      </c>
      <c r="S428" s="3">
        <v>43298</v>
      </c>
      <c r="T428" t="s">
        <v>7731</v>
      </c>
      <c r="U428">
        <v>420</v>
      </c>
      <c r="V428" t="s">
        <v>2437</v>
      </c>
      <c r="W428" t="s">
        <v>2434</v>
      </c>
      <c r="X428" s="2">
        <v>767</v>
      </c>
      <c r="Y428" t="s">
        <v>2</v>
      </c>
      <c r="Z428" t="s">
        <v>3</v>
      </c>
      <c r="AA428" s="5">
        <v>0</v>
      </c>
      <c r="AB428" t="s">
        <v>4</v>
      </c>
      <c r="AL428" t="s">
        <v>8386</v>
      </c>
    </row>
    <row r="429" spans="1:38">
      <c r="A429" t="s">
        <v>3760</v>
      </c>
      <c r="B429" t="s">
        <v>4025</v>
      </c>
      <c r="C429" t="s">
        <v>4026</v>
      </c>
      <c r="D429" t="s">
        <v>4027</v>
      </c>
      <c r="E429" s="2">
        <v>5100</v>
      </c>
      <c r="F429" s="2">
        <v>5100</v>
      </c>
      <c r="G429" s="3">
        <v>43273</v>
      </c>
      <c r="H429" s="4">
        <v>0.72400462962962997</v>
      </c>
      <c r="I429" s="3">
        <v>43274</v>
      </c>
      <c r="J429" s="4">
        <v>1.0532407407399999E-3</v>
      </c>
      <c r="K429" s="2">
        <v>0</v>
      </c>
      <c r="L429" t="s">
        <v>0</v>
      </c>
      <c r="M429" t="s">
        <v>7091</v>
      </c>
      <c r="N429" s="3">
        <v>43287</v>
      </c>
      <c r="O429" s="3">
        <v>43276</v>
      </c>
      <c r="P429" t="s">
        <v>20</v>
      </c>
      <c r="Q429" t="s">
        <v>4028</v>
      </c>
      <c r="R429" t="s">
        <v>820</v>
      </c>
      <c r="S429" s="3">
        <v>43287</v>
      </c>
      <c r="T429" t="s">
        <v>7732</v>
      </c>
      <c r="U429" t="s">
        <v>2642</v>
      </c>
      <c r="V429" t="s">
        <v>4029</v>
      </c>
      <c r="W429" t="s">
        <v>2434</v>
      </c>
      <c r="X429" s="2">
        <v>767</v>
      </c>
      <c r="Y429" t="s">
        <v>2</v>
      </c>
      <c r="Z429" t="s">
        <v>3</v>
      </c>
      <c r="AA429" s="5">
        <v>0</v>
      </c>
      <c r="AB429" t="s">
        <v>4</v>
      </c>
      <c r="AI429" t="s">
        <v>6643</v>
      </c>
      <c r="AL429" t="s">
        <v>8387</v>
      </c>
    </row>
    <row r="430" spans="1:38">
      <c r="A430" t="s">
        <v>3760</v>
      </c>
      <c r="B430" t="s">
        <v>3795</v>
      </c>
      <c r="C430" t="s">
        <v>3796</v>
      </c>
      <c r="D430" t="s">
        <v>3797</v>
      </c>
      <c r="E430" s="2">
        <v>4072</v>
      </c>
      <c r="F430" s="2">
        <v>4072</v>
      </c>
      <c r="G430" s="3">
        <v>43274</v>
      </c>
      <c r="H430" s="4">
        <v>2.1886574074069999E-2</v>
      </c>
      <c r="I430" s="3">
        <v>43274</v>
      </c>
      <c r="J430" s="4">
        <v>0.24309027777778</v>
      </c>
      <c r="K430" s="2">
        <v>20</v>
      </c>
      <c r="L430" t="s">
        <v>0</v>
      </c>
      <c r="M430" t="s">
        <v>7090</v>
      </c>
      <c r="N430" s="3">
        <v>43294</v>
      </c>
      <c r="O430" s="3">
        <v>43276</v>
      </c>
      <c r="P430" t="s">
        <v>13</v>
      </c>
      <c r="Q430" t="s">
        <v>3799</v>
      </c>
      <c r="R430" t="s">
        <v>820</v>
      </c>
      <c r="S430" s="3">
        <v>43294</v>
      </c>
      <c r="T430" t="s">
        <v>7733</v>
      </c>
      <c r="U430" t="s">
        <v>3316</v>
      </c>
      <c r="V430" t="s">
        <v>3800</v>
      </c>
      <c r="W430" t="s">
        <v>2434</v>
      </c>
      <c r="X430" s="2">
        <v>767</v>
      </c>
      <c r="Y430" t="s">
        <v>2</v>
      </c>
      <c r="Z430" t="s">
        <v>3</v>
      </c>
      <c r="AA430" s="5">
        <v>0</v>
      </c>
      <c r="AB430" t="s">
        <v>4</v>
      </c>
      <c r="AI430" t="s">
        <v>6643</v>
      </c>
      <c r="AL430" t="s">
        <v>8388</v>
      </c>
    </row>
    <row r="431" spans="1:38">
      <c r="A431" t="s">
        <v>3760</v>
      </c>
      <c r="B431" t="s">
        <v>3934</v>
      </c>
      <c r="C431" t="s">
        <v>3768</v>
      </c>
      <c r="D431" t="s">
        <v>3769</v>
      </c>
      <c r="E431" s="2">
        <v>20316</v>
      </c>
      <c r="F431" s="2">
        <v>20316</v>
      </c>
      <c r="G431" s="3">
        <v>43274</v>
      </c>
      <c r="H431" s="4">
        <v>0.26392361111111001</v>
      </c>
      <c r="I431" s="3">
        <v>43275</v>
      </c>
      <c r="J431" s="4">
        <v>0.36756944444444001</v>
      </c>
      <c r="K431" s="2">
        <v>20</v>
      </c>
      <c r="L431" t="s">
        <v>0</v>
      </c>
      <c r="M431" t="s">
        <v>5127</v>
      </c>
      <c r="N431" s="3">
        <v>43293</v>
      </c>
      <c r="O431" s="3">
        <v>43277</v>
      </c>
      <c r="P431" t="s">
        <v>22</v>
      </c>
      <c r="Q431" t="s">
        <v>3935</v>
      </c>
      <c r="R431" t="s">
        <v>820</v>
      </c>
      <c r="S431" s="3">
        <v>43293</v>
      </c>
      <c r="T431" t="s">
        <v>7734</v>
      </c>
      <c r="U431" t="s">
        <v>3772</v>
      </c>
      <c r="V431" t="s">
        <v>3773</v>
      </c>
      <c r="W431" t="s">
        <v>2434</v>
      </c>
      <c r="X431" s="2">
        <v>767</v>
      </c>
      <c r="Y431" t="s">
        <v>2</v>
      </c>
      <c r="Z431" t="s">
        <v>3</v>
      </c>
      <c r="AA431" s="5">
        <v>0</v>
      </c>
      <c r="AB431" t="s">
        <v>4</v>
      </c>
      <c r="AI431" t="s">
        <v>6643</v>
      </c>
      <c r="AL431" t="s">
        <v>8389</v>
      </c>
    </row>
    <row r="432" spans="1:38">
      <c r="A432" t="s">
        <v>3760</v>
      </c>
      <c r="B432" t="s">
        <v>3807</v>
      </c>
      <c r="C432" t="s">
        <v>3768</v>
      </c>
      <c r="D432" t="s">
        <v>3769</v>
      </c>
      <c r="E432" s="2">
        <v>20316</v>
      </c>
      <c r="F432" s="2">
        <v>20316</v>
      </c>
      <c r="G432" s="3">
        <v>43275</v>
      </c>
      <c r="H432" s="4">
        <v>0.38840277777777998</v>
      </c>
      <c r="I432" s="3">
        <v>43276</v>
      </c>
      <c r="J432" s="4">
        <v>0.49204861111110998</v>
      </c>
      <c r="K432" s="2">
        <v>20</v>
      </c>
      <c r="L432" t="s">
        <v>0</v>
      </c>
      <c r="M432" t="s">
        <v>5127</v>
      </c>
      <c r="N432" s="3">
        <v>43293</v>
      </c>
      <c r="O432" s="3">
        <v>43278</v>
      </c>
      <c r="P432" t="s">
        <v>22</v>
      </c>
      <c r="Q432" t="s">
        <v>3808</v>
      </c>
      <c r="R432" t="s">
        <v>820</v>
      </c>
      <c r="S432" s="3">
        <v>43293</v>
      </c>
      <c r="T432" t="s">
        <v>7735</v>
      </c>
      <c r="U432" t="s">
        <v>3772</v>
      </c>
      <c r="V432" t="s">
        <v>3773</v>
      </c>
      <c r="W432" t="s">
        <v>2434</v>
      </c>
      <c r="X432" s="2">
        <v>767</v>
      </c>
      <c r="Y432" t="s">
        <v>2</v>
      </c>
      <c r="Z432" t="s">
        <v>3</v>
      </c>
      <c r="AA432" s="5">
        <v>0</v>
      </c>
      <c r="AB432" t="s">
        <v>4</v>
      </c>
      <c r="AI432" t="s">
        <v>6643</v>
      </c>
      <c r="AL432" t="s">
        <v>8390</v>
      </c>
    </row>
    <row r="433" spans="1:38">
      <c r="A433" t="s">
        <v>3760</v>
      </c>
      <c r="B433" t="s">
        <v>3809</v>
      </c>
      <c r="C433" t="s">
        <v>3768</v>
      </c>
      <c r="D433" t="s">
        <v>3769</v>
      </c>
      <c r="E433" s="2">
        <v>20316</v>
      </c>
      <c r="F433" s="2">
        <v>20316</v>
      </c>
      <c r="G433" s="3">
        <v>43276</v>
      </c>
      <c r="H433" s="4">
        <v>0.51288194444444002</v>
      </c>
      <c r="I433" s="3">
        <v>43277</v>
      </c>
      <c r="J433" s="4">
        <v>0.61652777777778001</v>
      </c>
      <c r="K433" s="2">
        <v>20</v>
      </c>
      <c r="L433" t="s">
        <v>0</v>
      </c>
      <c r="M433" t="s">
        <v>5127</v>
      </c>
      <c r="N433" s="3">
        <v>43292</v>
      </c>
      <c r="O433" s="3">
        <v>43279</v>
      </c>
      <c r="P433" t="s">
        <v>22</v>
      </c>
      <c r="Q433" t="s">
        <v>3771</v>
      </c>
      <c r="R433" t="s">
        <v>823</v>
      </c>
      <c r="S433" s="3">
        <v>43292</v>
      </c>
      <c r="T433" t="s">
        <v>7736</v>
      </c>
      <c r="U433" t="s">
        <v>3772</v>
      </c>
      <c r="V433" t="s">
        <v>3773</v>
      </c>
      <c r="W433" t="s">
        <v>2434</v>
      </c>
      <c r="X433" s="2">
        <v>767</v>
      </c>
      <c r="Y433" t="s">
        <v>2</v>
      </c>
      <c r="Z433" t="s">
        <v>3</v>
      </c>
      <c r="AA433" s="5">
        <v>0</v>
      </c>
      <c r="AB433" t="s">
        <v>4</v>
      </c>
      <c r="AI433" t="s">
        <v>6643</v>
      </c>
      <c r="AL433" t="s">
        <v>8391</v>
      </c>
    </row>
    <row r="434" spans="1:38">
      <c r="A434" t="s">
        <v>3760</v>
      </c>
      <c r="B434" t="s">
        <v>3805</v>
      </c>
      <c r="C434" t="s">
        <v>3768</v>
      </c>
      <c r="D434" t="s">
        <v>3769</v>
      </c>
      <c r="E434" s="2">
        <v>20316</v>
      </c>
      <c r="F434" s="2">
        <v>20316</v>
      </c>
      <c r="G434" s="3">
        <v>43277</v>
      </c>
      <c r="H434" s="4">
        <v>0.63736111111111005</v>
      </c>
      <c r="I434" s="3">
        <v>43278</v>
      </c>
      <c r="J434" s="4">
        <v>0.74100694444444004</v>
      </c>
      <c r="K434" s="2">
        <v>20</v>
      </c>
      <c r="L434" t="s">
        <v>0</v>
      </c>
      <c r="M434" t="s">
        <v>5127</v>
      </c>
      <c r="N434" s="3">
        <v>43293</v>
      </c>
      <c r="O434" s="3">
        <v>43280</v>
      </c>
      <c r="P434" t="s">
        <v>22</v>
      </c>
      <c r="Q434" t="s">
        <v>3806</v>
      </c>
      <c r="R434" t="s">
        <v>820</v>
      </c>
      <c r="S434" s="3">
        <v>43293</v>
      </c>
      <c r="T434" t="s">
        <v>7737</v>
      </c>
      <c r="U434" t="s">
        <v>3772</v>
      </c>
      <c r="V434" t="s">
        <v>3773</v>
      </c>
      <c r="W434" t="s">
        <v>2434</v>
      </c>
      <c r="X434" s="2">
        <v>767</v>
      </c>
      <c r="Y434" t="s">
        <v>2</v>
      </c>
      <c r="Z434" t="s">
        <v>3</v>
      </c>
      <c r="AA434" s="5">
        <v>0</v>
      </c>
      <c r="AB434" t="s">
        <v>4</v>
      </c>
      <c r="AI434" t="s">
        <v>6643</v>
      </c>
      <c r="AL434" t="s">
        <v>8392</v>
      </c>
    </row>
    <row r="435" spans="1:38">
      <c r="A435" t="s">
        <v>3760</v>
      </c>
      <c r="B435" t="s">
        <v>5128</v>
      </c>
      <c r="C435" t="s">
        <v>3774</v>
      </c>
      <c r="D435" t="s">
        <v>3775</v>
      </c>
      <c r="E435" s="2">
        <v>20000</v>
      </c>
      <c r="F435" s="2">
        <v>20000</v>
      </c>
      <c r="G435" s="3">
        <v>43278</v>
      </c>
      <c r="H435" s="4">
        <v>0.91666666666666996</v>
      </c>
      <c r="I435" s="3">
        <v>43280</v>
      </c>
      <c r="J435" s="4">
        <v>3.14814814815E-3</v>
      </c>
      <c r="K435" s="2">
        <v>0</v>
      </c>
      <c r="L435" t="s">
        <v>0</v>
      </c>
      <c r="M435" t="s">
        <v>3770</v>
      </c>
      <c r="N435" s="3"/>
      <c r="O435" s="3">
        <v>43282</v>
      </c>
      <c r="P435" t="s">
        <v>3776</v>
      </c>
      <c r="Q435" t="s">
        <v>3777</v>
      </c>
      <c r="R435" t="s">
        <v>820</v>
      </c>
      <c r="S435" s="3">
        <v>43283</v>
      </c>
      <c r="T435" t="s">
        <v>7738</v>
      </c>
      <c r="U435" t="s">
        <v>3151</v>
      </c>
      <c r="V435" t="s">
        <v>3778</v>
      </c>
      <c r="W435" t="s">
        <v>2434</v>
      </c>
      <c r="X435" s="2">
        <v>767</v>
      </c>
      <c r="Y435" t="s">
        <v>2</v>
      </c>
      <c r="Z435" t="s">
        <v>3</v>
      </c>
      <c r="AA435" s="5">
        <v>0</v>
      </c>
      <c r="AB435" t="s">
        <v>17</v>
      </c>
      <c r="AI435" t="s">
        <v>6643</v>
      </c>
      <c r="AL435" t="s">
        <v>8393</v>
      </c>
    </row>
    <row r="436" spans="1:38">
      <c r="A436" t="s">
        <v>3760</v>
      </c>
      <c r="B436" t="s">
        <v>5129</v>
      </c>
      <c r="C436" t="s">
        <v>3774</v>
      </c>
      <c r="D436" t="s">
        <v>3775</v>
      </c>
      <c r="E436" s="2">
        <v>10000</v>
      </c>
      <c r="F436" s="2">
        <v>10000</v>
      </c>
      <c r="G436" s="3">
        <v>43280</v>
      </c>
      <c r="H436" s="4">
        <v>0.125</v>
      </c>
      <c r="I436" s="3">
        <v>43280</v>
      </c>
      <c r="J436" s="4">
        <v>0.66824074074074002</v>
      </c>
      <c r="K436" s="2">
        <v>0</v>
      </c>
      <c r="L436" t="s">
        <v>0</v>
      </c>
      <c r="M436" t="s">
        <v>3763</v>
      </c>
      <c r="N436" s="3"/>
      <c r="O436" s="3">
        <v>43282</v>
      </c>
      <c r="P436" t="s">
        <v>3776</v>
      </c>
      <c r="Q436" t="s">
        <v>3777</v>
      </c>
      <c r="R436" t="s">
        <v>822</v>
      </c>
      <c r="S436" s="3">
        <v>43283</v>
      </c>
      <c r="T436" t="s">
        <v>7739</v>
      </c>
      <c r="U436" t="s">
        <v>3151</v>
      </c>
      <c r="V436" t="s">
        <v>3778</v>
      </c>
      <c r="W436" t="s">
        <v>2434</v>
      </c>
      <c r="X436" s="2">
        <v>767</v>
      </c>
      <c r="Y436" t="s">
        <v>2</v>
      </c>
      <c r="Z436" t="s">
        <v>3</v>
      </c>
      <c r="AA436" s="5">
        <v>0</v>
      </c>
      <c r="AB436" t="s">
        <v>17</v>
      </c>
      <c r="AI436" t="s">
        <v>6643</v>
      </c>
      <c r="AL436" t="s">
        <v>8394</v>
      </c>
    </row>
    <row r="437" spans="1:38">
      <c r="A437" t="s">
        <v>3760</v>
      </c>
      <c r="B437" t="s">
        <v>7093</v>
      </c>
      <c r="C437" t="s">
        <v>3761</v>
      </c>
      <c r="D437" t="s">
        <v>3762</v>
      </c>
      <c r="E437" s="2">
        <v>10000</v>
      </c>
      <c r="F437" s="2">
        <v>10000</v>
      </c>
      <c r="G437" s="3">
        <v>43287</v>
      </c>
      <c r="H437" s="4">
        <v>0.41539351851852002</v>
      </c>
      <c r="I437" s="3">
        <v>43287</v>
      </c>
      <c r="J437" s="4">
        <v>0.95863425925926005</v>
      </c>
      <c r="K437" s="2">
        <v>0</v>
      </c>
      <c r="L437" t="s">
        <v>0</v>
      </c>
      <c r="M437" t="s">
        <v>3763</v>
      </c>
      <c r="N437" s="3">
        <v>43301</v>
      </c>
      <c r="O437" s="3">
        <v>43289</v>
      </c>
      <c r="P437" t="s">
        <v>3764</v>
      </c>
      <c r="Q437" t="s">
        <v>7094</v>
      </c>
      <c r="R437" t="s">
        <v>820</v>
      </c>
      <c r="S437" s="3">
        <v>43301</v>
      </c>
      <c r="T437" t="s">
        <v>7740</v>
      </c>
      <c r="U437" t="s">
        <v>3151</v>
      </c>
      <c r="V437">
        <v>1001</v>
      </c>
      <c r="W437" t="s">
        <v>2434</v>
      </c>
      <c r="X437" s="2">
        <v>767</v>
      </c>
      <c r="Y437" t="s">
        <v>2</v>
      </c>
      <c r="Z437" t="s">
        <v>3</v>
      </c>
      <c r="AA437" s="5">
        <v>0</v>
      </c>
      <c r="AB437" t="s">
        <v>17</v>
      </c>
      <c r="AL437" t="s">
        <v>8395</v>
      </c>
    </row>
    <row r="438" spans="1:38">
      <c r="A438" t="s">
        <v>3760</v>
      </c>
      <c r="B438" t="s">
        <v>3812</v>
      </c>
      <c r="C438" t="s">
        <v>3813</v>
      </c>
      <c r="D438" t="s">
        <v>3814</v>
      </c>
      <c r="E438" s="2">
        <v>10000</v>
      </c>
      <c r="F438" s="2">
        <v>10000</v>
      </c>
      <c r="G438" s="3">
        <v>43287</v>
      </c>
      <c r="H438" s="4">
        <v>0.97946759259258998</v>
      </c>
      <c r="I438" s="3">
        <v>43288</v>
      </c>
      <c r="J438" s="4">
        <v>0.52270833333333</v>
      </c>
      <c r="K438" s="2">
        <v>20</v>
      </c>
      <c r="L438" t="s">
        <v>0</v>
      </c>
      <c r="M438" t="s">
        <v>3763</v>
      </c>
      <c r="N438" s="3">
        <v>43306</v>
      </c>
      <c r="O438" s="3">
        <v>43290</v>
      </c>
      <c r="P438" t="s">
        <v>3150</v>
      </c>
      <c r="Q438" t="s">
        <v>3815</v>
      </c>
      <c r="R438" t="s">
        <v>820</v>
      </c>
      <c r="S438" s="3">
        <v>43306</v>
      </c>
      <c r="T438" t="s">
        <v>7741</v>
      </c>
      <c r="U438">
        <v>1105</v>
      </c>
      <c r="V438">
        <v>78211</v>
      </c>
      <c r="W438" t="s">
        <v>2434</v>
      </c>
      <c r="X438" s="2">
        <v>767</v>
      </c>
      <c r="Y438" t="s">
        <v>2</v>
      </c>
      <c r="Z438" t="s">
        <v>3</v>
      </c>
      <c r="AA438" s="5">
        <v>0</v>
      </c>
      <c r="AB438" t="s">
        <v>17</v>
      </c>
      <c r="AL438" t="s">
        <v>8396</v>
      </c>
    </row>
    <row r="439" spans="1:38">
      <c r="A439" t="s">
        <v>3760</v>
      </c>
      <c r="B439" t="s">
        <v>3810</v>
      </c>
      <c r="C439" t="s">
        <v>3792</v>
      </c>
      <c r="D439" t="s">
        <v>3793</v>
      </c>
      <c r="E439" s="2">
        <v>10000</v>
      </c>
      <c r="F439" s="2">
        <v>10000</v>
      </c>
      <c r="G439" s="3">
        <v>43288</v>
      </c>
      <c r="H439" s="4">
        <v>0.54354166666667003</v>
      </c>
      <c r="I439" s="3">
        <v>43289</v>
      </c>
      <c r="J439" s="4">
        <v>8.678240740741E-2</v>
      </c>
      <c r="K439" s="2">
        <v>20</v>
      </c>
      <c r="L439" t="s">
        <v>0</v>
      </c>
      <c r="M439" t="s">
        <v>3763</v>
      </c>
      <c r="N439" s="3">
        <v>43292</v>
      </c>
      <c r="O439" s="3">
        <v>43291</v>
      </c>
      <c r="P439" t="s">
        <v>167</v>
      </c>
      <c r="Q439" t="s">
        <v>3811</v>
      </c>
      <c r="R439" t="s">
        <v>820</v>
      </c>
      <c r="S439" s="3">
        <v>43292</v>
      </c>
      <c r="T439" t="s">
        <v>7742</v>
      </c>
      <c r="U439">
        <v>420</v>
      </c>
      <c r="V439" t="s">
        <v>2437</v>
      </c>
      <c r="W439" t="s">
        <v>2434</v>
      </c>
      <c r="X439" s="2">
        <v>767</v>
      </c>
      <c r="Y439" t="s">
        <v>2</v>
      </c>
      <c r="Z439" t="s">
        <v>3</v>
      </c>
      <c r="AA439" s="5">
        <v>0</v>
      </c>
      <c r="AB439" t="s">
        <v>17</v>
      </c>
      <c r="AL439" t="s">
        <v>8397</v>
      </c>
    </row>
    <row r="440" spans="1:38">
      <c r="A440" t="s">
        <v>3760</v>
      </c>
      <c r="B440" t="s">
        <v>3824</v>
      </c>
      <c r="C440" t="s">
        <v>3765</v>
      </c>
      <c r="D440" t="s">
        <v>3766</v>
      </c>
      <c r="E440" s="2">
        <v>10000</v>
      </c>
      <c r="F440" s="2">
        <v>10000</v>
      </c>
      <c r="G440" s="3">
        <v>43289</v>
      </c>
      <c r="H440" s="4">
        <v>0.10761574074074</v>
      </c>
      <c r="I440" s="3">
        <v>43289</v>
      </c>
      <c r="J440" s="4">
        <v>0.65085648148148001</v>
      </c>
      <c r="K440" s="2">
        <v>20</v>
      </c>
      <c r="L440" t="s">
        <v>0</v>
      </c>
      <c r="M440" t="s">
        <v>3763</v>
      </c>
      <c r="N440" s="3">
        <v>43284</v>
      </c>
      <c r="O440" s="3">
        <v>43291</v>
      </c>
      <c r="P440" t="s">
        <v>167</v>
      </c>
      <c r="Q440" t="s">
        <v>3825</v>
      </c>
      <c r="R440" t="s">
        <v>820</v>
      </c>
      <c r="S440" s="3">
        <v>43297</v>
      </c>
      <c r="T440" t="s">
        <v>7743</v>
      </c>
      <c r="U440">
        <v>508</v>
      </c>
      <c r="V440" t="s">
        <v>2437</v>
      </c>
      <c r="W440" t="s">
        <v>2434</v>
      </c>
      <c r="X440" s="2">
        <v>767</v>
      </c>
      <c r="Y440" t="s">
        <v>2</v>
      </c>
      <c r="Z440" t="s">
        <v>3</v>
      </c>
      <c r="AA440" s="5">
        <v>0</v>
      </c>
      <c r="AB440" t="s">
        <v>17</v>
      </c>
      <c r="AL440" t="s">
        <v>8398</v>
      </c>
    </row>
    <row r="441" spans="1:38">
      <c r="A441" t="s">
        <v>3760</v>
      </c>
      <c r="B441" t="s">
        <v>3816</v>
      </c>
      <c r="C441" t="s">
        <v>3817</v>
      </c>
      <c r="D441" t="s">
        <v>3818</v>
      </c>
      <c r="E441" s="2">
        <v>20000</v>
      </c>
      <c r="F441" s="2">
        <v>20000</v>
      </c>
      <c r="G441" s="3">
        <v>43289</v>
      </c>
      <c r="H441" s="4">
        <v>0.67168981481481005</v>
      </c>
      <c r="I441" s="3">
        <v>43290</v>
      </c>
      <c r="J441" s="4">
        <v>0.75817129629629998</v>
      </c>
      <c r="K441" s="2">
        <v>20</v>
      </c>
      <c r="L441" t="s">
        <v>0</v>
      </c>
      <c r="M441" t="s">
        <v>3770</v>
      </c>
      <c r="N441" s="3">
        <v>43294</v>
      </c>
      <c r="O441" s="3">
        <v>43292</v>
      </c>
      <c r="P441" t="s">
        <v>13</v>
      </c>
      <c r="Q441" t="s">
        <v>3819</v>
      </c>
      <c r="R441" t="s">
        <v>820</v>
      </c>
      <c r="S441" s="3">
        <v>43294</v>
      </c>
      <c r="T441" t="s">
        <v>7744</v>
      </c>
      <c r="U441" t="s">
        <v>3820</v>
      </c>
      <c r="V441">
        <v>701</v>
      </c>
      <c r="W441" t="s">
        <v>2434</v>
      </c>
      <c r="X441" s="2">
        <v>767</v>
      </c>
      <c r="Y441" t="s">
        <v>2</v>
      </c>
      <c r="Z441" t="s">
        <v>3</v>
      </c>
      <c r="AA441" s="5">
        <v>0</v>
      </c>
      <c r="AB441" t="s">
        <v>17</v>
      </c>
      <c r="AL441" t="s">
        <v>8399</v>
      </c>
    </row>
    <row r="442" spans="1:38">
      <c r="A442" t="s">
        <v>3760</v>
      </c>
      <c r="B442" t="s">
        <v>3822</v>
      </c>
      <c r="C442" t="s">
        <v>3817</v>
      </c>
      <c r="D442" t="s">
        <v>3818</v>
      </c>
      <c r="E442" s="2">
        <v>20000</v>
      </c>
      <c r="F442" s="2">
        <v>20000</v>
      </c>
      <c r="G442" s="3">
        <v>43290</v>
      </c>
      <c r="H442" s="4">
        <v>0.77900462962963002</v>
      </c>
      <c r="I442" s="3">
        <v>43291</v>
      </c>
      <c r="J442" s="4">
        <v>0.86548611111110996</v>
      </c>
      <c r="K442" s="2">
        <v>20</v>
      </c>
      <c r="L442" t="s">
        <v>0</v>
      </c>
      <c r="M442" t="s">
        <v>3770</v>
      </c>
      <c r="N442" s="3">
        <v>43298</v>
      </c>
      <c r="O442" s="3">
        <v>43293</v>
      </c>
      <c r="P442" t="s">
        <v>13</v>
      </c>
      <c r="Q442" t="s">
        <v>3823</v>
      </c>
      <c r="R442" t="s">
        <v>820</v>
      </c>
      <c r="S442" s="3">
        <v>43298</v>
      </c>
      <c r="T442" t="s">
        <v>7745</v>
      </c>
      <c r="U442" t="s">
        <v>3820</v>
      </c>
      <c r="V442">
        <v>701</v>
      </c>
      <c r="W442" t="s">
        <v>2434</v>
      </c>
      <c r="X442" s="2">
        <v>767</v>
      </c>
      <c r="Y442" t="s">
        <v>2</v>
      </c>
      <c r="Z442" t="s">
        <v>3</v>
      </c>
      <c r="AA442" s="5">
        <v>0</v>
      </c>
      <c r="AB442" t="s">
        <v>17</v>
      </c>
      <c r="AL442" t="s">
        <v>8400</v>
      </c>
    </row>
    <row r="443" spans="1:38">
      <c r="A443" t="s">
        <v>3760</v>
      </c>
      <c r="B443" t="s">
        <v>4050</v>
      </c>
      <c r="C443" t="s">
        <v>4020</v>
      </c>
      <c r="D443" t="s">
        <v>4021</v>
      </c>
      <c r="E443" s="2">
        <v>20000</v>
      </c>
      <c r="F443" s="2">
        <v>20000</v>
      </c>
      <c r="G443" s="3">
        <v>43291</v>
      </c>
      <c r="H443" s="4">
        <v>0.88631944444444</v>
      </c>
      <c r="I443" s="3">
        <v>43292</v>
      </c>
      <c r="J443" s="4">
        <v>0.97280092592593004</v>
      </c>
      <c r="K443" s="2">
        <v>0</v>
      </c>
      <c r="L443" t="s">
        <v>0</v>
      </c>
      <c r="M443" t="s">
        <v>3770</v>
      </c>
      <c r="N443" s="3">
        <v>43294</v>
      </c>
      <c r="O443" s="3">
        <v>43294</v>
      </c>
      <c r="P443" t="s">
        <v>4022</v>
      </c>
      <c r="Q443" t="s">
        <v>1</v>
      </c>
      <c r="R443" t="s">
        <v>819</v>
      </c>
      <c r="S443" s="3"/>
      <c r="T443" t="s">
        <v>1</v>
      </c>
      <c r="U443" t="s">
        <v>3709</v>
      </c>
      <c r="V443" t="s">
        <v>4024</v>
      </c>
      <c r="W443" t="s">
        <v>2434</v>
      </c>
      <c r="X443" s="2">
        <v>0</v>
      </c>
      <c r="Y443" t="s">
        <v>2</v>
      </c>
      <c r="Z443" t="s">
        <v>3</v>
      </c>
      <c r="AA443" s="5">
        <v>0</v>
      </c>
      <c r="AB443" t="s">
        <v>29</v>
      </c>
      <c r="AI443" t="s">
        <v>6643</v>
      </c>
      <c r="AL443" t="s">
        <v>8401</v>
      </c>
    </row>
    <row r="444" spans="1:38">
      <c r="A444" t="s">
        <v>3760</v>
      </c>
      <c r="B444" t="s">
        <v>3821</v>
      </c>
      <c r="C444" t="s">
        <v>2609</v>
      </c>
      <c r="D444" t="s">
        <v>2610</v>
      </c>
      <c r="E444" s="2">
        <v>20000</v>
      </c>
      <c r="F444" s="2">
        <v>20000</v>
      </c>
      <c r="G444" s="3">
        <v>43293</v>
      </c>
      <c r="H444" s="4">
        <v>1.4467592592589999E-2</v>
      </c>
      <c r="I444" s="3">
        <v>43294</v>
      </c>
      <c r="J444" s="4">
        <v>0.10094907407407</v>
      </c>
      <c r="K444" s="2">
        <v>0</v>
      </c>
      <c r="L444" t="s">
        <v>0</v>
      </c>
      <c r="M444" t="s">
        <v>3770</v>
      </c>
      <c r="N444" s="3">
        <v>43296</v>
      </c>
      <c r="O444" s="3">
        <v>43296</v>
      </c>
      <c r="P444" t="s">
        <v>6</v>
      </c>
      <c r="Q444" t="s">
        <v>3947</v>
      </c>
      <c r="R444" t="s">
        <v>820</v>
      </c>
      <c r="S444" s="3">
        <v>43301</v>
      </c>
      <c r="T444" t="s">
        <v>1</v>
      </c>
      <c r="U444" t="s">
        <v>2611</v>
      </c>
      <c r="V444" t="s">
        <v>2612</v>
      </c>
      <c r="W444" t="s">
        <v>2434</v>
      </c>
      <c r="X444" s="2">
        <v>0</v>
      </c>
      <c r="Y444" t="s">
        <v>2</v>
      </c>
      <c r="Z444" t="s">
        <v>3</v>
      </c>
      <c r="AA444" s="5">
        <v>0</v>
      </c>
      <c r="AB444" t="s">
        <v>29</v>
      </c>
      <c r="AL444" t="s">
        <v>8402</v>
      </c>
    </row>
    <row r="445" spans="1:38">
      <c r="A445" t="s">
        <v>3760</v>
      </c>
      <c r="B445" t="s">
        <v>3837</v>
      </c>
      <c r="C445" t="s">
        <v>2609</v>
      </c>
      <c r="D445" t="s">
        <v>2610</v>
      </c>
      <c r="E445" s="2">
        <v>20000</v>
      </c>
      <c r="F445" s="2">
        <v>20000</v>
      </c>
      <c r="G445" s="3">
        <v>43294</v>
      </c>
      <c r="H445" s="4">
        <v>0.12178240740741</v>
      </c>
      <c r="I445" s="3">
        <v>43295</v>
      </c>
      <c r="J445" s="4">
        <v>0.20826388888889</v>
      </c>
      <c r="K445" s="2">
        <v>0</v>
      </c>
      <c r="L445" t="s">
        <v>0</v>
      </c>
      <c r="M445" t="s">
        <v>3770</v>
      </c>
      <c r="N445" s="3">
        <v>43297</v>
      </c>
      <c r="O445" s="3">
        <v>43297</v>
      </c>
      <c r="P445" t="s">
        <v>6</v>
      </c>
      <c r="Q445" t="s">
        <v>7746</v>
      </c>
      <c r="R445" t="s">
        <v>820</v>
      </c>
      <c r="S445" s="3">
        <v>43306</v>
      </c>
      <c r="T445" t="s">
        <v>1</v>
      </c>
      <c r="U445" t="s">
        <v>2611</v>
      </c>
      <c r="V445" t="s">
        <v>2612</v>
      </c>
      <c r="W445" t="s">
        <v>2434</v>
      </c>
      <c r="X445" s="2">
        <v>0</v>
      </c>
      <c r="Y445" t="s">
        <v>2</v>
      </c>
      <c r="Z445" t="s">
        <v>3</v>
      </c>
      <c r="AA445" s="5">
        <v>0</v>
      </c>
      <c r="AB445" t="s">
        <v>29</v>
      </c>
      <c r="AL445" t="s">
        <v>8403</v>
      </c>
    </row>
    <row r="446" spans="1:38">
      <c r="A446" t="s">
        <v>3760</v>
      </c>
      <c r="B446" t="s">
        <v>3826</v>
      </c>
      <c r="C446" t="s">
        <v>3488</v>
      </c>
      <c r="D446" t="s">
        <v>3489</v>
      </c>
      <c r="E446" s="2">
        <v>10000</v>
      </c>
      <c r="F446" s="2">
        <v>10000</v>
      </c>
      <c r="G446" s="3">
        <v>43295</v>
      </c>
      <c r="H446" s="4">
        <v>0.22909722222222001</v>
      </c>
      <c r="I446" s="3">
        <v>43295</v>
      </c>
      <c r="J446" s="4">
        <v>0.77233796296295998</v>
      </c>
      <c r="K446" s="2">
        <v>0</v>
      </c>
      <c r="L446" t="s">
        <v>0</v>
      </c>
      <c r="M446" t="s">
        <v>3763</v>
      </c>
      <c r="N446" s="3">
        <v>43300</v>
      </c>
      <c r="O446" s="3">
        <v>43297</v>
      </c>
      <c r="P446" t="s">
        <v>13</v>
      </c>
      <c r="Q446" t="s">
        <v>3827</v>
      </c>
      <c r="R446" t="s">
        <v>820</v>
      </c>
      <c r="S446" s="3">
        <v>43300</v>
      </c>
      <c r="T446" t="s">
        <v>7747</v>
      </c>
      <c r="U446" t="s">
        <v>3490</v>
      </c>
      <c r="V446" t="s">
        <v>3491</v>
      </c>
      <c r="W446" t="s">
        <v>2434</v>
      </c>
      <c r="X446" s="2">
        <v>767</v>
      </c>
      <c r="Y446" t="s">
        <v>2</v>
      </c>
      <c r="Z446" t="s">
        <v>3</v>
      </c>
      <c r="AA446" s="5">
        <v>0</v>
      </c>
      <c r="AB446" t="s">
        <v>17</v>
      </c>
      <c r="AI446" t="s">
        <v>6643</v>
      </c>
      <c r="AL446" t="s">
        <v>8404</v>
      </c>
    </row>
    <row r="447" spans="1:38">
      <c r="A447" t="s">
        <v>3760</v>
      </c>
      <c r="B447" t="s">
        <v>3828</v>
      </c>
      <c r="C447" t="s">
        <v>3502</v>
      </c>
      <c r="D447" t="s">
        <v>3503</v>
      </c>
      <c r="E447" s="2">
        <v>5000</v>
      </c>
      <c r="F447" s="2">
        <v>5000</v>
      </c>
      <c r="G447" s="3">
        <v>43297</v>
      </c>
      <c r="H447" s="4">
        <v>0.72837962962962999</v>
      </c>
      <c r="I447" s="3">
        <v>43298</v>
      </c>
      <c r="J447" s="4">
        <v>0</v>
      </c>
      <c r="K447" s="2">
        <v>0</v>
      </c>
      <c r="L447" t="s">
        <v>0</v>
      </c>
      <c r="M447" t="s">
        <v>3785</v>
      </c>
      <c r="N447" s="3">
        <v>43300</v>
      </c>
      <c r="O447" s="3">
        <v>43299</v>
      </c>
      <c r="P447" t="s">
        <v>13</v>
      </c>
      <c r="Q447" t="s">
        <v>3829</v>
      </c>
      <c r="R447" t="s">
        <v>820</v>
      </c>
      <c r="S447" s="3">
        <v>43300</v>
      </c>
      <c r="T447" t="s">
        <v>7748</v>
      </c>
      <c r="U447" t="s">
        <v>3483</v>
      </c>
      <c r="V447" t="s">
        <v>3505</v>
      </c>
      <c r="W447" t="s">
        <v>2434</v>
      </c>
      <c r="X447" s="2">
        <v>767</v>
      </c>
      <c r="Y447" t="s">
        <v>2</v>
      </c>
      <c r="Z447" t="s">
        <v>3</v>
      </c>
      <c r="AA447" s="5">
        <v>0</v>
      </c>
      <c r="AB447" t="s">
        <v>17</v>
      </c>
      <c r="AI447" t="s">
        <v>6643</v>
      </c>
      <c r="AL447" t="s">
        <v>8405</v>
      </c>
    </row>
    <row r="448" spans="1:38">
      <c r="A448" t="s">
        <v>3760</v>
      </c>
      <c r="B448" t="s">
        <v>3830</v>
      </c>
      <c r="C448" t="s">
        <v>3831</v>
      </c>
      <c r="D448" t="s">
        <v>3832</v>
      </c>
      <c r="E448" s="2">
        <v>5000</v>
      </c>
      <c r="F448" s="2">
        <v>5000</v>
      </c>
      <c r="G448" s="3">
        <v>43297</v>
      </c>
      <c r="H448" s="4">
        <v>0.72837962962962999</v>
      </c>
      <c r="I448" s="3">
        <v>43298</v>
      </c>
      <c r="J448" s="4">
        <v>0</v>
      </c>
      <c r="K448" s="2">
        <v>20</v>
      </c>
      <c r="L448" t="s">
        <v>0</v>
      </c>
      <c r="M448" t="s">
        <v>3785</v>
      </c>
      <c r="N448" s="3">
        <v>43307</v>
      </c>
      <c r="O448" s="3">
        <v>43299</v>
      </c>
      <c r="P448" t="s">
        <v>13</v>
      </c>
      <c r="Q448" t="s">
        <v>3833</v>
      </c>
      <c r="R448" t="s">
        <v>820</v>
      </c>
      <c r="S448" s="3">
        <v>43307</v>
      </c>
      <c r="T448" t="s">
        <v>7749</v>
      </c>
      <c r="U448" t="s">
        <v>3709</v>
      </c>
      <c r="V448" t="s">
        <v>3834</v>
      </c>
      <c r="W448" t="s">
        <v>2434</v>
      </c>
      <c r="X448" s="2">
        <v>767</v>
      </c>
      <c r="Y448" t="s">
        <v>2</v>
      </c>
      <c r="Z448" t="s">
        <v>3</v>
      </c>
      <c r="AA448" s="5">
        <v>0</v>
      </c>
      <c r="AB448" t="s">
        <v>17</v>
      </c>
      <c r="AI448" t="s">
        <v>6643</v>
      </c>
      <c r="AL448" t="s">
        <v>8406</v>
      </c>
    </row>
    <row r="449" spans="1:38">
      <c r="A449" t="s">
        <v>3760</v>
      </c>
      <c r="B449" t="s">
        <v>3835</v>
      </c>
      <c r="C449" t="s">
        <v>3817</v>
      </c>
      <c r="D449" t="s">
        <v>3818</v>
      </c>
      <c r="E449" s="2">
        <v>20000</v>
      </c>
      <c r="F449" s="2">
        <v>20000</v>
      </c>
      <c r="G449" s="3">
        <v>43297</v>
      </c>
      <c r="H449" s="4">
        <v>0.91351851851851995</v>
      </c>
      <c r="I449" s="3">
        <v>43299</v>
      </c>
      <c r="J449" s="4">
        <v>0</v>
      </c>
      <c r="K449" s="2">
        <v>20</v>
      </c>
      <c r="L449" t="s">
        <v>0</v>
      </c>
      <c r="M449" t="s">
        <v>3770</v>
      </c>
      <c r="N449" s="3">
        <v>43307</v>
      </c>
      <c r="O449" s="3">
        <v>43300</v>
      </c>
      <c r="P449" t="s">
        <v>13</v>
      </c>
      <c r="Q449" t="s">
        <v>3836</v>
      </c>
      <c r="R449" t="s">
        <v>820</v>
      </c>
      <c r="S449" s="3">
        <v>43307</v>
      </c>
      <c r="T449" t="s">
        <v>7750</v>
      </c>
      <c r="U449" t="s">
        <v>3820</v>
      </c>
      <c r="V449">
        <v>701</v>
      </c>
      <c r="W449" t="s">
        <v>2434</v>
      </c>
      <c r="X449" s="2">
        <v>767</v>
      </c>
      <c r="Y449" t="s">
        <v>2</v>
      </c>
      <c r="Z449" t="s">
        <v>3</v>
      </c>
      <c r="AA449" s="5">
        <v>0</v>
      </c>
      <c r="AB449" t="s">
        <v>17</v>
      </c>
      <c r="AL449" t="s">
        <v>8407</v>
      </c>
    </row>
    <row r="450" spans="1:38">
      <c r="A450" t="s">
        <v>3760</v>
      </c>
      <c r="B450" t="s">
        <v>5793</v>
      </c>
      <c r="C450" t="s">
        <v>3840</v>
      </c>
      <c r="D450" t="s">
        <v>3841</v>
      </c>
      <c r="E450" s="2">
        <v>15000</v>
      </c>
      <c r="F450" s="2">
        <v>15000</v>
      </c>
      <c r="G450" s="3">
        <v>43299</v>
      </c>
      <c r="H450" s="4">
        <v>0.18513888888888999</v>
      </c>
      <c r="I450" s="3">
        <v>43300</v>
      </c>
      <c r="J450" s="4">
        <v>0</v>
      </c>
      <c r="K450" s="2">
        <v>0</v>
      </c>
      <c r="L450" t="s">
        <v>0</v>
      </c>
      <c r="M450" t="s">
        <v>5794</v>
      </c>
      <c r="N450" s="3">
        <v>43305</v>
      </c>
      <c r="O450" s="3">
        <v>43301</v>
      </c>
      <c r="P450" t="s">
        <v>3724</v>
      </c>
      <c r="Q450" t="s">
        <v>5795</v>
      </c>
      <c r="R450" t="s">
        <v>820</v>
      </c>
      <c r="S450" s="3">
        <v>43305</v>
      </c>
      <c r="T450" t="s">
        <v>7751</v>
      </c>
      <c r="U450" t="s">
        <v>3842</v>
      </c>
      <c r="V450">
        <v>1001</v>
      </c>
      <c r="W450" t="s">
        <v>2434</v>
      </c>
      <c r="X450" s="2">
        <v>767</v>
      </c>
      <c r="Y450" t="s">
        <v>2</v>
      </c>
      <c r="Z450" t="s">
        <v>3</v>
      </c>
      <c r="AA450" s="5">
        <v>0</v>
      </c>
      <c r="AB450" t="s">
        <v>17</v>
      </c>
      <c r="AL450" t="s">
        <v>8408</v>
      </c>
    </row>
    <row r="451" spans="1:38">
      <c r="A451" t="s">
        <v>3760</v>
      </c>
      <c r="B451" t="s">
        <v>3838</v>
      </c>
      <c r="C451" t="s">
        <v>3765</v>
      </c>
      <c r="D451" t="s">
        <v>3766</v>
      </c>
      <c r="E451" s="2">
        <v>20000</v>
      </c>
      <c r="F451" s="2">
        <v>20000</v>
      </c>
      <c r="G451" s="3">
        <v>43299</v>
      </c>
      <c r="H451" s="4">
        <v>0.91351851851851995</v>
      </c>
      <c r="I451" s="3">
        <v>43301</v>
      </c>
      <c r="J451" s="4">
        <v>0</v>
      </c>
      <c r="K451" s="2">
        <v>20</v>
      </c>
      <c r="L451" t="s">
        <v>0</v>
      </c>
      <c r="M451" t="s">
        <v>3770</v>
      </c>
      <c r="N451" s="3">
        <v>43304</v>
      </c>
      <c r="O451" s="3">
        <v>43302</v>
      </c>
      <c r="P451" t="s">
        <v>167</v>
      </c>
      <c r="Q451" t="s">
        <v>3839</v>
      </c>
      <c r="R451" t="s">
        <v>820</v>
      </c>
      <c r="S451" s="3">
        <v>43304</v>
      </c>
      <c r="T451" t="s">
        <v>7752</v>
      </c>
      <c r="U451">
        <v>508</v>
      </c>
      <c r="V451" t="s">
        <v>2437</v>
      </c>
      <c r="W451" t="s">
        <v>2434</v>
      </c>
      <c r="X451" s="2">
        <v>767</v>
      </c>
      <c r="Y451" t="s">
        <v>2</v>
      </c>
      <c r="Z451" t="s">
        <v>3</v>
      </c>
      <c r="AA451" s="5">
        <v>0</v>
      </c>
      <c r="AB451" t="s">
        <v>17</v>
      </c>
      <c r="AL451" t="s">
        <v>8409</v>
      </c>
    </row>
    <row r="452" spans="1:38">
      <c r="A452" t="s">
        <v>3843</v>
      </c>
      <c r="B452" t="s">
        <v>3856</v>
      </c>
      <c r="C452" t="s">
        <v>3857</v>
      </c>
      <c r="D452" t="s">
        <v>3858</v>
      </c>
      <c r="E452" s="5">
        <v>268.8</v>
      </c>
      <c r="F452" s="5">
        <v>12268.8</v>
      </c>
      <c r="G452" s="3">
        <v>43269</v>
      </c>
      <c r="H452" s="4">
        <v>2.0833333333330002E-2</v>
      </c>
      <c r="I452" s="3">
        <v>43269</v>
      </c>
      <c r="J452" s="4">
        <v>0.68732638888888997</v>
      </c>
      <c r="K452" s="2">
        <v>0</v>
      </c>
      <c r="L452" t="s">
        <v>0</v>
      </c>
      <c r="M452" t="s">
        <v>5130</v>
      </c>
      <c r="N452" s="3">
        <v>43279</v>
      </c>
      <c r="O452" s="3">
        <v>43271</v>
      </c>
      <c r="P452" t="s">
        <v>27</v>
      </c>
      <c r="Q452" t="s">
        <v>3859</v>
      </c>
      <c r="R452" t="s">
        <v>820</v>
      </c>
      <c r="S452" s="3">
        <v>43279</v>
      </c>
      <c r="T452" t="s">
        <v>7753</v>
      </c>
      <c r="U452" t="s">
        <v>2667</v>
      </c>
      <c r="V452" t="s">
        <v>3860</v>
      </c>
      <c r="W452" t="s">
        <v>2434</v>
      </c>
      <c r="X452" s="2">
        <v>767</v>
      </c>
      <c r="Y452" t="s">
        <v>2</v>
      </c>
      <c r="Z452" t="s">
        <v>3</v>
      </c>
      <c r="AA452" s="5">
        <v>0</v>
      </c>
      <c r="AB452" t="s">
        <v>4</v>
      </c>
      <c r="AL452" t="s">
        <v>8410</v>
      </c>
    </row>
    <row r="453" spans="1:38">
      <c r="A453" t="s">
        <v>3843</v>
      </c>
      <c r="B453" t="s">
        <v>3854</v>
      </c>
      <c r="C453" t="s">
        <v>128</v>
      </c>
      <c r="D453" t="s">
        <v>129</v>
      </c>
      <c r="E453" s="2">
        <v>20200</v>
      </c>
      <c r="F453" s="2">
        <v>20200</v>
      </c>
      <c r="G453" s="3">
        <v>43271</v>
      </c>
      <c r="H453" s="4">
        <v>0.63417824074074003</v>
      </c>
      <c r="I453" s="3">
        <v>43272</v>
      </c>
      <c r="J453" s="4">
        <v>0.73152777777778</v>
      </c>
      <c r="K453" s="2">
        <v>0</v>
      </c>
      <c r="L453" t="s">
        <v>0</v>
      </c>
      <c r="M453" t="s">
        <v>3767</v>
      </c>
      <c r="N453" s="3">
        <v>43280</v>
      </c>
      <c r="O453" s="3">
        <v>43274</v>
      </c>
      <c r="P453" t="s">
        <v>13</v>
      </c>
      <c r="Q453" t="s">
        <v>3855</v>
      </c>
      <c r="R453" t="s">
        <v>820</v>
      </c>
      <c r="S453" s="3">
        <v>43273</v>
      </c>
      <c r="T453" t="s">
        <v>7754</v>
      </c>
      <c r="U453" t="s">
        <v>2649</v>
      </c>
      <c r="V453" t="s">
        <v>3844</v>
      </c>
      <c r="W453" t="s">
        <v>2434</v>
      </c>
      <c r="X453" s="2">
        <v>767</v>
      </c>
      <c r="Y453" t="s">
        <v>2</v>
      </c>
      <c r="Z453" t="s">
        <v>3</v>
      </c>
      <c r="AA453" s="5">
        <v>0</v>
      </c>
      <c r="AB453" t="s">
        <v>4</v>
      </c>
      <c r="AL453" t="s">
        <v>8411</v>
      </c>
    </row>
    <row r="454" spans="1:38">
      <c r="A454" t="s">
        <v>3843</v>
      </c>
      <c r="B454" t="s">
        <v>3866</v>
      </c>
      <c r="C454" t="s">
        <v>128</v>
      </c>
      <c r="D454" t="s">
        <v>129</v>
      </c>
      <c r="E454" s="2">
        <v>10100</v>
      </c>
      <c r="F454" s="2">
        <v>10100</v>
      </c>
      <c r="G454" s="3">
        <v>43271</v>
      </c>
      <c r="H454" s="4">
        <v>0.96832175925926001</v>
      </c>
      <c r="I454" s="3">
        <v>43272</v>
      </c>
      <c r="J454" s="4">
        <v>0.51699074074074003</v>
      </c>
      <c r="K454" s="2">
        <v>0</v>
      </c>
      <c r="L454" t="s">
        <v>0</v>
      </c>
      <c r="M454" t="s">
        <v>3853</v>
      </c>
      <c r="N454" s="3">
        <v>43280</v>
      </c>
      <c r="O454" s="3">
        <v>43274</v>
      </c>
      <c r="P454" t="s">
        <v>13</v>
      </c>
      <c r="Q454" t="s">
        <v>3855</v>
      </c>
      <c r="R454" t="s">
        <v>823</v>
      </c>
      <c r="S454" s="3">
        <v>43277</v>
      </c>
      <c r="T454" t="s">
        <v>7755</v>
      </c>
      <c r="U454" t="s">
        <v>2649</v>
      </c>
      <c r="V454" t="s">
        <v>3844</v>
      </c>
      <c r="W454" t="s">
        <v>2434</v>
      </c>
      <c r="X454" s="2">
        <v>767</v>
      </c>
      <c r="Y454" t="s">
        <v>2</v>
      </c>
      <c r="Z454" t="s">
        <v>3</v>
      </c>
      <c r="AA454" s="5">
        <v>0</v>
      </c>
      <c r="AB454" t="s">
        <v>4</v>
      </c>
      <c r="AL454" t="s">
        <v>8412</v>
      </c>
    </row>
    <row r="455" spans="1:38">
      <c r="A455" t="s">
        <v>3843</v>
      </c>
      <c r="B455" t="s">
        <v>3861</v>
      </c>
      <c r="C455" t="s">
        <v>128</v>
      </c>
      <c r="D455" t="s">
        <v>129</v>
      </c>
      <c r="E455" s="2">
        <v>20200</v>
      </c>
      <c r="F455" s="2">
        <v>20200</v>
      </c>
      <c r="G455" s="3">
        <v>43272</v>
      </c>
      <c r="H455" s="4">
        <v>1.016203703704E-2</v>
      </c>
      <c r="I455" s="3">
        <v>43273</v>
      </c>
      <c r="J455" s="4">
        <v>0.10751157407407</v>
      </c>
      <c r="K455" s="2">
        <v>0</v>
      </c>
      <c r="L455" t="s">
        <v>0</v>
      </c>
      <c r="M455" t="s">
        <v>3767</v>
      </c>
      <c r="N455" s="3">
        <v>43280</v>
      </c>
      <c r="O455" s="3">
        <v>43275</v>
      </c>
      <c r="P455" t="s">
        <v>13</v>
      </c>
      <c r="Q455" t="s">
        <v>3855</v>
      </c>
      <c r="R455" t="s">
        <v>822</v>
      </c>
      <c r="S455" s="3">
        <v>43276</v>
      </c>
      <c r="T455" t="s">
        <v>7756</v>
      </c>
      <c r="U455" t="s">
        <v>2649</v>
      </c>
      <c r="V455" t="s">
        <v>3844</v>
      </c>
      <c r="W455" t="s">
        <v>2434</v>
      </c>
      <c r="X455" s="2">
        <v>767</v>
      </c>
      <c r="Y455" t="s">
        <v>2</v>
      </c>
      <c r="Z455" t="s">
        <v>3</v>
      </c>
      <c r="AA455" s="5">
        <v>0</v>
      </c>
      <c r="AB455" t="s">
        <v>4</v>
      </c>
      <c r="AL455" t="s">
        <v>8413</v>
      </c>
    </row>
    <row r="456" spans="1:38">
      <c r="A456" t="s">
        <v>3843</v>
      </c>
      <c r="B456" t="s">
        <v>5131</v>
      </c>
      <c r="C456" t="s">
        <v>5132</v>
      </c>
      <c r="D456" t="s">
        <v>5133</v>
      </c>
      <c r="E456" s="2">
        <v>5050</v>
      </c>
      <c r="F456" s="2">
        <v>5050</v>
      </c>
      <c r="G456" s="3">
        <v>43272</v>
      </c>
      <c r="H456" s="4">
        <v>0.38538194444444002</v>
      </c>
      <c r="I456" s="3">
        <v>43272</v>
      </c>
      <c r="J456" s="4">
        <v>0.65972222222221999</v>
      </c>
      <c r="K456" s="2">
        <v>0</v>
      </c>
      <c r="L456" t="s">
        <v>0</v>
      </c>
      <c r="M456" t="s">
        <v>7757</v>
      </c>
      <c r="N456" s="3">
        <v>43284</v>
      </c>
      <c r="O456" s="3">
        <v>43274</v>
      </c>
      <c r="P456" t="s">
        <v>13</v>
      </c>
      <c r="Q456" t="s">
        <v>5134</v>
      </c>
      <c r="R456" t="s">
        <v>820</v>
      </c>
      <c r="S456" s="3">
        <v>43284</v>
      </c>
      <c r="T456" t="s">
        <v>7758</v>
      </c>
      <c r="U456" t="s">
        <v>5135</v>
      </c>
      <c r="V456" t="s">
        <v>5136</v>
      </c>
      <c r="W456" t="s">
        <v>2434</v>
      </c>
      <c r="X456" s="2">
        <v>767</v>
      </c>
      <c r="Y456" t="s">
        <v>2</v>
      </c>
      <c r="Z456" t="s">
        <v>3</v>
      </c>
      <c r="AA456" s="5">
        <v>0</v>
      </c>
      <c r="AB456" t="s">
        <v>4</v>
      </c>
      <c r="AI456" t="s">
        <v>6643</v>
      </c>
      <c r="AL456" t="s">
        <v>8414</v>
      </c>
    </row>
    <row r="457" spans="1:38">
      <c r="A457" t="s">
        <v>3843</v>
      </c>
      <c r="B457" t="s">
        <v>7759</v>
      </c>
      <c r="C457" t="s">
        <v>161</v>
      </c>
      <c r="D457" t="s">
        <v>162</v>
      </c>
      <c r="E457" s="2">
        <v>20200</v>
      </c>
      <c r="F457" s="2">
        <v>20200</v>
      </c>
      <c r="G457" s="3">
        <v>43272</v>
      </c>
      <c r="H457" s="4">
        <v>0.67474537037036997</v>
      </c>
      <c r="I457" s="3">
        <v>43273</v>
      </c>
      <c r="J457" s="4">
        <v>0.77209490740741005</v>
      </c>
      <c r="K457" s="2">
        <v>0</v>
      </c>
      <c r="L457" t="s">
        <v>0</v>
      </c>
      <c r="M457" t="s">
        <v>3767</v>
      </c>
      <c r="N457" s="3"/>
      <c r="O457" s="3">
        <v>43275</v>
      </c>
      <c r="P457" t="s">
        <v>28</v>
      </c>
      <c r="Q457" t="s">
        <v>7095</v>
      </c>
      <c r="R457" t="s">
        <v>820</v>
      </c>
      <c r="S457" s="3">
        <v>43276</v>
      </c>
      <c r="T457" t="s">
        <v>7760</v>
      </c>
      <c r="U457" t="s">
        <v>2484</v>
      </c>
      <c r="V457">
        <v>739</v>
      </c>
      <c r="W457" t="s">
        <v>2434</v>
      </c>
      <c r="X457" s="2">
        <v>767</v>
      </c>
      <c r="Y457" t="s">
        <v>2</v>
      </c>
      <c r="Z457" t="s">
        <v>3</v>
      </c>
      <c r="AA457" s="5">
        <v>0</v>
      </c>
      <c r="AB457" t="s">
        <v>4</v>
      </c>
      <c r="AL457" t="s">
        <v>8415</v>
      </c>
    </row>
    <row r="458" spans="1:38">
      <c r="A458" t="s">
        <v>3843</v>
      </c>
      <c r="B458" t="s">
        <v>7761</v>
      </c>
      <c r="C458" t="s">
        <v>161</v>
      </c>
      <c r="D458" t="s">
        <v>162</v>
      </c>
      <c r="E458" s="2">
        <v>20200</v>
      </c>
      <c r="F458" s="2">
        <v>20200</v>
      </c>
      <c r="G458" s="3">
        <v>43273</v>
      </c>
      <c r="H458" s="4">
        <v>0.79292824074073998</v>
      </c>
      <c r="I458" s="3">
        <v>43274</v>
      </c>
      <c r="J458" s="4">
        <v>0.89027777777778005</v>
      </c>
      <c r="K458" s="2">
        <v>0</v>
      </c>
      <c r="L458" t="s">
        <v>0</v>
      </c>
      <c r="M458" t="s">
        <v>3767</v>
      </c>
      <c r="N458" s="3">
        <v>43283</v>
      </c>
      <c r="O458" s="3">
        <v>43276</v>
      </c>
      <c r="P458" t="s">
        <v>28</v>
      </c>
      <c r="Q458" t="s">
        <v>7762</v>
      </c>
      <c r="R458" t="s">
        <v>820</v>
      </c>
      <c r="S458" s="3">
        <v>43291</v>
      </c>
      <c r="T458" t="s">
        <v>7763</v>
      </c>
      <c r="U458" t="s">
        <v>2484</v>
      </c>
      <c r="V458">
        <v>739</v>
      </c>
      <c r="W458" t="s">
        <v>2434</v>
      </c>
      <c r="X458" s="2">
        <v>767</v>
      </c>
      <c r="Y458" t="s">
        <v>2</v>
      </c>
      <c r="Z458" t="s">
        <v>3</v>
      </c>
      <c r="AA458" s="5">
        <v>0</v>
      </c>
      <c r="AB458" t="s">
        <v>4</v>
      </c>
      <c r="AL458" t="s">
        <v>8416</v>
      </c>
    </row>
    <row r="459" spans="1:38">
      <c r="A459" t="s">
        <v>3843</v>
      </c>
      <c r="B459" t="s">
        <v>3862</v>
      </c>
      <c r="C459" t="s">
        <v>3863</v>
      </c>
      <c r="D459" t="s">
        <v>3864</v>
      </c>
      <c r="E459" s="2">
        <v>20000</v>
      </c>
      <c r="F459" s="2">
        <v>20000</v>
      </c>
      <c r="G459" s="3">
        <v>43274</v>
      </c>
      <c r="H459" s="4">
        <v>0.91111111111110998</v>
      </c>
      <c r="I459" s="3">
        <v>43275</v>
      </c>
      <c r="J459" s="4">
        <v>0.99759259259259003</v>
      </c>
      <c r="K459" s="2">
        <v>0</v>
      </c>
      <c r="L459" t="s">
        <v>0</v>
      </c>
      <c r="M459" t="s">
        <v>3770</v>
      </c>
      <c r="N459" s="3">
        <v>43279</v>
      </c>
      <c r="O459" s="3">
        <v>43277</v>
      </c>
      <c r="P459" t="s">
        <v>28</v>
      </c>
      <c r="Q459" t="s">
        <v>3865</v>
      </c>
      <c r="R459" t="s">
        <v>820</v>
      </c>
      <c r="S459" s="3">
        <v>43279</v>
      </c>
      <c r="T459" t="s">
        <v>7764</v>
      </c>
      <c r="U459" t="s">
        <v>2504</v>
      </c>
      <c r="V459">
        <v>73215</v>
      </c>
      <c r="W459" t="s">
        <v>2434</v>
      </c>
      <c r="X459" s="2">
        <v>767</v>
      </c>
      <c r="Y459" t="s">
        <v>2</v>
      </c>
      <c r="Z459" t="s">
        <v>3</v>
      </c>
      <c r="AA459" s="5">
        <v>0</v>
      </c>
      <c r="AB459" t="s">
        <v>4</v>
      </c>
      <c r="AI459" t="s">
        <v>6643</v>
      </c>
      <c r="AL459" t="s">
        <v>8417</v>
      </c>
    </row>
    <row r="460" spans="1:38">
      <c r="A460" t="s">
        <v>3843</v>
      </c>
      <c r="B460" t="s">
        <v>2754</v>
      </c>
      <c r="C460" t="s">
        <v>174</v>
      </c>
      <c r="D460" t="s">
        <v>175</v>
      </c>
      <c r="E460" s="2">
        <v>10100</v>
      </c>
      <c r="F460" s="2">
        <v>10100</v>
      </c>
      <c r="G460" s="3">
        <v>43276</v>
      </c>
      <c r="H460" s="4">
        <v>1.8425925925929999E-2</v>
      </c>
      <c r="I460" s="3">
        <v>43276</v>
      </c>
      <c r="J460" s="4">
        <v>0.56709490740740998</v>
      </c>
      <c r="K460" s="2">
        <v>0</v>
      </c>
      <c r="L460" t="s">
        <v>0</v>
      </c>
      <c r="M460" t="s">
        <v>3853</v>
      </c>
      <c r="N460" s="3">
        <v>43276</v>
      </c>
      <c r="O460" s="3">
        <v>43278</v>
      </c>
      <c r="P460" t="s">
        <v>13</v>
      </c>
      <c r="Q460" t="s">
        <v>2755</v>
      </c>
      <c r="R460" t="s">
        <v>820</v>
      </c>
      <c r="S460" s="3">
        <v>43280</v>
      </c>
      <c r="T460" t="s">
        <v>7765</v>
      </c>
      <c r="U460" t="s">
        <v>2649</v>
      </c>
      <c r="V460" t="s">
        <v>2756</v>
      </c>
      <c r="W460" t="s">
        <v>2434</v>
      </c>
      <c r="X460" s="2">
        <v>767</v>
      </c>
      <c r="Y460" t="s">
        <v>2</v>
      </c>
      <c r="Z460" t="s">
        <v>3</v>
      </c>
      <c r="AA460" s="5">
        <v>0</v>
      </c>
      <c r="AB460" t="s">
        <v>4</v>
      </c>
      <c r="AL460" t="s">
        <v>8418</v>
      </c>
    </row>
    <row r="461" spans="1:38">
      <c r="A461" t="s">
        <v>3843</v>
      </c>
      <c r="B461" t="s">
        <v>7766</v>
      </c>
      <c r="C461" t="s">
        <v>3328</v>
      </c>
      <c r="D461" t="s">
        <v>3329</v>
      </c>
      <c r="E461" s="2">
        <v>6000</v>
      </c>
      <c r="F461" s="2">
        <v>6000</v>
      </c>
      <c r="G461" s="3">
        <v>43276</v>
      </c>
      <c r="H461" s="4">
        <v>0.67405092592592997</v>
      </c>
      <c r="I461" s="3">
        <v>43277</v>
      </c>
      <c r="J461" s="4">
        <v>0</v>
      </c>
      <c r="K461" s="2">
        <v>2</v>
      </c>
      <c r="L461" t="s">
        <v>0</v>
      </c>
      <c r="M461" t="s">
        <v>7767</v>
      </c>
      <c r="N461" s="3">
        <v>43269</v>
      </c>
      <c r="O461" s="3">
        <v>43285</v>
      </c>
      <c r="P461" t="s">
        <v>31</v>
      </c>
      <c r="Q461" t="s">
        <v>1</v>
      </c>
      <c r="R461" t="s">
        <v>819</v>
      </c>
      <c r="S461" s="3"/>
      <c r="U461">
        <v>4521</v>
      </c>
      <c r="V461">
        <v>8244</v>
      </c>
      <c r="W461" t="s">
        <v>2434</v>
      </c>
      <c r="X461" s="2">
        <v>0</v>
      </c>
      <c r="Y461" t="s">
        <v>2</v>
      </c>
      <c r="Z461" t="s">
        <v>3</v>
      </c>
      <c r="AA461" s="5">
        <v>0</v>
      </c>
      <c r="AB461" t="s">
        <v>30</v>
      </c>
      <c r="AI461" t="s">
        <v>6643</v>
      </c>
      <c r="AL461" t="s">
        <v>8603</v>
      </c>
    </row>
    <row r="462" spans="1:38">
      <c r="A462" t="s">
        <v>3843</v>
      </c>
      <c r="B462" t="s">
        <v>3342</v>
      </c>
      <c r="C462" t="s">
        <v>3343</v>
      </c>
      <c r="D462" t="s">
        <v>3344</v>
      </c>
      <c r="E462" s="2">
        <v>10100</v>
      </c>
      <c r="F462" s="2">
        <v>10100</v>
      </c>
      <c r="G462" s="3">
        <v>43277</v>
      </c>
      <c r="H462" s="4">
        <v>2.0833333333330002E-2</v>
      </c>
      <c r="I462" s="3">
        <v>43277</v>
      </c>
      <c r="J462" s="4">
        <v>0.56950231481480995</v>
      </c>
      <c r="K462" s="2">
        <v>20</v>
      </c>
      <c r="L462" t="s">
        <v>0</v>
      </c>
      <c r="M462" t="s">
        <v>3853</v>
      </c>
      <c r="N462" s="3">
        <v>43276</v>
      </c>
      <c r="O462" s="3">
        <v>43279</v>
      </c>
      <c r="P462" t="s">
        <v>13</v>
      </c>
      <c r="Q462" t="s">
        <v>3345</v>
      </c>
      <c r="R462" t="s">
        <v>820</v>
      </c>
      <c r="S462" s="3">
        <v>43279</v>
      </c>
      <c r="T462" t="s">
        <v>7768</v>
      </c>
      <c r="U462" t="s">
        <v>2674</v>
      </c>
      <c r="V462" t="s">
        <v>3346</v>
      </c>
      <c r="W462" t="s">
        <v>2434</v>
      </c>
      <c r="X462" s="2">
        <v>767</v>
      </c>
      <c r="Y462" t="s">
        <v>2</v>
      </c>
      <c r="Z462" t="s">
        <v>3</v>
      </c>
      <c r="AA462" s="5">
        <v>0</v>
      </c>
      <c r="AB462" t="s">
        <v>4</v>
      </c>
      <c r="AI462" t="s">
        <v>6643</v>
      </c>
      <c r="AL462" t="s">
        <v>8419</v>
      </c>
    </row>
    <row r="463" spans="1:38">
      <c r="A463" t="s">
        <v>3843</v>
      </c>
      <c r="B463" t="s">
        <v>2531</v>
      </c>
      <c r="C463" t="s">
        <v>2532</v>
      </c>
      <c r="D463" t="s">
        <v>2533</v>
      </c>
      <c r="E463" s="5">
        <v>5060.5</v>
      </c>
      <c r="F463" s="5">
        <v>5060.5</v>
      </c>
      <c r="G463" s="3">
        <v>43277</v>
      </c>
      <c r="H463" s="4">
        <v>0.59033564814814998</v>
      </c>
      <c r="I463" s="3">
        <v>43277</v>
      </c>
      <c r="J463" s="4">
        <v>0.86524305555556003</v>
      </c>
      <c r="K463" s="2">
        <v>20</v>
      </c>
      <c r="L463" t="s">
        <v>0</v>
      </c>
      <c r="M463" t="s">
        <v>7769</v>
      </c>
      <c r="N463" s="3">
        <v>43276</v>
      </c>
      <c r="O463" s="3">
        <v>43279</v>
      </c>
      <c r="P463" t="s">
        <v>14</v>
      </c>
      <c r="Q463" t="s">
        <v>2534</v>
      </c>
      <c r="R463" t="s">
        <v>822</v>
      </c>
      <c r="S463" s="3">
        <v>43276</v>
      </c>
      <c r="T463" t="s">
        <v>7770</v>
      </c>
      <c r="U463" t="s">
        <v>2535</v>
      </c>
      <c r="V463" t="s">
        <v>2536</v>
      </c>
      <c r="W463" t="s">
        <v>2434</v>
      </c>
      <c r="X463" s="2">
        <v>767</v>
      </c>
      <c r="Y463" t="s">
        <v>2</v>
      </c>
      <c r="Z463" t="s">
        <v>3</v>
      </c>
      <c r="AA463" s="5">
        <v>0</v>
      </c>
      <c r="AB463" t="s">
        <v>4</v>
      </c>
      <c r="AI463" t="s">
        <v>6643</v>
      </c>
      <c r="AL463" t="s">
        <v>8420</v>
      </c>
    </row>
    <row r="464" spans="1:38">
      <c r="A464" t="s">
        <v>3843</v>
      </c>
      <c r="B464" t="s">
        <v>2658</v>
      </c>
      <c r="C464" t="s">
        <v>2532</v>
      </c>
      <c r="D464" t="s">
        <v>2533</v>
      </c>
      <c r="E464" s="2">
        <v>20000</v>
      </c>
      <c r="F464" s="2">
        <v>20000</v>
      </c>
      <c r="G464" s="3">
        <v>43277</v>
      </c>
      <c r="H464" s="4">
        <v>0.88607638888888995</v>
      </c>
      <c r="I464" s="3">
        <v>43278</v>
      </c>
      <c r="J464" s="4">
        <v>0.97255787037037</v>
      </c>
      <c r="K464" s="2">
        <v>20</v>
      </c>
      <c r="L464" t="s">
        <v>0</v>
      </c>
      <c r="M464" t="s">
        <v>3770</v>
      </c>
      <c r="N464" s="3">
        <v>43276</v>
      </c>
      <c r="O464" s="3">
        <v>43280</v>
      </c>
      <c r="P464" t="s">
        <v>14</v>
      </c>
      <c r="Q464" t="s">
        <v>2534</v>
      </c>
      <c r="R464" t="s">
        <v>820</v>
      </c>
      <c r="S464" s="3">
        <v>43276</v>
      </c>
      <c r="T464" t="s">
        <v>7771</v>
      </c>
      <c r="U464" t="s">
        <v>2535</v>
      </c>
      <c r="V464" t="s">
        <v>2536</v>
      </c>
      <c r="W464" t="s">
        <v>2434</v>
      </c>
      <c r="X464" s="2">
        <v>0</v>
      </c>
      <c r="Y464" t="s">
        <v>2</v>
      </c>
      <c r="Z464" t="s">
        <v>3</v>
      </c>
      <c r="AA464" s="5">
        <v>0</v>
      </c>
      <c r="AB464" t="s">
        <v>17</v>
      </c>
      <c r="AI464" t="s">
        <v>6643</v>
      </c>
      <c r="AL464" t="s">
        <v>8421</v>
      </c>
    </row>
    <row r="465" spans="1:38">
      <c r="A465" t="s">
        <v>3843</v>
      </c>
      <c r="B465" t="s">
        <v>3970</v>
      </c>
      <c r="C465" t="s">
        <v>3971</v>
      </c>
      <c r="D465" t="s">
        <v>3972</v>
      </c>
      <c r="E465" s="2">
        <v>20000</v>
      </c>
      <c r="F465" s="2">
        <v>20000</v>
      </c>
      <c r="G465" s="3">
        <v>43278</v>
      </c>
      <c r="H465" s="4">
        <v>0.99339120370370004</v>
      </c>
      <c r="I465" s="3">
        <v>43280</v>
      </c>
      <c r="J465" s="4">
        <v>7.9872685185190001E-2</v>
      </c>
      <c r="K465" s="2">
        <v>20</v>
      </c>
      <c r="L465" t="s">
        <v>0</v>
      </c>
      <c r="M465" t="s">
        <v>3770</v>
      </c>
      <c r="N465" s="3">
        <v>43304</v>
      </c>
      <c r="O465" s="3">
        <v>43282</v>
      </c>
      <c r="P465" t="s">
        <v>13</v>
      </c>
      <c r="Q465" t="s">
        <v>3973</v>
      </c>
      <c r="R465" t="s">
        <v>820</v>
      </c>
      <c r="S465" s="3">
        <v>43304</v>
      </c>
      <c r="T465" t="s">
        <v>7772</v>
      </c>
      <c r="U465" t="s">
        <v>2486</v>
      </c>
      <c r="V465" t="s">
        <v>3974</v>
      </c>
      <c r="W465" t="s">
        <v>2434</v>
      </c>
      <c r="X465" s="2">
        <v>767</v>
      </c>
      <c r="Y465" t="s">
        <v>2</v>
      </c>
      <c r="Z465" t="s">
        <v>3</v>
      </c>
      <c r="AA465" s="5">
        <v>0</v>
      </c>
      <c r="AB465" t="s">
        <v>17</v>
      </c>
      <c r="AL465" t="s">
        <v>8422</v>
      </c>
    </row>
    <row r="466" spans="1:38">
      <c r="A466" t="s">
        <v>3843</v>
      </c>
      <c r="B466" t="s">
        <v>7121</v>
      </c>
      <c r="C466" t="s">
        <v>7122</v>
      </c>
      <c r="D466" t="s">
        <v>7123</v>
      </c>
      <c r="E466" s="2">
        <v>5000</v>
      </c>
      <c r="F466" s="2">
        <v>5000</v>
      </c>
      <c r="G466" s="3">
        <v>43280</v>
      </c>
      <c r="H466" s="4">
        <v>8.3333333333329998E-2</v>
      </c>
      <c r="I466" s="3">
        <v>43280</v>
      </c>
      <c r="J466" s="4">
        <v>0.3549537037037</v>
      </c>
      <c r="K466" s="2">
        <v>20</v>
      </c>
      <c r="L466" t="s">
        <v>0</v>
      </c>
      <c r="M466" t="s">
        <v>3785</v>
      </c>
      <c r="N466" s="3">
        <v>43297</v>
      </c>
      <c r="O466" s="3">
        <v>43282</v>
      </c>
      <c r="P466" t="s">
        <v>167</v>
      </c>
      <c r="Q466" t="s">
        <v>7124</v>
      </c>
      <c r="R466" t="s">
        <v>820</v>
      </c>
      <c r="S466" s="3">
        <v>43297</v>
      </c>
      <c r="T466" t="s">
        <v>7773</v>
      </c>
      <c r="U466" t="s">
        <v>3332</v>
      </c>
      <c r="V466" t="s">
        <v>2437</v>
      </c>
      <c r="W466" t="s">
        <v>2434</v>
      </c>
      <c r="X466" s="2">
        <v>767</v>
      </c>
      <c r="Y466" t="s">
        <v>2</v>
      </c>
      <c r="Z466" t="s">
        <v>3</v>
      </c>
      <c r="AA466" s="5">
        <v>0</v>
      </c>
      <c r="AB466" t="s">
        <v>17</v>
      </c>
      <c r="AI466" t="s">
        <v>6643</v>
      </c>
      <c r="AL466" t="s">
        <v>8423</v>
      </c>
    </row>
    <row r="467" spans="1:38">
      <c r="A467" t="s">
        <v>3843</v>
      </c>
      <c r="B467" t="s">
        <v>7125</v>
      </c>
      <c r="C467" t="s">
        <v>7122</v>
      </c>
      <c r="D467" t="s">
        <v>7123</v>
      </c>
      <c r="E467" s="2">
        <v>5000</v>
      </c>
      <c r="F467" s="2">
        <v>5000</v>
      </c>
      <c r="G467" s="3">
        <v>43280</v>
      </c>
      <c r="H467" s="4">
        <v>0.375</v>
      </c>
      <c r="I467" s="3">
        <v>43280</v>
      </c>
      <c r="J467" s="4">
        <v>0.64662037037037001</v>
      </c>
      <c r="K467" s="2">
        <v>20</v>
      </c>
      <c r="L467" t="s">
        <v>0</v>
      </c>
      <c r="M467" t="s">
        <v>3785</v>
      </c>
      <c r="N467" s="3">
        <v>43297</v>
      </c>
      <c r="O467" s="3">
        <v>43282</v>
      </c>
      <c r="P467" t="s">
        <v>167</v>
      </c>
      <c r="Q467" t="s">
        <v>7126</v>
      </c>
      <c r="R467" t="s">
        <v>820</v>
      </c>
      <c r="S467" s="3">
        <v>43297</v>
      </c>
      <c r="T467" t="s">
        <v>7774</v>
      </c>
      <c r="U467" t="s">
        <v>3332</v>
      </c>
      <c r="V467" t="s">
        <v>2437</v>
      </c>
      <c r="W467" t="s">
        <v>2434</v>
      </c>
      <c r="X467" s="2">
        <v>767</v>
      </c>
      <c r="Y467" t="s">
        <v>2</v>
      </c>
      <c r="Z467" t="s">
        <v>3</v>
      </c>
      <c r="AA467" s="5">
        <v>0</v>
      </c>
      <c r="AB467" t="s">
        <v>17</v>
      </c>
      <c r="AI467" t="s">
        <v>6643</v>
      </c>
      <c r="AL467" t="s">
        <v>8424</v>
      </c>
    </row>
    <row r="468" spans="1:38">
      <c r="A468" t="s">
        <v>3843</v>
      </c>
      <c r="B468" t="s">
        <v>4154</v>
      </c>
      <c r="C468" t="s">
        <v>4113</v>
      </c>
      <c r="D468" t="s">
        <v>4114</v>
      </c>
      <c r="E468" s="2">
        <v>20000</v>
      </c>
      <c r="F468" s="2">
        <v>20000</v>
      </c>
      <c r="G468" s="3">
        <v>43280</v>
      </c>
      <c r="H468" s="4">
        <v>0.70833333333333004</v>
      </c>
      <c r="I468" s="3">
        <v>43281</v>
      </c>
      <c r="J468" s="4">
        <v>0.79481481481480998</v>
      </c>
      <c r="K468" s="2">
        <v>0</v>
      </c>
      <c r="L468" t="s">
        <v>0</v>
      </c>
      <c r="M468" t="s">
        <v>3770</v>
      </c>
      <c r="N468" s="3"/>
      <c r="O468" s="3">
        <v>43283</v>
      </c>
      <c r="P468" t="s">
        <v>167</v>
      </c>
      <c r="Q468" t="s">
        <v>4115</v>
      </c>
      <c r="R468" t="s">
        <v>820</v>
      </c>
      <c r="S468" s="3">
        <v>43290</v>
      </c>
      <c r="T468" t="s">
        <v>1</v>
      </c>
      <c r="U468" t="s">
        <v>3326</v>
      </c>
      <c r="V468" t="s">
        <v>2437</v>
      </c>
      <c r="W468" t="s">
        <v>2434</v>
      </c>
      <c r="X468" s="2">
        <v>0</v>
      </c>
      <c r="Y468" t="s">
        <v>2</v>
      </c>
      <c r="Z468" t="s">
        <v>3</v>
      </c>
      <c r="AA468" s="5">
        <v>0</v>
      </c>
      <c r="AB468" t="s">
        <v>29</v>
      </c>
      <c r="AI468" t="s">
        <v>6643</v>
      </c>
      <c r="AL468" t="s">
        <v>8425</v>
      </c>
    </row>
    <row r="469" spans="1:38">
      <c r="A469" t="s">
        <v>3843</v>
      </c>
      <c r="B469" t="s">
        <v>4122</v>
      </c>
      <c r="C469" t="s">
        <v>3422</v>
      </c>
      <c r="D469" t="s">
        <v>3423</v>
      </c>
      <c r="E469" s="2">
        <v>3000</v>
      </c>
      <c r="F469" s="2">
        <v>3000</v>
      </c>
      <c r="G469" s="3">
        <v>43287</v>
      </c>
      <c r="H469" s="4">
        <v>0.41495370370369999</v>
      </c>
      <c r="I469" s="3">
        <v>43287</v>
      </c>
      <c r="J469" s="4">
        <v>0.57792824074074001</v>
      </c>
      <c r="K469" s="2">
        <v>0</v>
      </c>
      <c r="L469" t="s">
        <v>0</v>
      </c>
      <c r="M469" t="s">
        <v>3780</v>
      </c>
      <c r="N469" s="3">
        <v>43290</v>
      </c>
      <c r="O469" s="3">
        <v>43289</v>
      </c>
      <c r="P469" t="s">
        <v>4064</v>
      </c>
      <c r="Q469" t="s">
        <v>4123</v>
      </c>
      <c r="R469" t="s">
        <v>820</v>
      </c>
      <c r="S469" s="3">
        <v>43290</v>
      </c>
      <c r="T469" t="s">
        <v>7775</v>
      </c>
      <c r="U469" t="s">
        <v>3425</v>
      </c>
      <c r="V469">
        <v>7001</v>
      </c>
      <c r="W469" t="s">
        <v>2434</v>
      </c>
      <c r="X469" s="2">
        <v>767</v>
      </c>
      <c r="Y469" t="s">
        <v>2</v>
      </c>
      <c r="Z469" t="s">
        <v>3</v>
      </c>
      <c r="AA469" s="5">
        <v>0</v>
      </c>
      <c r="AB469" t="s">
        <v>17</v>
      </c>
      <c r="AI469" t="s">
        <v>6643</v>
      </c>
      <c r="AL469" t="s">
        <v>8426</v>
      </c>
    </row>
    <row r="470" spans="1:38">
      <c r="A470" t="s">
        <v>3843</v>
      </c>
      <c r="B470" t="s">
        <v>7117</v>
      </c>
      <c r="C470" t="s">
        <v>3338</v>
      </c>
      <c r="D470" t="s">
        <v>3339</v>
      </c>
      <c r="E470" s="2">
        <v>9750</v>
      </c>
      <c r="F470" s="2">
        <v>9750</v>
      </c>
      <c r="G470" s="3">
        <v>43287</v>
      </c>
      <c r="H470" s="4">
        <v>0.59876157407407005</v>
      </c>
      <c r="I470" s="3">
        <v>43288</v>
      </c>
      <c r="J470" s="4">
        <v>0.12842592592593</v>
      </c>
      <c r="K470" s="2">
        <v>0</v>
      </c>
      <c r="L470" t="s">
        <v>0</v>
      </c>
      <c r="M470" t="s">
        <v>7776</v>
      </c>
      <c r="N470" s="3">
        <v>43300</v>
      </c>
      <c r="O470" s="3">
        <v>43290</v>
      </c>
      <c r="P470" t="s">
        <v>3720</v>
      </c>
      <c r="Q470" t="s">
        <v>7118</v>
      </c>
      <c r="R470" t="s">
        <v>820</v>
      </c>
      <c r="S470" s="3">
        <v>43300</v>
      </c>
      <c r="T470" t="s">
        <v>7777</v>
      </c>
      <c r="U470" t="s">
        <v>3335</v>
      </c>
      <c r="V470" t="s">
        <v>2437</v>
      </c>
      <c r="W470" t="s">
        <v>2434</v>
      </c>
      <c r="X470" s="2">
        <v>767</v>
      </c>
      <c r="Y470" t="s">
        <v>2</v>
      </c>
      <c r="Z470" t="s">
        <v>3</v>
      </c>
      <c r="AA470" s="5">
        <v>0</v>
      </c>
      <c r="AB470" t="s">
        <v>17</v>
      </c>
      <c r="AI470" t="s">
        <v>6643</v>
      </c>
      <c r="AL470" t="s">
        <v>8427</v>
      </c>
    </row>
    <row r="471" spans="1:38">
      <c r="A471" t="s">
        <v>3843</v>
      </c>
      <c r="B471" t="s">
        <v>7101</v>
      </c>
      <c r="C471" t="s">
        <v>7102</v>
      </c>
      <c r="D471" t="s">
        <v>7103</v>
      </c>
      <c r="E471" s="2">
        <v>3000</v>
      </c>
      <c r="F471" s="2">
        <v>3000</v>
      </c>
      <c r="G471" s="3">
        <v>43289</v>
      </c>
      <c r="H471" s="4">
        <v>0.54902777777778</v>
      </c>
      <c r="I471" s="3">
        <v>43289</v>
      </c>
      <c r="J471" s="4">
        <v>0.71200231481481002</v>
      </c>
      <c r="K471" s="2">
        <v>20</v>
      </c>
      <c r="L471" t="s">
        <v>0</v>
      </c>
      <c r="M471" t="s">
        <v>3780</v>
      </c>
      <c r="N471" s="3">
        <v>43307</v>
      </c>
      <c r="O471" s="3">
        <v>43291</v>
      </c>
      <c r="P471" t="s">
        <v>13</v>
      </c>
      <c r="Q471" t="s">
        <v>7104</v>
      </c>
      <c r="R471" t="s">
        <v>820</v>
      </c>
      <c r="S471" s="3">
        <v>43307</v>
      </c>
      <c r="T471" t="s">
        <v>7778</v>
      </c>
      <c r="U471" t="s">
        <v>7105</v>
      </c>
      <c r="V471" t="s">
        <v>7106</v>
      </c>
      <c r="W471" t="s">
        <v>2434</v>
      </c>
      <c r="X471" s="2">
        <v>767</v>
      </c>
      <c r="Y471" t="s">
        <v>2</v>
      </c>
      <c r="Z471" t="s">
        <v>3</v>
      </c>
      <c r="AA471" s="5">
        <v>0</v>
      </c>
      <c r="AB471" t="s">
        <v>17</v>
      </c>
      <c r="AL471" t="s">
        <v>8428</v>
      </c>
    </row>
    <row r="472" spans="1:38">
      <c r="A472" t="s">
        <v>3843</v>
      </c>
      <c r="B472" t="s">
        <v>4112</v>
      </c>
      <c r="C472" t="s">
        <v>4113</v>
      </c>
      <c r="D472" t="s">
        <v>4114</v>
      </c>
      <c r="E472" s="2">
        <v>20000</v>
      </c>
      <c r="F472" s="2">
        <v>20000</v>
      </c>
      <c r="G472" s="3">
        <v>43289</v>
      </c>
      <c r="H472" s="4">
        <v>0.73283564814815005</v>
      </c>
      <c r="I472" s="3">
        <v>43290</v>
      </c>
      <c r="J472" s="4">
        <v>0.81931712962962999</v>
      </c>
      <c r="K472" s="2">
        <v>0</v>
      </c>
      <c r="L472" t="s">
        <v>0</v>
      </c>
      <c r="M472" t="s">
        <v>3770</v>
      </c>
      <c r="N472" s="3"/>
      <c r="O472" s="3">
        <v>43292</v>
      </c>
      <c r="P472" t="s">
        <v>167</v>
      </c>
      <c r="Q472" t="s">
        <v>7779</v>
      </c>
      <c r="R472" t="s">
        <v>820</v>
      </c>
      <c r="S472" s="3">
        <v>43313</v>
      </c>
      <c r="T472" t="s">
        <v>1</v>
      </c>
      <c r="U472" t="s">
        <v>3326</v>
      </c>
      <c r="V472" t="s">
        <v>2437</v>
      </c>
      <c r="W472" t="s">
        <v>2434</v>
      </c>
      <c r="X472" s="2">
        <v>0</v>
      </c>
      <c r="Y472" t="s">
        <v>2</v>
      </c>
      <c r="Z472" t="s">
        <v>3</v>
      </c>
      <c r="AA472" s="5">
        <v>0</v>
      </c>
      <c r="AB472" t="s">
        <v>29</v>
      </c>
      <c r="AI472" t="s">
        <v>6643</v>
      </c>
      <c r="AL472" t="s">
        <v>8429</v>
      </c>
    </row>
    <row r="473" spans="1:38">
      <c r="A473" t="s">
        <v>3843</v>
      </c>
      <c r="B473" t="s">
        <v>4130</v>
      </c>
      <c r="C473" t="s">
        <v>3457</v>
      </c>
      <c r="D473" t="s">
        <v>3458</v>
      </c>
      <c r="E473" s="2">
        <v>10000</v>
      </c>
      <c r="F473" s="2">
        <v>10000</v>
      </c>
      <c r="G473" s="3">
        <v>43290</v>
      </c>
      <c r="H473" s="4">
        <v>0.84015046296296003</v>
      </c>
      <c r="I473" s="3">
        <v>43291</v>
      </c>
      <c r="J473" s="4">
        <v>0.3833912037037</v>
      </c>
      <c r="K473" s="2">
        <v>20</v>
      </c>
      <c r="L473" t="s">
        <v>0</v>
      </c>
      <c r="M473" t="s">
        <v>3763</v>
      </c>
      <c r="N473" s="3">
        <v>43293</v>
      </c>
      <c r="O473" s="3">
        <v>43293</v>
      </c>
      <c r="P473" t="s">
        <v>167</v>
      </c>
      <c r="Q473" t="s">
        <v>4131</v>
      </c>
      <c r="R473" t="s">
        <v>820</v>
      </c>
      <c r="S473" s="3">
        <v>43293</v>
      </c>
      <c r="T473" t="s">
        <v>7780</v>
      </c>
      <c r="U473">
        <v>553</v>
      </c>
      <c r="V473">
        <v>7001</v>
      </c>
      <c r="W473" t="s">
        <v>2434</v>
      </c>
      <c r="X473" s="2">
        <v>767</v>
      </c>
      <c r="Y473" t="s">
        <v>2</v>
      </c>
      <c r="Z473" t="s">
        <v>3</v>
      </c>
      <c r="AA473" s="5">
        <v>0</v>
      </c>
      <c r="AB473" t="s">
        <v>17</v>
      </c>
      <c r="AI473" t="s">
        <v>6643</v>
      </c>
      <c r="AL473" t="s">
        <v>8430</v>
      </c>
    </row>
    <row r="474" spans="1:38">
      <c r="A474" t="s">
        <v>3843</v>
      </c>
      <c r="B474" t="s">
        <v>4144</v>
      </c>
      <c r="C474" t="s">
        <v>4145</v>
      </c>
      <c r="D474" t="s">
        <v>4146</v>
      </c>
      <c r="E474" s="2">
        <v>5000</v>
      </c>
      <c r="F474" s="2">
        <v>5000</v>
      </c>
      <c r="G474" s="3">
        <v>43291</v>
      </c>
      <c r="H474" s="4">
        <v>0.69667824074074003</v>
      </c>
      <c r="I474" s="3">
        <v>43291</v>
      </c>
      <c r="J474" s="4">
        <v>0.96829861111111004</v>
      </c>
      <c r="K474" s="2">
        <v>20</v>
      </c>
      <c r="L474" t="s">
        <v>0</v>
      </c>
      <c r="M474" t="s">
        <v>3785</v>
      </c>
      <c r="N474" s="3">
        <v>43297</v>
      </c>
      <c r="O474" s="3">
        <v>43293</v>
      </c>
      <c r="P474" t="s">
        <v>167</v>
      </c>
      <c r="Q474" t="s">
        <v>4147</v>
      </c>
      <c r="R474" t="s">
        <v>820</v>
      </c>
      <c r="S474" s="3">
        <v>43297</v>
      </c>
      <c r="T474" t="s">
        <v>7781</v>
      </c>
      <c r="U474">
        <v>553</v>
      </c>
      <c r="V474" t="s">
        <v>2437</v>
      </c>
      <c r="W474" t="s">
        <v>2434</v>
      </c>
      <c r="X474" s="2">
        <v>767</v>
      </c>
      <c r="Y474" t="s">
        <v>2</v>
      </c>
      <c r="Z474" t="s">
        <v>3</v>
      </c>
      <c r="AA474" s="5">
        <v>0</v>
      </c>
      <c r="AB474" t="s">
        <v>17</v>
      </c>
      <c r="AI474" t="s">
        <v>6643</v>
      </c>
      <c r="AL474" t="s">
        <v>8431</v>
      </c>
    </row>
    <row r="475" spans="1:38">
      <c r="A475" t="s">
        <v>3843</v>
      </c>
      <c r="B475" t="s">
        <v>3869</v>
      </c>
      <c r="C475" t="s">
        <v>3845</v>
      </c>
      <c r="D475" t="s">
        <v>3846</v>
      </c>
      <c r="E475" s="2">
        <v>5000</v>
      </c>
      <c r="F475" s="2">
        <v>5000</v>
      </c>
      <c r="G475" s="3">
        <v>43291</v>
      </c>
      <c r="H475" s="4">
        <v>0.98913194444443997</v>
      </c>
      <c r="I475" s="3">
        <v>43292</v>
      </c>
      <c r="J475" s="4">
        <v>0.26075231481480998</v>
      </c>
      <c r="K475" s="2">
        <v>20</v>
      </c>
      <c r="L475" t="s">
        <v>0</v>
      </c>
      <c r="M475" t="s">
        <v>3785</v>
      </c>
      <c r="N475" s="3">
        <v>43297</v>
      </c>
      <c r="O475" s="3">
        <v>43294</v>
      </c>
      <c r="P475" t="s">
        <v>3150</v>
      </c>
      <c r="Q475" t="s">
        <v>3870</v>
      </c>
      <c r="R475" t="s">
        <v>820</v>
      </c>
      <c r="S475" s="3">
        <v>43297</v>
      </c>
      <c r="T475" t="s">
        <v>7782</v>
      </c>
      <c r="U475" t="s">
        <v>3847</v>
      </c>
      <c r="V475" t="s">
        <v>2437</v>
      </c>
      <c r="W475" t="s">
        <v>2434</v>
      </c>
      <c r="X475" s="2">
        <v>767</v>
      </c>
      <c r="Y475" t="s">
        <v>2</v>
      </c>
      <c r="Z475" t="s">
        <v>3</v>
      </c>
      <c r="AA475" s="5">
        <v>0</v>
      </c>
      <c r="AB475" t="s">
        <v>17</v>
      </c>
      <c r="AL475" t="s">
        <v>8432</v>
      </c>
    </row>
    <row r="476" spans="1:38">
      <c r="A476" t="s">
        <v>3843</v>
      </c>
      <c r="B476" t="s">
        <v>7096</v>
      </c>
      <c r="C476" t="s">
        <v>7097</v>
      </c>
      <c r="D476" t="s">
        <v>7098</v>
      </c>
      <c r="E476" s="2">
        <v>3000</v>
      </c>
      <c r="F476" s="2">
        <v>3000</v>
      </c>
      <c r="G476" s="3">
        <v>43292</v>
      </c>
      <c r="H476" s="4">
        <v>0.28158564814815001</v>
      </c>
      <c r="I476" s="3">
        <v>43292</v>
      </c>
      <c r="J476" s="4">
        <v>0.44456018518519003</v>
      </c>
      <c r="K476" s="2">
        <v>20</v>
      </c>
      <c r="L476" t="s">
        <v>0</v>
      </c>
      <c r="M476" t="s">
        <v>3780</v>
      </c>
      <c r="N476" s="3">
        <v>43300</v>
      </c>
      <c r="O476" s="3">
        <v>43294</v>
      </c>
      <c r="P476" t="s">
        <v>3150</v>
      </c>
      <c r="Q476" t="s">
        <v>7099</v>
      </c>
      <c r="R476" t="s">
        <v>820</v>
      </c>
      <c r="S476" s="3">
        <v>43297</v>
      </c>
      <c r="T476" t="s">
        <v>7783</v>
      </c>
      <c r="U476" t="s">
        <v>7100</v>
      </c>
      <c r="V476" t="s">
        <v>2437</v>
      </c>
      <c r="W476" t="s">
        <v>2434</v>
      </c>
      <c r="X476" s="2">
        <v>767</v>
      </c>
      <c r="Y476" t="s">
        <v>2</v>
      </c>
      <c r="Z476" t="s">
        <v>3</v>
      </c>
      <c r="AA476" s="5">
        <v>0</v>
      </c>
      <c r="AB476" t="s">
        <v>17</v>
      </c>
      <c r="AL476" t="s">
        <v>8433</v>
      </c>
    </row>
    <row r="477" spans="1:38">
      <c r="A477" t="s">
        <v>3843</v>
      </c>
      <c r="B477" t="s">
        <v>3874</v>
      </c>
      <c r="C477" t="s">
        <v>161</v>
      </c>
      <c r="D477" t="s">
        <v>162</v>
      </c>
      <c r="E477" s="2">
        <v>20000</v>
      </c>
      <c r="F477" s="2">
        <v>20000</v>
      </c>
      <c r="G477" s="3">
        <v>43292</v>
      </c>
      <c r="H477" s="4">
        <v>0.50706018518519003</v>
      </c>
      <c r="I477" s="3">
        <v>43293</v>
      </c>
      <c r="J477" s="4">
        <v>0.59354166666666996</v>
      </c>
      <c r="K477" s="2">
        <v>0</v>
      </c>
      <c r="L477" t="s">
        <v>0</v>
      </c>
      <c r="M477" t="s">
        <v>3770</v>
      </c>
      <c r="N477" s="3">
        <v>43295</v>
      </c>
      <c r="O477" s="3">
        <v>43295</v>
      </c>
      <c r="P477" t="s">
        <v>28</v>
      </c>
      <c r="Q477" t="s">
        <v>5796</v>
      </c>
      <c r="R477" t="s">
        <v>820</v>
      </c>
      <c r="S477" s="3">
        <v>43297</v>
      </c>
      <c r="T477" t="s">
        <v>1</v>
      </c>
      <c r="U477" t="s">
        <v>2484</v>
      </c>
      <c r="V477">
        <v>739</v>
      </c>
      <c r="W477" t="s">
        <v>2434</v>
      </c>
      <c r="X477" s="2">
        <v>0</v>
      </c>
      <c r="Y477" t="s">
        <v>2</v>
      </c>
      <c r="Z477" t="s">
        <v>3</v>
      </c>
      <c r="AA477" s="5">
        <v>0</v>
      </c>
      <c r="AB477" t="s">
        <v>29</v>
      </c>
      <c r="AL477" t="s">
        <v>8434</v>
      </c>
    </row>
    <row r="478" spans="1:38">
      <c r="A478" t="s">
        <v>3843</v>
      </c>
      <c r="B478" t="s">
        <v>3875</v>
      </c>
      <c r="C478" t="s">
        <v>3876</v>
      </c>
      <c r="D478" t="s">
        <v>3877</v>
      </c>
      <c r="E478" s="2">
        <v>5000</v>
      </c>
      <c r="F478" s="2">
        <v>5000</v>
      </c>
      <c r="G478" s="3">
        <v>43294</v>
      </c>
      <c r="H478" s="4">
        <v>0.72837962962962999</v>
      </c>
      <c r="I478" s="3">
        <v>43295</v>
      </c>
      <c r="J478" s="4">
        <v>0</v>
      </c>
      <c r="K478" s="2">
        <v>0</v>
      </c>
      <c r="L478" t="s">
        <v>0</v>
      </c>
      <c r="M478" t="s">
        <v>3785</v>
      </c>
      <c r="N478" s="3">
        <v>43300</v>
      </c>
      <c r="O478" s="3">
        <v>43296</v>
      </c>
      <c r="P478" t="s">
        <v>13</v>
      </c>
      <c r="Q478" t="s">
        <v>3878</v>
      </c>
      <c r="R478" t="s">
        <v>820</v>
      </c>
      <c r="S478" s="3">
        <v>43300</v>
      </c>
      <c r="T478" t="s">
        <v>7784</v>
      </c>
      <c r="U478" t="s">
        <v>2702</v>
      </c>
      <c r="V478" t="s">
        <v>3879</v>
      </c>
      <c r="W478" t="s">
        <v>2434</v>
      </c>
      <c r="X478" s="2">
        <v>767</v>
      </c>
      <c r="Y478" t="s">
        <v>2</v>
      </c>
      <c r="Z478" t="s">
        <v>3</v>
      </c>
      <c r="AA478" s="5">
        <v>0</v>
      </c>
      <c r="AB478" t="s">
        <v>17</v>
      </c>
      <c r="AI478" t="s">
        <v>6643</v>
      </c>
      <c r="AL478" t="s">
        <v>8435</v>
      </c>
    </row>
    <row r="479" spans="1:38">
      <c r="A479" t="s">
        <v>3843</v>
      </c>
      <c r="B479" t="s">
        <v>7785</v>
      </c>
      <c r="C479" t="s">
        <v>3886</v>
      </c>
      <c r="D479" t="s">
        <v>3887</v>
      </c>
      <c r="E479" s="2">
        <v>5000</v>
      </c>
      <c r="F479" s="2">
        <v>5000</v>
      </c>
      <c r="G479" s="3">
        <v>43295</v>
      </c>
      <c r="H479" s="4">
        <v>0.49025462962963001</v>
      </c>
      <c r="I479" s="3">
        <v>43295</v>
      </c>
      <c r="J479" s="4">
        <v>0.76187499999999997</v>
      </c>
      <c r="K479" s="2">
        <v>0</v>
      </c>
      <c r="L479" t="s">
        <v>0</v>
      </c>
      <c r="M479" t="s">
        <v>3785</v>
      </c>
      <c r="N479" s="3">
        <v>43298</v>
      </c>
      <c r="O479" s="3">
        <v>43297</v>
      </c>
      <c r="P479" t="s">
        <v>13</v>
      </c>
      <c r="Q479" t="s">
        <v>7786</v>
      </c>
      <c r="R479" t="s">
        <v>820</v>
      </c>
      <c r="S479" s="3">
        <v>43298</v>
      </c>
      <c r="T479" t="s">
        <v>7787</v>
      </c>
      <c r="U479" t="s">
        <v>2649</v>
      </c>
      <c r="V479" t="s">
        <v>3888</v>
      </c>
      <c r="W479" t="s">
        <v>2434</v>
      </c>
      <c r="X479" s="2">
        <v>767</v>
      </c>
      <c r="Y479" t="s">
        <v>2</v>
      </c>
      <c r="Z479" t="s">
        <v>3</v>
      </c>
      <c r="AA479" s="5">
        <v>0</v>
      </c>
      <c r="AB479" t="s">
        <v>17</v>
      </c>
      <c r="AL479" t="s">
        <v>8436</v>
      </c>
    </row>
    <row r="480" spans="1:38">
      <c r="A480" t="s">
        <v>3843</v>
      </c>
      <c r="B480" t="s">
        <v>3880</v>
      </c>
      <c r="C480" t="s">
        <v>3881</v>
      </c>
      <c r="D480" t="s">
        <v>3882</v>
      </c>
      <c r="E480" s="2">
        <v>4000</v>
      </c>
      <c r="F480" s="2">
        <v>4000</v>
      </c>
      <c r="G480" s="3">
        <v>43295</v>
      </c>
      <c r="H480" s="4">
        <v>0.78270833333333001</v>
      </c>
      <c r="I480" s="3">
        <v>43296</v>
      </c>
      <c r="J480" s="4">
        <v>0</v>
      </c>
      <c r="K480" s="2">
        <v>0</v>
      </c>
      <c r="L480" t="s">
        <v>0</v>
      </c>
      <c r="M480" t="s">
        <v>3798</v>
      </c>
      <c r="N480" s="3">
        <v>43298</v>
      </c>
      <c r="O480" s="3">
        <v>43297</v>
      </c>
      <c r="P480" t="s">
        <v>13</v>
      </c>
      <c r="Q480" t="s">
        <v>3883</v>
      </c>
      <c r="R480" t="s">
        <v>820</v>
      </c>
      <c r="S480" s="3">
        <v>43298</v>
      </c>
      <c r="T480" t="s">
        <v>7788</v>
      </c>
      <c r="U480" t="s">
        <v>3621</v>
      </c>
      <c r="V480" t="s">
        <v>3884</v>
      </c>
      <c r="W480" t="s">
        <v>2434</v>
      </c>
      <c r="X480" s="2">
        <v>767</v>
      </c>
      <c r="Y480" t="s">
        <v>2</v>
      </c>
      <c r="Z480" t="s">
        <v>3</v>
      </c>
      <c r="AA480" s="5">
        <v>0</v>
      </c>
      <c r="AB480" t="s">
        <v>17</v>
      </c>
      <c r="AI480" t="s">
        <v>6643</v>
      </c>
      <c r="AL480" t="s">
        <v>8437</v>
      </c>
    </row>
    <row r="481" spans="1:38">
      <c r="A481" t="s">
        <v>3843</v>
      </c>
      <c r="B481" t="s">
        <v>7789</v>
      </c>
      <c r="C481" t="s">
        <v>161</v>
      </c>
      <c r="D481" t="s">
        <v>162</v>
      </c>
      <c r="E481" s="2">
        <v>20000</v>
      </c>
      <c r="F481" s="2">
        <v>20000</v>
      </c>
      <c r="G481" s="3">
        <v>43296</v>
      </c>
      <c r="H481" s="4">
        <v>0.5390625</v>
      </c>
      <c r="I481" s="3">
        <v>43297</v>
      </c>
      <c r="J481" s="4">
        <v>0.62554398148148005</v>
      </c>
      <c r="K481" s="2">
        <v>0</v>
      </c>
      <c r="L481" t="s">
        <v>0</v>
      </c>
      <c r="M481" t="s">
        <v>3770</v>
      </c>
      <c r="N481" s="3">
        <v>43290</v>
      </c>
      <c r="O481" s="3">
        <v>43301</v>
      </c>
      <c r="P481" t="s">
        <v>28</v>
      </c>
      <c r="Q481" t="s">
        <v>1</v>
      </c>
      <c r="R481" t="s">
        <v>819</v>
      </c>
      <c r="S481" s="3"/>
      <c r="T481" t="s">
        <v>1</v>
      </c>
      <c r="U481" t="s">
        <v>2484</v>
      </c>
      <c r="V481">
        <v>739</v>
      </c>
      <c r="W481" t="s">
        <v>2434</v>
      </c>
      <c r="X481" s="2">
        <v>0</v>
      </c>
      <c r="Y481" t="s">
        <v>2</v>
      </c>
      <c r="Z481" t="s">
        <v>3</v>
      </c>
      <c r="AA481" s="5">
        <v>0</v>
      </c>
      <c r="AB481" t="s">
        <v>29</v>
      </c>
      <c r="AL481" t="s">
        <v>8438</v>
      </c>
    </row>
    <row r="482" spans="1:38">
      <c r="A482" t="s">
        <v>3843</v>
      </c>
      <c r="B482" t="s">
        <v>3885</v>
      </c>
      <c r="C482" t="s">
        <v>161</v>
      </c>
      <c r="D482" t="s">
        <v>162</v>
      </c>
      <c r="E482" s="2">
        <v>20000</v>
      </c>
      <c r="F482" s="2">
        <v>20000</v>
      </c>
      <c r="G482" s="3">
        <v>43297</v>
      </c>
      <c r="H482" s="4">
        <v>0.91351851851851995</v>
      </c>
      <c r="I482" s="3">
        <v>43299</v>
      </c>
      <c r="J482" s="4">
        <v>0</v>
      </c>
      <c r="K482" s="2">
        <v>0</v>
      </c>
      <c r="L482" t="s">
        <v>0</v>
      </c>
      <c r="M482" t="s">
        <v>3770</v>
      </c>
      <c r="N482" s="3">
        <v>43301</v>
      </c>
      <c r="O482" s="3">
        <v>43300</v>
      </c>
      <c r="P482" t="s">
        <v>28</v>
      </c>
      <c r="Q482" t="s">
        <v>7790</v>
      </c>
      <c r="R482" t="s">
        <v>820</v>
      </c>
      <c r="S482" s="3">
        <v>43301</v>
      </c>
      <c r="T482" t="s">
        <v>1</v>
      </c>
      <c r="U482" t="s">
        <v>2484</v>
      </c>
      <c r="V482">
        <v>739</v>
      </c>
      <c r="W482" t="s">
        <v>2434</v>
      </c>
      <c r="X482" s="2">
        <v>0</v>
      </c>
      <c r="Y482" t="s">
        <v>2</v>
      </c>
      <c r="Z482" t="s">
        <v>3</v>
      </c>
      <c r="AA482" s="5">
        <v>0</v>
      </c>
      <c r="AB482" t="s">
        <v>29</v>
      </c>
      <c r="AL482" t="s">
        <v>8439</v>
      </c>
    </row>
    <row r="483" spans="1:38">
      <c r="A483" t="s">
        <v>3843</v>
      </c>
      <c r="B483" t="s">
        <v>7791</v>
      </c>
      <c r="C483" t="s">
        <v>161</v>
      </c>
      <c r="D483" t="s">
        <v>162</v>
      </c>
      <c r="E483" s="2">
        <v>20000</v>
      </c>
      <c r="F483" s="2">
        <v>20000</v>
      </c>
      <c r="G483" s="3">
        <v>43299</v>
      </c>
      <c r="H483" s="4">
        <v>2.0833333333330002E-2</v>
      </c>
      <c r="I483" s="3">
        <v>43300</v>
      </c>
      <c r="J483" s="4">
        <v>0.10731481481481001</v>
      </c>
      <c r="K483" s="2">
        <v>0</v>
      </c>
      <c r="L483" t="s">
        <v>0</v>
      </c>
      <c r="M483" t="s">
        <v>3770</v>
      </c>
      <c r="N483" s="3">
        <v>43302</v>
      </c>
      <c r="O483" s="3">
        <v>43302</v>
      </c>
      <c r="P483" t="s">
        <v>28</v>
      </c>
      <c r="Q483" t="s">
        <v>1</v>
      </c>
      <c r="R483" t="s">
        <v>821</v>
      </c>
      <c r="S483" s="3">
        <v>43313</v>
      </c>
      <c r="T483" t="s">
        <v>1</v>
      </c>
      <c r="U483" t="s">
        <v>2484</v>
      </c>
      <c r="V483">
        <v>739</v>
      </c>
      <c r="W483" t="s">
        <v>2434</v>
      </c>
      <c r="X483" s="2">
        <v>0</v>
      </c>
      <c r="Y483" t="s">
        <v>2</v>
      </c>
      <c r="Z483" t="s">
        <v>3</v>
      </c>
      <c r="AA483" s="5">
        <v>0</v>
      </c>
      <c r="AB483" t="s">
        <v>29</v>
      </c>
      <c r="AL483" t="s">
        <v>8440</v>
      </c>
    </row>
    <row r="484" spans="1:38">
      <c r="A484" t="s">
        <v>3889</v>
      </c>
      <c r="B484" t="s">
        <v>3894</v>
      </c>
      <c r="C484" t="s">
        <v>159</v>
      </c>
      <c r="D484" t="s">
        <v>160</v>
      </c>
      <c r="E484" s="2">
        <v>10000</v>
      </c>
      <c r="F484" s="2">
        <v>10000</v>
      </c>
      <c r="G484" s="3">
        <v>43286</v>
      </c>
      <c r="H484" s="4">
        <v>0.99998842592592996</v>
      </c>
      <c r="I484" s="3">
        <v>43287</v>
      </c>
      <c r="J484" s="4">
        <v>0.51502314814814998</v>
      </c>
      <c r="K484" s="2">
        <v>0</v>
      </c>
      <c r="L484" t="s">
        <v>0</v>
      </c>
      <c r="M484" t="s">
        <v>3892</v>
      </c>
      <c r="N484" s="3"/>
      <c r="O484" s="3">
        <v>43289</v>
      </c>
      <c r="P484" t="s">
        <v>7</v>
      </c>
      <c r="Q484" t="s">
        <v>3893</v>
      </c>
      <c r="R484" t="s">
        <v>820</v>
      </c>
      <c r="S484" s="3">
        <v>43300</v>
      </c>
      <c r="T484" t="s">
        <v>1</v>
      </c>
      <c r="U484">
        <v>945</v>
      </c>
      <c r="V484">
        <v>701</v>
      </c>
      <c r="W484" t="s">
        <v>2434</v>
      </c>
      <c r="X484" s="2">
        <v>0</v>
      </c>
      <c r="Y484" t="s">
        <v>2</v>
      </c>
      <c r="Z484" t="s">
        <v>3</v>
      </c>
      <c r="AA484" s="5">
        <v>0</v>
      </c>
      <c r="AB484" t="s">
        <v>29</v>
      </c>
      <c r="AL484" t="s">
        <v>8441</v>
      </c>
    </row>
    <row r="485" spans="1:38">
      <c r="A485" t="s">
        <v>3889</v>
      </c>
      <c r="B485" t="s">
        <v>3891</v>
      </c>
      <c r="C485" t="s">
        <v>159</v>
      </c>
      <c r="D485" t="s">
        <v>160</v>
      </c>
      <c r="E485" s="2">
        <v>10000</v>
      </c>
      <c r="F485" s="2">
        <v>10000</v>
      </c>
      <c r="G485" s="3">
        <v>43287</v>
      </c>
      <c r="H485" s="4">
        <v>0.53585648148148002</v>
      </c>
      <c r="I485" s="3">
        <v>43288</v>
      </c>
      <c r="J485" s="4">
        <v>5.0891203703699997E-2</v>
      </c>
      <c r="K485" s="2">
        <v>0</v>
      </c>
      <c r="L485" t="s">
        <v>0</v>
      </c>
      <c r="M485" t="s">
        <v>3892</v>
      </c>
      <c r="N485" s="3"/>
      <c r="O485" s="3">
        <v>43290</v>
      </c>
      <c r="P485" t="s">
        <v>7</v>
      </c>
      <c r="Q485" t="s">
        <v>3895</v>
      </c>
      <c r="R485" t="s">
        <v>820</v>
      </c>
      <c r="S485" s="3">
        <v>43304</v>
      </c>
      <c r="T485" t="s">
        <v>1</v>
      </c>
      <c r="U485">
        <v>945</v>
      </c>
      <c r="V485">
        <v>701</v>
      </c>
      <c r="W485" t="s">
        <v>2434</v>
      </c>
      <c r="X485" s="2">
        <v>0</v>
      </c>
      <c r="Y485" t="s">
        <v>2</v>
      </c>
      <c r="Z485" t="s">
        <v>3</v>
      </c>
      <c r="AA485" s="5">
        <v>0</v>
      </c>
      <c r="AB485" t="s">
        <v>29</v>
      </c>
      <c r="AL485" t="s">
        <v>8442</v>
      </c>
    </row>
    <row r="486" spans="1:38">
      <c r="A486" t="s">
        <v>3889</v>
      </c>
      <c r="B486" t="s">
        <v>3896</v>
      </c>
      <c r="C486" t="s">
        <v>159</v>
      </c>
      <c r="D486" t="s">
        <v>160</v>
      </c>
      <c r="E486" s="2">
        <v>10000</v>
      </c>
      <c r="F486" s="2">
        <v>10000</v>
      </c>
      <c r="G486" s="3">
        <v>43288</v>
      </c>
      <c r="H486" s="4">
        <v>7.1724537037040001E-2</v>
      </c>
      <c r="I486" s="3">
        <v>43288</v>
      </c>
      <c r="J486" s="4">
        <v>0.58675925925925998</v>
      </c>
      <c r="K486" s="2">
        <v>0</v>
      </c>
      <c r="L486" t="s">
        <v>0</v>
      </c>
      <c r="M486" t="s">
        <v>3892</v>
      </c>
      <c r="N486" s="3">
        <v>43291</v>
      </c>
      <c r="O486" s="3">
        <v>43290</v>
      </c>
      <c r="P486" t="s">
        <v>7</v>
      </c>
      <c r="Q486" t="s">
        <v>1</v>
      </c>
      <c r="R486" t="s">
        <v>821</v>
      </c>
      <c r="S486" s="3">
        <v>43320</v>
      </c>
      <c r="T486" t="s">
        <v>1</v>
      </c>
      <c r="U486">
        <v>945</v>
      </c>
      <c r="V486">
        <v>701</v>
      </c>
      <c r="W486" t="s">
        <v>2434</v>
      </c>
      <c r="X486" s="2">
        <v>0</v>
      </c>
      <c r="Y486" t="s">
        <v>2</v>
      </c>
      <c r="Z486" t="s">
        <v>3</v>
      </c>
      <c r="AA486" s="5">
        <v>0</v>
      </c>
      <c r="AB486" t="s">
        <v>29</v>
      </c>
      <c r="AL486" t="s">
        <v>8443</v>
      </c>
    </row>
    <row r="487" spans="1:38">
      <c r="A487" t="s">
        <v>3889</v>
      </c>
      <c r="B487" t="s">
        <v>3902</v>
      </c>
      <c r="C487" t="s">
        <v>3006</v>
      </c>
      <c r="D487" t="s">
        <v>3007</v>
      </c>
      <c r="E487" s="2">
        <v>12000</v>
      </c>
      <c r="F487" s="2">
        <v>12000</v>
      </c>
      <c r="G487" s="3">
        <v>43288</v>
      </c>
      <c r="H487" s="4">
        <v>0.60759259259259002</v>
      </c>
      <c r="I487" s="3">
        <v>43289</v>
      </c>
      <c r="J487" s="4">
        <v>0.22563657407407001</v>
      </c>
      <c r="K487" s="2">
        <v>0</v>
      </c>
      <c r="L487" t="s">
        <v>0</v>
      </c>
      <c r="M487" t="s">
        <v>3903</v>
      </c>
      <c r="N487" s="3">
        <v>43304</v>
      </c>
      <c r="O487" s="3">
        <v>43296</v>
      </c>
      <c r="P487" t="s">
        <v>13</v>
      </c>
      <c r="Q487" t="s">
        <v>3904</v>
      </c>
      <c r="R487" t="s">
        <v>820</v>
      </c>
      <c r="S487" s="3">
        <v>43304</v>
      </c>
      <c r="T487" t="s">
        <v>7792</v>
      </c>
      <c r="U487" t="s">
        <v>3008</v>
      </c>
      <c r="V487" t="s">
        <v>3009</v>
      </c>
      <c r="W487" t="s">
        <v>2434</v>
      </c>
      <c r="X487" s="2">
        <v>809</v>
      </c>
      <c r="Y487" t="s">
        <v>2</v>
      </c>
      <c r="Z487" t="s">
        <v>3</v>
      </c>
      <c r="AA487" s="5">
        <v>0</v>
      </c>
      <c r="AB487" t="s">
        <v>17</v>
      </c>
      <c r="AL487" t="s">
        <v>8444</v>
      </c>
    </row>
    <row r="488" spans="1:38">
      <c r="A488" t="s">
        <v>3889</v>
      </c>
      <c r="B488" t="s">
        <v>3898</v>
      </c>
      <c r="C488" t="s">
        <v>3006</v>
      </c>
      <c r="D488" t="s">
        <v>3007</v>
      </c>
      <c r="E488" s="2">
        <v>14500</v>
      </c>
      <c r="F488" s="2">
        <v>14500</v>
      </c>
      <c r="G488" s="3">
        <v>43289</v>
      </c>
      <c r="H488" s="4">
        <v>0.24646990740741001</v>
      </c>
      <c r="I488" s="3">
        <v>43289</v>
      </c>
      <c r="J488" s="4">
        <v>0.99327546296295999</v>
      </c>
      <c r="K488" s="2">
        <v>0</v>
      </c>
      <c r="L488" t="s">
        <v>0</v>
      </c>
      <c r="M488" t="s">
        <v>7793</v>
      </c>
      <c r="N488" s="3">
        <v>43299</v>
      </c>
      <c r="O488" s="3">
        <v>43296</v>
      </c>
      <c r="P488" t="s">
        <v>13</v>
      </c>
      <c r="Q488" t="s">
        <v>3899</v>
      </c>
      <c r="R488" t="s">
        <v>820</v>
      </c>
      <c r="S488" s="3">
        <v>43299</v>
      </c>
      <c r="T488" t="s">
        <v>7794</v>
      </c>
      <c r="U488" t="s">
        <v>3008</v>
      </c>
      <c r="V488" t="s">
        <v>3009</v>
      </c>
      <c r="W488" t="s">
        <v>2434</v>
      </c>
      <c r="X488" s="2">
        <v>809</v>
      </c>
      <c r="Y488" t="s">
        <v>2</v>
      </c>
      <c r="Z488" t="s">
        <v>3</v>
      </c>
      <c r="AA488" s="5">
        <v>0</v>
      </c>
      <c r="AB488" t="s">
        <v>17</v>
      </c>
      <c r="AL488" t="s">
        <v>8445</v>
      </c>
    </row>
    <row r="489" spans="1:38">
      <c r="A489" t="s">
        <v>3889</v>
      </c>
      <c r="B489" t="s">
        <v>5797</v>
      </c>
      <c r="C489" t="s">
        <v>3867</v>
      </c>
      <c r="D489" t="s">
        <v>3868</v>
      </c>
      <c r="E489" s="2">
        <v>20000</v>
      </c>
      <c r="F489" s="2">
        <v>20000</v>
      </c>
      <c r="G489" s="3">
        <v>43290</v>
      </c>
      <c r="H489" s="4">
        <v>1.41087962963E-2</v>
      </c>
      <c r="I489" s="3">
        <v>43291</v>
      </c>
      <c r="J489" s="4">
        <v>4.4189814814809998E-2</v>
      </c>
      <c r="K489" s="2">
        <v>20</v>
      </c>
      <c r="L489" t="s">
        <v>0</v>
      </c>
      <c r="M489" t="s">
        <v>3890</v>
      </c>
      <c r="N489" s="3">
        <v>43297</v>
      </c>
      <c r="O489" s="3">
        <v>43293</v>
      </c>
      <c r="P489" t="s">
        <v>9</v>
      </c>
      <c r="Q489" t="s">
        <v>5798</v>
      </c>
      <c r="R489" t="s">
        <v>820</v>
      </c>
      <c r="S489" s="3">
        <v>43297</v>
      </c>
      <c r="T489" t="s">
        <v>7795</v>
      </c>
      <c r="U489" t="s">
        <v>3567</v>
      </c>
      <c r="V489" t="s">
        <v>3357</v>
      </c>
      <c r="W489" t="s">
        <v>2434</v>
      </c>
      <c r="X489" s="2">
        <v>809</v>
      </c>
      <c r="Y489" t="s">
        <v>2</v>
      </c>
      <c r="Z489" t="s">
        <v>3</v>
      </c>
      <c r="AA489" s="5">
        <v>0</v>
      </c>
      <c r="AB489" t="s">
        <v>17</v>
      </c>
      <c r="AL489" t="s">
        <v>8446</v>
      </c>
    </row>
    <row r="490" spans="1:38">
      <c r="A490" t="s">
        <v>3889</v>
      </c>
      <c r="B490" t="s">
        <v>3900</v>
      </c>
      <c r="C490" t="s">
        <v>2742</v>
      </c>
      <c r="D490" t="s">
        <v>2743</v>
      </c>
      <c r="E490" s="2">
        <v>25000</v>
      </c>
      <c r="F490" s="2">
        <v>25000</v>
      </c>
      <c r="G490" s="3">
        <v>43291</v>
      </c>
      <c r="H490" s="4">
        <v>6.5023148148149995E-2</v>
      </c>
      <c r="I490" s="3">
        <v>43292</v>
      </c>
      <c r="J490" s="4">
        <v>0.35261574074073998</v>
      </c>
      <c r="K490" s="2">
        <v>0</v>
      </c>
      <c r="L490" t="s">
        <v>0</v>
      </c>
      <c r="M490" t="s">
        <v>3901</v>
      </c>
      <c r="N490" s="3">
        <v>43294</v>
      </c>
      <c r="O490" s="3">
        <v>43294</v>
      </c>
      <c r="P490" t="s">
        <v>9</v>
      </c>
      <c r="Q490" t="s">
        <v>7796</v>
      </c>
      <c r="R490" t="s">
        <v>823</v>
      </c>
      <c r="S490" s="3">
        <v>43276</v>
      </c>
      <c r="T490" t="s">
        <v>1</v>
      </c>
      <c r="U490" t="s">
        <v>2535</v>
      </c>
      <c r="V490">
        <v>701</v>
      </c>
      <c r="W490" t="s">
        <v>2434</v>
      </c>
      <c r="X490" s="2">
        <v>0</v>
      </c>
      <c r="Y490" t="s">
        <v>2</v>
      </c>
      <c r="Z490" t="s">
        <v>3</v>
      </c>
      <c r="AA490" s="5">
        <v>0</v>
      </c>
      <c r="AB490" t="s">
        <v>29</v>
      </c>
      <c r="AL490" t="s">
        <v>8447</v>
      </c>
    </row>
    <row r="491" spans="1:38">
      <c r="A491" t="s">
        <v>3889</v>
      </c>
      <c r="B491" t="s">
        <v>3905</v>
      </c>
      <c r="C491" t="s">
        <v>130</v>
      </c>
      <c r="D491" t="s">
        <v>131</v>
      </c>
      <c r="E491" s="2">
        <v>20000</v>
      </c>
      <c r="F491" s="2">
        <v>20000</v>
      </c>
      <c r="G491" s="3">
        <v>43292</v>
      </c>
      <c r="H491" s="4">
        <v>0.37344907407407002</v>
      </c>
      <c r="I491" s="3">
        <v>43293</v>
      </c>
      <c r="J491" s="4">
        <v>0.40353009259258998</v>
      </c>
      <c r="K491" s="2">
        <v>0</v>
      </c>
      <c r="L491" t="s">
        <v>0</v>
      </c>
      <c r="M491" t="s">
        <v>3890</v>
      </c>
      <c r="N491" s="3"/>
      <c r="O491" s="3">
        <v>43295</v>
      </c>
      <c r="P491" t="s">
        <v>9</v>
      </c>
      <c r="Q491" t="s">
        <v>3852</v>
      </c>
      <c r="R491" t="s">
        <v>820</v>
      </c>
      <c r="S491" s="3">
        <v>43297</v>
      </c>
      <c r="T491" t="s">
        <v>1</v>
      </c>
      <c r="U491" t="s">
        <v>2486</v>
      </c>
      <c r="V491">
        <v>701</v>
      </c>
      <c r="W491" t="s">
        <v>2434</v>
      </c>
      <c r="X491" s="2">
        <v>0</v>
      </c>
      <c r="Y491" t="s">
        <v>2</v>
      </c>
      <c r="Z491" t="s">
        <v>3</v>
      </c>
      <c r="AA491" s="5">
        <v>0</v>
      </c>
      <c r="AB491" t="s">
        <v>29</v>
      </c>
      <c r="AL491" t="s">
        <v>8448</v>
      </c>
    </row>
    <row r="492" spans="1:38">
      <c r="A492" t="s">
        <v>3889</v>
      </c>
      <c r="B492" t="s">
        <v>3906</v>
      </c>
      <c r="C492" t="s">
        <v>130</v>
      </c>
      <c r="D492" t="s">
        <v>131</v>
      </c>
      <c r="E492" s="2">
        <v>20000</v>
      </c>
      <c r="F492" s="2">
        <v>20000</v>
      </c>
      <c r="G492" s="3">
        <v>43293</v>
      </c>
      <c r="H492" s="4">
        <v>0.42436342592593002</v>
      </c>
      <c r="I492" s="3">
        <v>43294</v>
      </c>
      <c r="J492" s="4">
        <v>0.45444444444443999</v>
      </c>
      <c r="K492" s="2">
        <v>0</v>
      </c>
      <c r="L492" t="s">
        <v>0</v>
      </c>
      <c r="M492" t="s">
        <v>3890</v>
      </c>
      <c r="N492" s="3"/>
      <c r="O492" s="3">
        <v>43296</v>
      </c>
      <c r="P492" t="s">
        <v>9</v>
      </c>
      <c r="Q492" t="s">
        <v>3748</v>
      </c>
      <c r="R492" t="s">
        <v>820</v>
      </c>
      <c r="S492" s="3">
        <v>43307</v>
      </c>
      <c r="T492" t="s">
        <v>1</v>
      </c>
      <c r="U492" t="s">
        <v>2486</v>
      </c>
      <c r="V492">
        <v>701</v>
      </c>
      <c r="W492" t="s">
        <v>2434</v>
      </c>
      <c r="X492" s="2">
        <v>0</v>
      </c>
      <c r="Y492" t="s">
        <v>2</v>
      </c>
      <c r="Z492" t="s">
        <v>3</v>
      </c>
      <c r="AA492" s="5">
        <v>0</v>
      </c>
      <c r="AB492" t="s">
        <v>29</v>
      </c>
      <c r="AL492" t="s">
        <v>8449</v>
      </c>
    </row>
    <row r="493" spans="1:38">
      <c r="A493" t="s">
        <v>3889</v>
      </c>
      <c r="B493" t="s">
        <v>7797</v>
      </c>
      <c r="C493" t="s">
        <v>3064</v>
      </c>
      <c r="D493" t="s">
        <v>3065</v>
      </c>
      <c r="E493" s="2">
        <v>10000</v>
      </c>
      <c r="F493" s="2">
        <v>10000</v>
      </c>
      <c r="G493" s="3">
        <v>43295</v>
      </c>
      <c r="H493" s="4">
        <v>0.94909722222222004</v>
      </c>
      <c r="I493" s="3">
        <v>43296</v>
      </c>
      <c r="J493" s="4">
        <v>0.46413194444444</v>
      </c>
      <c r="K493" s="2">
        <v>20</v>
      </c>
      <c r="L493" t="s">
        <v>0</v>
      </c>
      <c r="M493" t="s">
        <v>3892</v>
      </c>
      <c r="N493" s="3">
        <v>43299</v>
      </c>
      <c r="O493" s="3">
        <v>43298</v>
      </c>
      <c r="P493" t="s">
        <v>13</v>
      </c>
      <c r="Q493" t="s">
        <v>7798</v>
      </c>
      <c r="R493" t="s">
        <v>820</v>
      </c>
      <c r="S493" s="3">
        <v>43299</v>
      </c>
      <c r="T493" t="s">
        <v>7799</v>
      </c>
      <c r="U493">
        <v>2110</v>
      </c>
      <c r="V493">
        <v>7301</v>
      </c>
      <c r="W493" t="s">
        <v>2434</v>
      </c>
      <c r="X493" s="2">
        <v>809</v>
      </c>
      <c r="Y493" t="s">
        <v>2</v>
      </c>
      <c r="Z493" t="s">
        <v>3</v>
      </c>
      <c r="AA493" s="5">
        <v>0</v>
      </c>
      <c r="AB493" t="s">
        <v>17</v>
      </c>
      <c r="AL493" t="s">
        <v>8450</v>
      </c>
    </row>
    <row r="494" spans="1:38">
      <c r="A494" t="s">
        <v>3889</v>
      </c>
      <c r="B494" t="s">
        <v>7800</v>
      </c>
      <c r="C494" t="s">
        <v>3064</v>
      </c>
      <c r="D494" t="s">
        <v>3065</v>
      </c>
      <c r="E494" s="2">
        <v>10000</v>
      </c>
      <c r="F494" s="2">
        <v>10000</v>
      </c>
      <c r="G494" s="3">
        <v>43296</v>
      </c>
      <c r="H494" s="4">
        <v>0.48496527777777998</v>
      </c>
      <c r="I494" s="3">
        <v>43297</v>
      </c>
      <c r="J494" s="4">
        <v>0</v>
      </c>
      <c r="K494" s="2">
        <v>20</v>
      </c>
      <c r="L494" t="s">
        <v>0</v>
      </c>
      <c r="M494" t="s">
        <v>3892</v>
      </c>
      <c r="N494" s="3">
        <v>43299</v>
      </c>
      <c r="O494" s="3">
        <v>43298</v>
      </c>
      <c r="P494" t="s">
        <v>13</v>
      </c>
      <c r="Q494" t="s">
        <v>7801</v>
      </c>
      <c r="R494" t="s">
        <v>820</v>
      </c>
      <c r="S494" s="3">
        <v>43299</v>
      </c>
      <c r="T494" t="s">
        <v>7802</v>
      </c>
      <c r="U494">
        <v>2110</v>
      </c>
      <c r="V494">
        <v>7301</v>
      </c>
      <c r="W494" t="s">
        <v>2434</v>
      </c>
      <c r="X494" s="2">
        <v>809</v>
      </c>
      <c r="Y494" t="s">
        <v>2</v>
      </c>
      <c r="Z494" t="s">
        <v>3</v>
      </c>
      <c r="AA494" s="5">
        <v>0</v>
      </c>
      <c r="AB494" t="s">
        <v>17</v>
      </c>
      <c r="AL494" t="s">
        <v>8451</v>
      </c>
    </row>
    <row r="495" spans="1:38">
      <c r="A495" t="s">
        <v>3907</v>
      </c>
      <c r="B495" t="s">
        <v>7107</v>
      </c>
      <c r="C495" t="s">
        <v>3909</v>
      </c>
      <c r="D495" t="s">
        <v>3910</v>
      </c>
      <c r="E495" s="2">
        <v>20000</v>
      </c>
      <c r="F495" s="2">
        <v>20000</v>
      </c>
      <c r="G495" s="3">
        <v>43266</v>
      </c>
      <c r="H495" s="4">
        <v>2.3055555555559999E-2</v>
      </c>
      <c r="I495" s="3">
        <v>43267</v>
      </c>
      <c r="J495" s="4">
        <v>0</v>
      </c>
      <c r="K495" s="2">
        <v>0</v>
      </c>
      <c r="L495" t="s">
        <v>0</v>
      </c>
      <c r="M495" t="s">
        <v>3920</v>
      </c>
      <c r="N495" s="3">
        <v>43271</v>
      </c>
      <c r="O495" s="3">
        <v>43268</v>
      </c>
      <c r="P495" t="s">
        <v>13</v>
      </c>
      <c r="Q495" t="s">
        <v>3911</v>
      </c>
      <c r="R495" t="s">
        <v>820</v>
      </c>
      <c r="S495" s="3">
        <v>43271</v>
      </c>
      <c r="T495" t="s">
        <v>7803</v>
      </c>
      <c r="U495" t="s">
        <v>3173</v>
      </c>
      <c r="V495">
        <v>111</v>
      </c>
      <c r="W495" t="s">
        <v>2434</v>
      </c>
      <c r="X495" s="2">
        <v>853</v>
      </c>
      <c r="Y495" t="s">
        <v>2</v>
      </c>
      <c r="Z495" t="s">
        <v>3</v>
      </c>
      <c r="AA495" s="5">
        <v>0</v>
      </c>
      <c r="AB495" t="s">
        <v>17</v>
      </c>
      <c r="AL495" t="s">
        <v>8452</v>
      </c>
    </row>
    <row r="496" spans="1:38">
      <c r="A496" t="s">
        <v>3907</v>
      </c>
      <c r="B496" t="s">
        <v>3926</v>
      </c>
      <c r="C496" t="s">
        <v>3314</v>
      </c>
      <c r="D496" t="s">
        <v>3315</v>
      </c>
      <c r="E496" s="2">
        <v>1000</v>
      </c>
      <c r="F496" s="2">
        <v>10000</v>
      </c>
      <c r="G496" s="3">
        <v>43270</v>
      </c>
      <c r="H496" s="4">
        <v>0.96861111111110998</v>
      </c>
      <c r="I496" s="3">
        <v>43271</v>
      </c>
      <c r="J496" s="4">
        <v>0.45708333333333001</v>
      </c>
      <c r="K496" s="2">
        <v>0</v>
      </c>
      <c r="L496" t="s">
        <v>0</v>
      </c>
      <c r="M496" t="s">
        <v>3908</v>
      </c>
      <c r="N496" s="3">
        <v>43278</v>
      </c>
      <c r="O496" s="3">
        <v>43273</v>
      </c>
      <c r="P496" t="s">
        <v>117</v>
      </c>
      <c r="Q496" t="s">
        <v>3927</v>
      </c>
      <c r="R496" t="s">
        <v>820</v>
      </c>
      <c r="S496" s="3">
        <v>43278</v>
      </c>
      <c r="T496" t="s">
        <v>7804</v>
      </c>
      <c r="U496" t="s">
        <v>3316</v>
      </c>
      <c r="V496">
        <v>111</v>
      </c>
      <c r="W496" t="s">
        <v>2434</v>
      </c>
      <c r="X496" s="2">
        <v>853</v>
      </c>
      <c r="Y496" t="s">
        <v>2</v>
      </c>
      <c r="Z496" t="s">
        <v>3</v>
      </c>
      <c r="AA496" s="5">
        <v>0</v>
      </c>
      <c r="AB496" t="s">
        <v>4</v>
      </c>
      <c r="AL496" t="s">
        <v>8453</v>
      </c>
    </row>
    <row r="497" spans="1:38">
      <c r="A497" t="s">
        <v>3907</v>
      </c>
      <c r="B497" t="s">
        <v>2733</v>
      </c>
      <c r="C497" t="s">
        <v>2734</v>
      </c>
      <c r="D497" t="s">
        <v>2735</v>
      </c>
      <c r="E497" s="2">
        <v>5000</v>
      </c>
      <c r="F497" s="2">
        <v>5000</v>
      </c>
      <c r="G497" s="3">
        <v>43271</v>
      </c>
      <c r="H497" s="4">
        <v>0.47791666666666999</v>
      </c>
      <c r="I497" s="3">
        <v>43271</v>
      </c>
      <c r="J497" s="4">
        <v>0.72215277777777998</v>
      </c>
      <c r="K497" s="2">
        <v>20</v>
      </c>
      <c r="L497" t="s">
        <v>0</v>
      </c>
      <c r="M497" t="s">
        <v>3929</v>
      </c>
      <c r="N497" s="3">
        <v>43273</v>
      </c>
      <c r="O497" s="3">
        <v>43273</v>
      </c>
      <c r="P497" t="s">
        <v>13</v>
      </c>
      <c r="Q497" t="s">
        <v>2736</v>
      </c>
      <c r="R497" t="s">
        <v>820</v>
      </c>
      <c r="S497" s="3">
        <v>43273</v>
      </c>
      <c r="T497" t="s">
        <v>7805</v>
      </c>
      <c r="U497" t="s">
        <v>2737</v>
      </c>
      <c r="V497" t="s">
        <v>2738</v>
      </c>
      <c r="W497" t="s">
        <v>2434</v>
      </c>
      <c r="X497" s="2">
        <v>0</v>
      </c>
      <c r="Y497" t="s">
        <v>2</v>
      </c>
      <c r="Z497" t="s">
        <v>3</v>
      </c>
      <c r="AA497" s="5">
        <v>0</v>
      </c>
      <c r="AB497" t="s">
        <v>17</v>
      </c>
      <c r="AI497" t="s">
        <v>6643</v>
      </c>
      <c r="AL497" t="s">
        <v>8454</v>
      </c>
    </row>
    <row r="498" spans="1:38">
      <c r="A498" t="s">
        <v>3907</v>
      </c>
      <c r="B498" t="s">
        <v>3921</v>
      </c>
      <c r="C498" t="s">
        <v>3922</v>
      </c>
      <c r="D498" t="s">
        <v>3923</v>
      </c>
      <c r="E498" s="2">
        <v>20200</v>
      </c>
      <c r="F498" s="2">
        <v>20200</v>
      </c>
      <c r="G498" s="3">
        <v>43271</v>
      </c>
      <c r="H498" s="4">
        <v>0.74298611111111001</v>
      </c>
      <c r="I498" s="3">
        <v>43272</v>
      </c>
      <c r="J498" s="4">
        <v>0.72969907407406998</v>
      </c>
      <c r="K498" s="2">
        <v>20</v>
      </c>
      <c r="L498" t="s">
        <v>0</v>
      </c>
      <c r="M498" t="s">
        <v>7108</v>
      </c>
      <c r="N498" s="3">
        <v>43284</v>
      </c>
      <c r="O498" s="3">
        <v>43274</v>
      </c>
      <c r="P498" t="s">
        <v>150</v>
      </c>
      <c r="Q498" t="s">
        <v>3924</v>
      </c>
      <c r="R498" t="s">
        <v>820</v>
      </c>
      <c r="S498" s="3">
        <v>43284</v>
      </c>
      <c r="T498" t="s">
        <v>7806</v>
      </c>
      <c r="U498" t="s">
        <v>2720</v>
      </c>
      <c r="V498" t="s">
        <v>3925</v>
      </c>
      <c r="W498" t="s">
        <v>2434</v>
      </c>
      <c r="X498" s="2">
        <v>853</v>
      </c>
      <c r="Y498" t="s">
        <v>2</v>
      </c>
      <c r="Z498" t="s">
        <v>3</v>
      </c>
      <c r="AA498" s="5">
        <v>0</v>
      </c>
      <c r="AB498" t="s">
        <v>4</v>
      </c>
      <c r="AL498" t="s">
        <v>8455</v>
      </c>
    </row>
    <row r="499" spans="1:38">
      <c r="A499" t="s">
        <v>3907</v>
      </c>
      <c r="B499" t="s">
        <v>3915</v>
      </c>
      <c r="C499" t="s">
        <v>3916</v>
      </c>
      <c r="D499" t="s">
        <v>3917</v>
      </c>
      <c r="E499" s="2">
        <v>5050</v>
      </c>
      <c r="F499" s="2">
        <v>5050</v>
      </c>
      <c r="G499" s="3">
        <v>43272</v>
      </c>
      <c r="H499" s="4">
        <v>0.77136574074074005</v>
      </c>
      <c r="I499" s="3">
        <v>43273</v>
      </c>
      <c r="J499" s="4">
        <v>1.8043981481479999E-2</v>
      </c>
      <c r="K499" s="2">
        <v>20</v>
      </c>
      <c r="L499" t="s">
        <v>0</v>
      </c>
      <c r="M499" t="s">
        <v>3918</v>
      </c>
      <c r="N499" s="3">
        <v>43264</v>
      </c>
      <c r="O499" s="3">
        <v>43275</v>
      </c>
      <c r="P499" t="s">
        <v>23</v>
      </c>
      <c r="Q499" t="s">
        <v>3919</v>
      </c>
      <c r="R499" t="s">
        <v>820</v>
      </c>
      <c r="S499" s="3">
        <v>43264</v>
      </c>
      <c r="T499" t="s">
        <v>7807</v>
      </c>
      <c r="U499" t="s">
        <v>2720</v>
      </c>
      <c r="V499">
        <v>4158</v>
      </c>
      <c r="W499" t="s">
        <v>2434</v>
      </c>
      <c r="X499" s="2">
        <v>853</v>
      </c>
      <c r="Y499" t="s">
        <v>2</v>
      </c>
      <c r="Z499" t="s">
        <v>3</v>
      </c>
      <c r="AA499" s="5">
        <v>0</v>
      </c>
      <c r="AB499" t="s">
        <v>4</v>
      </c>
      <c r="AL499" t="s">
        <v>8456</v>
      </c>
    </row>
    <row r="500" spans="1:38">
      <c r="A500" t="s">
        <v>3907</v>
      </c>
      <c r="B500" t="s">
        <v>7808</v>
      </c>
      <c r="C500" t="s">
        <v>2609</v>
      </c>
      <c r="D500" t="s">
        <v>2610</v>
      </c>
      <c r="E500" s="2">
        <v>20000</v>
      </c>
      <c r="F500" s="2">
        <v>20000</v>
      </c>
      <c r="G500" s="3">
        <v>43273</v>
      </c>
      <c r="H500" s="4">
        <v>3.887731481481E-2</v>
      </c>
      <c r="I500" s="3">
        <v>43274</v>
      </c>
      <c r="J500" s="4">
        <v>1.582175925926E-2</v>
      </c>
      <c r="K500" s="2">
        <v>0</v>
      </c>
      <c r="L500" t="s">
        <v>0</v>
      </c>
      <c r="M500" t="s">
        <v>3920</v>
      </c>
      <c r="N500" s="3"/>
      <c r="O500" s="3">
        <v>43276</v>
      </c>
      <c r="P500" t="s">
        <v>6</v>
      </c>
      <c r="Q500" t="s">
        <v>2661</v>
      </c>
      <c r="R500" t="s">
        <v>820</v>
      </c>
      <c r="S500" s="3">
        <v>43284</v>
      </c>
      <c r="T500" t="s">
        <v>7809</v>
      </c>
      <c r="U500" t="s">
        <v>2611</v>
      </c>
      <c r="V500" t="s">
        <v>2612</v>
      </c>
      <c r="W500" t="s">
        <v>2434</v>
      </c>
      <c r="X500" s="2">
        <v>853</v>
      </c>
      <c r="Y500" t="s">
        <v>2</v>
      </c>
      <c r="Z500" t="s">
        <v>3</v>
      </c>
      <c r="AA500" s="5">
        <v>0</v>
      </c>
      <c r="AB500" t="s">
        <v>17</v>
      </c>
      <c r="AL500" t="s">
        <v>8457</v>
      </c>
    </row>
    <row r="501" spans="1:38">
      <c r="A501" t="s">
        <v>3907</v>
      </c>
      <c r="B501" t="s">
        <v>3932</v>
      </c>
      <c r="C501" t="s">
        <v>3249</v>
      </c>
      <c r="D501" t="s">
        <v>3250</v>
      </c>
      <c r="E501" s="2">
        <v>15000</v>
      </c>
      <c r="F501" s="2">
        <v>15000</v>
      </c>
      <c r="G501" s="3">
        <v>43274</v>
      </c>
      <c r="H501" s="4">
        <v>3.6655092592589998E-2</v>
      </c>
      <c r="I501" s="3">
        <v>43274</v>
      </c>
      <c r="J501" s="4">
        <v>0.76936342592592999</v>
      </c>
      <c r="K501" s="2">
        <v>20</v>
      </c>
      <c r="L501" t="s">
        <v>0</v>
      </c>
      <c r="M501" t="s">
        <v>3914</v>
      </c>
      <c r="N501" s="3">
        <v>43284</v>
      </c>
      <c r="O501" s="3">
        <v>43276</v>
      </c>
      <c r="P501" t="s">
        <v>13</v>
      </c>
      <c r="Q501" t="s">
        <v>3933</v>
      </c>
      <c r="R501" t="s">
        <v>820</v>
      </c>
      <c r="S501" s="3">
        <v>43285</v>
      </c>
      <c r="T501" t="s">
        <v>7810</v>
      </c>
      <c r="U501" t="s">
        <v>2611</v>
      </c>
      <c r="V501">
        <v>111</v>
      </c>
      <c r="W501" t="s">
        <v>2434</v>
      </c>
      <c r="X501" s="2">
        <v>853</v>
      </c>
      <c r="Y501" t="s">
        <v>2</v>
      </c>
      <c r="Z501" t="s">
        <v>3</v>
      </c>
      <c r="AA501" s="5">
        <v>0</v>
      </c>
      <c r="AB501" t="s">
        <v>4</v>
      </c>
      <c r="AL501" t="s">
        <v>8458</v>
      </c>
    </row>
    <row r="502" spans="1:38">
      <c r="A502" t="s">
        <v>3907</v>
      </c>
      <c r="B502" t="s">
        <v>3938</v>
      </c>
      <c r="C502" t="s">
        <v>3912</v>
      </c>
      <c r="D502" t="s">
        <v>3913</v>
      </c>
      <c r="E502" s="2">
        <v>20200</v>
      </c>
      <c r="F502" s="2">
        <v>20200</v>
      </c>
      <c r="G502" s="3">
        <v>43275</v>
      </c>
      <c r="H502" s="4">
        <v>2.0833333333330002E-2</v>
      </c>
      <c r="I502" s="3">
        <v>43276</v>
      </c>
      <c r="J502" s="4">
        <v>7.5462962963000002E-3</v>
      </c>
      <c r="K502" s="2">
        <v>20</v>
      </c>
      <c r="L502" t="s">
        <v>0</v>
      </c>
      <c r="M502" t="s">
        <v>7108</v>
      </c>
      <c r="N502" s="3">
        <v>43283</v>
      </c>
      <c r="O502" s="3">
        <v>43278</v>
      </c>
      <c r="P502" t="s">
        <v>114</v>
      </c>
      <c r="Q502" t="s">
        <v>3939</v>
      </c>
      <c r="R502" t="s">
        <v>820</v>
      </c>
      <c r="S502" s="3">
        <v>43283</v>
      </c>
      <c r="T502" t="s">
        <v>7811</v>
      </c>
      <c r="U502" t="s">
        <v>3212</v>
      </c>
      <c r="V502">
        <v>111</v>
      </c>
      <c r="W502" t="s">
        <v>2434</v>
      </c>
      <c r="X502" s="2">
        <v>853</v>
      </c>
      <c r="Y502" t="s">
        <v>2</v>
      </c>
      <c r="Z502" t="s">
        <v>3</v>
      </c>
      <c r="AA502" s="5">
        <v>0</v>
      </c>
      <c r="AB502" t="s">
        <v>4</v>
      </c>
      <c r="AL502" t="s">
        <v>8459</v>
      </c>
    </row>
    <row r="503" spans="1:38">
      <c r="A503" t="s">
        <v>3907</v>
      </c>
      <c r="B503" t="s">
        <v>3956</v>
      </c>
      <c r="C503" t="s">
        <v>3941</v>
      </c>
      <c r="D503" t="s">
        <v>3942</v>
      </c>
      <c r="E503" s="2">
        <v>10142</v>
      </c>
      <c r="F503" s="2">
        <v>10142</v>
      </c>
      <c r="G503" s="3">
        <v>43276</v>
      </c>
      <c r="H503" s="4">
        <v>2.8379629629630001E-2</v>
      </c>
      <c r="I503" s="3">
        <v>43276</v>
      </c>
      <c r="J503" s="4">
        <v>0.52378472222221995</v>
      </c>
      <c r="K503" s="2">
        <v>20</v>
      </c>
      <c r="L503" t="s">
        <v>0</v>
      </c>
      <c r="M503" t="s">
        <v>7812</v>
      </c>
      <c r="N503" s="3">
        <v>43284</v>
      </c>
      <c r="O503" s="3">
        <v>43278</v>
      </c>
      <c r="P503" t="s">
        <v>13</v>
      </c>
      <c r="Q503" t="s">
        <v>3957</v>
      </c>
      <c r="R503" t="s">
        <v>820</v>
      </c>
      <c r="S503" s="3">
        <v>43297</v>
      </c>
      <c r="T503" t="s">
        <v>7813</v>
      </c>
      <c r="U503" t="s">
        <v>2626</v>
      </c>
      <c r="V503">
        <v>111</v>
      </c>
      <c r="W503" t="s">
        <v>2434</v>
      </c>
      <c r="X503" s="2">
        <v>853</v>
      </c>
      <c r="Y503" t="s">
        <v>2</v>
      </c>
      <c r="Z503" t="s">
        <v>3</v>
      </c>
      <c r="AA503" s="5">
        <v>0</v>
      </c>
      <c r="AB503" t="s">
        <v>4</v>
      </c>
      <c r="AL503" t="s">
        <v>8460</v>
      </c>
    </row>
    <row r="504" spans="1:38">
      <c r="A504" t="s">
        <v>3907</v>
      </c>
      <c r="B504" t="s">
        <v>3946</v>
      </c>
      <c r="C504" t="s">
        <v>2609</v>
      </c>
      <c r="D504" t="s">
        <v>2610</v>
      </c>
      <c r="E504" s="2">
        <v>20000</v>
      </c>
      <c r="F504" s="2">
        <v>20000</v>
      </c>
      <c r="G504" s="3">
        <v>43287</v>
      </c>
      <c r="H504" s="4">
        <v>0.41814814814814999</v>
      </c>
      <c r="I504" s="3">
        <v>43288</v>
      </c>
      <c r="J504" s="4">
        <v>0.39509259259259</v>
      </c>
      <c r="K504" s="2">
        <v>0</v>
      </c>
      <c r="L504" t="s">
        <v>0</v>
      </c>
      <c r="M504" t="s">
        <v>3920</v>
      </c>
      <c r="N504" s="3"/>
      <c r="O504" s="3">
        <v>43290</v>
      </c>
      <c r="P504" t="s">
        <v>6</v>
      </c>
      <c r="Q504" t="s">
        <v>2669</v>
      </c>
      <c r="R504" t="s">
        <v>820</v>
      </c>
      <c r="S504" s="3">
        <v>43298</v>
      </c>
      <c r="T504" t="s">
        <v>1</v>
      </c>
      <c r="U504" t="s">
        <v>2611</v>
      </c>
      <c r="V504" t="s">
        <v>2612</v>
      </c>
      <c r="W504" t="s">
        <v>2434</v>
      </c>
      <c r="X504" s="2">
        <v>0</v>
      </c>
      <c r="Y504" t="s">
        <v>2</v>
      </c>
      <c r="Z504" t="s">
        <v>3</v>
      </c>
      <c r="AA504" s="5">
        <v>0</v>
      </c>
      <c r="AB504" t="s">
        <v>29</v>
      </c>
      <c r="AL504" t="s">
        <v>8461</v>
      </c>
    </row>
    <row r="505" spans="1:38">
      <c r="A505" t="s">
        <v>3907</v>
      </c>
      <c r="B505" t="s">
        <v>3958</v>
      </c>
      <c r="C505" t="s">
        <v>3959</v>
      </c>
      <c r="D505" t="s">
        <v>3960</v>
      </c>
      <c r="E505" s="2">
        <v>20000</v>
      </c>
      <c r="F505" s="2">
        <v>20000</v>
      </c>
      <c r="G505" s="3">
        <v>43288</v>
      </c>
      <c r="H505" s="4">
        <v>0.41592592592592997</v>
      </c>
      <c r="I505" s="3">
        <v>43289</v>
      </c>
      <c r="J505" s="4">
        <v>0.39287037037036998</v>
      </c>
      <c r="K505" s="2">
        <v>20</v>
      </c>
      <c r="L505" t="s">
        <v>0</v>
      </c>
      <c r="M505" t="s">
        <v>3920</v>
      </c>
      <c r="N505" s="3">
        <v>43290</v>
      </c>
      <c r="O505" s="3">
        <v>43291</v>
      </c>
      <c r="P505" t="s">
        <v>13</v>
      </c>
      <c r="Q505" t="s">
        <v>3961</v>
      </c>
      <c r="R505" t="s">
        <v>822</v>
      </c>
      <c r="S505" s="3">
        <v>43290</v>
      </c>
      <c r="T505" t="s">
        <v>7814</v>
      </c>
      <c r="U505" t="s">
        <v>3212</v>
      </c>
      <c r="V505" t="s">
        <v>3962</v>
      </c>
      <c r="W505" t="s">
        <v>2434</v>
      </c>
      <c r="X505" s="2">
        <v>853</v>
      </c>
      <c r="Y505" t="s">
        <v>2</v>
      </c>
      <c r="Z505" t="s">
        <v>3</v>
      </c>
      <c r="AA505" s="5">
        <v>0</v>
      </c>
      <c r="AB505" t="s">
        <v>17</v>
      </c>
      <c r="AL505" t="s">
        <v>8462</v>
      </c>
    </row>
    <row r="506" spans="1:38">
      <c r="A506" t="s">
        <v>3907</v>
      </c>
      <c r="B506" t="s">
        <v>3944</v>
      </c>
      <c r="C506" t="s">
        <v>3912</v>
      </c>
      <c r="D506" t="s">
        <v>3913</v>
      </c>
      <c r="E506" s="2">
        <v>20000</v>
      </c>
      <c r="F506" s="2">
        <v>20000</v>
      </c>
      <c r="G506" s="3">
        <v>43289</v>
      </c>
      <c r="H506" s="4">
        <v>0.41370370370370002</v>
      </c>
      <c r="I506" s="3">
        <v>43290</v>
      </c>
      <c r="J506" s="4">
        <v>0.39064814814815002</v>
      </c>
      <c r="K506" s="2">
        <v>20</v>
      </c>
      <c r="L506" t="s">
        <v>0</v>
      </c>
      <c r="M506" t="s">
        <v>3920</v>
      </c>
      <c r="N506" s="3">
        <v>43298</v>
      </c>
      <c r="O506" s="3">
        <v>43292</v>
      </c>
      <c r="P506" t="s">
        <v>114</v>
      </c>
      <c r="Q506" t="s">
        <v>3945</v>
      </c>
      <c r="R506" t="s">
        <v>820</v>
      </c>
      <c r="S506" s="3">
        <v>43298</v>
      </c>
      <c r="T506" t="s">
        <v>7815</v>
      </c>
      <c r="U506" t="s">
        <v>3212</v>
      </c>
      <c r="V506">
        <v>111</v>
      </c>
      <c r="W506" t="s">
        <v>2434</v>
      </c>
      <c r="X506" s="2">
        <v>853</v>
      </c>
      <c r="Y506" t="s">
        <v>2</v>
      </c>
      <c r="Z506" t="s">
        <v>3</v>
      </c>
      <c r="AA506" s="5">
        <v>0</v>
      </c>
      <c r="AB506" t="s">
        <v>17</v>
      </c>
      <c r="AL506" t="s">
        <v>8463</v>
      </c>
    </row>
    <row r="507" spans="1:38">
      <c r="A507" t="s">
        <v>3907</v>
      </c>
      <c r="B507" t="s">
        <v>3963</v>
      </c>
      <c r="C507" t="s">
        <v>118</v>
      </c>
      <c r="D507" t="s">
        <v>119</v>
      </c>
      <c r="E507" s="2">
        <v>10000</v>
      </c>
      <c r="F507" s="2">
        <v>10000</v>
      </c>
      <c r="G507" s="3">
        <v>43290</v>
      </c>
      <c r="H507" s="4">
        <v>0.41148148148148</v>
      </c>
      <c r="I507" s="3">
        <v>43290</v>
      </c>
      <c r="J507" s="4">
        <v>0.89995370370369998</v>
      </c>
      <c r="K507" s="2">
        <v>0</v>
      </c>
      <c r="L507" t="s">
        <v>0</v>
      </c>
      <c r="M507" t="s">
        <v>3908</v>
      </c>
      <c r="N507" s="3">
        <v>43298</v>
      </c>
      <c r="O507" s="3">
        <v>43292</v>
      </c>
      <c r="P507" t="s">
        <v>114</v>
      </c>
      <c r="Q507" t="s">
        <v>3964</v>
      </c>
      <c r="R507" t="s">
        <v>820</v>
      </c>
      <c r="S507" s="3">
        <v>43298</v>
      </c>
      <c r="T507" t="s">
        <v>7816</v>
      </c>
      <c r="U507" t="s">
        <v>2737</v>
      </c>
      <c r="V507">
        <v>111</v>
      </c>
      <c r="W507" t="s">
        <v>2434</v>
      </c>
      <c r="X507" s="2">
        <v>853</v>
      </c>
      <c r="Y507" t="s">
        <v>2</v>
      </c>
      <c r="Z507" t="s">
        <v>3</v>
      </c>
      <c r="AA507" s="5">
        <v>0</v>
      </c>
      <c r="AB507" t="s">
        <v>17</v>
      </c>
      <c r="AL507" t="s">
        <v>8464</v>
      </c>
    </row>
    <row r="508" spans="1:38">
      <c r="A508" t="s">
        <v>3907</v>
      </c>
      <c r="B508" t="s">
        <v>3749</v>
      </c>
      <c r="C508" t="s">
        <v>3249</v>
      </c>
      <c r="D508" t="s">
        <v>3250</v>
      </c>
      <c r="E508" s="2">
        <v>10000</v>
      </c>
      <c r="F508" s="2">
        <v>10000</v>
      </c>
      <c r="G508" s="3">
        <v>43290</v>
      </c>
      <c r="H508" s="4">
        <v>0.92078703703704001</v>
      </c>
      <c r="I508" s="3">
        <v>43291</v>
      </c>
      <c r="J508" s="4">
        <v>0.40925925925925999</v>
      </c>
      <c r="K508" s="2">
        <v>20</v>
      </c>
      <c r="L508" t="s">
        <v>0</v>
      </c>
      <c r="M508" t="s">
        <v>3908</v>
      </c>
      <c r="N508" s="3">
        <v>43287</v>
      </c>
      <c r="O508" s="3">
        <v>43293</v>
      </c>
      <c r="P508" t="s">
        <v>13</v>
      </c>
      <c r="Q508" t="s">
        <v>3750</v>
      </c>
      <c r="R508" t="s">
        <v>820</v>
      </c>
      <c r="S508" s="3">
        <v>43293</v>
      </c>
      <c r="T508" t="s">
        <v>7817</v>
      </c>
      <c r="U508" t="s">
        <v>2611</v>
      </c>
      <c r="V508">
        <v>111</v>
      </c>
      <c r="W508" t="s">
        <v>2434</v>
      </c>
      <c r="X508" s="2">
        <v>853</v>
      </c>
      <c r="Y508" t="s">
        <v>2</v>
      </c>
      <c r="Z508" t="s">
        <v>3</v>
      </c>
      <c r="AA508" s="5">
        <v>0</v>
      </c>
      <c r="AB508" t="s">
        <v>17</v>
      </c>
      <c r="AL508" t="s">
        <v>8465</v>
      </c>
    </row>
    <row r="509" spans="1:38">
      <c r="A509" t="s">
        <v>3907</v>
      </c>
      <c r="B509" t="s">
        <v>3736</v>
      </c>
      <c r="C509" t="s">
        <v>3249</v>
      </c>
      <c r="D509" t="s">
        <v>3250</v>
      </c>
      <c r="E509" s="2">
        <v>10000</v>
      </c>
      <c r="F509" s="2">
        <v>10000</v>
      </c>
      <c r="G509" s="3">
        <v>43291</v>
      </c>
      <c r="H509" s="4">
        <v>0.43009259259258997</v>
      </c>
      <c r="I509" s="3">
        <v>43291</v>
      </c>
      <c r="J509" s="4">
        <v>0.91856481481481</v>
      </c>
      <c r="K509" s="2">
        <v>20</v>
      </c>
      <c r="L509" t="s">
        <v>0</v>
      </c>
      <c r="M509" t="s">
        <v>3908</v>
      </c>
      <c r="N509" s="3">
        <v>43293</v>
      </c>
      <c r="O509" s="3">
        <v>43293</v>
      </c>
      <c r="P509" t="s">
        <v>13</v>
      </c>
      <c r="Q509" t="s">
        <v>3737</v>
      </c>
      <c r="R509" t="s">
        <v>820</v>
      </c>
      <c r="S509" s="3">
        <v>43293</v>
      </c>
      <c r="T509" t="s">
        <v>7818</v>
      </c>
      <c r="U509" t="s">
        <v>2611</v>
      </c>
      <c r="V509">
        <v>111</v>
      </c>
      <c r="W509" t="s">
        <v>2434</v>
      </c>
      <c r="X509" s="2">
        <v>853</v>
      </c>
      <c r="Y509" t="s">
        <v>2</v>
      </c>
      <c r="Z509" t="s">
        <v>3</v>
      </c>
      <c r="AA509" s="5">
        <v>0</v>
      </c>
      <c r="AB509" t="s">
        <v>17</v>
      </c>
      <c r="AL509" t="s">
        <v>8466</v>
      </c>
    </row>
    <row r="510" spans="1:38">
      <c r="A510" t="s">
        <v>3907</v>
      </c>
      <c r="B510" t="s">
        <v>3952</v>
      </c>
      <c r="C510" t="s">
        <v>143</v>
      </c>
      <c r="D510" t="s">
        <v>144</v>
      </c>
      <c r="E510" s="2">
        <v>10000</v>
      </c>
      <c r="F510" s="2">
        <v>10000</v>
      </c>
      <c r="G510" s="3">
        <v>43291</v>
      </c>
      <c r="H510" s="4">
        <v>0.93939814814815004</v>
      </c>
      <c r="I510" s="3">
        <v>43292</v>
      </c>
      <c r="J510" s="4">
        <v>0.42787037037037001</v>
      </c>
      <c r="K510" s="2">
        <v>20</v>
      </c>
      <c r="L510" t="s">
        <v>0</v>
      </c>
      <c r="M510" t="s">
        <v>3908</v>
      </c>
      <c r="N510" s="3">
        <v>43284</v>
      </c>
      <c r="O510" s="3">
        <v>43294</v>
      </c>
      <c r="P510" t="s">
        <v>13</v>
      </c>
      <c r="Q510" t="s">
        <v>3953</v>
      </c>
      <c r="R510" t="s">
        <v>820</v>
      </c>
      <c r="S510" s="3">
        <v>43297</v>
      </c>
      <c r="T510" t="s">
        <v>7819</v>
      </c>
      <c r="U510" t="s">
        <v>3954</v>
      </c>
      <c r="V510" t="s">
        <v>3955</v>
      </c>
      <c r="W510" t="s">
        <v>2434</v>
      </c>
      <c r="X510" s="2">
        <v>853</v>
      </c>
      <c r="Y510" t="s">
        <v>2</v>
      </c>
      <c r="Z510" t="s">
        <v>3</v>
      </c>
      <c r="AA510" s="5">
        <v>0</v>
      </c>
      <c r="AB510" t="s">
        <v>17</v>
      </c>
      <c r="AL510" t="s">
        <v>8467</v>
      </c>
    </row>
    <row r="511" spans="1:38">
      <c r="A511" t="s">
        <v>3907</v>
      </c>
      <c r="B511" t="s">
        <v>3948</v>
      </c>
      <c r="C511" t="s">
        <v>3912</v>
      </c>
      <c r="D511" t="s">
        <v>3913</v>
      </c>
      <c r="E511" s="2">
        <v>10000</v>
      </c>
      <c r="F511" s="2">
        <v>10000</v>
      </c>
      <c r="G511" s="3">
        <v>43292</v>
      </c>
      <c r="H511" s="4">
        <v>0.4487037037037</v>
      </c>
      <c r="I511" s="3">
        <v>43292</v>
      </c>
      <c r="J511" s="4">
        <v>0.93717592592593002</v>
      </c>
      <c r="K511" s="2">
        <v>20</v>
      </c>
      <c r="L511" t="s">
        <v>0</v>
      </c>
      <c r="M511" t="s">
        <v>3908</v>
      </c>
      <c r="N511" s="3">
        <v>43284</v>
      </c>
      <c r="O511" s="3">
        <v>43294</v>
      </c>
      <c r="P511" t="s">
        <v>114</v>
      </c>
      <c r="Q511" t="s">
        <v>3949</v>
      </c>
      <c r="R511" t="s">
        <v>820</v>
      </c>
      <c r="S511" s="3">
        <v>43297</v>
      </c>
      <c r="T511" t="s">
        <v>7820</v>
      </c>
      <c r="U511" t="s">
        <v>3212</v>
      </c>
      <c r="V511">
        <v>111</v>
      </c>
      <c r="W511" t="s">
        <v>2434</v>
      </c>
      <c r="X511" s="2">
        <v>853</v>
      </c>
      <c r="Y511" t="s">
        <v>2</v>
      </c>
      <c r="Z511" t="s">
        <v>3</v>
      </c>
      <c r="AA511" s="5">
        <v>0</v>
      </c>
      <c r="AB511" t="s">
        <v>17</v>
      </c>
      <c r="AL511" t="s">
        <v>8468</v>
      </c>
    </row>
    <row r="512" spans="1:38">
      <c r="A512" t="s">
        <v>3907</v>
      </c>
      <c r="B512" t="s">
        <v>3936</v>
      </c>
      <c r="C512" t="s">
        <v>2639</v>
      </c>
      <c r="D512" t="s">
        <v>2640</v>
      </c>
      <c r="E512" s="2">
        <v>10000</v>
      </c>
      <c r="F512" s="2">
        <v>10000</v>
      </c>
      <c r="G512" s="3">
        <v>43292</v>
      </c>
      <c r="H512" s="4">
        <v>0.95800925925925995</v>
      </c>
      <c r="I512" s="3">
        <v>43293</v>
      </c>
      <c r="J512" s="4">
        <v>0.44648148148147998</v>
      </c>
      <c r="K512" s="2">
        <v>0</v>
      </c>
      <c r="L512" t="s">
        <v>0</v>
      </c>
      <c r="M512" t="s">
        <v>3908</v>
      </c>
      <c r="N512" s="3">
        <v>43285</v>
      </c>
      <c r="O512" s="3">
        <v>43295</v>
      </c>
      <c r="P512" t="s">
        <v>117</v>
      </c>
      <c r="Q512" t="s">
        <v>3937</v>
      </c>
      <c r="R512" t="s">
        <v>820</v>
      </c>
      <c r="S512" s="3">
        <v>43293</v>
      </c>
      <c r="T512" t="s">
        <v>7821</v>
      </c>
      <c r="U512" t="s">
        <v>2642</v>
      </c>
      <c r="V512">
        <v>111</v>
      </c>
      <c r="W512" t="s">
        <v>2434</v>
      </c>
      <c r="X512" s="2">
        <v>853</v>
      </c>
      <c r="Y512" t="s">
        <v>2</v>
      </c>
      <c r="Z512" t="s">
        <v>3</v>
      </c>
      <c r="AA512" s="5">
        <v>0</v>
      </c>
      <c r="AB512" t="s">
        <v>17</v>
      </c>
      <c r="AL512" t="s">
        <v>8469</v>
      </c>
    </row>
    <row r="513" spans="1:38">
      <c r="A513" t="s">
        <v>3907</v>
      </c>
      <c r="B513" t="s">
        <v>3950</v>
      </c>
      <c r="C513" t="s">
        <v>2639</v>
      </c>
      <c r="D513" t="s">
        <v>2640</v>
      </c>
      <c r="E513" s="2">
        <v>10000</v>
      </c>
      <c r="F513" s="2">
        <v>10000</v>
      </c>
      <c r="G513" s="3">
        <v>43293</v>
      </c>
      <c r="H513" s="4">
        <v>0.46731481481481002</v>
      </c>
      <c r="I513" s="3">
        <v>43293</v>
      </c>
      <c r="J513" s="4">
        <v>0.95578703703704004</v>
      </c>
      <c r="K513" s="2">
        <v>20</v>
      </c>
      <c r="L513" t="s">
        <v>0</v>
      </c>
      <c r="M513" t="s">
        <v>3908</v>
      </c>
      <c r="N513" s="3">
        <v>43284</v>
      </c>
      <c r="O513" s="3">
        <v>43295</v>
      </c>
      <c r="P513" t="s">
        <v>117</v>
      </c>
      <c r="Q513" t="s">
        <v>3951</v>
      </c>
      <c r="R513" t="s">
        <v>820</v>
      </c>
      <c r="S513" s="3">
        <v>43297</v>
      </c>
      <c r="T513" t="s">
        <v>7822</v>
      </c>
      <c r="U513" t="s">
        <v>2642</v>
      </c>
      <c r="V513">
        <v>111</v>
      </c>
      <c r="W513" t="s">
        <v>2434</v>
      </c>
      <c r="X513" s="2">
        <v>853</v>
      </c>
      <c r="Y513" t="s">
        <v>2</v>
      </c>
      <c r="Z513" t="s">
        <v>3</v>
      </c>
      <c r="AA513" s="5">
        <v>0</v>
      </c>
      <c r="AB513" t="s">
        <v>17</v>
      </c>
      <c r="AL513" t="s">
        <v>8470</v>
      </c>
    </row>
    <row r="514" spans="1:38">
      <c r="A514" t="s">
        <v>3907</v>
      </c>
      <c r="B514" t="s">
        <v>3940</v>
      </c>
      <c r="C514" t="s">
        <v>3941</v>
      </c>
      <c r="D514" t="s">
        <v>3942</v>
      </c>
      <c r="E514" s="2">
        <v>10000</v>
      </c>
      <c r="F514" s="2">
        <v>10000</v>
      </c>
      <c r="G514" s="3">
        <v>43293</v>
      </c>
      <c r="H514" s="4">
        <v>0.97662037037036997</v>
      </c>
      <c r="I514" s="3">
        <v>43294</v>
      </c>
      <c r="J514" s="4">
        <v>0.46509259259259</v>
      </c>
      <c r="K514" s="2">
        <v>20</v>
      </c>
      <c r="L514" t="s">
        <v>0</v>
      </c>
      <c r="M514" t="s">
        <v>3908</v>
      </c>
      <c r="N514" s="3">
        <v>43286</v>
      </c>
      <c r="O514" s="3">
        <v>43296</v>
      </c>
      <c r="P514" t="s">
        <v>13</v>
      </c>
      <c r="Q514" t="s">
        <v>3943</v>
      </c>
      <c r="R514" t="s">
        <v>820</v>
      </c>
      <c r="S514" s="3">
        <v>43286</v>
      </c>
      <c r="T514" t="s">
        <v>7823</v>
      </c>
      <c r="U514" t="s">
        <v>2626</v>
      </c>
      <c r="V514">
        <v>111</v>
      </c>
      <c r="W514" t="s">
        <v>2434</v>
      </c>
      <c r="X514" s="2">
        <v>853</v>
      </c>
      <c r="Y514" t="s">
        <v>2</v>
      </c>
      <c r="Z514" t="s">
        <v>3</v>
      </c>
      <c r="AA514" s="5">
        <v>0</v>
      </c>
      <c r="AB514" t="s">
        <v>17</v>
      </c>
      <c r="AL514" t="s">
        <v>8471</v>
      </c>
    </row>
    <row r="515" spans="1:38">
      <c r="A515" t="s">
        <v>3907</v>
      </c>
      <c r="B515" t="s">
        <v>3930</v>
      </c>
      <c r="C515" t="s">
        <v>148</v>
      </c>
      <c r="D515" t="s">
        <v>149</v>
      </c>
      <c r="E515" s="2">
        <v>5000</v>
      </c>
      <c r="F515" s="2">
        <v>5000</v>
      </c>
      <c r="G515" s="3">
        <v>43295</v>
      </c>
      <c r="H515" s="4">
        <v>0.51516203703704</v>
      </c>
      <c r="I515" s="3">
        <v>43295</v>
      </c>
      <c r="J515" s="4">
        <v>0.75939814814814999</v>
      </c>
      <c r="K515" s="2">
        <v>0</v>
      </c>
      <c r="L515" t="s">
        <v>0</v>
      </c>
      <c r="M515" t="s">
        <v>3929</v>
      </c>
      <c r="N515" s="3">
        <v>43277</v>
      </c>
      <c r="O515" s="3">
        <v>43297</v>
      </c>
      <c r="P515" t="s">
        <v>150</v>
      </c>
      <c r="Q515" t="s">
        <v>3931</v>
      </c>
      <c r="R515" t="s">
        <v>820</v>
      </c>
      <c r="S515" s="3">
        <v>43277</v>
      </c>
      <c r="T515" t="s">
        <v>7824</v>
      </c>
      <c r="U515" t="s">
        <v>2720</v>
      </c>
      <c r="V515">
        <v>6162</v>
      </c>
      <c r="W515" t="s">
        <v>2434</v>
      </c>
      <c r="X515" s="2">
        <v>853</v>
      </c>
      <c r="Y515" t="s">
        <v>2</v>
      </c>
      <c r="Z515" t="s">
        <v>3</v>
      </c>
      <c r="AA515" s="5">
        <v>0</v>
      </c>
      <c r="AB515" t="s">
        <v>17</v>
      </c>
      <c r="AI515" t="s">
        <v>6643</v>
      </c>
      <c r="AL515" t="s">
        <v>8472</v>
      </c>
    </row>
    <row r="516" spans="1:38">
      <c r="A516" t="s">
        <v>3907</v>
      </c>
      <c r="B516" t="s">
        <v>5144</v>
      </c>
      <c r="C516" t="s">
        <v>148</v>
      </c>
      <c r="D516" t="s">
        <v>149</v>
      </c>
      <c r="E516" s="5">
        <v>9300.0020000000004</v>
      </c>
      <c r="F516" s="5">
        <v>9300.0020000000004</v>
      </c>
      <c r="G516" s="3">
        <v>43297</v>
      </c>
      <c r="H516" s="4">
        <v>0.54571759259259001</v>
      </c>
      <c r="I516" s="3">
        <v>43298</v>
      </c>
      <c r="J516" s="4">
        <v>0</v>
      </c>
      <c r="K516" s="2">
        <v>0</v>
      </c>
      <c r="L516" t="s">
        <v>0</v>
      </c>
      <c r="M516" t="s">
        <v>5145</v>
      </c>
      <c r="N516" s="3">
        <v>43308</v>
      </c>
      <c r="O516" s="3">
        <v>43299</v>
      </c>
      <c r="P516" t="s">
        <v>150</v>
      </c>
      <c r="Q516" t="s">
        <v>5146</v>
      </c>
      <c r="R516" t="s">
        <v>820</v>
      </c>
      <c r="S516" s="3">
        <v>43308</v>
      </c>
      <c r="T516" t="s">
        <v>7825</v>
      </c>
      <c r="U516" t="s">
        <v>2720</v>
      </c>
      <c r="V516">
        <v>6162</v>
      </c>
      <c r="W516" t="s">
        <v>2434</v>
      </c>
      <c r="X516" s="2">
        <v>853</v>
      </c>
      <c r="Y516" t="s">
        <v>2</v>
      </c>
      <c r="Z516" t="s">
        <v>3</v>
      </c>
      <c r="AA516" s="5">
        <v>0</v>
      </c>
      <c r="AB516" t="s">
        <v>17</v>
      </c>
      <c r="AI516" t="s">
        <v>6643</v>
      </c>
      <c r="AL516" t="s">
        <v>8473</v>
      </c>
    </row>
    <row r="517" spans="1:38">
      <c r="A517" t="s">
        <v>3907</v>
      </c>
      <c r="B517" t="s">
        <v>3965</v>
      </c>
      <c r="C517" t="s">
        <v>3922</v>
      </c>
      <c r="D517" t="s">
        <v>3923</v>
      </c>
      <c r="E517" s="2">
        <v>20000</v>
      </c>
      <c r="F517" s="2">
        <v>20000</v>
      </c>
      <c r="G517" s="3">
        <v>43298</v>
      </c>
      <c r="H517" s="4">
        <v>2.3055555555559999E-2</v>
      </c>
      <c r="I517" s="3">
        <v>43299</v>
      </c>
      <c r="J517" s="4">
        <v>0</v>
      </c>
      <c r="K517" s="2">
        <v>20</v>
      </c>
      <c r="L517" t="s">
        <v>0</v>
      </c>
      <c r="M517" t="s">
        <v>3920</v>
      </c>
      <c r="N517" s="3">
        <v>43313</v>
      </c>
      <c r="O517" s="3">
        <v>43300</v>
      </c>
      <c r="P517" t="s">
        <v>150</v>
      </c>
      <c r="Q517" t="s">
        <v>3966</v>
      </c>
      <c r="R517" t="s">
        <v>820</v>
      </c>
      <c r="S517" s="3">
        <v>43313</v>
      </c>
      <c r="T517" t="s">
        <v>7826</v>
      </c>
      <c r="U517" t="s">
        <v>2720</v>
      </c>
      <c r="V517" t="s">
        <v>3925</v>
      </c>
      <c r="W517" t="s">
        <v>2434</v>
      </c>
      <c r="X517" s="2">
        <v>853</v>
      </c>
      <c r="Y517" t="s">
        <v>2</v>
      </c>
      <c r="Z517" t="s">
        <v>3</v>
      </c>
      <c r="AA517" s="5">
        <v>0</v>
      </c>
      <c r="AB517" t="s">
        <v>17</v>
      </c>
      <c r="AL517" t="s">
        <v>8474</v>
      </c>
    </row>
    <row r="518" spans="1:38">
      <c r="A518" t="s">
        <v>3967</v>
      </c>
      <c r="B518" t="s">
        <v>4038</v>
      </c>
      <c r="C518" t="s">
        <v>4039</v>
      </c>
      <c r="D518" t="s">
        <v>4040</v>
      </c>
      <c r="E518" s="5">
        <v>5063.5</v>
      </c>
      <c r="F518" s="5">
        <v>5063.5</v>
      </c>
      <c r="G518" s="3">
        <v>43286</v>
      </c>
      <c r="H518" s="4">
        <v>0.99998842592592996</v>
      </c>
      <c r="I518" s="3">
        <v>43287</v>
      </c>
      <c r="J518" s="4">
        <v>0.25665509259259001</v>
      </c>
      <c r="K518" s="2">
        <v>20</v>
      </c>
      <c r="L518" t="s">
        <v>0</v>
      </c>
      <c r="M518" t="s">
        <v>7827</v>
      </c>
      <c r="N518" s="3">
        <v>43291</v>
      </c>
      <c r="O518" s="3">
        <v>43289</v>
      </c>
      <c r="P518" t="s">
        <v>10</v>
      </c>
      <c r="Q518" t="s">
        <v>4041</v>
      </c>
      <c r="R518" t="s">
        <v>820</v>
      </c>
      <c r="S518" s="3">
        <v>43291</v>
      </c>
      <c r="T518" t="s">
        <v>7828</v>
      </c>
      <c r="U518" t="s">
        <v>3709</v>
      </c>
      <c r="V518" t="s">
        <v>4042</v>
      </c>
      <c r="W518" t="s">
        <v>2434</v>
      </c>
      <c r="X518" s="2">
        <v>822</v>
      </c>
      <c r="Y518" t="s">
        <v>2</v>
      </c>
      <c r="Z518" t="s">
        <v>3</v>
      </c>
      <c r="AA518" s="5">
        <v>0</v>
      </c>
      <c r="AB518" t="s">
        <v>4</v>
      </c>
      <c r="AL518" t="s">
        <v>8475</v>
      </c>
    </row>
    <row r="519" spans="1:38">
      <c r="A519" t="s">
        <v>3967</v>
      </c>
      <c r="B519" t="s">
        <v>3730</v>
      </c>
      <c r="C519" t="s">
        <v>168</v>
      </c>
      <c r="D519" t="s">
        <v>169</v>
      </c>
      <c r="E519" s="2">
        <v>1192</v>
      </c>
      <c r="F519" s="2">
        <v>10192</v>
      </c>
      <c r="G519" s="3">
        <v>43287</v>
      </c>
      <c r="H519" s="4">
        <v>0.27748842592592998</v>
      </c>
      <c r="I519" s="3">
        <v>43287</v>
      </c>
      <c r="J519" s="4">
        <v>0.79410879629630005</v>
      </c>
      <c r="K519" s="2">
        <v>20</v>
      </c>
      <c r="L519" t="s">
        <v>0</v>
      </c>
      <c r="M519" t="s">
        <v>7829</v>
      </c>
      <c r="N519" s="3">
        <v>43273</v>
      </c>
      <c r="O519" s="3">
        <v>43289</v>
      </c>
      <c r="P519" t="s">
        <v>7</v>
      </c>
      <c r="Q519" t="s">
        <v>3731</v>
      </c>
      <c r="R519" t="s">
        <v>820</v>
      </c>
      <c r="S519" s="3">
        <v>43273</v>
      </c>
      <c r="T519" t="s">
        <v>7830</v>
      </c>
      <c r="U519">
        <v>940</v>
      </c>
      <c r="V519">
        <v>701</v>
      </c>
      <c r="W519" t="s">
        <v>2434</v>
      </c>
      <c r="X519" s="2">
        <v>822</v>
      </c>
      <c r="Y519" t="s">
        <v>2</v>
      </c>
      <c r="Z519" t="s">
        <v>3</v>
      </c>
      <c r="AA519" s="5">
        <v>0</v>
      </c>
      <c r="AB519" t="s">
        <v>4</v>
      </c>
      <c r="AI519" t="s">
        <v>6643</v>
      </c>
      <c r="AL519" t="s">
        <v>8476</v>
      </c>
    </row>
    <row r="520" spans="1:38">
      <c r="A520" t="s">
        <v>3967</v>
      </c>
      <c r="B520" t="s">
        <v>5149</v>
      </c>
      <c r="C520" t="s">
        <v>5150</v>
      </c>
      <c r="D520" t="s">
        <v>5151</v>
      </c>
      <c r="E520" s="2">
        <v>6575</v>
      </c>
      <c r="F520" s="2">
        <v>6575</v>
      </c>
      <c r="G520" s="3">
        <v>43287</v>
      </c>
      <c r="H520" s="4">
        <v>0.81494212962962997</v>
      </c>
      <c r="I520" s="3">
        <v>43288</v>
      </c>
      <c r="J520" s="4">
        <v>0.14822916666666999</v>
      </c>
      <c r="K520" s="2">
        <v>0</v>
      </c>
      <c r="L520" t="s">
        <v>0</v>
      </c>
      <c r="M520" t="s">
        <v>7831</v>
      </c>
      <c r="N520" s="3">
        <v>43291</v>
      </c>
      <c r="O520" s="3">
        <v>43290</v>
      </c>
      <c r="P520" t="s">
        <v>8</v>
      </c>
      <c r="Q520" t="s">
        <v>5152</v>
      </c>
      <c r="R520" t="s">
        <v>820</v>
      </c>
      <c r="S520" s="3">
        <v>43291</v>
      </c>
      <c r="T520" t="s">
        <v>7832</v>
      </c>
      <c r="U520" t="s">
        <v>5153</v>
      </c>
      <c r="V520" t="s">
        <v>5154</v>
      </c>
      <c r="W520" t="s">
        <v>2434</v>
      </c>
      <c r="X520" s="2">
        <v>822</v>
      </c>
      <c r="Y520" t="s">
        <v>2</v>
      </c>
      <c r="Z520" t="s">
        <v>3</v>
      </c>
      <c r="AA520" s="5">
        <v>0</v>
      </c>
      <c r="AB520" t="s">
        <v>17</v>
      </c>
      <c r="AL520" t="s">
        <v>8477</v>
      </c>
    </row>
    <row r="521" spans="1:38">
      <c r="A521" t="s">
        <v>3967</v>
      </c>
      <c r="B521" t="s">
        <v>3745</v>
      </c>
      <c r="C521" t="s">
        <v>170</v>
      </c>
      <c r="D521" t="s">
        <v>171</v>
      </c>
      <c r="E521" s="2">
        <v>20000</v>
      </c>
      <c r="F521" s="2">
        <v>20000</v>
      </c>
      <c r="G521" s="3">
        <v>43288</v>
      </c>
      <c r="H521" s="4">
        <v>0.1690625</v>
      </c>
      <c r="I521" s="3">
        <v>43289</v>
      </c>
      <c r="J521" s="4">
        <v>0.18284722222222</v>
      </c>
      <c r="K521" s="2">
        <v>20</v>
      </c>
      <c r="L521" t="s">
        <v>0</v>
      </c>
      <c r="M521" t="s">
        <v>3968</v>
      </c>
      <c r="N521" s="3">
        <v>43297</v>
      </c>
      <c r="O521" s="3">
        <v>43291</v>
      </c>
      <c r="P521" t="s">
        <v>9</v>
      </c>
      <c r="Q521" t="s">
        <v>3746</v>
      </c>
      <c r="R521" t="s">
        <v>820</v>
      </c>
      <c r="S521" s="3">
        <v>43297</v>
      </c>
      <c r="T521" t="s">
        <v>7833</v>
      </c>
      <c r="U521" t="s">
        <v>2649</v>
      </c>
      <c r="V521">
        <v>701</v>
      </c>
      <c r="W521" t="s">
        <v>2434</v>
      </c>
      <c r="X521" s="2">
        <v>822</v>
      </c>
      <c r="Y521" t="s">
        <v>2</v>
      </c>
      <c r="Z521" t="s">
        <v>3</v>
      </c>
      <c r="AA521" s="5">
        <v>0</v>
      </c>
      <c r="AB521" t="s">
        <v>17</v>
      </c>
      <c r="AL521" t="s">
        <v>8478</v>
      </c>
    </row>
    <row r="522" spans="1:38">
      <c r="A522" t="s">
        <v>3967</v>
      </c>
      <c r="B522" t="s">
        <v>3747</v>
      </c>
      <c r="C522" t="s">
        <v>130</v>
      </c>
      <c r="D522" t="s">
        <v>131</v>
      </c>
      <c r="E522" s="2">
        <v>20000</v>
      </c>
      <c r="F522" s="2">
        <v>20000</v>
      </c>
      <c r="G522" s="3">
        <v>43289</v>
      </c>
      <c r="H522" s="4">
        <v>0.20368055555556</v>
      </c>
      <c r="I522" s="3">
        <v>43290</v>
      </c>
      <c r="J522" s="4">
        <v>0.21746527777777999</v>
      </c>
      <c r="K522" s="2">
        <v>0</v>
      </c>
      <c r="L522" t="s">
        <v>0</v>
      </c>
      <c r="M522" t="s">
        <v>3968</v>
      </c>
      <c r="N522" s="3">
        <v>43276</v>
      </c>
      <c r="O522" s="3">
        <v>43292</v>
      </c>
      <c r="P522" t="s">
        <v>9</v>
      </c>
      <c r="Q522" t="s">
        <v>1</v>
      </c>
      <c r="R522" t="s">
        <v>819</v>
      </c>
      <c r="S522" s="3"/>
      <c r="T522" t="s">
        <v>1</v>
      </c>
      <c r="U522" t="s">
        <v>2486</v>
      </c>
      <c r="V522">
        <v>701</v>
      </c>
      <c r="W522" t="s">
        <v>2434</v>
      </c>
      <c r="X522" s="2">
        <v>0</v>
      </c>
      <c r="Y522" t="s">
        <v>2</v>
      </c>
      <c r="Z522" t="s">
        <v>3</v>
      </c>
      <c r="AA522" s="5">
        <v>0</v>
      </c>
      <c r="AB522" t="s">
        <v>29</v>
      </c>
      <c r="AL522" t="s">
        <v>8479</v>
      </c>
    </row>
    <row r="523" spans="1:38">
      <c r="A523" t="s">
        <v>3967</v>
      </c>
      <c r="B523" t="s">
        <v>5013</v>
      </c>
      <c r="C523" t="s">
        <v>130</v>
      </c>
      <c r="D523" t="s">
        <v>131</v>
      </c>
      <c r="E523" s="2">
        <v>20000</v>
      </c>
      <c r="F523" s="2">
        <v>20000</v>
      </c>
      <c r="G523" s="3">
        <v>43290</v>
      </c>
      <c r="H523" s="4">
        <v>0.23829861111111</v>
      </c>
      <c r="I523" s="3">
        <v>43291</v>
      </c>
      <c r="J523" s="4">
        <v>0.25208333333333</v>
      </c>
      <c r="K523" s="2">
        <v>0</v>
      </c>
      <c r="L523" t="s">
        <v>0</v>
      </c>
      <c r="M523" t="s">
        <v>3968</v>
      </c>
      <c r="N523" s="3">
        <v>43292</v>
      </c>
      <c r="O523" s="3">
        <v>43293</v>
      </c>
      <c r="P523" t="s">
        <v>9</v>
      </c>
      <c r="Q523" t="s">
        <v>1</v>
      </c>
      <c r="R523" t="s">
        <v>819</v>
      </c>
      <c r="S523" s="3"/>
      <c r="T523" t="s">
        <v>1</v>
      </c>
      <c r="U523" t="s">
        <v>2486</v>
      </c>
      <c r="V523">
        <v>701</v>
      </c>
      <c r="W523" t="s">
        <v>2434</v>
      </c>
      <c r="X523" s="2">
        <v>0</v>
      </c>
      <c r="Y523" t="s">
        <v>2</v>
      </c>
      <c r="Z523" t="s">
        <v>3</v>
      </c>
      <c r="AA523" s="5">
        <v>0</v>
      </c>
      <c r="AB523" t="s">
        <v>29</v>
      </c>
      <c r="AL523" t="s">
        <v>8480</v>
      </c>
    </row>
    <row r="524" spans="1:38">
      <c r="A524" t="s">
        <v>3967</v>
      </c>
      <c r="B524" t="s">
        <v>2686</v>
      </c>
      <c r="C524" t="s">
        <v>130</v>
      </c>
      <c r="D524" t="s">
        <v>131</v>
      </c>
      <c r="E524" s="2">
        <v>20000</v>
      </c>
      <c r="F524" s="2">
        <v>20000</v>
      </c>
      <c r="G524" s="3">
        <v>43291</v>
      </c>
      <c r="H524" s="4">
        <v>0.27291666666667003</v>
      </c>
      <c r="I524" s="3">
        <v>43292</v>
      </c>
      <c r="J524" s="4">
        <v>0.28670138888889002</v>
      </c>
      <c r="K524" s="2">
        <v>0</v>
      </c>
      <c r="L524" t="s">
        <v>0</v>
      </c>
      <c r="M524" t="s">
        <v>3968</v>
      </c>
      <c r="N524" s="3">
        <v>43293</v>
      </c>
      <c r="O524" s="3">
        <v>43294</v>
      </c>
      <c r="P524" t="s">
        <v>9</v>
      </c>
      <c r="Q524" t="s">
        <v>1</v>
      </c>
      <c r="R524" t="s">
        <v>819</v>
      </c>
      <c r="S524" s="3"/>
      <c r="T524" t="s">
        <v>1</v>
      </c>
      <c r="U524" t="s">
        <v>2486</v>
      </c>
      <c r="V524">
        <v>701</v>
      </c>
      <c r="W524" t="s">
        <v>2434</v>
      </c>
      <c r="X524" s="2">
        <v>0</v>
      </c>
      <c r="Y524" t="s">
        <v>2</v>
      </c>
      <c r="Z524" t="s">
        <v>3</v>
      </c>
      <c r="AA524" s="5">
        <v>0</v>
      </c>
      <c r="AB524" t="s">
        <v>29</v>
      </c>
      <c r="AL524" t="s">
        <v>8481</v>
      </c>
    </row>
    <row r="525" spans="1:38">
      <c r="A525" t="s">
        <v>3967</v>
      </c>
      <c r="B525" t="s">
        <v>5140</v>
      </c>
      <c r="C525" t="s">
        <v>2742</v>
      </c>
      <c r="D525" t="s">
        <v>2743</v>
      </c>
      <c r="E525" s="2">
        <v>20000</v>
      </c>
      <c r="F525" s="2">
        <v>20000</v>
      </c>
      <c r="G525" s="3">
        <v>43292</v>
      </c>
      <c r="H525" s="4">
        <v>0.30753472222222</v>
      </c>
      <c r="I525" s="3">
        <v>43293</v>
      </c>
      <c r="J525" s="4">
        <v>0.32131944444443999</v>
      </c>
      <c r="K525" s="2">
        <v>0</v>
      </c>
      <c r="L525" t="s">
        <v>0</v>
      </c>
      <c r="M525" t="s">
        <v>3968</v>
      </c>
      <c r="N525" s="3">
        <v>43268</v>
      </c>
      <c r="O525" s="3">
        <v>43295</v>
      </c>
      <c r="P525" t="s">
        <v>9</v>
      </c>
      <c r="Q525" t="s">
        <v>1</v>
      </c>
      <c r="R525" t="s">
        <v>819</v>
      </c>
      <c r="S525" s="3"/>
      <c r="T525" t="s">
        <v>1</v>
      </c>
      <c r="U525" t="s">
        <v>2535</v>
      </c>
      <c r="V525">
        <v>701</v>
      </c>
      <c r="W525" t="s">
        <v>2434</v>
      </c>
      <c r="X525" s="2">
        <v>0</v>
      </c>
      <c r="Y525" t="s">
        <v>2</v>
      </c>
      <c r="Z525" t="s">
        <v>3</v>
      </c>
      <c r="AA525" s="5">
        <v>0</v>
      </c>
      <c r="AB525" t="s">
        <v>29</v>
      </c>
      <c r="AL525" t="s">
        <v>8482</v>
      </c>
    </row>
    <row r="526" spans="1:38">
      <c r="A526" t="s">
        <v>3967</v>
      </c>
      <c r="B526" t="s">
        <v>3897</v>
      </c>
      <c r="C526" t="s">
        <v>2742</v>
      </c>
      <c r="D526" t="s">
        <v>2743</v>
      </c>
      <c r="E526" s="2">
        <v>20000</v>
      </c>
      <c r="F526" s="2">
        <v>20000</v>
      </c>
      <c r="G526" s="3">
        <v>43293</v>
      </c>
      <c r="H526" s="4">
        <v>0.34215277777778003</v>
      </c>
      <c r="I526" s="3">
        <v>43294</v>
      </c>
      <c r="J526" s="4">
        <v>0.35593750000000002</v>
      </c>
      <c r="K526" s="2">
        <v>0</v>
      </c>
      <c r="L526" t="s">
        <v>0</v>
      </c>
      <c r="M526" t="s">
        <v>3968</v>
      </c>
      <c r="N526" s="3">
        <v>43295</v>
      </c>
      <c r="O526" s="3">
        <v>43296</v>
      </c>
      <c r="P526" t="s">
        <v>9</v>
      </c>
      <c r="Q526" t="s">
        <v>1</v>
      </c>
      <c r="R526" t="s">
        <v>819</v>
      </c>
      <c r="S526" s="3"/>
      <c r="T526" t="s">
        <v>1</v>
      </c>
      <c r="U526" t="s">
        <v>2535</v>
      </c>
      <c r="V526">
        <v>701</v>
      </c>
      <c r="W526" t="s">
        <v>2434</v>
      </c>
      <c r="X526" s="2">
        <v>0</v>
      </c>
      <c r="Y526" t="s">
        <v>2</v>
      </c>
      <c r="Z526" t="s">
        <v>3</v>
      </c>
      <c r="AA526" s="5">
        <v>0</v>
      </c>
      <c r="AB526" t="s">
        <v>29</v>
      </c>
      <c r="AL526" t="s">
        <v>8483</v>
      </c>
    </row>
    <row r="527" spans="1:38">
      <c r="A527" t="s">
        <v>3967</v>
      </c>
      <c r="B527" t="s">
        <v>5147</v>
      </c>
      <c r="C527" t="s">
        <v>3863</v>
      </c>
      <c r="D527" t="s">
        <v>3864</v>
      </c>
      <c r="E527" s="2">
        <v>20000</v>
      </c>
      <c r="F527" s="2">
        <v>20000</v>
      </c>
      <c r="G527" s="3">
        <v>43294</v>
      </c>
      <c r="H527" s="4">
        <v>0.37677083333333</v>
      </c>
      <c r="I527" s="3">
        <v>43295</v>
      </c>
      <c r="J527" s="4">
        <v>0.39055555555555999</v>
      </c>
      <c r="K527" s="2">
        <v>0</v>
      </c>
      <c r="L527" t="s">
        <v>0</v>
      </c>
      <c r="M527" t="s">
        <v>3968</v>
      </c>
      <c r="N527" s="3">
        <v>43291</v>
      </c>
      <c r="O527" s="3">
        <v>43297</v>
      </c>
      <c r="P527" t="s">
        <v>28</v>
      </c>
      <c r="Q527" t="s">
        <v>5148</v>
      </c>
      <c r="R527" t="s">
        <v>820</v>
      </c>
      <c r="S527" s="3">
        <v>43291</v>
      </c>
      <c r="T527" t="s">
        <v>7834</v>
      </c>
      <c r="U527" t="s">
        <v>2504</v>
      </c>
      <c r="V527">
        <v>73215</v>
      </c>
      <c r="W527" t="s">
        <v>2434</v>
      </c>
      <c r="X527" s="2">
        <v>822</v>
      </c>
      <c r="Y527" t="s">
        <v>2</v>
      </c>
      <c r="Z527" t="s">
        <v>3</v>
      </c>
      <c r="AA527" s="5">
        <v>0</v>
      </c>
      <c r="AB527" t="s">
        <v>17</v>
      </c>
      <c r="AI527" t="s">
        <v>6643</v>
      </c>
      <c r="AL527" t="s">
        <v>8484</v>
      </c>
    </row>
    <row r="528" spans="1:38">
      <c r="A528" t="s">
        <v>3967</v>
      </c>
      <c r="B528" t="s">
        <v>5137</v>
      </c>
      <c r="C528" t="s">
        <v>5138</v>
      </c>
      <c r="D528" t="s">
        <v>5139</v>
      </c>
      <c r="E528" s="2">
        <v>10000</v>
      </c>
      <c r="F528" s="2">
        <v>10000</v>
      </c>
      <c r="G528" s="3">
        <v>43295</v>
      </c>
      <c r="H528" s="4">
        <v>0.41138888888889003</v>
      </c>
      <c r="I528" s="3">
        <v>43295</v>
      </c>
      <c r="J528" s="4">
        <v>0.91828703703703995</v>
      </c>
      <c r="K528" s="2">
        <v>0</v>
      </c>
      <c r="L528" t="s">
        <v>0</v>
      </c>
      <c r="M528" t="s">
        <v>3981</v>
      </c>
      <c r="N528" s="3">
        <v>43297</v>
      </c>
      <c r="O528" s="3">
        <v>43297</v>
      </c>
      <c r="P528" t="s">
        <v>28</v>
      </c>
      <c r="Q528" t="s">
        <v>1</v>
      </c>
      <c r="R528" t="s">
        <v>821</v>
      </c>
      <c r="S528" s="3">
        <v>43313</v>
      </c>
      <c r="T528" t="s">
        <v>1</v>
      </c>
      <c r="U528" t="s">
        <v>2504</v>
      </c>
      <c r="V528">
        <v>739</v>
      </c>
      <c r="W528" t="s">
        <v>2434</v>
      </c>
      <c r="X528" s="2">
        <v>0</v>
      </c>
      <c r="Y528" t="s">
        <v>2</v>
      </c>
      <c r="Z528" t="s">
        <v>3</v>
      </c>
      <c r="AA528" s="5">
        <v>0</v>
      </c>
      <c r="AB528" t="s">
        <v>29</v>
      </c>
      <c r="AI528" t="s">
        <v>6643</v>
      </c>
      <c r="AL528" t="s">
        <v>8485</v>
      </c>
    </row>
    <row r="529" spans="1:38">
      <c r="A529" t="s">
        <v>3967</v>
      </c>
      <c r="B529" t="s">
        <v>5155</v>
      </c>
      <c r="C529" t="s">
        <v>5156</v>
      </c>
      <c r="D529" t="s">
        <v>5157</v>
      </c>
      <c r="E529" s="2">
        <v>10000</v>
      </c>
      <c r="F529" s="2">
        <v>10000</v>
      </c>
      <c r="G529" s="3">
        <v>43295</v>
      </c>
      <c r="H529" s="4">
        <v>0.93912037037036999</v>
      </c>
      <c r="I529" s="3">
        <v>43296</v>
      </c>
      <c r="J529" s="4">
        <v>0.44601851851851998</v>
      </c>
      <c r="K529" s="2">
        <v>0</v>
      </c>
      <c r="L529" t="s">
        <v>0</v>
      </c>
      <c r="M529" t="s">
        <v>3981</v>
      </c>
      <c r="N529" s="3">
        <v>43297</v>
      </c>
      <c r="O529" s="3">
        <v>43298</v>
      </c>
      <c r="P529" t="s">
        <v>28</v>
      </c>
      <c r="Q529" t="s">
        <v>1</v>
      </c>
      <c r="R529" t="s">
        <v>821</v>
      </c>
      <c r="S529" s="3">
        <v>43313</v>
      </c>
      <c r="T529" t="s">
        <v>1</v>
      </c>
      <c r="U529" t="s">
        <v>2638</v>
      </c>
      <c r="V529">
        <v>739</v>
      </c>
      <c r="W529" t="s">
        <v>2434</v>
      </c>
      <c r="X529" s="2">
        <v>0</v>
      </c>
      <c r="Y529" t="s">
        <v>2</v>
      </c>
      <c r="Z529" t="s">
        <v>3</v>
      </c>
      <c r="AA529" s="5">
        <v>0</v>
      </c>
      <c r="AB529" t="s">
        <v>29</v>
      </c>
      <c r="AI529" t="s">
        <v>6643</v>
      </c>
      <c r="AL529" t="s">
        <v>8486</v>
      </c>
    </row>
    <row r="530" spans="1:38">
      <c r="A530" t="s">
        <v>3967</v>
      </c>
      <c r="B530" t="s">
        <v>3756</v>
      </c>
      <c r="C530" t="s">
        <v>130</v>
      </c>
      <c r="D530" t="s">
        <v>131</v>
      </c>
      <c r="E530" s="2">
        <v>20000</v>
      </c>
      <c r="F530" s="2">
        <v>20000</v>
      </c>
      <c r="G530" s="3">
        <v>43296</v>
      </c>
      <c r="H530" s="4">
        <v>0.46685185185185002</v>
      </c>
      <c r="I530" s="3">
        <v>43297</v>
      </c>
      <c r="J530" s="4">
        <v>0.48063657407407001</v>
      </c>
      <c r="K530" s="2">
        <v>0</v>
      </c>
      <c r="L530" t="s">
        <v>0</v>
      </c>
      <c r="M530" t="s">
        <v>3968</v>
      </c>
      <c r="N530" s="3">
        <v>43298</v>
      </c>
      <c r="O530" s="3">
        <v>43299</v>
      </c>
      <c r="P530" t="s">
        <v>9</v>
      </c>
      <c r="Q530" t="s">
        <v>2687</v>
      </c>
      <c r="R530" t="s">
        <v>820</v>
      </c>
      <c r="S530" s="3">
        <v>43307</v>
      </c>
      <c r="T530" t="s">
        <v>1</v>
      </c>
      <c r="U530" t="s">
        <v>2486</v>
      </c>
      <c r="V530">
        <v>701</v>
      </c>
      <c r="W530" t="s">
        <v>2434</v>
      </c>
      <c r="X530" s="2">
        <v>0</v>
      </c>
      <c r="Y530" t="s">
        <v>2</v>
      </c>
      <c r="Z530" t="s">
        <v>3</v>
      </c>
      <c r="AA530" s="5">
        <v>0</v>
      </c>
      <c r="AB530" t="s">
        <v>29</v>
      </c>
      <c r="AL530" t="s">
        <v>8487</v>
      </c>
    </row>
    <row r="531" spans="1:38">
      <c r="A531" t="s">
        <v>3967</v>
      </c>
      <c r="B531" t="s">
        <v>5141</v>
      </c>
      <c r="C531" t="s">
        <v>5142</v>
      </c>
      <c r="D531" t="s">
        <v>5143</v>
      </c>
      <c r="E531" s="2">
        <v>10000</v>
      </c>
      <c r="F531" s="2">
        <v>10000</v>
      </c>
      <c r="G531" s="3">
        <v>43297</v>
      </c>
      <c r="H531" s="4">
        <v>0.50146990740741004</v>
      </c>
      <c r="I531" s="3">
        <v>43298</v>
      </c>
      <c r="J531" s="4">
        <v>8.36805555556E-3</v>
      </c>
      <c r="K531" s="2">
        <v>0</v>
      </c>
      <c r="L531" t="s">
        <v>0</v>
      </c>
      <c r="M531" t="s">
        <v>3981</v>
      </c>
      <c r="N531" s="3">
        <v>43299</v>
      </c>
      <c r="O531" s="3">
        <v>43300</v>
      </c>
      <c r="P531" t="s">
        <v>9</v>
      </c>
      <c r="Q531" t="s">
        <v>1</v>
      </c>
      <c r="R531" t="s">
        <v>821</v>
      </c>
      <c r="S531" s="3">
        <v>43288</v>
      </c>
      <c r="T531" t="s">
        <v>1</v>
      </c>
      <c r="U531" t="s">
        <v>2702</v>
      </c>
      <c r="V531">
        <v>701</v>
      </c>
      <c r="W531" t="s">
        <v>2434</v>
      </c>
      <c r="X531" s="2">
        <v>0</v>
      </c>
      <c r="Y531" t="s">
        <v>2</v>
      </c>
      <c r="Z531" t="s">
        <v>3</v>
      </c>
      <c r="AA531" s="5">
        <v>0</v>
      </c>
      <c r="AB531" t="s">
        <v>29</v>
      </c>
      <c r="AL531" t="s">
        <v>8488</v>
      </c>
    </row>
    <row r="532" spans="1:38">
      <c r="A532" t="s">
        <v>3967</v>
      </c>
      <c r="B532" t="s">
        <v>3983</v>
      </c>
      <c r="C532" t="s">
        <v>3984</v>
      </c>
      <c r="D532" t="s">
        <v>3985</v>
      </c>
      <c r="E532" s="2">
        <v>5000</v>
      </c>
      <c r="F532" s="2">
        <v>5000</v>
      </c>
      <c r="G532" s="3">
        <v>43298</v>
      </c>
      <c r="H532" s="4">
        <v>2.9201388888890002E-2</v>
      </c>
      <c r="I532" s="3">
        <v>43298</v>
      </c>
      <c r="J532" s="4">
        <v>0.28265046296295998</v>
      </c>
      <c r="K532" s="2">
        <v>0</v>
      </c>
      <c r="L532" t="s">
        <v>0</v>
      </c>
      <c r="M532" t="s">
        <v>3975</v>
      </c>
      <c r="N532" s="3">
        <v>43298</v>
      </c>
      <c r="O532" s="3">
        <v>43300</v>
      </c>
      <c r="P532" t="s">
        <v>28</v>
      </c>
      <c r="Q532" t="s">
        <v>3986</v>
      </c>
      <c r="R532" t="s">
        <v>820</v>
      </c>
      <c r="S532" s="3">
        <v>43298</v>
      </c>
      <c r="T532" t="s">
        <v>7835</v>
      </c>
      <c r="U532" t="s">
        <v>2667</v>
      </c>
      <c r="V532" t="s">
        <v>3987</v>
      </c>
      <c r="W532" t="s">
        <v>2434</v>
      </c>
      <c r="X532" s="2">
        <v>822</v>
      </c>
      <c r="Y532" t="s">
        <v>2</v>
      </c>
      <c r="Z532" t="s">
        <v>3</v>
      </c>
      <c r="AA532" s="5">
        <v>0</v>
      </c>
      <c r="AB532" t="s">
        <v>17</v>
      </c>
      <c r="AL532" t="s">
        <v>8489</v>
      </c>
    </row>
    <row r="533" spans="1:38">
      <c r="A533" t="s">
        <v>3967</v>
      </c>
      <c r="B533" t="s">
        <v>3978</v>
      </c>
      <c r="C533" t="s">
        <v>3979</v>
      </c>
      <c r="D533" t="s">
        <v>3980</v>
      </c>
      <c r="E533" s="2">
        <v>10000</v>
      </c>
      <c r="F533" s="2">
        <v>10000</v>
      </c>
      <c r="G533" s="3">
        <v>43298</v>
      </c>
      <c r="H533" s="4">
        <v>0.30348379629630001</v>
      </c>
      <c r="I533" s="3">
        <v>43298</v>
      </c>
      <c r="J533" s="4">
        <v>0.81038194444444001</v>
      </c>
      <c r="K533" s="2">
        <v>0</v>
      </c>
      <c r="L533" t="s">
        <v>0</v>
      </c>
      <c r="M533" t="s">
        <v>3981</v>
      </c>
      <c r="N533" s="3">
        <v>43299</v>
      </c>
      <c r="O533" s="3">
        <v>43300</v>
      </c>
      <c r="P533" t="s">
        <v>28</v>
      </c>
      <c r="Q533" t="s">
        <v>3982</v>
      </c>
      <c r="R533" t="s">
        <v>820</v>
      </c>
      <c r="S533" s="3">
        <v>43299</v>
      </c>
      <c r="T533" t="s">
        <v>7836</v>
      </c>
      <c r="U533" t="s">
        <v>2504</v>
      </c>
      <c r="V533">
        <v>73234</v>
      </c>
      <c r="W533" t="s">
        <v>2434</v>
      </c>
      <c r="X533" s="2">
        <v>822</v>
      </c>
      <c r="Y533" t="s">
        <v>2</v>
      </c>
      <c r="Z533" t="s">
        <v>3</v>
      </c>
      <c r="AA533" s="5">
        <v>0</v>
      </c>
      <c r="AB533" t="s">
        <v>17</v>
      </c>
      <c r="AI533" t="s">
        <v>6643</v>
      </c>
      <c r="AL533" t="s">
        <v>8490</v>
      </c>
    </row>
    <row r="534" spans="1:38">
      <c r="A534" t="s">
        <v>3967</v>
      </c>
      <c r="B534" t="s">
        <v>3990</v>
      </c>
      <c r="C534" t="s">
        <v>1443</v>
      </c>
      <c r="D534" t="s">
        <v>1444</v>
      </c>
      <c r="E534" s="2">
        <v>15000</v>
      </c>
      <c r="F534" s="2">
        <v>15000</v>
      </c>
      <c r="G534" s="3">
        <v>43298</v>
      </c>
      <c r="H534" s="4">
        <v>0.83121527777778004</v>
      </c>
      <c r="I534" s="3">
        <v>43299</v>
      </c>
      <c r="J534" s="4">
        <v>0.59155092592592995</v>
      </c>
      <c r="K534" s="2">
        <v>0</v>
      </c>
      <c r="L534" t="s">
        <v>0</v>
      </c>
      <c r="M534" t="s">
        <v>3991</v>
      </c>
      <c r="N534" s="3">
        <v>43300</v>
      </c>
      <c r="O534" s="3">
        <v>43301</v>
      </c>
      <c r="P534" t="s">
        <v>9</v>
      </c>
      <c r="Q534" t="s">
        <v>3992</v>
      </c>
      <c r="R534" t="s">
        <v>820</v>
      </c>
      <c r="S534" s="3">
        <v>43300</v>
      </c>
      <c r="T534" t="s">
        <v>7837</v>
      </c>
      <c r="U534" t="s">
        <v>2649</v>
      </c>
      <c r="V534" t="s">
        <v>3522</v>
      </c>
      <c r="W534" t="s">
        <v>2434</v>
      </c>
      <c r="X534" s="2">
        <v>822</v>
      </c>
      <c r="Y534" t="s">
        <v>2</v>
      </c>
      <c r="Z534" t="s">
        <v>3</v>
      </c>
      <c r="AA534" s="5">
        <v>0</v>
      </c>
      <c r="AB534" t="s">
        <v>17</v>
      </c>
      <c r="AL534" t="s">
        <v>8491</v>
      </c>
    </row>
    <row r="535" spans="1:38">
      <c r="A535" t="s">
        <v>3967</v>
      </c>
      <c r="B535" t="s">
        <v>5158</v>
      </c>
      <c r="C535" t="s">
        <v>130</v>
      </c>
      <c r="D535" t="s">
        <v>131</v>
      </c>
      <c r="E535" s="2">
        <v>20000</v>
      </c>
      <c r="F535" s="2">
        <v>20000</v>
      </c>
      <c r="G535" s="3">
        <v>43299</v>
      </c>
      <c r="H535" s="4">
        <v>0.61238425925925999</v>
      </c>
      <c r="I535" s="3">
        <v>43300</v>
      </c>
      <c r="J535" s="4">
        <v>0.62616898148148004</v>
      </c>
      <c r="K535" s="2">
        <v>0</v>
      </c>
      <c r="L535" t="s">
        <v>0</v>
      </c>
      <c r="M535" t="s">
        <v>3968</v>
      </c>
      <c r="N535" s="3">
        <v>43302</v>
      </c>
      <c r="O535" s="3">
        <v>43302</v>
      </c>
      <c r="P535" t="s">
        <v>9</v>
      </c>
      <c r="Q535" t="s">
        <v>3757</v>
      </c>
      <c r="R535" t="s">
        <v>822</v>
      </c>
      <c r="S535" s="3">
        <v>43334</v>
      </c>
      <c r="T535" t="s">
        <v>1</v>
      </c>
      <c r="U535" t="s">
        <v>2486</v>
      </c>
      <c r="V535">
        <v>701</v>
      </c>
      <c r="W535" t="s">
        <v>2434</v>
      </c>
      <c r="X535" s="2">
        <v>0</v>
      </c>
      <c r="Y535" t="s">
        <v>2</v>
      </c>
      <c r="Z535" t="s">
        <v>3</v>
      </c>
      <c r="AA535" s="5">
        <v>0</v>
      </c>
      <c r="AB535" t="s">
        <v>29</v>
      </c>
      <c r="AL535" t="s">
        <v>8492</v>
      </c>
    </row>
    <row r="536" spans="1:38">
      <c r="A536" t="s">
        <v>3993</v>
      </c>
      <c r="B536" t="s">
        <v>5159</v>
      </c>
      <c r="C536" t="s">
        <v>130</v>
      </c>
      <c r="D536" t="s">
        <v>131</v>
      </c>
      <c r="E536" s="2">
        <v>200</v>
      </c>
      <c r="F536" s="2">
        <v>20200</v>
      </c>
      <c r="G536" s="3">
        <v>43270</v>
      </c>
      <c r="H536" s="4">
        <v>0.68142361111111005</v>
      </c>
      <c r="I536" s="3">
        <v>43271</v>
      </c>
      <c r="J536" s="4">
        <v>0.60836805555555995</v>
      </c>
      <c r="K536" s="2">
        <v>0</v>
      </c>
      <c r="L536" t="s">
        <v>0</v>
      </c>
      <c r="M536" t="s">
        <v>3998</v>
      </c>
      <c r="N536" s="3"/>
      <c r="O536" s="3">
        <v>43273</v>
      </c>
      <c r="P536" t="s">
        <v>9</v>
      </c>
      <c r="Q536" t="s">
        <v>1</v>
      </c>
      <c r="R536" t="s">
        <v>819</v>
      </c>
      <c r="S536" s="3"/>
      <c r="T536" t="s">
        <v>7838</v>
      </c>
      <c r="U536" t="s">
        <v>2486</v>
      </c>
      <c r="V536">
        <v>701</v>
      </c>
      <c r="W536" t="s">
        <v>2434</v>
      </c>
      <c r="X536" s="2">
        <v>908</v>
      </c>
      <c r="Y536" t="s">
        <v>2</v>
      </c>
      <c r="Z536" t="s">
        <v>3</v>
      </c>
      <c r="AA536" s="5">
        <v>0</v>
      </c>
      <c r="AB536" t="s">
        <v>4</v>
      </c>
      <c r="AL536" t="s">
        <v>8493</v>
      </c>
    </row>
    <row r="537" spans="1:38">
      <c r="A537" t="s">
        <v>3993</v>
      </c>
      <c r="B537" t="s">
        <v>5160</v>
      </c>
      <c r="C537" t="s">
        <v>141</v>
      </c>
      <c r="D537" t="s">
        <v>142</v>
      </c>
      <c r="E537" s="5">
        <v>147.4</v>
      </c>
      <c r="F537" s="5">
        <v>11147.4</v>
      </c>
      <c r="G537" s="3">
        <v>43271</v>
      </c>
      <c r="H537" s="4">
        <v>0.62920138888888999</v>
      </c>
      <c r="I537" s="3">
        <v>43272</v>
      </c>
      <c r="J537" s="4">
        <v>0.14074074074074</v>
      </c>
      <c r="K537" s="2">
        <v>0</v>
      </c>
      <c r="L537" t="s">
        <v>0</v>
      </c>
      <c r="M537" t="s">
        <v>7111</v>
      </c>
      <c r="N537" s="3">
        <v>43271</v>
      </c>
      <c r="O537" s="3">
        <v>43274</v>
      </c>
      <c r="P537" t="s">
        <v>33</v>
      </c>
      <c r="Q537" t="s">
        <v>3851</v>
      </c>
      <c r="R537" t="s">
        <v>820</v>
      </c>
      <c r="S537" s="3">
        <v>43273</v>
      </c>
      <c r="T537" t="s">
        <v>7839</v>
      </c>
      <c r="U537" t="s">
        <v>3709</v>
      </c>
      <c r="V537">
        <v>701</v>
      </c>
      <c r="W537" t="s">
        <v>2434</v>
      </c>
      <c r="X537" s="2">
        <v>908</v>
      </c>
      <c r="Y537" t="s">
        <v>2</v>
      </c>
      <c r="Z537" t="s">
        <v>3</v>
      </c>
      <c r="AA537" s="5">
        <v>0</v>
      </c>
      <c r="AB537" t="s">
        <v>4</v>
      </c>
      <c r="AL537" t="s">
        <v>8494</v>
      </c>
    </row>
    <row r="538" spans="1:38">
      <c r="A538" t="s">
        <v>3993</v>
      </c>
      <c r="B538" t="s">
        <v>4017</v>
      </c>
      <c r="C538" t="s">
        <v>179</v>
      </c>
      <c r="D538" t="s">
        <v>180</v>
      </c>
      <c r="E538" s="2">
        <v>10100</v>
      </c>
      <c r="F538" s="2">
        <v>10100</v>
      </c>
      <c r="G538" s="3">
        <v>43272</v>
      </c>
      <c r="H538" s="4">
        <v>0.16157407407407001</v>
      </c>
      <c r="I538" s="3">
        <v>43272</v>
      </c>
      <c r="J538" s="4">
        <v>0.62504629629630004</v>
      </c>
      <c r="K538" s="2">
        <v>20</v>
      </c>
      <c r="L538" t="s">
        <v>0</v>
      </c>
      <c r="M538" t="s">
        <v>7112</v>
      </c>
      <c r="N538" s="3">
        <v>43277</v>
      </c>
      <c r="O538" s="3">
        <v>43274</v>
      </c>
      <c r="P538" t="s">
        <v>33</v>
      </c>
      <c r="Q538" t="s">
        <v>4018</v>
      </c>
      <c r="R538" t="s">
        <v>820</v>
      </c>
      <c r="S538" s="3">
        <v>43276</v>
      </c>
      <c r="T538" t="s">
        <v>7840</v>
      </c>
      <c r="U538" t="s">
        <v>4019</v>
      </c>
      <c r="V538">
        <v>701</v>
      </c>
      <c r="W538" t="s">
        <v>2434</v>
      </c>
      <c r="X538" s="2">
        <v>908</v>
      </c>
      <c r="Y538" t="s">
        <v>2</v>
      </c>
      <c r="Z538" t="s">
        <v>3</v>
      </c>
      <c r="AA538" s="5">
        <v>0</v>
      </c>
      <c r="AB538" t="s">
        <v>4</v>
      </c>
      <c r="AL538" t="s">
        <v>8495</v>
      </c>
    </row>
    <row r="539" spans="1:38">
      <c r="A539" t="s">
        <v>3993</v>
      </c>
      <c r="B539" t="s">
        <v>7841</v>
      </c>
      <c r="C539" t="s">
        <v>4039</v>
      </c>
      <c r="D539" t="s">
        <v>4040</v>
      </c>
      <c r="E539" s="2">
        <v>5000</v>
      </c>
      <c r="F539" s="2">
        <v>5000</v>
      </c>
      <c r="G539" s="3">
        <v>43272</v>
      </c>
      <c r="H539" s="4">
        <v>0.66666666666666996</v>
      </c>
      <c r="I539" s="3">
        <v>43272</v>
      </c>
      <c r="J539" s="4">
        <v>0.89611111111110997</v>
      </c>
      <c r="K539" s="2">
        <v>0</v>
      </c>
      <c r="L539" t="s">
        <v>0</v>
      </c>
      <c r="M539" t="s">
        <v>4000</v>
      </c>
      <c r="N539" s="3">
        <v>43291</v>
      </c>
      <c r="O539" s="3">
        <v>43274</v>
      </c>
      <c r="P539" t="s">
        <v>10</v>
      </c>
      <c r="Q539" t="s">
        <v>1</v>
      </c>
      <c r="R539" t="s">
        <v>819</v>
      </c>
      <c r="S539" s="3"/>
      <c r="U539" t="s">
        <v>3709</v>
      </c>
      <c r="V539" t="s">
        <v>4042</v>
      </c>
      <c r="W539" t="s">
        <v>2434</v>
      </c>
      <c r="X539" s="2">
        <v>908</v>
      </c>
      <c r="Y539" t="s">
        <v>2</v>
      </c>
      <c r="Z539" t="s">
        <v>3</v>
      </c>
      <c r="AA539" s="5">
        <v>0</v>
      </c>
      <c r="AB539" t="s">
        <v>17</v>
      </c>
      <c r="AL539" t="s">
        <v>8604</v>
      </c>
    </row>
    <row r="540" spans="1:38">
      <c r="A540" t="s">
        <v>3993</v>
      </c>
      <c r="B540" t="s">
        <v>7842</v>
      </c>
      <c r="C540" t="s">
        <v>4020</v>
      </c>
      <c r="D540" t="s">
        <v>4021</v>
      </c>
      <c r="E540" s="2">
        <v>20000</v>
      </c>
      <c r="F540" s="2">
        <v>20000</v>
      </c>
      <c r="G540" s="3">
        <v>43272</v>
      </c>
      <c r="H540" s="4">
        <v>0.93782407407406998</v>
      </c>
      <c r="I540" s="3">
        <v>43273</v>
      </c>
      <c r="J540" s="4">
        <v>0.85559027777777996</v>
      </c>
      <c r="K540" s="2">
        <v>0</v>
      </c>
      <c r="L540" t="s">
        <v>0</v>
      </c>
      <c r="M540" t="s">
        <v>4001</v>
      </c>
      <c r="N540" s="3">
        <v>43282</v>
      </c>
      <c r="O540" s="3">
        <v>43275</v>
      </c>
      <c r="P540" t="s">
        <v>4022</v>
      </c>
      <c r="Q540" t="s">
        <v>4023</v>
      </c>
      <c r="R540" t="s">
        <v>820</v>
      </c>
      <c r="S540" s="3">
        <v>43284</v>
      </c>
      <c r="T540" t="s">
        <v>7843</v>
      </c>
      <c r="U540" t="s">
        <v>3709</v>
      </c>
      <c r="V540" t="s">
        <v>4024</v>
      </c>
      <c r="W540" t="s">
        <v>2434</v>
      </c>
      <c r="X540" s="2">
        <v>908</v>
      </c>
      <c r="Y540" t="s">
        <v>2</v>
      </c>
      <c r="Z540" t="s">
        <v>3</v>
      </c>
      <c r="AA540" s="5">
        <v>0</v>
      </c>
      <c r="AB540" t="s">
        <v>17</v>
      </c>
      <c r="AI540" t="s">
        <v>6643</v>
      </c>
      <c r="AL540" t="s">
        <v>8496</v>
      </c>
    </row>
    <row r="541" spans="1:38">
      <c r="A541" t="s">
        <v>3993</v>
      </c>
      <c r="B541" t="s">
        <v>7844</v>
      </c>
      <c r="C541" t="s">
        <v>4020</v>
      </c>
      <c r="D541" t="s">
        <v>4021</v>
      </c>
      <c r="E541" s="2">
        <v>20000</v>
      </c>
      <c r="F541" s="2">
        <v>20000</v>
      </c>
      <c r="G541" s="3">
        <v>43273</v>
      </c>
      <c r="H541" s="4">
        <v>0.87642361111111</v>
      </c>
      <c r="I541" s="3">
        <v>43274</v>
      </c>
      <c r="J541" s="4">
        <v>0.79418981481480999</v>
      </c>
      <c r="K541" s="2">
        <v>0</v>
      </c>
      <c r="L541" t="s">
        <v>0</v>
      </c>
      <c r="M541" t="s">
        <v>4001</v>
      </c>
      <c r="N541" s="3">
        <v>43281</v>
      </c>
      <c r="O541" s="3">
        <v>43276</v>
      </c>
      <c r="P541" t="s">
        <v>4022</v>
      </c>
      <c r="Q541" t="s">
        <v>4030</v>
      </c>
      <c r="R541" t="s">
        <v>820</v>
      </c>
      <c r="S541" s="3">
        <v>43291</v>
      </c>
      <c r="T541" t="s">
        <v>7845</v>
      </c>
      <c r="U541" t="s">
        <v>3709</v>
      </c>
      <c r="V541" t="s">
        <v>4024</v>
      </c>
      <c r="W541" t="s">
        <v>2434</v>
      </c>
      <c r="X541" s="2">
        <v>908</v>
      </c>
      <c r="Y541" t="s">
        <v>2</v>
      </c>
      <c r="Z541" t="s">
        <v>3</v>
      </c>
      <c r="AA541" s="5">
        <v>0</v>
      </c>
      <c r="AB541" t="s">
        <v>17</v>
      </c>
      <c r="AI541" t="s">
        <v>6643</v>
      </c>
      <c r="AL541" t="s">
        <v>8497</v>
      </c>
    </row>
    <row r="542" spans="1:38">
      <c r="A542" t="s">
        <v>3993</v>
      </c>
      <c r="B542" t="s">
        <v>4033</v>
      </c>
      <c r="C542" t="s">
        <v>145</v>
      </c>
      <c r="D542" t="s">
        <v>146</v>
      </c>
      <c r="E542" s="2">
        <v>20000</v>
      </c>
      <c r="F542" s="2">
        <v>20000</v>
      </c>
      <c r="G542" s="3">
        <v>43287</v>
      </c>
      <c r="H542" s="4">
        <v>0.42179398148148001</v>
      </c>
      <c r="I542" s="3">
        <v>43288</v>
      </c>
      <c r="J542" s="4">
        <v>0.33956018518518999</v>
      </c>
      <c r="K542" s="2">
        <v>0</v>
      </c>
      <c r="L542" t="s">
        <v>0</v>
      </c>
      <c r="M542" t="s">
        <v>4001</v>
      </c>
      <c r="N542" s="3"/>
      <c r="O542" s="3">
        <v>43290</v>
      </c>
      <c r="P542" t="s">
        <v>7</v>
      </c>
      <c r="Q542" t="s">
        <v>4031</v>
      </c>
      <c r="R542" t="s">
        <v>820</v>
      </c>
      <c r="S542" s="3">
        <v>43293</v>
      </c>
      <c r="T542" t="s">
        <v>1</v>
      </c>
      <c r="U542" t="s">
        <v>2611</v>
      </c>
      <c r="V542">
        <v>701</v>
      </c>
      <c r="W542" t="s">
        <v>2434</v>
      </c>
      <c r="X542" s="2">
        <v>0</v>
      </c>
      <c r="Y542" t="s">
        <v>2</v>
      </c>
      <c r="Z542" t="s">
        <v>3</v>
      </c>
      <c r="AA542" s="5">
        <v>0</v>
      </c>
      <c r="AB542" t="s">
        <v>29</v>
      </c>
      <c r="AL542" t="s">
        <v>8498</v>
      </c>
    </row>
    <row r="543" spans="1:38">
      <c r="A543" t="s">
        <v>3993</v>
      </c>
      <c r="B543" t="s">
        <v>4032</v>
      </c>
      <c r="C543" t="s">
        <v>145</v>
      </c>
      <c r="D543" t="s">
        <v>146</v>
      </c>
      <c r="E543" s="2">
        <v>20000</v>
      </c>
      <c r="F543" s="2">
        <v>20000</v>
      </c>
      <c r="G543" s="3">
        <v>43288</v>
      </c>
      <c r="H543" s="4">
        <v>0.36039351851851997</v>
      </c>
      <c r="I543" s="3">
        <v>43289</v>
      </c>
      <c r="J543" s="4">
        <v>0.27815972222222002</v>
      </c>
      <c r="K543" s="2">
        <v>0</v>
      </c>
      <c r="L543" t="s">
        <v>0</v>
      </c>
      <c r="M543" t="s">
        <v>4001</v>
      </c>
      <c r="N543" s="3"/>
      <c r="O543" s="3">
        <v>43291</v>
      </c>
      <c r="P543" t="s">
        <v>7</v>
      </c>
      <c r="Q543" t="s">
        <v>4031</v>
      </c>
      <c r="R543" t="s">
        <v>820</v>
      </c>
      <c r="S543" s="3">
        <v>43293</v>
      </c>
      <c r="T543" t="s">
        <v>1</v>
      </c>
      <c r="U543" t="s">
        <v>2611</v>
      </c>
      <c r="V543">
        <v>701</v>
      </c>
      <c r="W543" t="s">
        <v>2434</v>
      </c>
      <c r="X543" s="2">
        <v>0</v>
      </c>
      <c r="Y543" t="s">
        <v>2</v>
      </c>
      <c r="Z543" t="s">
        <v>3</v>
      </c>
      <c r="AA543" s="5">
        <v>0</v>
      </c>
      <c r="AB543" t="s">
        <v>29</v>
      </c>
      <c r="AL543" t="s">
        <v>8499</v>
      </c>
    </row>
    <row r="544" spans="1:38">
      <c r="A544" t="s">
        <v>3993</v>
      </c>
      <c r="B544" t="s">
        <v>4043</v>
      </c>
      <c r="C544" t="s">
        <v>145</v>
      </c>
      <c r="D544" t="s">
        <v>146</v>
      </c>
      <c r="E544" s="2">
        <v>20000</v>
      </c>
      <c r="F544" s="2">
        <v>20000</v>
      </c>
      <c r="G544" s="3">
        <v>43289</v>
      </c>
      <c r="H544" s="4">
        <v>0.29899305555555999</v>
      </c>
      <c r="I544" s="3">
        <v>43290</v>
      </c>
      <c r="J544" s="4">
        <v>0.21675925925926001</v>
      </c>
      <c r="K544" s="2">
        <v>0</v>
      </c>
      <c r="L544" t="s">
        <v>0</v>
      </c>
      <c r="M544" t="s">
        <v>4001</v>
      </c>
      <c r="N544" s="3"/>
      <c r="O544" s="3">
        <v>43292</v>
      </c>
      <c r="P544" t="s">
        <v>7</v>
      </c>
      <c r="Q544" t="s">
        <v>4034</v>
      </c>
      <c r="R544" t="s">
        <v>820</v>
      </c>
      <c r="S544" s="3">
        <v>43297</v>
      </c>
      <c r="T544" t="s">
        <v>1</v>
      </c>
      <c r="U544" t="s">
        <v>2611</v>
      </c>
      <c r="V544">
        <v>701</v>
      </c>
      <c r="W544" t="s">
        <v>2434</v>
      </c>
      <c r="X544" s="2">
        <v>0</v>
      </c>
      <c r="Y544" t="s">
        <v>2</v>
      </c>
      <c r="Z544" t="s">
        <v>3</v>
      </c>
      <c r="AA544" s="5">
        <v>0</v>
      </c>
      <c r="AB544" t="s">
        <v>29</v>
      </c>
      <c r="AL544" t="s">
        <v>8500</v>
      </c>
    </row>
    <row r="545" spans="1:38">
      <c r="A545" t="s">
        <v>3993</v>
      </c>
      <c r="B545" t="s">
        <v>4045</v>
      </c>
      <c r="C545" t="s">
        <v>145</v>
      </c>
      <c r="D545" t="s">
        <v>146</v>
      </c>
      <c r="E545" s="2">
        <v>20000</v>
      </c>
      <c r="F545" s="2">
        <v>20000</v>
      </c>
      <c r="G545" s="3">
        <v>43290</v>
      </c>
      <c r="H545" s="4">
        <v>0.23759259259259</v>
      </c>
      <c r="I545" s="3">
        <v>43291</v>
      </c>
      <c r="J545" s="4">
        <v>0.15535879629630001</v>
      </c>
      <c r="K545" s="2">
        <v>0</v>
      </c>
      <c r="L545" t="s">
        <v>0</v>
      </c>
      <c r="M545" t="s">
        <v>4001</v>
      </c>
      <c r="N545" s="3"/>
      <c r="O545" s="3">
        <v>43293</v>
      </c>
      <c r="P545" t="s">
        <v>7</v>
      </c>
      <c r="Q545" t="s">
        <v>4044</v>
      </c>
      <c r="R545" t="s">
        <v>820</v>
      </c>
      <c r="S545" s="3">
        <v>43298</v>
      </c>
      <c r="T545" t="s">
        <v>1</v>
      </c>
      <c r="U545" t="s">
        <v>2611</v>
      </c>
      <c r="V545">
        <v>701</v>
      </c>
      <c r="W545" t="s">
        <v>2434</v>
      </c>
      <c r="X545" s="2">
        <v>0</v>
      </c>
      <c r="Y545" t="s">
        <v>2</v>
      </c>
      <c r="Z545" t="s">
        <v>3</v>
      </c>
      <c r="AA545" s="5">
        <v>0</v>
      </c>
      <c r="AB545" t="s">
        <v>29</v>
      </c>
      <c r="AL545" t="s">
        <v>8501</v>
      </c>
    </row>
    <row r="546" spans="1:38">
      <c r="A546" t="s">
        <v>3993</v>
      </c>
      <c r="B546" t="s">
        <v>4047</v>
      </c>
      <c r="C546" t="s">
        <v>145</v>
      </c>
      <c r="D546" t="s">
        <v>146</v>
      </c>
      <c r="E546" s="2">
        <v>20000</v>
      </c>
      <c r="F546" s="2">
        <v>20000</v>
      </c>
      <c r="G546" s="3">
        <v>43291</v>
      </c>
      <c r="H546" s="4">
        <v>0.17619212962962999</v>
      </c>
      <c r="I546" s="3">
        <v>43292</v>
      </c>
      <c r="J546" s="4">
        <v>9.3958333333329994E-2</v>
      </c>
      <c r="K546" s="2">
        <v>0</v>
      </c>
      <c r="L546" t="s">
        <v>0</v>
      </c>
      <c r="M546" t="s">
        <v>4001</v>
      </c>
      <c r="N546" s="3"/>
      <c r="O546" s="3">
        <v>43294</v>
      </c>
      <c r="P546" t="s">
        <v>7</v>
      </c>
      <c r="Q546" t="s">
        <v>4046</v>
      </c>
      <c r="R546" t="s">
        <v>820</v>
      </c>
      <c r="S546" s="3">
        <v>43298</v>
      </c>
      <c r="T546" t="s">
        <v>1</v>
      </c>
      <c r="U546" t="s">
        <v>2611</v>
      </c>
      <c r="V546">
        <v>701</v>
      </c>
      <c r="W546" t="s">
        <v>2434</v>
      </c>
      <c r="X546" s="2">
        <v>0</v>
      </c>
      <c r="Y546" t="s">
        <v>2</v>
      </c>
      <c r="Z546" t="s">
        <v>3</v>
      </c>
      <c r="AA546" s="5">
        <v>0</v>
      </c>
      <c r="AB546" t="s">
        <v>29</v>
      </c>
      <c r="AL546" t="s">
        <v>8502</v>
      </c>
    </row>
    <row r="547" spans="1:38">
      <c r="A547" t="s">
        <v>3993</v>
      </c>
      <c r="B547" t="s">
        <v>4008</v>
      </c>
      <c r="C547" t="s">
        <v>4009</v>
      </c>
      <c r="D547" t="s">
        <v>4010</v>
      </c>
      <c r="E547" s="2">
        <v>15000</v>
      </c>
      <c r="F547" s="2">
        <v>15000</v>
      </c>
      <c r="G547" s="3">
        <v>43292</v>
      </c>
      <c r="H547" s="4">
        <v>0.260625</v>
      </c>
      <c r="I547" s="3">
        <v>43292</v>
      </c>
      <c r="J547" s="4">
        <v>0.94894675925925998</v>
      </c>
      <c r="K547" s="2">
        <v>20</v>
      </c>
      <c r="L547" t="s">
        <v>0</v>
      </c>
      <c r="M547" t="s">
        <v>4011</v>
      </c>
      <c r="N547" s="3">
        <v>43314</v>
      </c>
      <c r="O547" s="3">
        <v>43312</v>
      </c>
      <c r="P547" t="s">
        <v>4012</v>
      </c>
      <c r="Q547" t="s">
        <v>4013</v>
      </c>
      <c r="R547" t="s">
        <v>820</v>
      </c>
      <c r="S547" s="3">
        <v>43321</v>
      </c>
      <c r="T547" t="s">
        <v>7846</v>
      </c>
      <c r="U547">
        <v>5450</v>
      </c>
      <c r="V547">
        <v>13200</v>
      </c>
      <c r="W547" t="s">
        <v>2434</v>
      </c>
      <c r="X547" s="2">
        <v>908</v>
      </c>
      <c r="Y547" t="s">
        <v>2</v>
      </c>
      <c r="Z547" t="s">
        <v>3</v>
      </c>
      <c r="AA547" s="5">
        <v>0</v>
      </c>
      <c r="AB547" t="s">
        <v>17</v>
      </c>
      <c r="AL547" t="s">
        <v>8503</v>
      </c>
    </row>
    <row r="548" spans="1:38">
      <c r="A548" t="s">
        <v>3993</v>
      </c>
      <c r="B548" t="s">
        <v>4014</v>
      </c>
      <c r="C548" t="s">
        <v>4009</v>
      </c>
      <c r="D548" t="s">
        <v>4010</v>
      </c>
      <c r="E548" s="2">
        <v>10000</v>
      </c>
      <c r="F548" s="2">
        <v>10000</v>
      </c>
      <c r="G548" s="3">
        <v>43293</v>
      </c>
      <c r="H548" s="4">
        <v>0.11561342592593001</v>
      </c>
      <c r="I548" s="3">
        <v>43293</v>
      </c>
      <c r="J548" s="4">
        <v>0.57450231481480996</v>
      </c>
      <c r="K548" s="2">
        <v>20</v>
      </c>
      <c r="L548" t="s">
        <v>0</v>
      </c>
      <c r="M548" t="s">
        <v>4015</v>
      </c>
      <c r="N548" s="3">
        <v>43305</v>
      </c>
      <c r="O548" s="3">
        <v>43313</v>
      </c>
      <c r="P548" t="s">
        <v>4012</v>
      </c>
      <c r="Q548" t="s">
        <v>4016</v>
      </c>
      <c r="R548" t="s">
        <v>820</v>
      </c>
      <c r="S548" s="3">
        <v>43312</v>
      </c>
      <c r="T548" t="s">
        <v>7847</v>
      </c>
      <c r="U548">
        <v>5450</v>
      </c>
      <c r="V548">
        <v>13200</v>
      </c>
      <c r="W548" t="s">
        <v>2434</v>
      </c>
      <c r="X548" s="2">
        <v>908</v>
      </c>
      <c r="Y548" t="s">
        <v>2</v>
      </c>
      <c r="Z548" t="s">
        <v>3</v>
      </c>
      <c r="AA548" s="5">
        <v>0</v>
      </c>
      <c r="AB548" t="s">
        <v>17</v>
      </c>
      <c r="AL548" t="s">
        <v>8504</v>
      </c>
    </row>
    <row r="549" spans="1:38">
      <c r="A549" t="s">
        <v>3993</v>
      </c>
      <c r="B549" t="s">
        <v>5161</v>
      </c>
      <c r="C549" t="s">
        <v>3994</v>
      </c>
      <c r="D549" t="s">
        <v>3995</v>
      </c>
      <c r="E549" s="2">
        <v>10000</v>
      </c>
      <c r="F549" s="2">
        <v>10000</v>
      </c>
      <c r="G549" s="3">
        <v>43293</v>
      </c>
      <c r="H549" s="4">
        <v>0.59533564814814999</v>
      </c>
      <c r="I549" s="3">
        <v>43294</v>
      </c>
      <c r="J549" s="4">
        <v>5.4224537037039999E-2</v>
      </c>
      <c r="K549" s="2">
        <v>20</v>
      </c>
      <c r="L549" t="s">
        <v>0</v>
      </c>
      <c r="M549" t="s">
        <v>4015</v>
      </c>
      <c r="N549" s="3">
        <v>43305</v>
      </c>
      <c r="O549" s="3">
        <v>43314</v>
      </c>
      <c r="P549" t="s">
        <v>13</v>
      </c>
      <c r="Q549" t="s">
        <v>5162</v>
      </c>
      <c r="R549" t="s">
        <v>820</v>
      </c>
      <c r="S549" s="3">
        <v>43312</v>
      </c>
      <c r="T549" t="s">
        <v>7848</v>
      </c>
      <c r="U549">
        <v>7530</v>
      </c>
      <c r="V549">
        <v>14600</v>
      </c>
      <c r="W549" t="s">
        <v>2434</v>
      </c>
      <c r="X549" s="2">
        <v>908</v>
      </c>
      <c r="Y549" t="s">
        <v>2</v>
      </c>
      <c r="Z549" t="s">
        <v>3</v>
      </c>
      <c r="AA549" s="5">
        <v>0</v>
      </c>
      <c r="AB549" t="s">
        <v>17</v>
      </c>
      <c r="AL549" t="s">
        <v>8505</v>
      </c>
    </row>
    <row r="550" spans="1:38">
      <c r="A550" t="s">
        <v>3993</v>
      </c>
      <c r="B550" t="s">
        <v>7849</v>
      </c>
      <c r="C550" t="s">
        <v>172</v>
      </c>
      <c r="D550" t="s">
        <v>173</v>
      </c>
      <c r="E550" s="2">
        <v>3000</v>
      </c>
      <c r="F550" s="2">
        <v>3000</v>
      </c>
      <c r="G550" s="3">
        <v>43294</v>
      </c>
      <c r="H550" s="4">
        <v>7.5057870370369997E-2</v>
      </c>
      <c r="I550" s="3">
        <v>43294</v>
      </c>
      <c r="J550" s="4">
        <v>0.21271990740741001</v>
      </c>
      <c r="K550" s="2">
        <v>0</v>
      </c>
      <c r="L550" t="s">
        <v>0</v>
      </c>
      <c r="M550" t="s">
        <v>7114</v>
      </c>
      <c r="N550" s="3">
        <v>43298</v>
      </c>
      <c r="O550" s="3">
        <v>43296</v>
      </c>
      <c r="P550" t="s">
        <v>13</v>
      </c>
      <c r="Q550" t="s">
        <v>7850</v>
      </c>
      <c r="R550" t="s">
        <v>820</v>
      </c>
      <c r="S550" s="3">
        <v>43298</v>
      </c>
      <c r="T550" t="s">
        <v>7851</v>
      </c>
      <c r="U550">
        <v>945</v>
      </c>
      <c r="V550" t="s">
        <v>3512</v>
      </c>
      <c r="W550" t="s">
        <v>2434</v>
      </c>
      <c r="X550" s="2">
        <v>908</v>
      </c>
      <c r="Y550" t="s">
        <v>2</v>
      </c>
      <c r="Z550" t="s">
        <v>3</v>
      </c>
      <c r="AA550" s="5">
        <v>0</v>
      </c>
      <c r="AB550" t="s">
        <v>17</v>
      </c>
      <c r="AI550" t="s">
        <v>6643</v>
      </c>
      <c r="AL550" t="s">
        <v>8506</v>
      </c>
    </row>
    <row r="551" spans="1:38">
      <c r="A551" t="s">
        <v>3993</v>
      </c>
      <c r="B551" t="s">
        <v>4007</v>
      </c>
      <c r="C551" t="s">
        <v>3996</v>
      </c>
      <c r="D551" t="s">
        <v>3997</v>
      </c>
      <c r="E551" s="2">
        <v>20000</v>
      </c>
      <c r="F551" s="2">
        <v>20000</v>
      </c>
      <c r="G551" s="3">
        <v>43294</v>
      </c>
      <c r="H551" s="4">
        <v>0.23355324074073999</v>
      </c>
      <c r="I551" s="3">
        <v>43295</v>
      </c>
      <c r="J551" s="4">
        <v>0.15131944444444001</v>
      </c>
      <c r="K551" s="2">
        <v>0</v>
      </c>
      <c r="L551" t="s">
        <v>0</v>
      </c>
      <c r="M551" t="s">
        <v>4001</v>
      </c>
      <c r="N551" s="3">
        <v>43315</v>
      </c>
      <c r="O551" s="3">
        <v>43315</v>
      </c>
      <c r="P551" t="s">
        <v>3999</v>
      </c>
      <c r="Q551" t="s">
        <v>1</v>
      </c>
      <c r="R551" t="s">
        <v>821</v>
      </c>
      <c r="S551" s="3">
        <v>43344</v>
      </c>
      <c r="T551" t="s">
        <v>1</v>
      </c>
      <c r="U551">
        <v>9140</v>
      </c>
      <c r="V551">
        <v>10055</v>
      </c>
      <c r="W551" t="s">
        <v>2434</v>
      </c>
      <c r="X551" s="2">
        <v>0</v>
      </c>
      <c r="Y551" t="s">
        <v>2</v>
      </c>
      <c r="Z551" t="s">
        <v>3</v>
      </c>
      <c r="AA551" s="5">
        <v>0</v>
      </c>
      <c r="AB551" t="s">
        <v>29</v>
      </c>
      <c r="AL551" t="s">
        <v>8507</v>
      </c>
    </row>
    <row r="552" spans="1:38">
      <c r="A552" t="s">
        <v>3993</v>
      </c>
      <c r="B552" t="s">
        <v>4051</v>
      </c>
      <c r="C552" t="s">
        <v>145</v>
      </c>
      <c r="D552" t="s">
        <v>146</v>
      </c>
      <c r="E552" s="2">
        <v>20000</v>
      </c>
      <c r="F552" s="2">
        <v>20000</v>
      </c>
      <c r="G552" s="3">
        <v>43295</v>
      </c>
      <c r="H552" s="4">
        <v>0.31798611111111003</v>
      </c>
      <c r="I552" s="3">
        <v>43296</v>
      </c>
      <c r="J552" s="4">
        <v>0.23575231481480999</v>
      </c>
      <c r="K552" s="2">
        <v>0</v>
      </c>
      <c r="L552" t="s">
        <v>0</v>
      </c>
      <c r="M552" t="s">
        <v>4001</v>
      </c>
      <c r="N552" s="3"/>
      <c r="O552" s="3">
        <v>43298</v>
      </c>
      <c r="P552" t="s">
        <v>7</v>
      </c>
      <c r="Q552" t="s">
        <v>4048</v>
      </c>
      <c r="R552" t="s">
        <v>820</v>
      </c>
      <c r="S552" s="3">
        <v>43298</v>
      </c>
      <c r="T552" t="s">
        <v>1</v>
      </c>
      <c r="U552" t="s">
        <v>2611</v>
      </c>
      <c r="V552">
        <v>701</v>
      </c>
      <c r="W552" t="s">
        <v>2434</v>
      </c>
      <c r="X552" s="2">
        <v>0</v>
      </c>
      <c r="Y552" t="s">
        <v>2</v>
      </c>
      <c r="Z552" t="s">
        <v>3</v>
      </c>
      <c r="AA552" s="5">
        <v>0</v>
      </c>
      <c r="AB552" t="s">
        <v>29</v>
      </c>
      <c r="AL552" t="s">
        <v>8508</v>
      </c>
    </row>
    <row r="553" spans="1:38">
      <c r="A553" t="s">
        <v>3993</v>
      </c>
      <c r="B553" t="s">
        <v>4053</v>
      </c>
      <c r="C553" t="s">
        <v>145</v>
      </c>
      <c r="D553" t="s">
        <v>146</v>
      </c>
      <c r="E553" s="2">
        <v>20000</v>
      </c>
      <c r="F553" s="2">
        <v>20000</v>
      </c>
      <c r="G553" s="3">
        <v>43296</v>
      </c>
      <c r="H553" s="4">
        <v>0.25658564814814999</v>
      </c>
      <c r="I553" s="3">
        <v>43297</v>
      </c>
      <c r="J553" s="4">
        <v>0.17435185185185001</v>
      </c>
      <c r="K553" s="2">
        <v>0</v>
      </c>
      <c r="L553" t="s">
        <v>0</v>
      </c>
      <c r="M553" t="s">
        <v>4001</v>
      </c>
      <c r="N553" s="3"/>
      <c r="O553" s="3">
        <v>43299</v>
      </c>
      <c r="P553" t="s">
        <v>7</v>
      </c>
      <c r="Q553" t="s">
        <v>4049</v>
      </c>
      <c r="R553" t="s">
        <v>820</v>
      </c>
      <c r="S553" s="3">
        <v>43301</v>
      </c>
      <c r="T553" t="s">
        <v>1</v>
      </c>
      <c r="U553" t="s">
        <v>2611</v>
      </c>
      <c r="V553">
        <v>701</v>
      </c>
      <c r="W553" t="s">
        <v>2434</v>
      </c>
      <c r="X553" s="2">
        <v>0</v>
      </c>
      <c r="Y553" t="s">
        <v>2</v>
      </c>
      <c r="Z553" t="s">
        <v>3</v>
      </c>
      <c r="AA553" s="5">
        <v>0</v>
      </c>
      <c r="AB553" t="s">
        <v>29</v>
      </c>
      <c r="AL553" t="s">
        <v>8509</v>
      </c>
    </row>
    <row r="554" spans="1:38">
      <c r="A554" t="s">
        <v>3993</v>
      </c>
      <c r="B554" t="s">
        <v>4054</v>
      </c>
      <c r="C554" t="s">
        <v>145</v>
      </c>
      <c r="D554" t="s">
        <v>146</v>
      </c>
      <c r="E554" s="2">
        <v>20000</v>
      </c>
      <c r="F554" s="2">
        <v>20000</v>
      </c>
      <c r="G554" s="3">
        <v>43297</v>
      </c>
      <c r="H554" s="4">
        <v>0.19518518518519001</v>
      </c>
      <c r="I554" s="3">
        <v>43298</v>
      </c>
      <c r="J554" s="4">
        <v>0.11295138888889</v>
      </c>
      <c r="K554" s="2">
        <v>0</v>
      </c>
      <c r="L554" t="s">
        <v>0</v>
      </c>
      <c r="M554" t="s">
        <v>4001</v>
      </c>
      <c r="N554" s="3"/>
      <c r="O554" s="3">
        <v>43300</v>
      </c>
      <c r="P554" t="s">
        <v>7</v>
      </c>
      <c r="Q554" t="s">
        <v>4052</v>
      </c>
      <c r="R554" t="s">
        <v>820</v>
      </c>
      <c r="S554" s="3">
        <v>43305</v>
      </c>
      <c r="T554" t="s">
        <v>1</v>
      </c>
      <c r="U554" t="s">
        <v>2611</v>
      </c>
      <c r="V554">
        <v>701</v>
      </c>
      <c r="W554" t="s">
        <v>2434</v>
      </c>
      <c r="X554" s="2">
        <v>0</v>
      </c>
      <c r="Y554" t="s">
        <v>2</v>
      </c>
      <c r="Z554" t="s">
        <v>3</v>
      </c>
      <c r="AA554" s="5">
        <v>0</v>
      </c>
      <c r="AB554" t="s">
        <v>29</v>
      </c>
      <c r="AL554" t="s">
        <v>8510</v>
      </c>
    </row>
    <row r="555" spans="1:38">
      <c r="A555" t="s">
        <v>4058</v>
      </c>
      <c r="B555" t="s">
        <v>4099</v>
      </c>
      <c r="C555" t="s">
        <v>4100</v>
      </c>
      <c r="D555" t="s">
        <v>4101</v>
      </c>
      <c r="E555" s="2">
        <v>10194</v>
      </c>
      <c r="F555" s="2">
        <v>10194</v>
      </c>
      <c r="G555" s="3">
        <v>43271</v>
      </c>
      <c r="H555" s="4">
        <v>0.47243055555556002</v>
      </c>
      <c r="I555" s="3">
        <v>43271</v>
      </c>
      <c r="J555" s="4">
        <v>0.99942129629630005</v>
      </c>
      <c r="K555" s="2">
        <v>0</v>
      </c>
      <c r="L555" t="s">
        <v>0</v>
      </c>
      <c r="M555" t="s">
        <v>7852</v>
      </c>
      <c r="N555" s="3">
        <v>43283</v>
      </c>
      <c r="O555" s="3">
        <v>43273</v>
      </c>
      <c r="P555" t="s">
        <v>3413</v>
      </c>
      <c r="Q555" t="s">
        <v>4102</v>
      </c>
      <c r="R555" t="s">
        <v>820</v>
      </c>
      <c r="S555" s="3">
        <v>43283</v>
      </c>
      <c r="T555" t="s">
        <v>7853</v>
      </c>
      <c r="U555" t="s">
        <v>3425</v>
      </c>
      <c r="V555" t="s">
        <v>4103</v>
      </c>
      <c r="W555" t="s">
        <v>2434</v>
      </c>
      <c r="X555" s="2">
        <v>806</v>
      </c>
      <c r="Y555" t="s">
        <v>2</v>
      </c>
      <c r="Z555" t="s">
        <v>3</v>
      </c>
      <c r="AA555" s="5">
        <v>0</v>
      </c>
      <c r="AB555" t="s">
        <v>4</v>
      </c>
      <c r="AI555" t="s">
        <v>6643</v>
      </c>
      <c r="AL555" t="s">
        <v>8511</v>
      </c>
    </row>
    <row r="556" spans="1:38">
      <c r="A556" t="s">
        <v>4058</v>
      </c>
      <c r="B556" t="s">
        <v>4078</v>
      </c>
      <c r="C556" t="s">
        <v>3400</v>
      </c>
      <c r="D556" t="s">
        <v>3401</v>
      </c>
      <c r="E556" s="5">
        <v>4101.03</v>
      </c>
      <c r="F556" s="5">
        <v>4101.03</v>
      </c>
      <c r="G556" s="3">
        <v>43272</v>
      </c>
      <c r="H556" s="4">
        <v>2.0254629629630001E-2</v>
      </c>
      <c r="I556" s="3">
        <v>43272</v>
      </c>
      <c r="J556" s="4">
        <v>0.23225694444444001</v>
      </c>
      <c r="K556" s="2">
        <v>0</v>
      </c>
      <c r="L556" t="s">
        <v>0</v>
      </c>
      <c r="M556" t="s">
        <v>7116</v>
      </c>
      <c r="N556" s="3">
        <v>43273</v>
      </c>
      <c r="O556" s="3">
        <v>43274</v>
      </c>
      <c r="P556" t="s">
        <v>13</v>
      </c>
      <c r="Q556" t="s">
        <v>4079</v>
      </c>
      <c r="R556" t="s">
        <v>820</v>
      </c>
      <c r="S556" s="3">
        <v>43273</v>
      </c>
      <c r="T556" t="s">
        <v>7854</v>
      </c>
      <c r="U556">
        <v>3706</v>
      </c>
      <c r="V556" t="s">
        <v>3402</v>
      </c>
      <c r="W556" t="s">
        <v>2434</v>
      </c>
      <c r="X556" s="2">
        <v>806</v>
      </c>
      <c r="Y556" t="s">
        <v>2</v>
      </c>
      <c r="Z556" t="s">
        <v>3</v>
      </c>
      <c r="AA556" s="5">
        <v>0</v>
      </c>
      <c r="AB556" t="s">
        <v>4</v>
      </c>
      <c r="AI556" t="s">
        <v>6643</v>
      </c>
      <c r="AL556" t="s">
        <v>8512</v>
      </c>
    </row>
    <row r="557" spans="1:38">
      <c r="A557" t="s">
        <v>4058</v>
      </c>
      <c r="B557" t="s">
        <v>4086</v>
      </c>
      <c r="C557" t="s">
        <v>4087</v>
      </c>
      <c r="D557" t="s">
        <v>4088</v>
      </c>
      <c r="E557" s="2">
        <v>10247</v>
      </c>
      <c r="F557" s="2">
        <v>10247</v>
      </c>
      <c r="G557" s="3">
        <v>43272</v>
      </c>
      <c r="H557" s="4">
        <v>0.25309027777777998</v>
      </c>
      <c r="I557" s="3">
        <v>43272</v>
      </c>
      <c r="J557" s="4">
        <v>0.78281250000000002</v>
      </c>
      <c r="K557" s="2">
        <v>20</v>
      </c>
      <c r="L557" t="s">
        <v>0</v>
      </c>
      <c r="M557" t="s">
        <v>4066</v>
      </c>
      <c r="N557" s="3">
        <v>43286</v>
      </c>
      <c r="O557" s="3">
        <v>43274</v>
      </c>
      <c r="P557" t="s">
        <v>13</v>
      </c>
      <c r="Q557" t="s">
        <v>4089</v>
      </c>
      <c r="R557" t="s">
        <v>820</v>
      </c>
      <c r="S557" s="3">
        <v>43286</v>
      </c>
      <c r="T557" t="s">
        <v>7855</v>
      </c>
      <c r="U557">
        <v>553</v>
      </c>
      <c r="V557" t="s">
        <v>4090</v>
      </c>
      <c r="W557" t="s">
        <v>2434</v>
      </c>
      <c r="X557" s="2">
        <v>806</v>
      </c>
      <c r="Y557" t="s">
        <v>2</v>
      </c>
      <c r="Z557" t="s">
        <v>3</v>
      </c>
      <c r="AA557" s="5">
        <v>0</v>
      </c>
      <c r="AB557" t="s">
        <v>4</v>
      </c>
      <c r="AI557" t="s">
        <v>6643</v>
      </c>
      <c r="AL557" t="s">
        <v>8513</v>
      </c>
    </row>
    <row r="558" spans="1:38">
      <c r="A558" t="s">
        <v>4058</v>
      </c>
      <c r="B558" t="s">
        <v>4091</v>
      </c>
      <c r="C558" t="s">
        <v>4092</v>
      </c>
      <c r="D558" t="s">
        <v>4093</v>
      </c>
      <c r="E558" s="5">
        <v>6148.2</v>
      </c>
      <c r="F558" s="5">
        <v>6148.2</v>
      </c>
      <c r="G558" s="3">
        <v>43272</v>
      </c>
      <c r="H558" s="4">
        <v>0.84694444444443995</v>
      </c>
      <c r="I558" s="3">
        <v>43273</v>
      </c>
      <c r="J558" s="4">
        <v>0.16478009259258999</v>
      </c>
      <c r="K558" s="2">
        <v>0</v>
      </c>
      <c r="L558" t="s">
        <v>0</v>
      </c>
      <c r="M558" t="s">
        <v>7856</v>
      </c>
      <c r="N558" s="3">
        <v>43284</v>
      </c>
      <c r="O558" s="3">
        <v>43275</v>
      </c>
      <c r="P558" t="s">
        <v>31</v>
      </c>
      <c r="Q558" t="s">
        <v>4095</v>
      </c>
      <c r="R558" t="s">
        <v>820</v>
      </c>
      <c r="S558" s="3">
        <v>43284</v>
      </c>
      <c r="T558" t="s">
        <v>7857</v>
      </c>
      <c r="U558">
        <v>553</v>
      </c>
      <c r="V558" t="s">
        <v>4096</v>
      </c>
      <c r="W558" t="s">
        <v>2434</v>
      </c>
      <c r="X558" s="2">
        <v>806</v>
      </c>
      <c r="Y558" t="s">
        <v>2</v>
      </c>
      <c r="Z558" t="s">
        <v>3</v>
      </c>
      <c r="AA558" s="5">
        <v>0</v>
      </c>
      <c r="AB558" t="s">
        <v>4</v>
      </c>
      <c r="AI558" t="s">
        <v>6643</v>
      </c>
      <c r="AL558" t="s">
        <v>8514</v>
      </c>
    </row>
    <row r="559" spans="1:38">
      <c r="A559" t="s">
        <v>4058</v>
      </c>
      <c r="B559" t="s">
        <v>4080</v>
      </c>
      <c r="C559" t="s">
        <v>4081</v>
      </c>
      <c r="D559" t="s">
        <v>4082</v>
      </c>
      <c r="E559" s="2">
        <v>10194</v>
      </c>
      <c r="F559" s="2">
        <v>10194</v>
      </c>
      <c r="G559" s="3">
        <v>43273</v>
      </c>
      <c r="H559" s="4">
        <v>0.30550925925925998</v>
      </c>
      <c r="I559" s="3">
        <v>43273</v>
      </c>
      <c r="J559" s="4">
        <v>0.83250000000000002</v>
      </c>
      <c r="K559" s="2">
        <v>0</v>
      </c>
      <c r="L559" t="s">
        <v>0</v>
      </c>
      <c r="M559" t="s">
        <v>7852</v>
      </c>
      <c r="N559" s="3">
        <v>43273</v>
      </c>
      <c r="O559" s="3">
        <v>43275</v>
      </c>
      <c r="P559" t="s">
        <v>4083</v>
      </c>
      <c r="Q559" t="s">
        <v>4084</v>
      </c>
      <c r="R559" t="s">
        <v>820</v>
      </c>
      <c r="S559" s="3">
        <v>43273</v>
      </c>
      <c r="T559" t="s">
        <v>7858</v>
      </c>
      <c r="U559" t="s">
        <v>3425</v>
      </c>
      <c r="V559" t="s">
        <v>4085</v>
      </c>
      <c r="W559" t="s">
        <v>2434</v>
      </c>
      <c r="X559" s="2">
        <v>806</v>
      </c>
      <c r="Y559" t="s">
        <v>2</v>
      </c>
      <c r="Z559" t="s">
        <v>3</v>
      </c>
      <c r="AA559" s="5">
        <v>0</v>
      </c>
      <c r="AB559" t="s">
        <v>4</v>
      </c>
      <c r="AI559" t="s">
        <v>6643</v>
      </c>
      <c r="AL559" t="s">
        <v>8515</v>
      </c>
    </row>
    <row r="560" spans="1:38">
      <c r="A560" t="s">
        <v>4058</v>
      </c>
      <c r="B560" t="s">
        <v>7859</v>
      </c>
      <c r="C560" t="s">
        <v>4075</v>
      </c>
      <c r="D560" t="s">
        <v>4076</v>
      </c>
      <c r="E560" s="2">
        <v>5000</v>
      </c>
      <c r="F560" s="2">
        <v>5000</v>
      </c>
      <c r="G560" s="3">
        <v>43273</v>
      </c>
      <c r="H560" s="4">
        <v>0.92815972222221998</v>
      </c>
      <c r="I560" s="3">
        <v>43274</v>
      </c>
      <c r="J560" s="4">
        <v>0.18664351851852001</v>
      </c>
      <c r="K560" s="2">
        <v>0</v>
      </c>
      <c r="L560" t="s">
        <v>0</v>
      </c>
      <c r="M560" t="s">
        <v>4062</v>
      </c>
      <c r="N560" s="3"/>
      <c r="O560" s="3">
        <v>43276</v>
      </c>
      <c r="P560" t="s">
        <v>3720</v>
      </c>
      <c r="Q560" t="s">
        <v>4077</v>
      </c>
      <c r="R560" t="s">
        <v>820</v>
      </c>
      <c r="S560" s="3">
        <v>43273</v>
      </c>
      <c r="T560" t="s">
        <v>7860</v>
      </c>
      <c r="U560" t="s">
        <v>3319</v>
      </c>
      <c r="V560" t="s">
        <v>2437</v>
      </c>
      <c r="W560" t="s">
        <v>2434</v>
      </c>
      <c r="X560" s="2">
        <v>806</v>
      </c>
      <c r="Y560" t="s">
        <v>2</v>
      </c>
      <c r="Z560" t="s">
        <v>3</v>
      </c>
      <c r="AA560" s="5">
        <v>0</v>
      </c>
      <c r="AB560" t="s">
        <v>17</v>
      </c>
      <c r="AI560" t="s">
        <v>6643</v>
      </c>
      <c r="AL560" t="s">
        <v>8516</v>
      </c>
    </row>
    <row r="561" spans="1:38">
      <c r="A561" t="s">
        <v>4058</v>
      </c>
      <c r="B561" t="s">
        <v>5163</v>
      </c>
      <c r="C561" t="s">
        <v>2609</v>
      </c>
      <c r="D561" t="s">
        <v>2610</v>
      </c>
      <c r="E561" s="2">
        <v>20000</v>
      </c>
      <c r="F561" s="2">
        <v>20000</v>
      </c>
      <c r="G561" s="3">
        <v>43274</v>
      </c>
      <c r="H561" s="4">
        <v>0.26997685185185</v>
      </c>
      <c r="I561" s="3">
        <v>43275</v>
      </c>
      <c r="J561" s="4">
        <v>0.30388888888888999</v>
      </c>
      <c r="K561" s="2">
        <v>0</v>
      </c>
      <c r="L561" t="s">
        <v>0</v>
      </c>
      <c r="M561" t="s">
        <v>4065</v>
      </c>
      <c r="N561" s="3"/>
      <c r="O561" s="3">
        <v>43277</v>
      </c>
      <c r="P561" t="s">
        <v>6</v>
      </c>
      <c r="Q561" t="s">
        <v>3928</v>
      </c>
      <c r="R561" t="s">
        <v>820</v>
      </c>
      <c r="S561" s="3">
        <v>43291</v>
      </c>
      <c r="T561" t="s">
        <v>7861</v>
      </c>
      <c r="U561" t="s">
        <v>2611</v>
      </c>
      <c r="V561" t="s">
        <v>2612</v>
      </c>
      <c r="W561" t="s">
        <v>2434</v>
      </c>
      <c r="X561" s="2">
        <v>806</v>
      </c>
      <c r="Y561" t="s">
        <v>2</v>
      </c>
      <c r="Z561" t="s">
        <v>3</v>
      </c>
      <c r="AA561" s="5">
        <v>0</v>
      </c>
      <c r="AB561" t="s">
        <v>4</v>
      </c>
      <c r="AL561" t="s">
        <v>8517</v>
      </c>
    </row>
    <row r="562" spans="1:38">
      <c r="A562" t="s">
        <v>4058</v>
      </c>
      <c r="B562" t="s">
        <v>4097</v>
      </c>
      <c r="C562" t="s">
        <v>3340</v>
      </c>
      <c r="D562" t="s">
        <v>3341</v>
      </c>
      <c r="E562" s="2">
        <v>20250</v>
      </c>
      <c r="F562" s="2">
        <v>20250</v>
      </c>
      <c r="G562" s="3">
        <v>43275</v>
      </c>
      <c r="H562" s="4">
        <v>0.38722222222222002</v>
      </c>
      <c r="I562" s="3">
        <v>43276</v>
      </c>
      <c r="J562" s="4">
        <v>0.43406250000000002</v>
      </c>
      <c r="K562" s="2">
        <v>0</v>
      </c>
      <c r="L562" t="s">
        <v>0</v>
      </c>
      <c r="M562" t="s">
        <v>7862</v>
      </c>
      <c r="N562" s="3">
        <v>43283</v>
      </c>
      <c r="O562" s="3">
        <v>43278</v>
      </c>
      <c r="P562" t="s">
        <v>3724</v>
      </c>
      <c r="Q562" t="s">
        <v>4098</v>
      </c>
      <c r="R562" t="s">
        <v>820</v>
      </c>
      <c r="S562" s="3">
        <v>43283</v>
      </c>
      <c r="T562" t="s">
        <v>7863</v>
      </c>
      <c r="U562" t="s">
        <v>3326</v>
      </c>
      <c r="V562">
        <v>1001</v>
      </c>
      <c r="W562" t="s">
        <v>2434</v>
      </c>
      <c r="X562" s="2">
        <v>806</v>
      </c>
      <c r="Y562" t="s">
        <v>2</v>
      </c>
      <c r="Z562" t="s">
        <v>3</v>
      </c>
      <c r="AA562" s="5">
        <v>0</v>
      </c>
      <c r="AB562" t="s">
        <v>4</v>
      </c>
      <c r="AI562" t="s">
        <v>6643</v>
      </c>
      <c r="AL562" t="s">
        <v>8518</v>
      </c>
    </row>
    <row r="563" spans="1:38">
      <c r="A563" t="s">
        <v>4058</v>
      </c>
      <c r="B563" t="s">
        <v>4118</v>
      </c>
      <c r="C563" t="s">
        <v>3333</v>
      </c>
      <c r="D563" t="s">
        <v>3334</v>
      </c>
      <c r="E563" s="2">
        <v>10247</v>
      </c>
      <c r="F563" s="2">
        <v>10247</v>
      </c>
      <c r="G563" s="3">
        <v>43276</v>
      </c>
      <c r="H563" s="4">
        <v>0.45489583333333</v>
      </c>
      <c r="I563" s="3">
        <v>43276</v>
      </c>
      <c r="J563" s="4">
        <v>0.98461805555556003</v>
      </c>
      <c r="K563" s="2">
        <v>0</v>
      </c>
      <c r="L563" t="s">
        <v>0</v>
      </c>
      <c r="M563" t="s">
        <v>4066</v>
      </c>
      <c r="N563" s="3">
        <v>43286</v>
      </c>
      <c r="O563" s="3">
        <v>43278</v>
      </c>
      <c r="P563" t="s">
        <v>3146</v>
      </c>
      <c r="Q563" t="s">
        <v>4119</v>
      </c>
      <c r="R563" t="s">
        <v>820</v>
      </c>
      <c r="S563" s="3">
        <v>43286</v>
      </c>
      <c r="T563" t="s">
        <v>7864</v>
      </c>
      <c r="U563" t="s">
        <v>3335</v>
      </c>
      <c r="V563">
        <v>1001</v>
      </c>
      <c r="W563" t="s">
        <v>2434</v>
      </c>
      <c r="X563" s="2">
        <v>806</v>
      </c>
      <c r="Y563" t="s">
        <v>2</v>
      </c>
      <c r="Z563" t="s">
        <v>3</v>
      </c>
      <c r="AA563" s="5">
        <v>0</v>
      </c>
      <c r="AB563" t="s">
        <v>4</v>
      </c>
      <c r="AI563" t="s">
        <v>6643</v>
      </c>
      <c r="AL563" t="s">
        <v>8519</v>
      </c>
    </row>
    <row r="564" spans="1:38">
      <c r="A564" t="s">
        <v>4058</v>
      </c>
      <c r="B564" t="s">
        <v>4110</v>
      </c>
      <c r="C564" t="s">
        <v>3333</v>
      </c>
      <c r="D564" t="s">
        <v>3334</v>
      </c>
      <c r="E564" s="2">
        <v>20494</v>
      </c>
      <c r="F564" s="2">
        <v>20494</v>
      </c>
      <c r="G564" s="3">
        <v>43277</v>
      </c>
      <c r="H564" s="4">
        <v>5.4513888888900004E-3</v>
      </c>
      <c r="I564" s="3">
        <v>43278</v>
      </c>
      <c r="J564" s="4">
        <v>6.4895833333330002E-2</v>
      </c>
      <c r="K564" s="2">
        <v>0</v>
      </c>
      <c r="L564" t="s">
        <v>0</v>
      </c>
      <c r="M564" t="s">
        <v>7865</v>
      </c>
      <c r="N564" s="3">
        <v>43286</v>
      </c>
      <c r="O564" s="3">
        <v>43280</v>
      </c>
      <c r="P564" t="s">
        <v>3146</v>
      </c>
      <c r="Q564" t="s">
        <v>4111</v>
      </c>
      <c r="R564" t="s">
        <v>820</v>
      </c>
      <c r="S564" s="3">
        <v>43286</v>
      </c>
      <c r="T564" t="s">
        <v>7866</v>
      </c>
      <c r="U564" t="s">
        <v>3335</v>
      </c>
      <c r="V564">
        <v>1001</v>
      </c>
      <c r="W564" t="s">
        <v>2434</v>
      </c>
      <c r="X564" s="2">
        <v>806</v>
      </c>
      <c r="Y564" t="s">
        <v>2</v>
      </c>
      <c r="Z564" t="s">
        <v>3</v>
      </c>
      <c r="AA564" s="5">
        <v>0</v>
      </c>
      <c r="AB564" t="s">
        <v>4</v>
      </c>
      <c r="AI564" t="s">
        <v>6643</v>
      </c>
      <c r="AL564" t="s">
        <v>8520</v>
      </c>
    </row>
    <row r="565" spans="1:38">
      <c r="A565" t="s">
        <v>4058</v>
      </c>
      <c r="B565" t="s">
        <v>7867</v>
      </c>
      <c r="C565" t="s">
        <v>3752</v>
      </c>
      <c r="D565" t="s">
        <v>3753</v>
      </c>
      <c r="E565" s="2">
        <v>20000</v>
      </c>
      <c r="F565" s="2">
        <v>20000</v>
      </c>
      <c r="G565" s="3">
        <v>43278</v>
      </c>
      <c r="H565" s="4">
        <v>8.5729166666670006E-2</v>
      </c>
      <c r="I565" s="3">
        <v>43279</v>
      </c>
      <c r="J565" s="4">
        <v>0.1196412037037</v>
      </c>
      <c r="K565" s="2">
        <v>0</v>
      </c>
      <c r="L565" t="s">
        <v>0</v>
      </c>
      <c r="M565" t="s">
        <v>4065</v>
      </c>
      <c r="N565" s="3">
        <v>43282</v>
      </c>
      <c r="O565" s="3">
        <v>43281</v>
      </c>
      <c r="P565" t="s">
        <v>3146</v>
      </c>
      <c r="Q565" t="s">
        <v>1</v>
      </c>
      <c r="R565" t="s">
        <v>821</v>
      </c>
      <c r="S565" s="3">
        <v>43288</v>
      </c>
      <c r="T565" t="s">
        <v>7868</v>
      </c>
      <c r="U565">
        <v>357</v>
      </c>
      <c r="V565">
        <v>1001</v>
      </c>
      <c r="W565" t="s">
        <v>2434</v>
      </c>
      <c r="X565" s="2">
        <v>806</v>
      </c>
      <c r="Y565" t="s">
        <v>2</v>
      </c>
      <c r="Z565" t="s">
        <v>3</v>
      </c>
      <c r="AA565" s="5">
        <v>0</v>
      </c>
      <c r="AB565" t="s">
        <v>17</v>
      </c>
      <c r="AI565" t="s">
        <v>6643</v>
      </c>
      <c r="AL565" t="s">
        <v>8521</v>
      </c>
    </row>
    <row r="566" spans="1:38">
      <c r="A566" t="s">
        <v>4058</v>
      </c>
      <c r="B566" t="s">
        <v>7869</v>
      </c>
      <c r="C566" t="s">
        <v>4070</v>
      </c>
      <c r="D566" t="s">
        <v>4071</v>
      </c>
      <c r="E566" s="2">
        <v>5000</v>
      </c>
      <c r="F566" s="2">
        <v>5000</v>
      </c>
      <c r="G566" s="3">
        <v>43279</v>
      </c>
      <c r="H566" s="4">
        <v>0.14047453703703999</v>
      </c>
      <c r="I566" s="3">
        <v>43279</v>
      </c>
      <c r="J566" s="4">
        <v>0.39895833333332997</v>
      </c>
      <c r="K566" s="2">
        <v>0</v>
      </c>
      <c r="L566" t="s">
        <v>0</v>
      </c>
      <c r="M566" t="s">
        <v>4062</v>
      </c>
      <c r="N566" s="3"/>
      <c r="O566" s="3">
        <v>43281</v>
      </c>
      <c r="P566" t="s">
        <v>3720</v>
      </c>
      <c r="Q566" t="s">
        <v>1</v>
      </c>
      <c r="R566" t="s">
        <v>821</v>
      </c>
      <c r="S566" s="3">
        <v>43288</v>
      </c>
      <c r="T566" t="s">
        <v>7870</v>
      </c>
      <c r="U566">
        <v>357</v>
      </c>
      <c r="V566" t="s">
        <v>2437</v>
      </c>
      <c r="W566" t="s">
        <v>2434</v>
      </c>
      <c r="X566" s="2">
        <v>806</v>
      </c>
      <c r="Y566" t="s">
        <v>2</v>
      </c>
      <c r="Z566" t="s">
        <v>3</v>
      </c>
      <c r="AA566" s="5">
        <v>0</v>
      </c>
      <c r="AB566" t="s">
        <v>17</v>
      </c>
      <c r="AI566" t="s">
        <v>6643</v>
      </c>
      <c r="AL566" t="s">
        <v>8522</v>
      </c>
    </row>
    <row r="567" spans="1:38">
      <c r="A567" t="s">
        <v>4058</v>
      </c>
      <c r="B567" t="s">
        <v>4109</v>
      </c>
      <c r="C567" t="s">
        <v>3338</v>
      </c>
      <c r="D567" t="s">
        <v>3339</v>
      </c>
      <c r="E567" s="2">
        <v>20000</v>
      </c>
      <c r="F567" s="2">
        <v>20000</v>
      </c>
      <c r="G567" s="3">
        <v>43279</v>
      </c>
      <c r="H567" s="4">
        <v>0.41979166666667</v>
      </c>
      <c r="I567" s="3">
        <v>43280</v>
      </c>
      <c r="J567" s="4">
        <v>0.4537037037037</v>
      </c>
      <c r="K567" s="2">
        <v>0</v>
      </c>
      <c r="L567" t="s">
        <v>0</v>
      </c>
      <c r="M567" t="s">
        <v>4065</v>
      </c>
      <c r="N567" s="3">
        <v>43284</v>
      </c>
      <c r="O567" s="3">
        <v>43282</v>
      </c>
      <c r="P567" t="s">
        <v>3720</v>
      </c>
      <c r="Q567" t="s">
        <v>7871</v>
      </c>
      <c r="R567" t="s">
        <v>820</v>
      </c>
      <c r="S567" s="3">
        <v>43284</v>
      </c>
      <c r="T567" t="s">
        <v>7872</v>
      </c>
      <c r="U567" t="s">
        <v>3335</v>
      </c>
      <c r="V567" t="s">
        <v>2437</v>
      </c>
      <c r="W567" t="s">
        <v>2434</v>
      </c>
      <c r="X567" s="2">
        <v>806</v>
      </c>
      <c r="Y567" t="s">
        <v>2</v>
      </c>
      <c r="Z567" t="s">
        <v>3</v>
      </c>
      <c r="AA567" s="5">
        <v>0</v>
      </c>
      <c r="AB567" t="s">
        <v>17</v>
      </c>
      <c r="AI567" t="s">
        <v>6643</v>
      </c>
      <c r="AL567" t="s">
        <v>8523</v>
      </c>
    </row>
    <row r="568" spans="1:38">
      <c r="A568" t="s">
        <v>4058</v>
      </c>
      <c r="B568" t="s">
        <v>4104</v>
      </c>
      <c r="C568" t="s">
        <v>4105</v>
      </c>
      <c r="D568" t="s">
        <v>4106</v>
      </c>
      <c r="E568" s="2">
        <v>4900</v>
      </c>
      <c r="F568" s="2">
        <v>4900</v>
      </c>
      <c r="G568" s="3">
        <v>43287</v>
      </c>
      <c r="H568" s="4">
        <v>0.42349537037036999</v>
      </c>
      <c r="I568" s="3">
        <v>43287</v>
      </c>
      <c r="J568" s="4">
        <v>0.67680555555555999</v>
      </c>
      <c r="K568" s="2">
        <v>0</v>
      </c>
      <c r="L568" t="s">
        <v>0</v>
      </c>
      <c r="M568" t="s">
        <v>7873</v>
      </c>
      <c r="N568" s="3">
        <v>43287</v>
      </c>
      <c r="O568" s="3">
        <v>43289</v>
      </c>
      <c r="P568" t="s">
        <v>13</v>
      </c>
      <c r="Q568" t="s">
        <v>4107</v>
      </c>
      <c r="R568" t="s">
        <v>820</v>
      </c>
      <c r="S568" s="3">
        <v>43287</v>
      </c>
      <c r="T568" t="s">
        <v>7874</v>
      </c>
      <c r="U568">
        <v>364</v>
      </c>
      <c r="V568" t="s">
        <v>4108</v>
      </c>
      <c r="W568" t="s">
        <v>2434</v>
      </c>
      <c r="X568" s="2">
        <v>806</v>
      </c>
      <c r="Y568" t="s">
        <v>2</v>
      </c>
      <c r="Z568" t="s">
        <v>3</v>
      </c>
      <c r="AA568" s="5">
        <v>0</v>
      </c>
      <c r="AB568" t="s">
        <v>17</v>
      </c>
      <c r="AI568" t="s">
        <v>6643</v>
      </c>
      <c r="AL568" t="s">
        <v>8524</v>
      </c>
    </row>
    <row r="569" spans="1:38">
      <c r="A569" t="s">
        <v>4058</v>
      </c>
      <c r="B569" t="s">
        <v>4135</v>
      </c>
      <c r="C569" t="s">
        <v>3328</v>
      </c>
      <c r="D569" t="s">
        <v>3329</v>
      </c>
      <c r="E569" s="2">
        <v>6000</v>
      </c>
      <c r="F569" s="2">
        <v>6000</v>
      </c>
      <c r="G569" s="3">
        <v>43287</v>
      </c>
      <c r="H569" s="4">
        <v>0.70281249999999995</v>
      </c>
      <c r="I569" s="3">
        <v>43288</v>
      </c>
      <c r="J569" s="4">
        <v>1.298611111111E-2</v>
      </c>
      <c r="K569" s="2">
        <v>0</v>
      </c>
      <c r="L569" t="s">
        <v>0</v>
      </c>
      <c r="M569" t="s">
        <v>4094</v>
      </c>
      <c r="N569" s="3">
        <v>43299</v>
      </c>
      <c r="O569" s="3">
        <v>43295</v>
      </c>
      <c r="P569" t="s">
        <v>31</v>
      </c>
      <c r="Q569" t="s">
        <v>4136</v>
      </c>
      <c r="R569" t="s">
        <v>820</v>
      </c>
      <c r="S569" s="3">
        <v>43299</v>
      </c>
      <c r="T569" t="s">
        <v>7875</v>
      </c>
      <c r="U569">
        <v>4521</v>
      </c>
      <c r="V569">
        <v>8244</v>
      </c>
      <c r="W569" t="s">
        <v>2434</v>
      </c>
      <c r="X569" s="2">
        <v>806</v>
      </c>
      <c r="Y569" t="s">
        <v>2</v>
      </c>
      <c r="Z569" t="s">
        <v>3</v>
      </c>
      <c r="AA569" s="5">
        <v>0</v>
      </c>
      <c r="AB569" t="s">
        <v>17</v>
      </c>
      <c r="AI569" t="s">
        <v>6643</v>
      </c>
      <c r="AL569" t="s">
        <v>8525</v>
      </c>
    </row>
    <row r="570" spans="1:38">
      <c r="A570" t="s">
        <v>4058</v>
      </c>
      <c r="B570" t="s">
        <v>7119</v>
      </c>
      <c r="C570" t="s">
        <v>3340</v>
      </c>
      <c r="D570" t="s">
        <v>3341</v>
      </c>
      <c r="E570" s="2">
        <v>10000</v>
      </c>
      <c r="F570" s="2">
        <v>10000</v>
      </c>
      <c r="G570" s="3">
        <v>43288</v>
      </c>
      <c r="H570" s="4">
        <v>5.465277777778E-2</v>
      </c>
      <c r="I570" s="3">
        <v>43288</v>
      </c>
      <c r="J570" s="4">
        <v>0.57160879629630001</v>
      </c>
      <c r="K570" s="2">
        <v>20</v>
      </c>
      <c r="L570" t="s">
        <v>0</v>
      </c>
      <c r="M570" t="s">
        <v>4059</v>
      </c>
      <c r="N570" s="3">
        <v>43293</v>
      </c>
      <c r="O570" s="3">
        <v>43290</v>
      </c>
      <c r="P570" t="s">
        <v>3724</v>
      </c>
      <c r="Q570" t="s">
        <v>7120</v>
      </c>
      <c r="R570" t="s">
        <v>820</v>
      </c>
      <c r="S570" s="3">
        <v>43293</v>
      </c>
      <c r="T570" t="s">
        <v>7876</v>
      </c>
      <c r="U570" t="s">
        <v>3326</v>
      </c>
      <c r="V570">
        <v>1001</v>
      </c>
      <c r="W570" t="s">
        <v>2434</v>
      </c>
      <c r="X570" s="2">
        <v>806</v>
      </c>
      <c r="Y570" t="s">
        <v>2</v>
      </c>
      <c r="Z570" t="s">
        <v>3</v>
      </c>
      <c r="AA570" s="5">
        <v>0</v>
      </c>
      <c r="AB570" t="s">
        <v>17</v>
      </c>
      <c r="AI570" t="s">
        <v>6643</v>
      </c>
      <c r="AL570" t="s">
        <v>8526</v>
      </c>
    </row>
    <row r="571" spans="1:38">
      <c r="A571" t="s">
        <v>4058</v>
      </c>
      <c r="B571" t="s">
        <v>4127</v>
      </c>
      <c r="C571" t="s">
        <v>3324</v>
      </c>
      <c r="D571" t="s">
        <v>3325</v>
      </c>
      <c r="E571" s="2">
        <v>4500</v>
      </c>
      <c r="F571" s="2">
        <v>4500</v>
      </c>
      <c r="G571" s="3">
        <v>43288</v>
      </c>
      <c r="H571" s="4">
        <v>0.59244212962963005</v>
      </c>
      <c r="I571" s="3">
        <v>43288</v>
      </c>
      <c r="J571" s="4">
        <v>0.82506944444443997</v>
      </c>
      <c r="K571" s="2">
        <v>0</v>
      </c>
      <c r="L571" t="s">
        <v>0</v>
      </c>
      <c r="M571" t="s">
        <v>4067</v>
      </c>
      <c r="N571" s="3"/>
      <c r="O571" s="3">
        <v>43290</v>
      </c>
      <c r="P571" t="s">
        <v>3724</v>
      </c>
      <c r="Q571" t="s">
        <v>1</v>
      </c>
      <c r="R571" t="s">
        <v>821</v>
      </c>
      <c r="S571" s="3">
        <v>43303</v>
      </c>
      <c r="T571" t="s">
        <v>1</v>
      </c>
      <c r="U571">
        <v>457</v>
      </c>
      <c r="V571">
        <v>1001</v>
      </c>
      <c r="W571" t="s">
        <v>2434</v>
      </c>
      <c r="X571" s="2">
        <v>0</v>
      </c>
      <c r="Y571" t="s">
        <v>2</v>
      </c>
      <c r="Z571" t="s">
        <v>3</v>
      </c>
      <c r="AA571" s="5">
        <v>0</v>
      </c>
      <c r="AB571" t="s">
        <v>29</v>
      </c>
      <c r="AI571" t="s">
        <v>6643</v>
      </c>
      <c r="AL571" t="s">
        <v>8527</v>
      </c>
    </row>
    <row r="572" spans="1:38">
      <c r="A572" t="s">
        <v>4058</v>
      </c>
      <c r="B572" t="s">
        <v>4132</v>
      </c>
      <c r="C572" t="s">
        <v>4133</v>
      </c>
      <c r="D572" t="s">
        <v>4134</v>
      </c>
      <c r="E572" s="2">
        <v>5000</v>
      </c>
      <c r="F572" s="2">
        <v>5000</v>
      </c>
      <c r="G572" s="3">
        <v>43288</v>
      </c>
      <c r="H572" s="4">
        <v>0.84590277777778</v>
      </c>
      <c r="I572" s="3">
        <v>43289</v>
      </c>
      <c r="J572" s="4">
        <v>0.10438657407407</v>
      </c>
      <c r="K572" s="2">
        <v>0</v>
      </c>
      <c r="L572" t="s">
        <v>0</v>
      </c>
      <c r="M572" t="s">
        <v>4062</v>
      </c>
      <c r="N572" s="3">
        <v>43291</v>
      </c>
      <c r="O572" s="3">
        <v>43291</v>
      </c>
      <c r="P572" t="s">
        <v>3724</v>
      </c>
      <c r="Q572" t="s">
        <v>5165</v>
      </c>
      <c r="R572" t="s">
        <v>820</v>
      </c>
      <c r="S572" s="3">
        <v>43312</v>
      </c>
      <c r="T572" t="s">
        <v>1</v>
      </c>
      <c r="U572">
        <v>553</v>
      </c>
      <c r="V572">
        <v>1001</v>
      </c>
      <c r="W572" t="s">
        <v>2434</v>
      </c>
      <c r="X572" s="2">
        <v>0</v>
      </c>
      <c r="Y572" t="s">
        <v>2</v>
      </c>
      <c r="Z572" t="s">
        <v>3</v>
      </c>
      <c r="AA572" s="5">
        <v>0</v>
      </c>
      <c r="AB572" t="s">
        <v>29</v>
      </c>
      <c r="AI572" t="s">
        <v>6643</v>
      </c>
      <c r="AL572" t="s">
        <v>8528</v>
      </c>
    </row>
    <row r="573" spans="1:38">
      <c r="A573" t="s">
        <v>4058</v>
      </c>
      <c r="B573" t="s">
        <v>3755</v>
      </c>
      <c r="C573" t="s">
        <v>3752</v>
      </c>
      <c r="D573" t="s">
        <v>3753</v>
      </c>
      <c r="E573" s="2">
        <v>11000</v>
      </c>
      <c r="F573" s="2">
        <v>11000</v>
      </c>
      <c r="G573" s="3">
        <v>43289</v>
      </c>
      <c r="H573" s="4">
        <v>0.12521990740741001</v>
      </c>
      <c r="I573" s="3">
        <v>43289</v>
      </c>
      <c r="J573" s="4">
        <v>0.69387731481480996</v>
      </c>
      <c r="K573" s="2">
        <v>0</v>
      </c>
      <c r="L573" t="s">
        <v>0</v>
      </c>
      <c r="M573" t="s">
        <v>5164</v>
      </c>
      <c r="N573" s="3">
        <v>43276</v>
      </c>
      <c r="O573" s="3">
        <v>43291</v>
      </c>
      <c r="P573" t="s">
        <v>3146</v>
      </c>
      <c r="Q573" t="s">
        <v>1</v>
      </c>
      <c r="R573" t="s">
        <v>821</v>
      </c>
      <c r="S573" s="3">
        <v>43288</v>
      </c>
      <c r="T573" t="s">
        <v>1</v>
      </c>
      <c r="U573">
        <v>357</v>
      </c>
      <c r="V573">
        <v>1001</v>
      </c>
      <c r="W573" t="s">
        <v>2434</v>
      </c>
      <c r="X573" s="2">
        <v>0</v>
      </c>
      <c r="Y573" t="s">
        <v>2</v>
      </c>
      <c r="Z573" t="s">
        <v>3</v>
      </c>
      <c r="AA573" s="5">
        <v>0</v>
      </c>
      <c r="AB573" t="s">
        <v>29</v>
      </c>
      <c r="AI573" t="s">
        <v>6643</v>
      </c>
      <c r="AL573" t="s">
        <v>8529</v>
      </c>
    </row>
    <row r="574" spans="1:38">
      <c r="A574" t="s">
        <v>4058</v>
      </c>
      <c r="B574" t="s">
        <v>3751</v>
      </c>
      <c r="C574" t="s">
        <v>3752</v>
      </c>
      <c r="D574" t="s">
        <v>3753</v>
      </c>
      <c r="E574" s="2">
        <v>10000</v>
      </c>
      <c r="F574" s="2">
        <v>10000</v>
      </c>
      <c r="G574" s="3">
        <v>43289</v>
      </c>
      <c r="H574" s="4">
        <v>0.71471064814815</v>
      </c>
      <c r="I574" s="3">
        <v>43290</v>
      </c>
      <c r="J574" s="4">
        <v>0.23166666666666999</v>
      </c>
      <c r="K574" s="2">
        <v>0</v>
      </c>
      <c r="L574" t="s">
        <v>0</v>
      </c>
      <c r="M574" t="s">
        <v>4059</v>
      </c>
      <c r="N574" s="3">
        <v>43280</v>
      </c>
      <c r="O574" s="3">
        <v>43292</v>
      </c>
      <c r="P574" t="s">
        <v>3146</v>
      </c>
      <c r="Q574" t="s">
        <v>7877</v>
      </c>
      <c r="R574" t="s">
        <v>820</v>
      </c>
      <c r="S574" s="3">
        <v>43290</v>
      </c>
      <c r="T574" t="s">
        <v>1</v>
      </c>
      <c r="U574">
        <v>357</v>
      </c>
      <c r="V574">
        <v>1001</v>
      </c>
      <c r="W574" t="s">
        <v>2434</v>
      </c>
      <c r="X574" s="2">
        <v>0</v>
      </c>
      <c r="Y574" t="s">
        <v>2</v>
      </c>
      <c r="Z574" t="s">
        <v>3</v>
      </c>
      <c r="AA574" s="5">
        <v>0</v>
      </c>
      <c r="AB574" t="s">
        <v>29</v>
      </c>
      <c r="AI574" t="s">
        <v>6643</v>
      </c>
      <c r="AL574" t="s">
        <v>8530</v>
      </c>
    </row>
    <row r="575" spans="1:38">
      <c r="A575" t="s">
        <v>4058</v>
      </c>
      <c r="B575" t="s">
        <v>4148</v>
      </c>
      <c r="C575" t="s">
        <v>3143</v>
      </c>
      <c r="D575" t="s">
        <v>3144</v>
      </c>
      <c r="E575" s="2">
        <v>10000</v>
      </c>
      <c r="F575" s="2">
        <v>10000</v>
      </c>
      <c r="G575" s="3">
        <v>43290</v>
      </c>
      <c r="H575" s="4">
        <v>0.2525</v>
      </c>
      <c r="I575" s="3">
        <v>43290</v>
      </c>
      <c r="J575" s="4">
        <v>0.76945601851851997</v>
      </c>
      <c r="K575" s="2">
        <v>20</v>
      </c>
      <c r="L575" t="s">
        <v>0</v>
      </c>
      <c r="M575" t="s">
        <v>4059</v>
      </c>
      <c r="N575" s="3">
        <v>43297</v>
      </c>
      <c r="O575" s="3">
        <v>43292</v>
      </c>
      <c r="P575" t="s">
        <v>3146</v>
      </c>
      <c r="Q575" t="s">
        <v>4149</v>
      </c>
      <c r="R575" t="s">
        <v>820</v>
      </c>
      <c r="S575" s="3">
        <v>43297</v>
      </c>
      <c r="T575" t="s">
        <v>7878</v>
      </c>
      <c r="U575">
        <v>325</v>
      </c>
      <c r="V575">
        <v>1001</v>
      </c>
      <c r="W575" t="s">
        <v>2434</v>
      </c>
      <c r="X575" s="2">
        <v>806</v>
      </c>
      <c r="Y575" t="s">
        <v>2</v>
      </c>
      <c r="Z575" t="s">
        <v>3</v>
      </c>
      <c r="AA575" s="5">
        <v>0</v>
      </c>
      <c r="AB575" t="s">
        <v>17</v>
      </c>
      <c r="AL575" t="s">
        <v>8531</v>
      </c>
    </row>
    <row r="576" spans="1:38">
      <c r="A576" t="s">
        <v>4058</v>
      </c>
      <c r="B576" t="s">
        <v>5799</v>
      </c>
      <c r="C576" t="s">
        <v>4072</v>
      </c>
      <c r="D576" t="s">
        <v>4073</v>
      </c>
      <c r="E576" s="2">
        <v>10000</v>
      </c>
      <c r="F576" s="2">
        <v>10000</v>
      </c>
      <c r="G576" s="3">
        <v>43290</v>
      </c>
      <c r="H576" s="4">
        <v>0.79028935185185001</v>
      </c>
      <c r="I576" s="3">
        <v>43291</v>
      </c>
      <c r="J576" s="4">
        <v>0.30724537037036997</v>
      </c>
      <c r="K576" s="2">
        <v>20</v>
      </c>
      <c r="L576" t="s">
        <v>0</v>
      </c>
      <c r="M576" t="s">
        <v>4059</v>
      </c>
      <c r="N576" s="3">
        <v>43292</v>
      </c>
      <c r="O576" s="3">
        <v>43293</v>
      </c>
      <c r="P576" t="s">
        <v>13</v>
      </c>
      <c r="Q576" t="s">
        <v>5800</v>
      </c>
      <c r="R576" t="s">
        <v>820</v>
      </c>
      <c r="S576" s="3">
        <v>43292</v>
      </c>
      <c r="T576" t="s">
        <v>7879</v>
      </c>
      <c r="U576" t="s">
        <v>3319</v>
      </c>
      <c r="V576" t="s">
        <v>4074</v>
      </c>
      <c r="W576" t="s">
        <v>2434</v>
      </c>
      <c r="X576" s="2">
        <v>806</v>
      </c>
      <c r="Y576" t="s">
        <v>2</v>
      </c>
      <c r="Z576" t="s">
        <v>3</v>
      </c>
      <c r="AA576" s="5">
        <v>0</v>
      </c>
      <c r="AB576" t="s">
        <v>17</v>
      </c>
      <c r="AI576" t="s">
        <v>6643</v>
      </c>
      <c r="AL576" t="s">
        <v>8532</v>
      </c>
    </row>
    <row r="577" spans="1:38">
      <c r="A577" t="s">
        <v>4058</v>
      </c>
      <c r="B577" t="s">
        <v>4137</v>
      </c>
      <c r="C577" t="s">
        <v>4138</v>
      </c>
      <c r="D577" t="s">
        <v>4139</v>
      </c>
      <c r="E577" s="2">
        <v>20000</v>
      </c>
      <c r="F577" s="2">
        <v>20000</v>
      </c>
      <c r="G577" s="3">
        <v>43291</v>
      </c>
      <c r="H577" s="4">
        <v>0.32807870370370001</v>
      </c>
      <c r="I577" s="3">
        <v>43292</v>
      </c>
      <c r="J577" s="4">
        <v>0.36199074074074</v>
      </c>
      <c r="K577" s="2">
        <v>20</v>
      </c>
      <c r="L577" t="s">
        <v>0</v>
      </c>
      <c r="M577" t="s">
        <v>4065</v>
      </c>
      <c r="N577" s="3">
        <v>43301</v>
      </c>
      <c r="O577" s="3">
        <v>43294</v>
      </c>
      <c r="P577" t="s">
        <v>3413</v>
      </c>
      <c r="Q577" t="s">
        <v>4140</v>
      </c>
      <c r="R577" t="s">
        <v>820</v>
      </c>
      <c r="S577" s="3">
        <v>43301</v>
      </c>
      <c r="T577" t="s">
        <v>7880</v>
      </c>
      <c r="U577" t="s">
        <v>3335</v>
      </c>
      <c r="V577" t="s">
        <v>4141</v>
      </c>
      <c r="W577" t="s">
        <v>2434</v>
      </c>
      <c r="X577" s="2">
        <v>806</v>
      </c>
      <c r="Y577" t="s">
        <v>2</v>
      </c>
      <c r="Z577" t="s">
        <v>3</v>
      </c>
      <c r="AA577" s="5">
        <v>0</v>
      </c>
      <c r="AB577" t="s">
        <v>17</v>
      </c>
      <c r="AI577" t="s">
        <v>6643</v>
      </c>
      <c r="AL577" t="s">
        <v>8533</v>
      </c>
    </row>
    <row r="578" spans="1:38">
      <c r="A578" t="s">
        <v>4058</v>
      </c>
      <c r="B578" t="s">
        <v>7127</v>
      </c>
      <c r="C578" t="s">
        <v>7128</v>
      </c>
      <c r="D578" t="s">
        <v>7129</v>
      </c>
      <c r="E578" s="2">
        <v>5000</v>
      </c>
      <c r="F578" s="2">
        <v>5000</v>
      </c>
      <c r="G578" s="3">
        <v>43292</v>
      </c>
      <c r="H578" s="4">
        <v>0.38282407407406999</v>
      </c>
      <c r="I578" s="3">
        <v>43292</v>
      </c>
      <c r="J578" s="4">
        <v>0.64130787037036996</v>
      </c>
      <c r="K578" s="2">
        <v>0</v>
      </c>
      <c r="L578" t="s">
        <v>0</v>
      </c>
      <c r="M578" t="s">
        <v>4062</v>
      </c>
      <c r="N578" s="3">
        <v>43297</v>
      </c>
      <c r="O578" s="3">
        <v>43294</v>
      </c>
      <c r="P578" t="s">
        <v>13</v>
      </c>
      <c r="Q578" t="s">
        <v>7130</v>
      </c>
      <c r="R578" t="s">
        <v>820</v>
      </c>
      <c r="S578" s="3">
        <v>43297</v>
      </c>
      <c r="T578" t="s">
        <v>7881</v>
      </c>
      <c r="U578" t="s">
        <v>3335</v>
      </c>
      <c r="V578" t="s">
        <v>7131</v>
      </c>
      <c r="W578" t="s">
        <v>2434</v>
      </c>
      <c r="X578" s="2">
        <v>806</v>
      </c>
      <c r="Y578" t="s">
        <v>2</v>
      </c>
      <c r="Z578" t="s">
        <v>3</v>
      </c>
      <c r="AA578" s="5">
        <v>0</v>
      </c>
      <c r="AB578" t="s">
        <v>17</v>
      </c>
      <c r="AI578" t="s">
        <v>6643</v>
      </c>
      <c r="AL578" t="s">
        <v>8534</v>
      </c>
    </row>
    <row r="579" spans="1:38">
      <c r="A579" t="s">
        <v>4058</v>
      </c>
      <c r="B579" t="s">
        <v>4124</v>
      </c>
      <c r="C579" t="s">
        <v>3400</v>
      </c>
      <c r="D579" t="s">
        <v>3401</v>
      </c>
      <c r="E579" s="2">
        <v>18000</v>
      </c>
      <c r="F579" s="2">
        <v>18000</v>
      </c>
      <c r="G579" s="3">
        <v>43292</v>
      </c>
      <c r="H579" s="4">
        <v>0.6621412037037</v>
      </c>
      <c r="I579" s="3">
        <v>43293</v>
      </c>
      <c r="J579" s="4">
        <v>0.59266203703704001</v>
      </c>
      <c r="K579" s="2">
        <v>0</v>
      </c>
      <c r="L579" t="s">
        <v>0</v>
      </c>
      <c r="M579" t="s">
        <v>4125</v>
      </c>
      <c r="N579" s="3">
        <v>43297</v>
      </c>
      <c r="O579" s="3">
        <v>43295</v>
      </c>
      <c r="P579" t="s">
        <v>13</v>
      </c>
      <c r="Q579" t="s">
        <v>4126</v>
      </c>
      <c r="R579" t="s">
        <v>820</v>
      </c>
      <c r="S579" s="3">
        <v>43297</v>
      </c>
      <c r="T579" t="s">
        <v>7882</v>
      </c>
      <c r="U579">
        <v>3706</v>
      </c>
      <c r="V579" t="s">
        <v>3402</v>
      </c>
      <c r="W579" t="s">
        <v>2434</v>
      </c>
      <c r="X579" s="2">
        <v>806</v>
      </c>
      <c r="Y579" t="s">
        <v>2</v>
      </c>
      <c r="Z579" t="s">
        <v>3</v>
      </c>
      <c r="AA579" s="5">
        <v>0</v>
      </c>
      <c r="AB579" t="s">
        <v>17</v>
      </c>
      <c r="AI579" t="s">
        <v>6643</v>
      </c>
      <c r="AL579" t="s">
        <v>8535</v>
      </c>
    </row>
    <row r="580" spans="1:38">
      <c r="A580" t="s">
        <v>4058</v>
      </c>
      <c r="B580" t="s">
        <v>4150</v>
      </c>
      <c r="C580" t="s">
        <v>4075</v>
      </c>
      <c r="D580" t="s">
        <v>4076</v>
      </c>
      <c r="E580" s="2">
        <v>10000</v>
      </c>
      <c r="F580" s="2">
        <v>10000</v>
      </c>
      <c r="G580" s="3">
        <v>43293</v>
      </c>
      <c r="H580" s="4">
        <v>0.61349537037037005</v>
      </c>
      <c r="I580" s="3">
        <v>43294</v>
      </c>
      <c r="J580" s="4">
        <v>0.13045138888888999</v>
      </c>
      <c r="K580" s="2">
        <v>0</v>
      </c>
      <c r="L580" t="s">
        <v>0</v>
      </c>
      <c r="M580" t="s">
        <v>4059</v>
      </c>
      <c r="N580" s="3"/>
      <c r="O580" s="3">
        <v>43296</v>
      </c>
      <c r="P580" t="s">
        <v>3720</v>
      </c>
      <c r="Q580" t="s">
        <v>1</v>
      </c>
      <c r="R580" t="s">
        <v>821</v>
      </c>
      <c r="S580" s="3">
        <v>43288</v>
      </c>
      <c r="T580" t="s">
        <v>1</v>
      </c>
      <c r="U580" t="s">
        <v>3319</v>
      </c>
      <c r="V580" t="s">
        <v>2437</v>
      </c>
      <c r="W580" t="s">
        <v>2434</v>
      </c>
      <c r="X580" s="2">
        <v>0</v>
      </c>
      <c r="Y580" t="s">
        <v>2</v>
      </c>
      <c r="Z580" t="s">
        <v>3</v>
      </c>
      <c r="AA580" s="5">
        <v>0</v>
      </c>
      <c r="AB580" t="s">
        <v>29</v>
      </c>
      <c r="AI580" t="s">
        <v>6643</v>
      </c>
      <c r="AL580" t="s">
        <v>8536</v>
      </c>
    </row>
    <row r="581" spans="1:38">
      <c r="A581" t="s">
        <v>4058</v>
      </c>
      <c r="B581" t="s">
        <v>4151</v>
      </c>
      <c r="C581" t="s">
        <v>4068</v>
      </c>
      <c r="D581" t="s">
        <v>4069</v>
      </c>
      <c r="E581" s="2">
        <v>5050</v>
      </c>
      <c r="F581" s="2">
        <v>5050</v>
      </c>
      <c r="G581" s="3">
        <v>43294</v>
      </c>
      <c r="H581" s="4">
        <v>0.15128472222222</v>
      </c>
      <c r="I581" s="3">
        <v>43294</v>
      </c>
      <c r="J581" s="4">
        <v>0.41234953703704003</v>
      </c>
      <c r="K581" s="2">
        <v>20</v>
      </c>
      <c r="L581" t="s">
        <v>0</v>
      </c>
      <c r="M581" t="s">
        <v>4152</v>
      </c>
      <c r="N581" s="3">
        <v>43301</v>
      </c>
      <c r="O581" s="3">
        <v>43296</v>
      </c>
      <c r="P581" t="s">
        <v>3720</v>
      </c>
      <c r="Q581" t="s">
        <v>4153</v>
      </c>
      <c r="R581" t="s">
        <v>820</v>
      </c>
      <c r="S581" s="3">
        <v>43301</v>
      </c>
      <c r="T581" t="s">
        <v>7883</v>
      </c>
      <c r="U581" t="s">
        <v>3388</v>
      </c>
      <c r="V581" t="s">
        <v>2437</v>
      </c>
      <c r="W581" t="s">
        <v>2434</v>
      </c>
      <c r="X581" s="2">
        <v>806</v>
      </c>
      <c r="Y581" t="s">
        <v>2</v>
      </c>
      <c r="Z581" t="s">
        <v>3</v>
      </c>
      <c r="AA581" s="5">
        <v>0</v>
      </c>
      <c r="AB581" t="s">
        <v>17</v>
      </c>
      <c r="AI581" t="s">
        <v>6643</v>
      </c>
      <c r="AL581" t="s">
        <v>8537</v>
      </c>
    </row>
    <row r="582" spans="1:38">
      <c r="A582" t="s">
        <v>4155</v>
      </c>
      <c r="B582" t="s">
        <v>3180</v>
      </c>
      <c r="C582" t="s">
        <v>3156</v>
      </c>
      <c r="D582" t="s">
        <v>3157</v>
      </c>
      <c r="E582" s="2">
        <v>8446</v>
      </c>
      <c r="F582" s="2">
        <v>20446</v>
      </c>
      <c r="G582" s="3">
        <v>43271</v>
      </c>
      <c r="H582" s="4">
        <v>0.88979166666666998</v>
      </c>
      <c r="I582" s="3">
        <v>43273</v>
      </c>
      <c r="J582" s="4">
        <v>0.87099537037037</v>
      </c>
      <c r="K582" s="2">
        <v>20</v>
      </c>
      <c r="L582" t="s">
        <v>0</v>
      </c>
      <c r="M582" t="s">
        <v>5166</v>
      </c>
      <c r="N582" s="3">
        <v>43280</v>
      </c>
      <c r="O582" s="3">
        <v>43280</v>
      </c>
      <c r="P582" t="s">
        <v>133</v>
      </c>
      <c r="Q582" t="s">
        <v>3181</v>
      </c>
      <c r="R582" t="s">
        <v>820</v>
      </c>
      <c r="S582" s="3">
        <v>43276</v>
      </c>
      <c r="T582" t="s">
        <v>7884</v>
      </c>
      <c r="U582" t="s">
        <v>3158</v>
      </c>
      <c r="V582" t="s">
        <v>3159</v>
      </c>
      <c r="W582" t="s">
        <v>2434</v>
      </c>
      <c r="X582" s="2">
        <v>430</v>
      </c>
      <c r="Y582" t="s">
        <v>2</v>
      </c>
      <c r="Z582" t="s">
        <v>3</v>
      </c>
      <c r="AA582" s="5">
        <v>0</v>
      </c>
      <c r="AB582" t="s">
        <v>4</v>
      </c>
      <c r="AL582" t="s">
        <v>8538</v>
      </c>
    </row>
    <row r="583" spans="1:38">
      <c r="A583" t="s">
        <v>4155</v>
      </c>
      <c r="B583" t="s">
        <v>3185</v>
      </c>
      <c r="C583" t="s">
        <v>3156</v>
      </c>
      <c r="D583" t="s">
        <v>3157</v>
      </c>
      <c r="E583" s="5">
        <v>2044.6</v>
      </c>
      <c r="F583" s="5">
        <v>2044.6</v>
      </c>
      <c r="G583" s="3">
        <v>43273</v>
      </c>
      <c r="H583" s="4">
        <v>0.89182870370370004</v>
      </c>
      <c r="I583" s="3">
        <v>43274</v>
      </c>
      <c r="J583" s="4">
        <v>8.9953703703699997E-2</v>
      </c>
      <c r="K583" s="2">
        <v>0</v>
      </c>
      <c r="L583" t="s">
        <v>0</v>
      </c>
      <c r="M583" t="s">
        <v>7132</v>
      </c>
      <c r="N583" s="3">
        <v>43278</v>
      </c>
      <c r="O583" s="3">
        <v>43281</v>
      </c>
      <c r="P583" t="s">
        <v>133</v>
      </c>
      <c r="Q583" t="s">
        <v>3187</v>
      </c>
      <c r="R583" t="s">
        <v>820</v>
      </c>
      <c r="S583" s="3">
        <v>43279</v>
      </c>
      <c r="T583" t="s">
        <v>7885</v>
      </c>
      <c r="U583" t="s">
        <v>3158</v>
      </c>
      <c r="V583" t="s">
        <v>3159</v>
      </c>
      <c r="W583" t="s">
        <v>2434</v>
      </c>
      <c r="X583" s="2">
        <v>430</v>
      </c>
      <c r="Y583" t="s">
        <v>2</v>
      </c>
      <c r="Z583" t="s">
        <v>3</v>
      </c>
      <c r="AA583" s="5">
        <v>0</v>
      </c>
      <c r="AB583" t="s">
        <v>4</v>
      </c>
      <c r="AL583" t="s">
        <v>8539</v>
      </c>
    </row>
    <row r="584" spans="1:38">
      <c r="A584" t="s">
        <v>4155</v>
      </c>
      <c r="B584" t="s">
        <v>4174</v>
      </c>
      <c r="C584" t="s">
        <v>4175</v>
      </c>
      <c r="D584" t="s">
        <v>4176</v>
      </c>
      <c r="E584" s="2">
        <v>2020</v>
      </c>
      <c r="F584" s="2">
        <v>2020</v>
      </c>
      <c r="G584" s="3">
        <v>43274</v>
      </c>
      <c r="H584" s="4">
        <v>0.17328703703703999</v>
      </c>
      <c r="I584" s="3">
        <v>43274</v>
      </c>
      <c r="J584" s="4">
        <v>0.36902777777778001</v>
      </c>
      <c r="K584" s="2">
        <v>0</v>
      </c>
      <c r="L584" t="s">
        <v>0</v>
      </c>
      <c r="M584" t="s">
        <v>4157</v>
      </c>
      <c r="N584" s="3">
        <v>43284</v>
      </c>
      <c r="O584" s="3">
        <v>43276</v>
      </c>
      <c r="P584" t="s">
        <v>2682</v>
      </c>
      <c r="Q584" t="s">
        <v>4177</v>
      </c>
      <c r="R584" t="s">
        <v>820</v>
      </c>
      <c r="S584" s="3">
        <v>43284</v>
      </c>
      <c r="T584" t="s">
        <v>7886</v>
      </c>
      <c r="U584" t="s">
        <v>3652</v>
      </c>
      <c r="V584">
        <v>111</v>
      </c>
      <c r="W584" t="s">
        <v>2434</v>
      </c>
      <c r="X584" s="2">
        <v>430</v>
      </c>
      <c r="Y584" t="s">
        <v>2</v>
      </c>
      <c r="Z584" t="s">
        <v>3</v>
      </c>
      <c r="AA584" s="5">
        <v>0</v>
      </c>
      <c r="AB584" t="s">
        <v>4</v>
      </c>
      <c r="AL584" t="s">
        <v>8540</v>
      </c>
    </row>
    <row r="585" spans="1:38">
      <c r="A585" t="s">
        <v>4155</v>
      </c>
      <c r="B585" t="s">
        <v>3739</v>
      </c>
      <c r="C585" t="s">
        <v>3740</v>
      </c>
      <c r="D585" t="s">
        <v>3741</v>
      </c>
      <c r="E585" s="2">
        <v>5050</v>
      </c>
      <c r="F585" s="2">
        <v>5050</v>
      </c>
      <c r="G585" s="3">
        <v>43274</v>
      </c>
      <c r="H585" s="4">
        <v>0.38986111111110999</v>
      </c>
      <c r="I585" s="3">
        <v>43274</v>
      </c>
      <c r="J585" s="4">
        <v>0.87920138888888999</v>
      </c>
      <c r="K585" s="2">
        <v>0</v>
      </c>
      <c r="L585" t="s">
        <v>0</v>
      </c>
      <c r="M585" t="s">
        <v>7133</v>
      </c>
      <c r="N585" s="3">
        <v>43286</v>
      </c>
      <c r="O585" s="3">
        <v>43276</v>
      </c>
      <c r="P585" t="s">
        <v>15</v>
      </c>
      <c r="Q585" t="s">
        <v>3742</v>
      </c>
      <c r="R585" t="s">
        <v>820</v>
      </c>
      <c r="S585" s="3">
        <v>43286</v>
      </c>
      <c r="T585" t="s">
        <v>7887</v>
      </c>
      <c r="U585" t="s">
        <v>3743</v>
      </c>
      <c r="V585" t="s">
        <v>3744</v>
      </c>
      <c r="W585" t="s">
        <v>2434</v>
      </c>
      <c r="X585" s="2">
        <v>430</v>
      </c>
      <c r="Y585" t="s">
        <v>2</v>
      </c>
      <c r="Z585" t="s">
        <v>3</v>
      </c>
      <c r="AA585" s="5">
        <v>0</v>
      </c>
      <c r="AB585" t="s">
        <v>4</v>
      </c>
      <c r="AL585" t="s">
        <v>8541</v>
      </c>
    </row>
    <row r="586" spans="1:38">
      <c r="A586" t="s">
        <v>4155</v>
      </c>
      <c r="B586" t="s">
        <v>4164</v>
      </c>
      <c r="C586" t="s">
        <v>156</v>
      </c>
      <c r="D586" t="s">
        <v>157</v>
      </c>
      <c r="E586" s="5">
        <v>2810.7</v>
      </c>
      <c r="F586" s="5">
        <v>2810.7</v>
      </c>
      <c r="G586" s="3">
        <v>43275</v>
      </c>
      <c r="H586" s="4">
        <v>2.0833333333330002E-2</v>
      </c>
      <c r="I586" s="3">
        <v>43275</v>
      </c>
      <c r="J586" s="4">
        <v>0.29318287037037</v>
      </c>
      <c r="K586" s="2">
        <v>0</v>
      </c>
      <c r="L586" t="s">
        <v>0</v>
      </c>
      <c r="M586" t="s">
        <v>7888</v>
      </c>
      <c r="N586" s="3">
        <v>43276</v>
      </c>
      <c r="O586" s="3">
        <v>43277</v>
      </c>
      <c r="P586" t="s">
        <v>22</v>
      </c>
      <c r="Q586" t="s">
        <v>4165</v>
      </c>
      <c r="R586" t="s">
        <v>820</v>
      </c>
      <c r="S586" s="3">
        <v>43276</v>
      </c>
      <c r="T586" t="s">
        <v>7889</v>
      </c>
      <c r="U586" t="s">
        <v>3195</v>
      </c>
      <c r="V586" t="s">
        <v>3196</v>
      </c>
      <c r="W586" t="s">
        <v>2434</v>
      </c>
      <c r="X586" s="2">
        <v>430</v>
      </c>
      <c r="Y586" t="s">
        <v>2</v>
      </c>
      <c r="Z586" t="s">
        <v>3</v>
      </c>
      <c r="AA586" s="5">
        <v>0</v>
      </c>
      <c r="AB586" t="s">
        <v>4</v>
      </c>
      <c r="AL586" t="s">
        <v>8542</v>
      </c>
    </row>
    <row r="587" spans="1:38">
      <c r="A587" t="s">
        <v>4155</v>
      </c>
      <c r="B587" t="s">
        <v>4166</v>
      </c>
      <c r="C587" t="s">
        <v>4167</v>
      </c>
      <c r="D587" t="s">
        <v>4168</v>
      </c>
      <c r="E587" s="5">
        <v>2042.4</v>
      </c>
      <c r="F587" s="5">
        <v>2042.4</v>
      </c>
      <c r="G587" s="3">
        <v>43275</v>
      </c>
      <c r="H587" s="4">
        <v>0.31401620370369998</v>
      </c>
      <c r="I587" s="3">
        <v>43275</v>
      </c>
      <c r="J587" s="4">
        <v>0.51192129629630001</v>
      </c>
      <c r="K587" s="2">
        <v>0</v>
      </c>
      <c r="L587" t="s">
        <v>0</v>
      </c>
      <c r="M587" t="s">
        <v>7890</v>
      </c>
      <c r="N587" s="3">
        <v>43277</v>
      </c>
      <c r="O587" s="3">
        <v>43277</v>
      </c>
      <c r="P587" t="s">
        <v>13</v>
      </c>
      <c r="Q587" t="s">
        <v>4169</v>
      </c>
      <c r="R587" t="s">
        <v>820</v>
      </c>
      <c r="S587" s="3">
        <v>43277</v>
      </c>
      <c r="T587" t="s">
        <v>7891</v>
      </c>
      <c r="U587" t="s">
        <v>3610</v>
      </c>
      <c r="V587" t="s">
        <v>4170</v>
      </c>
      <c r="W587" t="s">
        <v>2434</v>
      </c>
      <c r="X587" s="2">
        <v>430</v>
      </c>
      <c r="Y587" t="s">
        <v>2</v>
      </c>
      <c r="Z587" t="s">
        <v>3</v>
      </c>
      <c r="AA587" s="5">
        <v>0</v>
      </c>
      <c r="AB587" t="s">
        <v>4</v>
      </c>
      <c r="AL587" t="s">
        <v>8543</v>
      </c>
    </row>
    <row r="588" spans="1:38">
      <c r="A588" t="s">
        <v>4155</v>
      </c>
      <c r="B588" t="s">
        <v>5633</v>
      </c>
      <c r="C588" t="s">
        <v>4167</v>
      </c>
      <c r="D588" t="s">
        <v>4168</v>
      </c>
      <c r="E588" s="5">
        <v>2042.4</v>
      </c>
      <c r="F588" s="5">
        <v>2042.4</v>
      </c>
      <c r="G588" s="3">
        <v>43275</v>
      </c>
      <c r="H588" s="4">
        <v>0.53275462962963005</v>
      </c>
      <c r="I588" s="3">
        <v>43275</v>
      </c>
      <c r="J588" s="4">
        <v>0.73065972222221998</v>
      </c>
      <c r="K588" s="2">
        <v>0</v>
      </c>
      <c r="L588" t="s">
        <v>0</v>
      </c>
      <c r="M588" t="s">
        <v>7890</v>
      </c>
      <c r="N588" s="3">
        <v>43285</v>
      </c>
      <c r="O588" s="3">
        <v>43277</v>
      </c>
      <c r="P588" t="s">
        <v>13</v>
      </c>
      <c r="Q588" t="s">
        <v>5634</v>
      </c>
      <c r="R588" t="s">
        <v>820</v>
      </c>
      <c r="S588" s="3">
        <v>43285</v>
      </c>
      <c r="T588" t="s">
        <v>7892</v>
      </c>
      <c r="U588" t="s">
        <v>3610</v>
      </c>
      <c r="V588" t="s">
        <v>4170</v>
      </c>
      <c r="W588" t="s">
        <v>2434</v>
      </c>
      <c r="X588" s="2">
        <v>430</v>
      </c>
      <c r="Y588" t="s">
        <v>2</v>
      </c>
      <c r="Z588" t="s">
        <v>3</v>
      </c>
      <c r="AA588" s="5">
        <v>0</v>
      </c>
      <c r="AB588" t="s">
        <v>4</v>
      </c>
      <c r="AL588" t="s">
        <v>8544</v>
      </c>
    </row>
    <row r="589" spans="1:38">
      <c r="A589" t="s">
        <v>4155</v>
      </c>
      <c r="B589" t="s">
        <v>4171</v>
      </c>
      <c r="C589" t="s">
        <v>3156</v>
      </c>
      <c r="D589" t="s">
        <v>3157</v>
      </c>
      <c r="E589" s="5">
        <v>18503.63</v>
      </c>
      <c r="F589" s="5">
        <v>18503.63</v>
      </c>
      <c r="G589" s="3">
        <v>43276</v>
      </c>
      <c r="H589" s="4">
        <v>6.25E-2</v>
      </c>
      <c r="I589" s="3">
        <v>43277</v>
      </c>
      <c r="J589" s="4">
        <v>0.85548611111110995</v>
      </c>
      <c r="K589" s="2">
        <v>0</v>
      </c>
      <c r="L589" t="s">
        <v>0</v>
      </c>
      <c r="M589" t="s">
        <v>7893</v>
      </c>
      <c r="N589" s="3">
        <v>43285</v>
      </c>
      <c r="O589" s="3">
        <v>43284</v>
      </c>
      <c r="P589" t="s">
        <v>133</v>
      </c>
      <c r="Q589" t="s">
        <v>4172</v>
      </c>
      <c r="R589" t="s">
        <v>820</v>
      </c>
      <c r="S589" s="3">
        <v>43285</v>
      </c>
      <c r="T589" t="s">
        <v>7894</v>
      </c>
      <c r="U589" t="s">
        <v>3158</v>
      </c>
      <c r="V589" t="s">
        <v>3159</v>
      </c>
      <c r="W589" t="s">
        <v>2434</v>
      </c>
      <c r="X589" s="2">
        <v>430</v>
      </c>
      <c r="Y589" t="s">
        <v>2</v>
      </c>
      <c r="Z589" t="s">
        <v>3</v>
      </c>
      <c r="AA589" s="5">
        <v>0</v>
      </c>
      <c r="AB589" t="s">
        <v>4</v>
      </c>
      <c r="AL589" t="s">
        <v>8545</v>
      </c>
    </row>
    <row r="590" spans="1:38">
      <c r="A590" t="s">
        <v>4155</v>
      </c>
      <c r="B590" t="s">
        <v>3213</v>
      </c>
      <c r="C590" t="s">
        <v>3156</v>
      </c>
      <c r="D590" t="s">
        <v>3157</v>
      </c>
      <c r="E590" s="2">
        <v>20446</v>
      </c>
      <c r="F590" s="2">
        <v>20446</v>
      </c>
      <c r="G590" s="3">
        <v>43278</v>
      </c>
      <c r="H590" s="4">
        <v>2.0833333333330002E-2</v>
      </c>
      <c r="I590" s="3">
        <v>43280</v>
      </c>
      <c r="J590" s="4">
        <v>2.0370370370400002E-3</v>
      </c>
      <c r="K590" s="2">
        <v>0</v>
      </c>
      <c r="L590" t="s">
        <v>0</v>
      </c>
      <c r="M590" t="s">
        <v>5166</v>
      </c>
      <c r="N590" s="3">
        <v>43287</v>
      </c>
      <c r="O590" s="3">
        <v>43287</v>
      </c>
      <c r="P590" t="s">
        <v>133</v>
      </c>
      <c r="Q590" t="s">
        <v>4173</v>
      </c>
      <c r="R590" t="s">
        <v>820</v>
      </c>
      <c r="S590" s="3">
        <v>43287</v>
      </c>
      <c r="T590" t="s">
        <v>7895</v>
      </c>
      <c r="U590" t="s">
        <v>3158</v>
      </c>
      <c r="V590" t="s">
        <v>3159</v>
      </c>
      <c r="W590" t="s">
        <v>2434</v>
      </c>
      <c r="X590" s="2">
        <v>430</v>
      </c>
      <c r="Y590" t="s">
        <v>2</v>
      </c>
      <c r="Z590" t="s">
        <v>3</v>
      </c>
      <c r="AA590" s="5">
        <v>0</v>
      </c>
      <c r="AB590" t="s">
        <v>4</v>
      </c>
      <c r="AL590" t="s">
        <v>8546</v>
      </c>
    </row>
    <row r="591" spans="1:38">
      <c r="A591" t="s">
        <v>4155</v>
      </c>
      <c r="B591" t="s">
        <v>5058</v>
      </c>
      <c r="C591" t="s">
        <v>3156</v>
      </c>
      <c r="D591" t="s">
        <v>3157</v>
      </c>
      <c r="E591" s="2">
        <v>20000</v>
      </c>
      <c r="F591" s="2">
        <v>20000</v>
      </c>
      <c r="G591" s="3">
        <v>43280</v>
      </c>
      <c r="H591" s="4">
        <v>2.287037037037E-2</v>
      </c>
      <c r="I591" s="3">
        <v>43281</v>
      </c>
      <c r="J591" s="4">
        <v>0.96085648148147995</v>
      </c>
      <c r="K591" s="2">
        <v>20</v>
      </c>
      <c r="L591" t="s">
        <v>0</v>
      </c>
      <c r="M591" t="s">
        <v>4159</v>
      </c>
      <c r="N591" s="3">
        <v>43304</v>
      </c>
      <c r="O591" s="3">
        <v>43288</v>
      </c>
      <c r="P591" t="s">
        <v>133</v>
      </c>
      <c r="Q591" t="s">
        <v>5059</v>
      </c>
      <c r="R591" t="s">
        <v>820</v>
      </c>
      <c r="S591" s="3">
        <v>43304</v>
      </c>
      <c r="T591" t="s">
        <v>7896</v>
      </c>
      <c r="U591" t="s">
        <v>3158</v>
      </c>
      <c r="V591" t="s">
        <v>3159</v>
      </c>
      <c r="W591" t="s">
        <v>2434</v>
      </c>
      <c r="X591" s="2">
        <v>430</v>
      </c>
      <c r="Y591" t="s">
        <v>2</v>
      </c>
      <c r="Z591" t="s">
        <v>3</v>
      </c>
      <c r="AA591" s="5">
        <v>0</v>
      </c>
      <c r="AB591" t="s">
        <v>17</v>
      </c>
      <c r="AL591" t="s">
        <v>8547</v>
      </c>
    </row>
    <row r="592" spans="1:38">
      <c r="A592" t="s">
        <v>4155</v>
      </c>
      <c r="B592" t="s">
        <v>7897</v>
      </c>
      <c r="C592" t="s">
        <v>5065</v>
      </c>
      <c r="D592" t="s">
        <v>5066</v>
      </c>
      <c r="E592" s="2">
        <v>2050</v>
      </c>
      <c r="F592" s="2">
        <v>2050</v>
      </c>
      <c r="G592" s="3">
        <v>43287</v>
      </c>
      <c r="H592" s="4">
        <v>2.0821759259260001E-2</v>
      </c>
      <c r="I592" s="3">
        <v>43287</v>
      </c>
      <c r="J592" s="4">
        <v>0.21946759259258999</v>
      </c>
      <c r="K592" s="2">
        <v>0</v>
      </c>
      <c r="L592" t="s">
        <v>0</v>
      </c>
      <c r="M592" t="s">
        <v>7898</v>
      </c>
      <c r="N592" s="3">
        <v>43292</v>
      </c>
      <c r="O592" s="3">
        <v>43294</v>
      </c>
      <c r="P592" t="s">
        <v>5067</v>
      </c>
      <c r="Q592" t="s">
        <v>7899</v>
      </c>
      <c r="R592" t="s">
        <v>820</v>
      </c>
      <c r="S592" s="3">
        <v>43292</v>
      </c>
      <c r="T592" t="s">
        <v>7900</v>
      </c>
      <c r="U592" t="s">
        <v>3158</v>
      </c>
      <c r="V592" t="s">
        <v>5068</v>
      </c>
      <c r="W592" t="s">
        <v>2434</v>
      </c>
      <c r="X592" s="2">
        <v>430</v>
      </c>
      <c r="Y592" t="s">
        <v>2</v>
      </c>
      <c r="Z592" t="s">
        <v>3</v>
      </c>
      <c r="AA592" s="5">
        <v>0</v>
      </c>
      <c r="AB592" t="s">
        <v>17</v>
      </c>
      <c r="AL592" t="s">
        <v>8548</v>
      </c>
    </row>
    <row r="593" spans="1:38">
      <c r="A593" t="s">
        <v>4155</v>
      </c>
      <c r="B593" t="s">
        <v>7901</v>
      </c>
      <c r="C593" t="s">
        <v>5065</v>
      </c>
      <c r="D593" t="s">
        <v>5066</v>
      </c>
      <c r="E593" s="2">
        <v>1000</v>
      </c>
      <c r="F593" s="2">
        <v>1000</v>
      </c>
      <c r="G593" s="3">
        <v>43287</v>
      </c>
      <c r="H593" s="4">
        <v>0.24030092592593</v>
      </c>
      <c r="I593" s="3">
        <v>43287</v>
      </c>
      <c r="J593" s="4">
        <v>0.33719907407407002</v>
      </c>
      <c r="K593" s="2">
        <v>0</v>
      </c>
      <c r="L593" t="s">
        <v>0</v>
      </c>
      <c r="M593" t="s">
        <v>5173</v>
      </c>
      <c r="N593" s="3">
        <v>43291</v>
      </c>
      <c r="O593" s="3">
        <v>43294</v>
      </c>
      <c r="P593" t="s">
        <v>5067</v>
      </c>
      <c r="Q593" t="s">
        <v>7902</v>
      </c>
      <c r="R593" t="s">
        <v>820</v>
      </c>
      <c r="S593" s="3">
        <v>43291</v>
      </c>
      <c r="T593" t="s">
        <v>7903</v>
      </c>
      <c r="U593" t="s">
        <v>3158</v>
      </c>
      <c r="V593" t="s">
        <v>5068</v>
      </c>
      <c r="W593" t="s">
        <v>2434</v>
      </c>
      <c r="X593" s="2">
        <v>430</v>
      </c>
      <c r="Y593" t="s">
        <v>2</v>
      </c>
      <c r="Z593" t="s">
        <v>3</v>
      </c>
      <c r="AA593" s="5">
        <v>0</v>
      </c>
      <c r="AB593" t="s">
        <v>17</v>
      </c>
      <c r="AL593" t="s">
        <v>8549</v>
      </c>
    </row>
    <row r="594" spans="1:38">
      <c r="A594" t="s">
        <v>4155</v>
      </c>
      <c r="B594" t="s">
        <v>5167</v>
      </c>
      <c r="C594" t="s">
        <v>5168</v>
      </c>
      <c r="D594" t="s">
        <v>5169</v>
      </c>
      <c r="E594" s="2">
        <v>2000</v>
      </c>
      <c r="F594" s="2">
        <v>2000</v>
      </c>
      <c r="G594" s="3">
        <v>43288</v>
      </c>
      <c r="H594" s="4">
        <v>0.80620370370369998</v>
      </c>
      <c r="I594" s="3">
        <v>43289</v>
      </c>
      <c r="J594" s="4">
        <v>0</v>
      </c>
      <c r="K594" s="2">
        <v>0</v>
      </c>
      <c r="L594" t="s">
        <v>0</v>
      </c>
      <c r="M594" t="s">
        <v>4158</v>
      </c>
      <c r="N594" s="3">
        <v>43291</v>
      </c>
      <c r="O594" s="3">
        <v>43290</v>
      </c>
      <c r="P594" t="s">
        <v>14</v>
      </c>
      <c r="Q594" t="s">
        <v>5170</v>
      </c>
      <c r="R594" t="s">
        <v>820</v>
      </c>
      <c r="S594" s="3">
        <v>43291</v>
      </c>
      <c r="T594" t="s">
        <v>7904</v>
      </c>
      <c r="U594" t="s">
        <v>2649</v>
      </c>
      <c r="V594" t="s">
        <v>5171</v>
      </c>
      <c r="W594" t="s">
        <v>2434</v>
      </c>
      <c r="X594" s="2">
        <v>430</v>
      </c>
      <c r="Y594" t="s">
        <v>2</v>
      </c>
      <c r="Z594" t="s">
        <v>3</v>
      </c>
      <c r="AA594" s="5">
        <v>0</v>
      </c>
      <c r="AB594" t="s">
        <v>17</v>
      </c>
      <c r="AL594" t="s">
        <v>8550</v>
      </c>
    </row>
    <row r="595" spans="1:38">
      <c r="A595" t="s">
        <v>4155</v>
      </c>
      <c r="B595" t="s">
        <v>4178</v>
      </c>
      <c r="C595" t="s">
        <v>4179</v>
      </c>
      <c r="D595" t="s">
        <v>4180</v>
      </c>
      <c r="E595" s="2">
        <v>5000</v>
      </c>
      <c r="F595" s="2">
        <v>5000</v>
      </c>
      <c r="G595" s="3">
        <v>43289</v>
      </c>
      <c r="H595" s="4">
        <v>0.51550925925926006</v>
      </c>
      <c r="I595" s="3">
        <v>43290</v>
      </c>
      <c r="J595" s="4">
        <v>0</v>
      </c>
      <c r="K595" s="2">
        <v>0</v>
      </c>
      <c r="L595" t="s">
        <v>0</v>
      </c>
      <c r="M595" t="s">
        <v>4156</v>
      </c>
      <c r="N595" s="3">
        <v>43292</v>
      </c>
      <c r="O595" s="3">
        <v>43291</v>
      </c>
      <c r="P595" t="s">
        <v>15</v>
      </c>
      <c r="Q595" t="s">
        <v>4181</v>
      </c>
      <c r="R595" t="s">
        <v>820</v>
      </c>
      <c r="S595" s="3">
        <v>43292</v>
      </c>
      <c r="T595" t="s">
        <v>7905</v>
      </c>
      <c r="U595" t="s">
        <v>3567</v>
      </c>
      <c r="V595" t="s">
        <v>4182</v>
      </c>
      <c r="W595" t="s">
        <v>2434</v>
      </c>
      <c r="X595" s="2">
        <v>430</v>
      </c>
      <c r="Y595" t="s">
        <v>2</v>
      </c>
      <c r="Z595" t="s">
        <v>3</v>
      </c>
      <c r="AA595" s="5">
        <v>0</v>
      </c>
      <c r="AB595" t="s">
        <v>17</v>
      </c>
      <c r="AL595" t="s">
        <v>8551</v>
      </c>
    </row>
    <row r="596" spans="1:38">
      <c r="A596" t="s">
        <v>4155</v>
      </c>
      <c r="B596" t="s">
        <v>7906</v>
      </c>
      <c r="C596" t="s">
        <v>3156</v>
      </c>
      <c r="D596" t="s">
        <v>3157</v>
      </c>
      <c r="E596" s="2">
        <v>18000</v>
      </c>
      <c r="F596" s="2">
        <v>18000</v>
      </c>
      <c r="G596" s="3">
        <v>43290</v>
      </c>
      <c r="H596" s="4">
        <v>0.38013888888889003</v>
      </c>
      <c r="I596" s="3">
        <v>43292</v>
      </c>
      <c r="J596" s="4">
        <v>0.1243287037037</v>
      </c>
      <c r="K596" s="2">
        <v>0</v>
      </c>
      <c r="L596" t="s">
        <v>0</v>
      </c>
      <c r="M596" t="s">
        <v>7907</v>
      </c>
      <c r="N596" s="3">
        <v>43300</v>
      </c>
      <c r="O596" s="3">
        <v>43299</v>
      </c>
      <c r="P596" t="s">
        <v>133</v>
      </c>
      <c r="Q596" t="s">
        <v>7908</v>
      </c>
      <c r="R596" t="s">
        <v>820</v>
      </c>
      <c r="S596" s="3">
        <v>43300</v>
      </c>
      <c r="T596" t="s">
        <v>7909</v>
      </c>
      <c r="U596" t="s">
        <v>3158</v>
      </c>
      <c r="V596" t="s">
        <v>3159</v>
      </c>
      <c r="W596" t="s">
        <v>2434</v>
      </c>
      <c r="X596" s="2">
        <v>430</v>
      </c>
      <c r="Y596" t="s">
        <v>2</v>
      </c>
      <c r="Z596" t="s">
        <v>3</v>
      </c>
      <c r="AA596" s="5">
        <v>0</v>
      </c>
      <c r="AB596" t="s">
        <v>17</v>
      </c>
      <c r="AL596" t="s">
        <v>8552</v>
      </c>
    </row>
    <row r="597" spans="1:38">
      <c r="A597" t="s">
        <v>4155</v>
      </c>
      <c r="B597" t="s">
        <v>4188</v>
      </c>
      <c r="C597" t="s">
        <v>4189</v>
      </c>
      <c r="D597" t="s">
        <v>4190</v>
      </c>
      <c r="E597" s="2">
        <v>5000</v>
      </c>
      <c r="F597" s="2">
        <v>5000</v>
      </c>
      <c r="G597" s="3">
        <v>43293</v>
      </c>
      <c r="H597" s="4">
        <v>0.51550925925926006</v>
      </c>
      <c r="I597" s="3">
        <v>43294</v>
      </c>
      <c r="J597" s="4">
        <v>0</v>
      </c>
      <c r="K597" s="2">
        <v>20</v>
      </c>
      <c r="L597" t="s">
        <v>0</v>
      </c>
      <c r="M597" t="s">
        <v>4156</v>
      </c>
      <c r="N597" s="3">
        <v>43327</v>
      </c>
      <c r="O597" s="3">
        <v>43295</v>
      </c>
      <c r="P597" t="s">
        <v>22</v>
      </c>
      <c r="Q597" t="s">
        <v>4191</v>
      </c>
      <c r="R597" t="s">
        <v>820</v>
      </c>
      <c r="S597" s="3">
        <v>43297</v>
      </c>
      <c r="T597" t="s">
        <v>7910</v>
      </c>
      <c r="U597" t="s">
        <v>2611</v>
      </c>
      <c r="V597" t="s">
        <v>4192</v>
      </c>
      <c r="W597" t="s">
        <v>2434</v>
      </c>
      <c r="X597" s="2">
        <v>430</v>
      </c>
      <c r="Y597" t="s">
        <v>2</v>
      </c>
      <c r="Z597" t="s">
        <v>3</v>
      </c>
      <c r="AA597" s="5">
        <v>0</v>
      </c>
      <c r="AB597" t="s">
        <v>17</v>
      </c>
      <c r="AL597" t="s">
        <v>8553</v>
      </c>
    </row>
    <row r="598" spans="1:38">
      <c r="A598" t="s">
        <v>4155</v>
      </c>
      <c r="B598" t="s">
        <v>7911</v>
      </c>
      <c r="C598" t="s">
        <v>7912</v>
      </c>
      <c r="D598" t="s">
        <v>7913</v>
      </c>
      <c r="E598" s="2">
        <v>500</v>
      </c>
      <c r="F598" s="2">
        <v>500</v>
      </c>
      <c r="G598" s="3">
        <v>43296</v>
      </c>
      <c r="H598" s="4">
        <v>0.95155092592593005</v>
      </c>
      <c r="I598" s="3">
        <v>43297</v>
      </c>
      <c r="J598" s="4">
        <v>0</v>
      </c>
      <c r="K598" s="2">
        <v>20</v>
      </c>
      <c r="L598" t="s">
        <v>0</v>
      </c>
      <c r="M598" t="s">
        <v>7914</v>
      </c>
      <c r="N598" s="3">
        <v>43299</v>
      </c>
      <c r="O598" s="3">
        <v>43298</v>
      </c>
      <c r="P598" t="s">
        <v>13</v>
      </c>
      <c r="Q598" t="s">
        <v>7915</v>
      </c>
      <c r="R598" t="s">
        <v>820</v>
      </c>
      <c r="S598" s="3">
        <v>43299</v>
      </c>
      <c r="U598" t="s">
        <v>3169</v>
      </c>
      <c r="V598">
        <v>111</v>
      </c>
      <c r="W598" t="s">
        <v>2434</v>
      </c>
      <c r="X598" s="2">
        <v>430</v>
      </c>
      <c r="Y598" t="s">
        <v>2</v>
      </c>
      <c r="Z598" t="s">
        <v>3</v>
      </c>
      <c r="AA598" s="5">
        <v>0</v>
      </c>
      <c r="AB598" t="s">
        <v>17</v>
      </c>
      <c r="AL598" t="s">
        <v>8605</v>
      </c>
    </row>
    <row r="599" spans="1:38">
      <c r="A599" t="s">
        <v>4155</v>
      </c>
      <c r="B599" t="s">
        <v>4183</v>
      </c>
      <c r="C599" t="s">
        <v>4184</v>
      </c>
      <c r="D599" t="s">
        <v>4185</v>
      </c>
      <c r="E599" s="2">
        <v>2000</v>
      </c>
      <c r="F599" s="2">
        <v>2000</v>
      </c>
      <c r="G599" s="3">
        <v>43297</v>
      </c>
      <c r="H599" s="4">
        <v>0.80620370370369998</v>
      </c>
      <c r="I599" s="3">
        <v>43298</v>
      </c>
      <c r="J599" s="4">
        <v>0</v>
      </c>
      <c r="K599" s="2">
        <v>20</v>
      </c>
      <c r="L599" t="s">
        <v>0</v>
      </c>
      <c r="M599" t="s">
        <v>4158</v>
      </c>
      <c r="N599" s="3">
        <v>43301</v>
      </c>
      <c r="O599" s="3">
        <v>43299</v>
      </c>
      <c r="P599" t="s">
        <v>13</v>
      </c>
      <c r="Q599" t="s">
        <v>4186</v>
      </c>
      <c r="R599" t="s">
        <v>820</v>
      </c>
      <c r="S599" s="3">
        <v>43301</v>
      </c>
      <c r="T599" t="s">
        <v>7916</v>
      </c>
      <c r="U599" t="s">
        <v>2626</v>
      </c>
      <c r="V599" t="s">
        <v>4187</v>
      </c>
      <c r="W599" t="s">
        <v>2434</v>
      </c>
      <c r="X599" s="2">
        <v>430</v>
      </c>
      <c r="Y599" t="s">
        <v>2</v>
      </c>
      <c r="Z599" t="s">
        <v>3</v>
      </c>
      <c r="AA599" s="5">
        <v>0</v>
      </c>
      <c r="AB599" t="s">
        <v>17</v>
      </c>
      <c r="AL599" t="s">
        <v>8554</v>
      </c>
    </row>
    <row r="600" spans="1:38">
      <c r="A600" t="s">
        <v>4155</v>
      </c>
      <c r="B600" t="s">
        <v>4193</v>
      </c>
      <c r="C600" t="s">
        <v>4189</v>
      </c>
      <c r="D600" t="s">
        <v>4190</v>
      </c>
      <c r="E600" s="2">
        <v>5000</v>
      </c>
      <c r="F600" s="2">
        <v>5000</v>
      </c>
      <c r="G600" s="3">
        <v>43298</v>
      </c>
      <c r="H600" s="4">
        <v>0.51550925925926006</v>
      </c>
      <c r="I600" s="3">
        <v>43299</v>
      </c>
      <c r="J600" s="4">
        <v>0</v>
      </c>
      <c r="K600" s="2">
        <v>20</v>
      </c>
      <c r="L600" t="s">
        <v>0</v>
      </c>
      <c r="M600" t="s">
        <v>4156</v>
      </c>
      <c r="N600" s="3">
        <v>43341</v>
      </c>
      <c r="O600" s="3">
        <v>43300</v>
      </c>
      <c r="P600" t="s">
        <v>22</v>
      </c>
      <c r="Q600" t="s">
        <v>4194</v>
      </c>
      <c r="R600" t="s">
        <v>820</v>
      </c>
      <c r="S600" s="3">
        <v>43341</v>
      </c>
      <c r="T600" t="s">
        <v>7917</v>
      </c>
      <c r="U600" t="s">
        <v>2611</v>
      </c>
      <c r="V600" t="s">
        <v>4192</v>
      </c>
      <c r="W600" t="s">
        <v>2434</v>
      </c>
      <c r="X600" s="2">
        <v>430</v>
      </c>
      <c r="Y600" t="s">
        <v>2</v>
      </c>
      <c r="Z600" t="s">
        <v>3</v>
      </c>
      <c r="AA600" s="5">
        <v>0</v>
      </c>
      <c r="AB600" t="s">
        <v>17</v>
      </c>
      <c r="AL600" t="s">
        <v>8555</v>
      </c>
    </row>
    <row r="601" spans="1:38">
      <c r="A601" t="s">
        <v>4195</v>
      </c>
      <c r="B601" t="s">
        <v>4160</v>
      </c>
      <c r="C601" t="s">
        <v>4161</v>
      </c>
      <c r="D601" t="s">
        <v>4162</v>
      </c>
      <c r="E601" s="5">
        <v>95.5</v>
      </c>
      <c r="F601" s="5">
        <v>5095.5</v>
      </c>
      <c r="G601" s="3">
        <v>43268</v>
      </c>
      <c r="H601" s="4">
        <v>0.97965277777778004</v>
      </c>
      <c r="I601" s="3">
        <v>43269</v>
      </c>
      <c r="J601" s="4">
        <v>0.45857638888889002</v>
      </c>
      <c r="K601" s="2">
        <v>0</v>
      </c>
      <c r="L601" t="s">
        <v>0</v>
      </c>
      <c r="M601" t="s">
        <v>4204</v>
      </c>
      <c r="N601" s="3">
        <v>43273</v>
      </c>
      <c r="O601" s="3">
        <v>43271</v>
      </c>
      <c r="P601" t="s">
        <v>13</v>
      </c>
      <c r="Q601" t="s">
        <v>1</v>
      </c>
      <c r="R601" t="s">
        <v>819</v>
      </c>
      <c r="S601" s="3"/>
      <c r="T601" t="s">
        <v>7918</v>
      </c>
      <c r="U601" t="s">
        <v>2702</v>
      </c>
      <c r="V601" t="s">
        <v>4163</v>
      </c>
      <c r="W601" t="s">
        <v>2434</v>
      </c>
      <c r="X601" s="2">
        <v>435</v>
      </c>
      <c r="Y601" t="s">
        <v>2</v>
      </c>
      <c r="Z601" t="s">
        <v>3</v>
      </c>
      <c r="AA601" s="5">
        <v>0</v>
      </c>
      <c r="AB601" t="s">
        <v>17</v>
      </c>
      <c r="AL601" t="s">
        <v>8556</v>
      </c>
    </row>
    <row r="602" spans="1:38">
      <c r="A602" t="s">
        <v>4195</v>
      </c>
      <c r="B602" t="s">
        <v>3779</v>
      </c>
      <c r="C602" t="s">
        <v>3471</v>
      </c>
      <c r="D602" t="s">
        <v>3472</v>
      </c>
      <c r="E602" s="5">
        <v>98.2</v>
      </c>
      <c r="F602" s="5">
        <v>3073.2</v>
      </c>
      <c r="G602" s="3">
        <v>43271</v>
      </c>
      <c r="H602" s="4">
        <v>0.23278935185185001</v>
      </c>
      <c r="I602" s="3">
        <v>43271</v>
      </c>
      <c r="J602" s="4">
        <v>0.52715277777778002</v>
      </c>
      <c r="K602" s="2">
        <v>20</v>
      </c>
      <c r="L602" t="s">
        <v>0</v>
      </c>
      <c r="M602" t="s">
        <v>7138</v>
      </c>
      <c r="N602" s="3">
        <v>43283</v>
      </c>
      <c r="O602" s="3">
        <v>43273</v>
      </c>
      <c r="P602" t="s">
        <v>3724</v>
      </c>
      <c r="Q602" t="s">
        <v>3781</v>
      </c>
      <c r="R602" t="s">
        <v>820</v>
      </c>
      <c r="S602" s="3">
        <v>43278</v>
      </c>
      <c r="T602" t="s">
        <v>7919</v>
      </c>
      <c r="U602">
        <v>420</v>
      </c>
      <c r="V602">
        <v>1001</v>
      </c>
      <c r="W602" t="s">
        <v>2434</v>
      </c>
      <c r="X602" s="2">
        <v>435</v>
      </c>
      <c r="Y602" t="s">
        <v>2</v>
      </c>
      <c r="Z602" t="s">
        <v>3</v>
      </c>
      <c r="AA602" s="5">
        <v>0</v>
      </c>
      <c r="AB602" t="s">
        <v>4</v>
      </c>
      <c r="AL602" t="s">
        <v>8557</v>
      </c>
    </row>
    <row r="603" spans="1:38">
      <c r="A603" t="s">
        <v>4195</v>
      </c>
      <c r="B603" t="s">
        <v>3782</v>
      </c>
      <c r="C603" t="s">
        <v>3761</v>
      </c>
      <c r="D603" t="s">
        <v>3762</v>
      </c>
      <c r="E603" s="2">
        <v>9342</v>
      </c>
      <c r="F603" s="2">
        <v>9342</v>
      </c>
      <c r="G603" s="3">
        <v>43271</v>
      </c>
      <c r="H603" s="4">
        <v>0.54798611111110995</v>
      </c>
      <c r="I603" s="3">
        <v>43272</v>
      </c>
      <c r="J603" s="4">
        <v>0.4428125</v>
      </c>
      <c r="K603" s="2">
        <v>20</v>
      </c>
      <c r="L603" t="s">
        <v>0</v>
      </c>
      <c r="M603" t="s">
        <v>7136</v>
      </c>
      <c r="N603" s="3">
        <v>43285</v>
      </c>
      <c r="O603" s="3">
        <v>43274</v>
      </c>
      <c r="P603" t="s">
        <v>3764</v>
      </c>
      <c r="Q603" t="s">
        <v>3783</v>
      </c>
      <c r="R603" t="s">
        <v>820</v>
      </c>
      <c r="S603" s="3">
        <v>43285</v>
      </c>
      <c r="T603" t="s">
        <v>7920</v>
      </c>
      <c r="U603" t="s">
        <v>3151</v>
      </c>
      <c r="V603">
        <v>1001</v>
      </c>
      <c r="W603" t="s">
        <v>2434</v>
      </c>
      <c r="X603" s="2">
        <v>435</v>
      </c>
      <c r="Y603" t="s">
        <v>2</v>
      </c>
      <c r="Z603" t="s">
        <v>3</v>
      </c>
      <c r="AA603" s="5">
        <v>0</v>
      </c>
      <c r="AB603" t="s">
        <v>4</v>
      </c>
      <c r="AL603" t="s">
        <v>8558</v>
      </c>
    </row>
    <row r="604" spans="1:38">
      <c r="A604" t="s">
        <v>4195</v>
      </c>
      <c r="B604" t="s">
        <v>3784</v>
      </c>
      <c r="C604" t="s">
        <v>3761</v>
      </c>
      <c r="D604" t="s">
        <v>3762</v>
      </c>
      <c r="E604" s="2">
        <v>5190</v>
      </c>
      <c r="F604" s="2">
        <v>5190</v>
      </c>
      <c r="G604" s="3">
        <v>43272</v>
      </c>
      <c r="H604" s="4">
        <v>0.46364583333332998</v>
      </c>
      <c r="I604" s="3">
        <v>43272</v>
      </c>
      <c r="J604" s="4">
        <v>0.96077546296296001</v>
      </c>
      <c r="K604" s="2">
        <v>0</v>
      </c>
      <c r="L604" t="s">
        <v>0</v>
      </c>
      <c r="M604" t="s">
        <v>7137</v>
      </c>
      <c r="N604" s="3">
        <v>43285</v>
      </c>
      <c r="O604" s="3">
        <v>43274</v>
      </c>
      <c r="P604" t="s">
        <v>3764</v>
      </c>
      <c r="Q604" t="s">
        <v>3786</v>
      </c>
      <c r="R604" t="s">
        <v>820</v>
      </c>
      <c r="S604" s="3">
        <v>43285</v>
      </c>
      <c r="T604" t="s">
        <v>7921</v>
      </c>
      <c r="U604" t="s">
        <v>3151</v>
      </c>
      <c r="V604">
        <v>1001</v>
      </c>
      <c r="W604" t="s">
        <v>2434</v>
      </c>
      <c r="X604" s="2">
        <v>435</v>
      </c>
      <c r="Y604" t="s">
        <v>2</v>
      </c>
      <c r="Z604" t="s">
        <v>3</v>
      </c>
      <c r="AA604" s="5">
        <v>0</v>
      </c>
      <c r="AB604" t="s">
        <v>4</v>
      </c>
      <c r="AL604" t="s">
        <v>8559</v>
      </c>
    </row>
    <row r="605" spans="1:38">
      <c r="A605" t="s">
        <v>4195</v>
      </c>
      <c r="B605" t="s">
        <v>7065</v>
      </c>
      <c r="C605" t="s">
        <v>7066</v>
      </c>
      <c r="D605" t="s">
        <v>7067</v>
      </c>
      <c r="E605" s="2">
        <v>4152</v>
      </c>
      <c r="F605" s="2">
        <v>4152</v>
      </c>
      <c r="G605" s="3">
        <v>43273</v>
      </c>
      <c r="H605" s="4">
        <v>2.0833333333330002E-2</v>
      </c>
      <c r="I605" s="3">
        <v>43273</v>
      </c>
      <c r="J605" s="4">
        <v>0.41853009259259</v>
      </c>
      <c r="K605" s="2">
        <v>20</v>
      </c>
      <c r="L605" t="s">
        <v>0</v>
      </c>
      <c r="M605" t="s">
        <v>5175</v>
      </c>
      <c r="N605" s="3">
        <v>43280</v>
      </c>
      <c r="O605" s="3">
        <v>43280</v>
      </c>
      <c r="P605" t="s">
        <v>133</v>
      </c>
      <c r="Q605" t="s">
        <v>7068</v>
      </c>
      <c r="R605" t="s">
        <v>820</v>
      </c>
      <c r="S605" s="3">
        <v>43280</v>
      </c>
      <c r="T605" t="s">
        <v>7922</v>
      </c>
      <c r="U605" t="s">
        <v>3151</v>
      </c>
      <c r="V605" t="s">
        <v>7069</v>
      </c>
      <c r="W605" t="s">
        <v>2434</v>
      </c>
      <c r="X605" s="2">
        <v>435</v>
      </c>
      <c r="Y605" t="s">
        <v>2</v>
      </c>
      <c r="Z605" t="s">
        <v>3</v>
      </c>
      <c r="AA605" s="5">
        <v>0</v>
      </c>
      <c r="AB605" t="s">
        <v>4</v>
      </c>
      <c r="AL605" t="s">
        <v>8560</v>
      </c>
    </row>
    <row r="606" spans="1:38">
      <c r="A606" t="s">
        <v>4195</v>
      </c>
      <c r="B606" t="s">
        <v>5801</v>
      </c>
      <c r="C606" t="s">
        <v>3147</v>
      </c>
      <c r="D606" t="s">
        <v>3148</v>
      </c>
      <c r="E606" s="2">
        <v>2076</v>
      </c>
      <c r="F606" s="2">
        <v>2076</v>
      </c>
      <c r="G606" s="3">
        <v>43273</v>
      </c>
      <c r="H606" s="4">
        <v>0.43936342592592997</v>
      </c>
      <c r="I606" s="3">
        <v>43273</v>
      </c>
      <c r="J606" s="4">
        <v>0.63821759259259003</v>
      </c>
      <c r="K606" s="2">
        <v>0</v>
      </c>
      <c r="L606" t="s">
        <v>0</v>
      </c>
      <c r="M606" t="s">
        <v>4197</v>
      </c>
      <c r="N606" s="3">
        <v>43285</v>
      </c>
      <c r="O606" s="3">
        <v>43275</v>
      </c>
      <c r="P606" t="s">
        <v>3150</v>
      </c>
      <c r="Q606" t="s">
        <v>5802</v>
      </c>
      <c r="R606" t="s">
        <v>820</v>
      </c>
      <c r="S606" s="3">
        <v>43278</v>
      </c>
      <c r="T606" t="s">
        <v>7923</v>
      </c>
      <c r="U606" t="s">
        <v>3151</v>
      </c>
      <c r="V606" t="s">
        <v>3152</v>
      </c>
      <c r="W606" t="s">
        <v>2434</v>
      </c>
      <c r="X606" s="2">
        <v>435</v>
      </c>
      <c r="Y606" t="s">
        <v>2</v>
      </c>
      <c r="Z606" t="s">
        <v>3</v>
      </c>
      <c r="AA606" s="5">
        <v>0</v>
      </c>
      <c r="AB606" t="s">
        <v>4</v>
      </c>
      <c r="AL606" t="s">
        <v>8561</v>
      </c>
    </row>
    <row r="607" spans="1:38">
      <c r="A607" t="s">
        <v>4195</v>
      </c>
      <c r="B607" t="s">
        <v>5803</v>
      </c>
      <c r="C607" t="s">
        <v>5804</v>
      </c>
      <c r="D607" t="s">
        <v>5805</v>
      </c>
      <c r="E607" s="5">
        <v>2582.5</v>
      </c>
      <c r="F607" s="5">
        <v>2582.5</v>
      </c>
      <c r="G607" s="3">
        <v>43273</v>
      </c>
      <c r="H607" s="4">
        <v>0.65905092592592995</v>
      </c>
      <c r="I607" s="3">
        <v>43273</v>
      </c>
      <c r="J607" s="4">
        <v>0.90641203703703999</v>
      </c>
      <c r="K607" s="2">
        <v>20</v>
      </c>
      <c r="L607" t="s">
        <v>0</v>
      </c>
      <c r="M607" t="s">
        <v>7134</v>
      </c>
      <c r="N607" s="3">
        <v>43292</v>
      </c>
      <c r="O607" s="3">
        <v>43280</v>
      </c>
      <c r="P607" t="s">
        <v>13</v>
      </c>
      <c r="Q607" t="s">
        <v>5806</v>
      </c>
      <c r="R607" t="s">
        <v>820</v>
      </c>
      <c r="S607" s="3">
        <v>43292</v>
      </c>
      <c r="T607" t="s">
        <v>7924</v>
      </c>
      <c r="U607" t="s">
        <v>3158</v>
      </c>
      <c r="V607" t="s">
        <v>5807</v>
      </c>
      <c r="W607" t="s">
        <v>2434</v>
      </c>
      <c r="X607" s="2">
        <v>435</v>
      </c>
      <c r="Y607" t="s">
        <v>2</v>
      </c>
      <c r="Z607" t="s">
        <v>3</v>
      </c>
      <c r="AA607" s="5">
        <v>0</v>
      </c>
      <c r="AB607" t="s">
        <v>4</v>
      </c>
      <c r="AL607" t="s">
        <v>8562</v>
      </c>
    </row>
    <row r="608" spans="1:38">
      <c r="A608" t="s">
        <v>4195</v>
      </c>
      <c r="B608" t="s">
        <v>4208</v>
      </c>
      <c r="C608" t="s">
        <v>4202</v>
      </c>
      <c r="D608" t="s">
        <v>4203</v>
      </c>
      <c r="E608" s="2">
        <v>37</v>
      </c>
      <c r="F608" s="2">
        <v>1037</v>
      </c>
      <c r="G608" s="3">
        <v>43273</v>
      </c>
      <c r="H608" s="4">
        <v>0.92724537037037003</v>
      </c>
      <c r="I608" s="3">
        <v>43274</v>
      </c>
      <c r="J608" s="4">
        <v>2.657407407407E-2</v>
      </c>
      <c r="K608" s="2">
        <v>0</v>
      </c>
      <c r="L608" t="s">
        <v>0</v>
      </c>
      <c r="M608" t="s">
        <v>7135</v>
      </c>
      <c r="N608" s="3">
        <v>43285</v>
      </c>
      <c r="O608" s="3">
        <v>43276</v>
      </c>
      <c r="P608" t="s">
        <v>3150</v>
      </c>
      <c r="Q608" t="s">
        <v>1</v>
      </c>
      <c r="R608" t="s">
        <v>819</v>
      </c>
      <c r="S608" s="3"/>
      <c r="T608" t="s">
        <v>7925</v>
      </c>
      <c r="U608" t="s">
        <v>4063</v>
      </c>
      <c r="V608">
        <v>78211</v>
      </c>
      <c r="W608" t="s">
        <v>2434</v>
      </c>
      <c r="X608" s="2">
        <v>435</v>
      </c>
      <c r="Y608" t="s">
        <v>2</v>
      </c>
      <c r="Z608" t="s">
        <v>3</v>
      </c>
      <c r="AA608" s="5">
        <v>0</v>
      </c>
      <c r="AB608" t="s">
        <v>4</v>
      </c>
      <c r="AL608" t="s">
        <v>8563</v>
      </c>
    </row>
    <row r="609" spans="1:38">
      <c r="A609" t="s">
        <v>4195</v>
      </c>
      <c r="B609" t="s">
        <v>5623</v>
      </c>
      <c r="C609" t="s">
        <v>4060</v>
      </c>
      <c r="D609" t="s">
        <v>4061</v>
      </c>
      <c r="E609" s="2">
        <v>12444</v>
      </c>
      <c r="F609" s="2">
        <v>12444</v>
      </c>
      <c r="G609" s="3">
        <v>43274</v>
      </c>
      <c r="H609" s="4">
        <v>4.740740740741E-2</v>
      </c>
      <c r="I609" s="3">
        <v>43275</v>
      </c>
      <c r="J609" s="4">
        <v>0.23936342592592999</v>
      </c>
      <c r="K609" s="2">
        <v>20</v>
      </c>
      <c r="L609" t="s">
        <v>0</v>
      </c>
      <c r="M609" t="s">
        <v>7926</v>
      </c>
      <c r="N609" s="3">
        <v>43298</v>
      </c>
      <c r="O609" s="3">
        <v>43277</v>
      </c>
      <c r="P609" t="s">
        <v>13</v>
      </c>
      <c r="Q609" t="s">
        <v>5624</v>
      </c>
      <c r="R609" t="s">
        <v>820</v>
      </c>
      <c r="S609" s="3">
        <v>43298</v>
      </c>
      <c r="T609" t="s">
        <v>7927</v>
      </c>
      <c r="U609" t="s">
        <v>4063</v>
      </c>
      <c r="V609">
        <v>7001</v>
      </c>
      <c r="W609" t="s">
        <v>2434</v>
      </c>
      <c r="X609" s="2">
        <v>435</v>
      </c>
      <c r="Y609" t="s">
        <v>2</v>
      </c>
      <c r="Z609" t="s">
        <v>3</v>
      </c>
      <c r="AA609" s="5">
        <v>0</v>
      </c>
      <c r="AB609" t="s">
        <v>4</v>
      </c>
      <c r="AL609" t="s">
        <v>8564</v>
      </c>
    </row>
    <row r="610" spans="1:38">
      <c r="A610" t="s">
        <v>4195</v>
      </c>
      <c r="B610" t="s">
        <v>5610</v>
      </c>
      <c r="C610" t="s">
        <v>5611</v>
      </c>
      <c r="D610" t="s">
        <v>5612</v>
      </c>
      <c r="E610" s="2">
        <v>2050</v>
      </c>
      <c r="F610" s="2">
        <v>2050</v>
      </c>
      <c r="G610" s="3">
        <v>43275</v>
      </c>
      <c r="H610" s="4">
        <v>0.26019675925926</v>
      </c>
      <c r="I610" s="3">
        <v>43275</v>
      </c>
      <c r="J610" s="4">
        <v>0.45656249999999998</v>
      </c>
      <c r="K610" s="2">
        <v>20</v>
      </c>
      <c r="L610" t="s">
        <v>0</v>
      </c>
      <c r="M610" t="s">
        <v>7928</v>
      </c>
      <c r="N610" s="3">
        <v>43304</v>
      </c>
      <c r="O610" s="3">
        <v>43277</v>
      </c>
      <c r="P610" t="s">
        <v>13</v>
      </c>
      <c r="Q610" t="s">
        <v>5613</v>
      </c>
      <c r="R610" t="s">
        <v>820</v>
      </c>
      <c r="S610" s="3">
        <v>43279</v>
      </c>
      <c r="T610" t="s">
        <v>7929</v>
      </c>
      <c r="U610" t="s">
        <v>3709</v>
      </c>
      <c r="V610" t="s">
        <v>5614</v>
      </c>
      <c r="W610" t="s">
        <v>2434</v>
      </c>
      <c r="X610" s="2">
        <v>435</v>
      </c>
      <c r="Y610" t="s">
        <v>2</v>
      </c>
      <c r="Z610" t="s">
        <v>3</v>
      </c>
      <c r="AA610" s="5">
        <v>0</v>
      </c>
      <c r="AB610" t="s">
        <v>4</v>
      </c>
      <c r="AL610" t="s">
        <v>8565</v>
      </c>
    </row>
    <row r="611" spans="1:38">
      <c r="A611" t="s">
        <v>4195</v>
      </c>
      <c r="B611" t="s">
        <v>7139</v>
      </c>
      <c r="C611" t="s">
        <v>3170</v>
      </c>
      <c r="D611" t="s">
        <v>3171</v>
      </c>
      <c r="E611" s="5">
        <v>1037.3</v>
      </c>
      <c r="F611" s="5">
        <v>1037.3</v>
      </c>
      <c r="G611" s="3">
        <v>43275</v>
      </c>
      <c r="H611" s="4">
        <v>0.47739583333333002</v>
      </c>
      <c r="I611" s="3">
        <v>43275</v>
      </c>
      <c r="J611" s="4">
        <v>0.57675925925925997</v>
      </c>
      <c r="K611" s="2">
        <v>0</v>
      </c>
      <c r="L611" t="s">
        <v>0</v>
      </c>
      <c r="M611" t="s">
        <v>5174</v>
      </c>
      <c r="N611" s="3">
        <v>43286</v>
      </c>
      <c r="O611" s="3">
        <v>43282</v>
      </c>
      <c r="P611" t="s">
        <v>9</v>
      </c>
      <c r="Q611" t="s">
        <v>7140</v>
      </c>
      <c r="R611" t="s">
        <v>820</v>
      </c>
      <c r="S611" s="3">
        <v>43286</v>
      </c>
      <c r="T611" t="s">
        <v>7930</v>
      </c>
      <c r="U611" t="s">
        <v>2649</v>
      </c>
      <c r="V611" t="s">
        <v>3172</v>
      </c>
      <c r="W611" t="s">
        <v>2434</v>
      </c>
      <c r="X611" s="2">
        <v>435</v>
      </c>
      <c r="Y611" t="s">
        <v>2</v>
      </c>
      <c r="Z611" t="s">
        <v>3</v>
      </c>
      <c r="AA611" s="5">
        <v>0</v>
      </c>
      <c r="AB611" t="s">
        <v>4</v>
      </c>
      <c r="AL611" t="s">
        <v>8566</v>
      </c>
    </row>
    <row r="612" spans="1:38">
      <c r="A612" t="s">
        <v>4195</v>
      </c>
      <c r="B612" t="s">
        <v>4206</v>
      </c>
      <c r="C612" t="s">
        <v>18</v>
      </c>
      <c r="D612" t="s">
        <v>19</v>
      </c>
      <c r="E612" s="5">
        <v>4088.8</v>
      </c>
      <c r="F612" s="5">
        <v>4088.8</v>
      </c>
      <c r="G612" s="3">
        <v>43275</v>
      </c>
      <c r="H612" s="4">
        <v>0.59759259259259001</v>
      </c>
      <c r="I612" s="3">
        <v>43275</v>
      </c>
      <c r="J612" s="4">
        <v>0.98923611111110998</v>
      </c>
      <c r="K612" s="2">
        <v>0</v>
      </c>
      <c r="L612" t="s">
        <v>0</v>
      </c>
      <c r="M612" t="s">
        <v>7931</v>
      </c>
      <c r="N612" s="3">
        <v>43291</v>
      </c>
      <c r="O612" s="3">
        <v>43282</v>
      </c>
      <c r="P612" t="s">
        <v>12</v>
      </c>
      <c r="Q612" t="s">
        <v>4207</v>
      </c>
      <c r="R612" t="s">
        <v>820</v>
      </c>
      <c r="S612" s="3">
        <v>43291</v>
      </c>
      <c r="T612" t="s">
        <v>7932</v>
      </c>
      <c r="U612" t="s">
        <v>3174</v>
      </c>
      <c r="V612" t="s">
        <v>4196</v>
      </c>
      <c r="W612" t="s">
        <v>2434</v>
      </c>
      <c r="X612" s="2">
        <v>435</v>
      </c>
      <c r="Y612" t="s">
        <v>2</v>
      </c>
      <c r="Z612" t="s">
        <v>3</v>
      </c>
      <c r="AA612" s="5">
        <v>0</v>
      </c>
      <c r="AB612" t="s">
        <v>4</v>
      </c>
      <c r="AL612" t="s">
        <v>8567</v>
      </c>
    </row>
    <row r="613" spans="1:38">
      <c r="A613" t="s">
        <v>4195</v>
      </c>
      <c r="B613" t="s">
        <v>5605</v>
      </c>
      <c r="C613" t="s">
        <v>5606</v>
      </c>
      <c r="D613" t="s">
        <v>5607</v>
      </c>
      <c r="E613" s="2">
        <v>2045</v>
      </c>
      <c r="F613" s="2">
        <v>2045</v>
      </c>
      <c r="G613" s="3">
        <v>43276</v>
      </c>
      <c r="H613" s="4">
        <v>2.0833333333330002E-2</v>
      </c>
      <c r="I613" s="3">
        <v>43276</v>
      </c>
      <c r="J613" s="4">
        <v>0.21671296296296</v>
      </c>
      <c r="K613" s="2">
        <v>20</v>
      </c>
      <c r="L613" t="s">
        <v>0</v>
      </c>
      <c r="M613" t="s">
        <v>7933</v>
      </c>
      <c r="N613" s="3">
        <v>43283</v>
      </c>
      <c r="O613" s="3">
        <v>43278</v>
      </c>
      <c r="P613" t="s">
        <v>7</v>
      </c>
      <c r="Q613" t="s">
        <v>5609</v>
      </c>
      <c r="R613" t="s">
        <v>820</v>
      </c>
      <c r="S613" s="3">
        <v>43283</v>
      </c>
      <c r="T613" t="s">
        <v>7934</v>
      </c>
      <c r="U613" t="s">
        <v>3212</v>
      </c>
      <c r="V613">
        <v>701</v>
      </c>
      <c r="W613" t="s">
        <v>2434</v>
      </c>
      <c r="X613" s="2">
        <v>435</v>
      </c>
      <c r="Y613" t="s">
        <v>2</v>
      </c>
      <c r="Z613" t="s">
        <v>3</v>
      </c>
      <c r="AA613" s="5">
        <v>0</v>
      </c>
      <c r="AB613" t="s">
        <v>4</v>
      </c>
      <c r="AL613" t="s">
        <v>8568</v>
      </c>
    </row>
    <row r="614" spans="1:38">
      <c r="A614" t="s">
        <v>4195</v>
      </c>
      <c r="B614" t="s">
        <v>5625</v>
      </c>
      <c r="C614" t="s">
        <v>5150</v>
      </c>
      <c r="D614" t="s">
        <v>5151</v>
      </c>
      <c r="E614" s="2">
        <v>2000</v>
      </c>
      <c r="F614" s="2">
        <v>2000</v>
      </c>
      <c r="G614" s="3">
        <v>43276</v>
      </c>
      <c r="H614" s="4">
        <v>0.2375462962963</v>
      </c>
      <c r="I614" s="3">
        <v>43276</v>
      </c>
      <c r="J614" s="4">
        <v>0.42912037037036999</v>
      </c>
      <c r="K614" s="2">
        <v>0</v>
      </c>
      <c r="L614" t="s">
        <v>0</v>
      </c>
      <c r="M614" t="s">
        <v>5608</v>
      </c>
      <c r="N614" s="3">
        <v>43290</v>
      </c>
      <c r="O614" s="3">
        <v>43278</v>
      </c>
      <c r="P614" t="s">
        <v>8</v>
      </c>
      <c r="Q614" t="s">
        <v>5626</v>
      </c>
      <c r="R614" t="s">
        <v>820</v>
      </c>
      <c r="S614" s="3">
        <v>43290</v>
      </c>
      <c r="T614" t="s">
        <v>7935</v>
      </c>
      <c r="U614" t="s">
        <v>5153</v>
      </c>
      <c r="V614" t="s">
        <v>5154</v>
      </c>
      <c r="W614" t="s">
        <v>2434</v>
      </c>
      <c r="X614" s="2">
        <v>435</v>
      </c>
      <c r="Y614" t="s">
        <v>2</v>
      </c>
      <c r="Z614" t="s">
        <v>3</v>
      </c>
      <c r="AA614" s="5">
        <v>0</v>
      </c>
      <c r="AB614" t="s">
        <v>4</v>
      </c>
      <c r="AL614" t="s">
        <v>8569</v>
      </c>
    </row>
    <row r="615" spans="1:38">
      <c r="A615" t="s">
        <v>4195</v>
      </c>
      <c r="B615" t="s">
        <v>5619</v>
      </c>
      <c r="C615" t="s">
        <v>5620</v>
      </c>
      <c r="D615" t="s">
        <v>5621</v>
      </c>
      <c r="E615" s="2">
        <v>2085</v>
      </c>
      <c r="F615" s="2">
        <v>2085</v>
      </c>
      <c r="G615" s="3">
        <v>43276</v>
      </c>
      <c r="H615" s="4">
        <v>0.47078703703704</v>
      </c>
      <c r="I615" s="3">
        <v>43276</v>
      </c>
      <c r="J615" s="4">
        <v>0.67049768518519004</v>
      </c>
      <c r="K615" s="2">
        <v>0</v>
      </c>
      <c r="L615" t="s">
        <v>0</v>
      </c>
      <c r="M615" t="s">
        <v>7936</v>
      </c>
      <c r="N615" s="3">
        <v>43290</v>
      </c>
      <c r="O615" s="3">
        <v>43278</v>
      </c>
      <c r="P615" t="s">
        <v>27</v>
      </c>
      <c r="Q615" t="s">
        <v>5622</v>
      </c>
      <c r="R615" t="s">
        <v>820</v>
      </c>
      <c r="S615" s="3">
        <v>43290</v>
      </c>
      <c r="T615" t="s">
        <v>7937</v>
      </c>
      <c r="U615" t="s">
        <v>2484</v>
      </c>
      <c r="V615" t="s">
        <v>3480</v>
      </c>
      <c r="W615" t="s">
        <v>2434</v>
      </c>
      <c r="X615" s="2">
        <v>435</v>
      </c>
      <c r="Y615" t="s">
        <v>2</v>
      </c>
      <c r="Z615" t="s">
        <v>3</v>
      </c>
      <c r="AA615" s="5">
        <v>0</v>
      </c>
      <c r="AB615" t="s">
        <v>4</v>
      </c>
      <c r="AL615" t="s">
        <v>8570</v>
      </c>
    </row>
    <row r="616" spans="1:38">
      <c r="A616" t="s">
        <v>4195</v>
      </c>
      <c r="B616" t="s">
        <v>5615</v>
      </c>
      <c r="C616" t="s">
        <v>5616</v>
      </c>
      <c r="D616" t="s">
        <v>5617</v>
      </c>
      <c r="E616" s="5">
        <v>2050.1999999999998</v>
      </c>
      <c r="F616" s="5">
        <v>2050.1999999999998</v>
      </c>
      <c r="G616" s="3">
        <v>43276</v>
      </c>
      <c r="H616" s="4">
        <v>0.69501157407406999</v>
      </c>
      <c r="I616" s="3">
        <v>43276</v>
      </c>
      <c r="J616" s="4">
        <v>0.89138888888889001</v>
      </c>
      <c r="K616" s="2">
        <v>20</v>
      </c>
      <c r="L616" t="s">
        <v>0</v>
      </c>
      <c r="M616" t="s">
        <v>7938</v>
      </c>
      <c r="N616" s="3">
        <v>43312</v>
      </c>
      <c r="O616" s="3">
        <v>43278</v>
      </c>
      <c r="P616" t="s">
        <v>9</v>
      </c>
      <c r="Q616" t="s">
        <v>5618</v>
      </c>
      <c r="R616" t="s">
        <v>820</v>
      </c>
      <c r="S616" s="3">
        <v>43312</v>
      </c>
      <c r="T616" t="s">
        <v>7939</v>
      </c>
      <c r="U616" t="s">
        <v>3652</v>
      </c>
      <c r="V616">
        <v>701</v>
      </c>
      <c r="W616" t="s">
        <v>2434</v>
      </c>
      <c r="X616" s="2">
        <v>435</v>
      </c>
      <c r="Y616" t="s">
        <v>2</v>
      </c>
      <c r="Z616" t="s">
        <v>3</v>
      </c>
      <c r="AA616" s="5">
        <v>0</v>
      </c>
      <c r="AB616" t="s">
        <v>4</v>
      </c>
      <c r="AL616" t="s">
        <v>8571</v>
      </c>
    </row>
    <row r="617" spans="1:38">
      <c r="A617" t="s">
        <v>4195</v>
      </c>
      <c r="B617" t="s">
        <v>4116</v>
      </c>
      <c r="C617" t="s">
        <v>4055</v>
      </c>
      <c r="D617" t="s">
        <v>4056</v>
      </c>
      <c r="E617" s="2">
        <v>10303</v>
      </c>
      <c r="F617" s="2">
        <v>10303</v>
      </c>
      <c r="G617" s="3">
        <v>43277</v>
      </c>
      <c r="H617" s="4">
        <v>4.1666666666670002E-2</v>
      </c>
      <c r="I617" s="3">
        <v>43278</v>
      </c>
      <c r="J617" s="4">
        <v>2.8541666666670001E-2</v>
      </c>
      <c r="K617" s="2">
        <v>20</v>
      </c>
      <c r="L617" t="s">
        <v>0</v>
      </c>
      <c r="M617" t="s">
        <v>7940</v>
      </c>
      <c r="N617" s="3">
        <v>43284</v>
      </c>
      <c r="O617" s="3">
        <v>43280</v>
      </c>
      <c r="P617" t="s">
        <v>6</v>
      </c>
      <c r="Q617" t="s">
        <v>4117</v>
      </c>
      <c r="R617" t="s">
        <v>820</v>
      </c>
      <c r="S617" s="3">
        <v>43284</v>
      </c>
      <c r="T617" t="s">
        <v>7941</v>
      </c>
      <c r="U617" t="s">
        <v>2611</v>
      </c>
      <c r="V617" t="s">
        <v>4057</v>
      </c>
      <c r="W617" t="s">
        <v>2434</v>
      </c>
      <c r="X617" s="2">
        <v>435</v>
      </c>
      <c r="Y617" t="s">
        <v>2</v>
      </c>
      <c r="Z617" t="s">
        <v>3</v>
      </c>
      <c r="AA617" s="5">
        <v>0</v>
      </c>
      <c r="AB617" t="s">
        <v>4</v>
      </c>
      <c r="AL617" t="s">
        <v>8572</v>
      </c>
    </row>
    <row r="618" spans="1:38">
      <c r="A618" t="s">
        <v>4195</v>
      </c>
      <c r="B618" t="s">
        <v>4120</v>
      </c>
      <c r="C618" t="s">
        <v>3143</v>
      </c>
      <c r="D618" t="s">
        <v>3144</v>
      </c>
      <c r="E618" s="2">
        <v>5000</v>
      </c>
      <c r="F618" s="2">
        <v>5000</v>
      </c>
      <c r="G618" s="3">
        <v>43278</v>
      </c>
      <c r="H618" s="4">
        <v>0.111875</v>
      </c>
      <c r="I618" s="3">
        <v>43278</v>
      </c>
      <c r="J618" s="4">
        <v>0.59079861111110998</v>
      </c>
      <c r="K618" s="2">
        <v>0</v>
      </c>
      <c r="L618" t="s">
        <v>0</v>
      </c>
      <c r="M618" t="s">
        <v>4204</v>
      </c>
      <c r="N618" s="3">
        <v>43285</v>
      </c>
      <c r="O618" s="3">
        <v>43280</v>
      </c>
      <c r="P618" t="s">
        <v>3146</v>
      </c>
      <c r="Q618" t="s">
        <v>4121</v>
      </c>
      <c r="R618" t="s">
        <v>820</v>
      </c>
      <c r="S618" s="3">
        <v>43285</v>
      </c>
      <c r="T618" t="s">
        <v>7942</v>
      </c>
      <c r="U618">
        <v>325</v>
      </c>
      <c r="V618">
        <v>1001</v>
      </c>
      <c r="W618" t="s">
        <v>2434</v>
      </c>
      <c r="X618" s="2">
        <v>435</v>
      </c>
      <c r="Y618" t="s">
        <v>2</v>
      </c>
      <c r="Z618" t="s">
        <v>3</v>
      </c>
      <c r="AA618" s="5">
        <v>0</v>
      </c>
      <c r="AB618" t="s">
        <v>17</v>
      </c>
      <c r="AL618" t="s">
        <v>8573</v>
      </c>
    </row>
    <row r="619" spans="1:38">
      <c r="A619" t="s">
        <v>4195</v>
      </c>
      <c r="B619" t="s">
        <v>5627</v>
      </c>
      <c r="C619" t="s">
        <v>5628</v>
      </c>
      <c r="D619" t="s">
        <v>5629</v>
      </c>
      <c r="E619" s="2">
        <v>2000</v>
      </c>
      <c r="F619" s="2">
        <v>2000</v>
      </c>
      <c r="G619" s="3">
        <v>43279</v>
      </c>
      <c r="H619" s="4">
        <v>0.45833333333332998</v>
      </c>
      <c r="I619" s="3">
        <v>43279</v>
      </c>
      <c r="J619" s="4">
        <v>0.64990740740741004</v>
      </c>
      <c r="K619" s="2">
        <v>0</v>
      </c>
      <c r="L619" t="s">
        <v>0</v>
      </c>
      <c r="M619" t="s">
        <v>5608</v>
      </c>
      <c r="N619" s="3">
        <v>43291</v>
      </c>
      <c r="O619" s="3">
        <v>43281</v>
      </c>
      <c r="P619" t="s">
        <v>5630</v>
      </c>
      <c r="Q619" t="s">
        <v>5631</v>
      </c>
      <c r="R619" t="s">
        <v>820</v>
      </c>
      <c r="S619" s="3">
        <v>43291</v>
      </c>
      <c r="T619" t="s">
        <v>7943</v>
      </c>
      <c r="U619" t="s">
        <v>2535</v>
      </c>
      <c r="V619" t="s">
        <v>5632</v>
      </c>
      <c r="W619" t="s">
        <v>2434</v>
      </c>
      <c r="X619" s="2">
        <v>435</v>
      </c>
      <c r="Y619" t="s">
        <v>2</v>
      </c>
      <c r="Z619" t="s">
        <v>3</v>
      </c>
      <c r="AA619" s="5">
        <v>0</v>
      </c>
      <c r="AB619" t="s">
        <v>17</v>
      </c>
      <c r="AL619" t="s">
        <v>8574</v>
      </c>
    </row>
    <row r="620" spans="1:38">
      <c r="A620" t="s">
        <v>4195</v>
      </c>
      <c r="B620" t="s">
        <v>5635</v>
      </c>
      <c r="C620" t="s">
        <v>4035</v>
      </c>
      <c r="D620" t="s">
        <v>4036</v>
      </c>
      <c r="E620" s="2">
        <v>10000</v>
      </c>
      <c r="F620" s="2">
        <v>10000</v>
      </c>
      <c r="G620" s="3">
        <v>43280</v>
      </c>
      <c r="H620" s="4">
        <v>0.125</v>
      </c>
      <c r="I620" s="3">
        <v>43281</v>
      </c>
      <c r="J620" s="4">
        <v>8.2858796296299997E-2</v>
      </c>
      <c r="K620" s="2">
        <v>20</v>
      </c>
      <c r="L620" t="s">
        <v>0</v>
      </c>
      <c r="M620" t="s">
        <v>5650</v>
      </c>
      <c r="N620" s="3">
        <v>43292</v>
      </c>
      <c r="O620" s="3">
        <v>43283</v>
      </c>
      <c r="P620" t="s">
        <v>13</v>
      </c>
      <c r="Q620" t="s">
        <v>5636</v>
      </c>
      <c r="R620" t="s">
        <v>820</v>
      </c>
      <c r="S620" s="3">
        <v>43291</v>
      </c>
      <c r="T620" t="s">
        <v>7944</v>
      </c>
      <c r="U620" t="s">
        <v>3222</v>
      </c>
      <c r="V620" t="s">
        <v>4037</v>
      </c>
      <c r="W620" t="s">
        <v>2434</v>
      </c>
      <c r="X620" s="2">
        <v>435</v>
      </c>
      <c r="Y620" t="s">
        <v>2</v>
      </c>
      <c r="Z620" t="s">
        <v>3</v>
      </c>
      <c r="AA620" s="5">
        <v>0</v>
      </c>
      <c r="AB620" t="s">
        <v>17</v>
      </c>
      <c r="AL620" t="s">
        <v>8575</v>
      </c>
    </row>
    <row r="621" spans="1:38">
      <c r="A621" t="s">
        <v>4195</v>
      </c>
      <c r="B621" t="s">
        <v>7070</v>
      </c>
      <c r="C621" t="s">
        <v>3164</v>
      </c>
      <c r="D621" t="s">
        <v>3165</v>
      </c>
      <c r="E621" s="2">
        <v>1000</v>
      </c>
      <c r="F621" s="2">
        <v>1000</v>
      </c>
      <c r="G621" s="3">
        <v>43281</v>
      </c>
      <c r="H621" s="4">
        <v>0.34784722222221998</v>
      </c>
      <c r="I621" s="3">
        <v>43281</v>
      </c>
      <c r="J621" s="4">
        <v>0.44363425925925998</v>
      </c>
      <c r="K621" s="2">
        <v>0</v>
      </c>
      <c r="L621" t="s">
        <v>0</v>
      </c>
      <c r="M621" t="s">
        <v>4205</v>
      </c>
      <c r="N621" s="3">
        <v>43292</v>
      </c>
      <c r="O621" s="3">
        <v>43288</v>
      </c>
      <c r="P621" t="s">
        <v>13</v>
      </c>
      <c r="Q621" t="s">
        <v>7071</v>
      </c>
      <c r="R621" t="s">
        <v>820</v>
      </c>
      <c r="S621" s="3">
        <v>43292</v>
      </c>
      <c r="T621" t="s">
        <v>7945</v>
      </c>
      <c r="U621" t="s">
        <v>3166</v>
      </c>
      <c r="V621" t="s">
        <v>3167</v>
      </c>
      <c r="W621" t="s">
        <v>2434</v>
      </c>
      <c r="X621" s="2">
        <v>435</v>
      </c>
      <c r="Y621" t="s">
        <v>2</v>
      </c>
      <c r="Z621" t="s">
        <v>3</v>
      </c>
      <c r="AA621" s="5">
        <v>0</v>
      </c>
      <c r="AB621" t="s">
        <v>17</v>
      </c>
      <c r="AL621" t="s">
        <v>8576</v>
      </c>
    </row>
    <row r="622" spans="1:38">
      <c r="A622" t="s">
        <v>4195</v>
      </c>
      <c r="B622" t="s">
        <v>5637</v>
      </c>
      <c r="C622" t="s">
        <v>3176</v>
      </c>
      <c r="D622" t="s">
        <v>3177</v>
      </c>
      <c r="E622" s="2">
        <v>2075</v>
      </c>
      <c r="F622" s="2">
        <v>2075</v>
      </c>
      <c r="G622" s="3">
        <v>43287</v>
      </c>
      <c r="H622" s="4">
        <v>0.42538194444444</v>
      </c>
      <c r="I622" s="3">
        <v>43287</v>
      </c>
      <c r="J622" s="4">
        <v>0.62413194444443998</v>
      </c>
      <c r="K622" s="2">
        <v>0</v>
      </c>
      <c r="L622" t="s">
        <v>0</v>
      </c>
      <c r="M622" t="s">
        <v>7946</v>
      </c>
      <c r="N622" s="3">
        <v>43297</v>
      </c>
      <c r="O622" s="3">
        <v>43294</v>
      </c>
      <c r="P622" t="s">
        <v>28</v>
      </c>
      <c r="Q622" t="s">
        <v>5638</v>
      </c>
      <c r="R622" t="s">
        <v>820</v>
      </c>
      <c r="S622" s="3">
        <v>43297</v>
      </c>
      <c r="T622" t="s">
        <v>7947</v>
      </c>
      <c r="U622" t="s">
        <v>2667</v>
      </c>
      <c r="V622" t="s">
        <v>3179</v>
      </c>
      <c r="W622" t="s">
        <v>2434</v>
      </c>
      <c r="X622" s="2">
        <v>435</v>
      </c>
      <c r="Y622" t="s">
        <v>2</v>
      </c>
      <c r="Z622" t="s">
        <v>3</v>
      </c>
      <c r="AA622" s="5">
        <v>0</v>
      </c>
      <c r="AB622" t="s">
        <v>17</v>
      </c>
      <c r="AL622" t="s">
        <v>8577</v>
      </c>
    </row>
    <row r="623" spans="1:38">
      <c r="A623" t="s">
        <v>4195</v>
      </c>
      <c r="B623" t="s">
        <v>5647</v>
      </c>
      <c r="C623" t="s">
        <v>3857</v>
      </c>
      <c r="D623" t="s">
        <v>3858</v>
      </c>
      <c r="E623" s="2">
        <v>3000</v>
      </c>
      <c r="F623" s="2">
        <v>3000</v>
      </c>
      <c r="G623" s="3">
        <v>43287</v>
      </c>
      <c r="H623" s="4">
        <v>0.66579861111111005</v>
      </c>
      <c r="I623" s="3">
        <v>43287</v>
      </c>
      <c r="J623" s="4">
        <v>0.95315972222222001</v>
      </c>
      <c r="K623" s="2">
        <v>0</v>
      </c>
      <c r="L623" t="s">
        <v>0</v>
      </c>
      <c r="M623" t="s">
        <v>4200</v>
      </c>
      <c r="N623" s="3">
        <v>43291</v>
      </c>
      <c r="O623" s="3">
        <v>43289</v>
      </c>
      <c r="P623" t="s">
        <v>27</v>
      </c>
      <c r="Q623" t="s">
        <v>5648</v>
      </c>
      <c r="R623" t="s">
        <v>820</v>
      </c>
      <c r="S623" s="3">
        <v>43291</v>
      </c>
      <c r="T623" t="s">
        <v>7948</v>
      </c>
      <c r="U623" t="s">
        <v>2667</v>
      </c>
      <c r="V623" t="s">
        <v>3860</v>
      </c>
      <c r="W623" t="s">
        <v>2434</v>
      </c>
      <c r="X623" s="2">
        <v>435</v>
      </c>
      <c r="Y623" t="s">
        <v>2</v>
      </c>
      <c r="Z623" t="s">
        <v>3</v>
      </c>
      <c r="AA623" s="5">
        <v>0</v>
      </c>
      <c r="AB623" t="s">
        <v>17</v>
      </c>
      <c r="AL623" t="s">
        <v>8578</v>
      </c>
    </row>
    <row r="624" spans="1:38">
      <c r="A624" t="s">
        <v>4195</v>
      </c>
      <c r="B624" t="s">
        <v>5652</v>
      </c>
      <c r="C624" t="s">
        <v>3170</v>
      </c>
      <c r="D624" t="s">
        <v>3171</v>
      </c>
      <c r="E624" s="2">
        <v>2925</v>
      </c>
      <c r="F624" s="2">
        <v>2925</v>
      </c>
      <c r="G624" s="3">
        <v>43287</v>
      </c>
      <c r="H624" s="4">
        <v>0.97399305555556004</v>
      </c>
      <c r="I624" s="3">
        <v>43288</v>
      </c>
      <c r="J624" s="4">
        <v>0.25416666666666998</v>
      </c>
      <c r="K624" s="2">
        <v>0</v>
      </c>
      <c r="L624" t="s">
        <v>0</v>
      </c>
      <c r="M624" t="s">
        <v>5653</v>
      </c>
      <c r="N624" s="3">
        <v>43297</v>
      </c>
      <c r="O624" s="3">
        <v>43295</v>
      </c>
      <c r="P624" t="s">
        <v>9</v>
      </c>
      <c r="Q624" t="s">
        <v>5654</v>
      </c>
      <c r="R624" t="s">
        <v>820</v>
      </c>
      <c r="S624" s="3">
        <v>43297</v>
      </c>
      <c r="T624" t="s">
        <v>7949</v>
      </c>
      <c r="U624" t="s">
        <v>2649</v>
      </c>
      <c r="V624" t="s">
        <v>3172</v>
      </c>
      <c r="W624" t="s">
        <v>2434</v>
      </c>
      <c r="X624" s="2">
        <v>435</v>
      </c>
      <c r="Y624" t="s">
        <v>2</v>
      </c>
      <c r="Z624" t="s">
        <v>3</v>
      </c>
      <c r="AA624" s="5">
        <v>0</v>
      </c>
      <c r="AB624" t="s">
        <v>17</v>
      </c>
      <c r="AL624" t="s">
        <v>8579</v>
      </c>
    </row>
    <row r="625" spans="1:38">
      <c r="A625" t="s">
        <v>4195</v>
      </c>
      <c r="B625" t="s">
        <v>5639</v>
      </c>
      <c r="C625" t="s">
        <v>5640</v>
      </c>
      <c r="D625" t="s">
        <v>5641</v>
      </c>
      <c r="E625" s="2">
        <v>3050</v>
      </c>
      <c r="F625" s="2">
        <v>3050</v>
      </c>
      <c r="G625" s="3">
        <v>43288</v>
      </c>
      <c r="H625" s="4">
        <v>0.27500000000000002</v>
      </c>
      <c r="I625" s="3">
        <v>43288</v>
      </c>
      <c r="J625" s="4">
        <v>0.56714120370370003</v>
      </c>
      <c r="K625" s="2">
        <v>0</v>
      </c>
      <c r="L625" t="s">
        <v>0</v>
      </c>
      <c r="M625" t="s">
        <v>5642</v>
      </c>
      <c r="N625" s="3">
        <v>43291</v>
      </c>
      <c r="O625" s="3">
        <v>43290</v>
      </c>
      <c r="P625" t="s">
        <v>13</v>
      </c>
      <c r="Q625" t="s">
        <v>5643</v>
      </c>
      <c r="R625" t="s">
        <v>820</v>
      </c>
      <c r="S625" s="3">
        <v>43291</v>
      </c>
      <c r="T625" t="s">
        <v>7950</v>
      </c>
      <c r="U625" t="s">
        <v>2702</v>
      </c>
      <c r="V625" t="s">
        <v>5644</v>
      </c>
      <c r="W625" t="s">
        <v>2434</v>
      </c>
      <c r="X625" s="2">
        <v>435</v>
      </c>
      <c r="Y625" t="s">
        <v>2</v>
      </c>
      <c r="Z625" t="s">
        <v>3</v>
      </c>
      <c r="AA625" s="5">
        <v>0</v>
      </c>
      <c r="AB625" t="s">
        <v>17</v>
      </c>
      <c r="AL625" t="s">
        <v>8580</v>
      </c>
    </row>
    <row r="626" spans="1:38">
      <c r="A626" t="s">
        <v>4195</v>
      </c>
      <c r="B626" t="s">
        <v>5645</v>
      </c>
      <c r="C626" t="s">
        <v>3160</v>
      </c>
      <c r="D626" t="s">
        <v>3161</v>
      </c>
      <c r="E626" s="2">
        <v>2000</v>
      </c>
      <c r="F626" s="2">
        <v>2000</v>
      </c>
      <c r="G626" s="3">
        <v>43288</v>
      </c>
      <c r="H626" s="4">
        <v>0.58797453703703995</v>
      </c>
      <c r="I626" s="3">
        <v>43288</v>
      </c>
      <c r="J626" s="4">
        <v>0.77954861111110996</v>
      </c>
      <c r="K626" s="2">
        <v>0</v>
      </c>
      <c r="L626" t="s">
        <v>0</v>
      </c>
      <c r="M626" t="s">
        <v>5608</v>
      </c>
      <c r="N626" s="3">
        <v>43290</v>
      </c>
      <c r="O626" s="3">
        <v>43290</v>
      </c>
      <c r="P626" t="s">
        <v>27</v>
      </c>
      <c r="Q626" t="s">
        <v>5646</v>
      </c>
      <c r="R626" t="s">
        <v>820</v>
      </c>
      <c r="S626" s="3">
        <v>43290</v>
      </c>
      <c r="T626" t="s">
        <v>7951</v>
      </c>
      <c r="U626" t="s">
        <v>2667</v>
      </c>
      <c r="V626" t="s">
        <v>3162</v>
      </c>
      <c r="W626" t="s">
        <v>2434</v>
      </c>
      <c r="X626" s="2">
        <v>435</v>
      </c>
      <c r="Y626" t="s">
        <v>2</v>
      </c>
      <c r="Z626" t="s">
        <v>3</v>
      </c>
      <c r="AA626" s="5">
        <v>0</v>
      </c>
      <c r="AB626" t="s">
        <v>17</v>
      </c>
      <c r="AL626" t="s">
        <v>8581</v>
      </c>
    </row>
    <row r="627" spans="1:38">
      <c r="A627" t="s">
        <v>4195</v>
      </c>
      <c r="B627" t="s">
        <v>5649</v>
      </c>
      <c r="C627" t="s">
        <v>3471</v>
      </c>
      <c r="D627" t="s">
        <v>3472</v>
      </c>
      <c r="E627" s="2">
        <v>10000</v>
      </c>
      <c r="F627" s="2">
        <v>10000</v>
      </c>
      <c r="G627" s="3">
        <v>43288</v>
      </c>
      <c r="H627" s="4">
        <v>0.86288194444444</v>
      </c>
      <c r="I627" s="3">
        <v>43289</v>
      </c>
      <c r="J627" s="4">
        <v>0.82074074074073999</v>
      </c>
      <c r="K627" s="2">
        <v>20</v>
      </c>
      <c r="L627" t="s">
        <v>0</v>
      </c>
      <c r="M627" t="s">
        <v>5650</v>
      </c>
      <c r="N627" s="3">
        <v>43298</v>
      </c>
      <c r="O627" s="3">
        <v>43291</v>
      </c>
      <c r="P627" t="s">
        <v>3724</v>
      </c>
      <c r="Q627" t="s">
        <v>5651</v>
      </c>
      <c r="R627" t="s">
        <v>820</v>
      </c>
      <c r="S627" s="3">
        <v>43298</v>
      </c>
      <c r="T627" t="s">
        <v>7952</v>
      </c>
      <c r="U627">
        <v>420</v>
      </c>
      <c r="V627">
        <v>1001</v>
      </c>
      <c r="W627" t="s">
        <v>2434</v>
      </c>
      <c r="X627" s="2">
        <v>435</v>
      </c>
      <c r="Y627" t="s">
        <v>2</v>
      </c>
      <c r="Z627" t="s">
        <v>3</v>
      </c>
      <c r="AA627" s="5">
        <v>0</v>
      </c>
      <c r="AB627" t="s">
        <v>17</v>
      </c>
      <c r="AL627" t="s">
        <v>8582</v>
      </c>
    </row>
    <row r="628" spans="1:38">
      <c r="A628" t="s">
        <v>4195</v>
      </c>
      <c r="B628" t="s">
        <v>5655</v>
      </c>
      <c r="C628" t="s">
        <v>5656</v>
      </c>
      <c r="D628" t="s">
        <v>5657</v>
      </c>
      <c r="E628" s="2">
        <v>2000</v>
      </c>
      <c r="F628" s="2">
        <v>2000</v>
      </c>
      <c r="G628" s="3">
        <v>43290</v>
      </c>
      <c r="H628" s="4">
        <v>0.33333333333332998</v>
      </c>
      <c r="I628" s="3">
        <v>43290</v>
      </c>
      <c r="J628" s="4">
        <v>0.52490740740741004</v>
      </c>
      <c r="K628" s="2">
        <v>20</v>
      </c>
      <c r="L628" t="s">
        <v>0</v>
      </c>
      <c r="M628" t="s">
        <v>5608</v>
      </c>
      <c r="N628" s="3">
        <v>43315</v>
      </c>
      <c r="O628" s="3">
        <v>43292</v>
      </c>
      <c r="P628" t="s">
        <v>3150</v>
      </c>
      <c r="Q628" t="s">
        <v>5658</v>
      </c>
      <c r="R628" t="s">
        <v>820</v>
      </c>
      <c r="S628" s="3">
        <v>43293</v>
      </c>
      <c r="T628" t="s">
        <v>7953</v>
      </c>
      <c r="U628" t="s">
        <v>3151</v>
      </c>
      <c r="V628" t="s">
        <v>2437</v>
      </c>
      <c r="W628" t="s">
        <v>2434</v>
      </c>
      <c r="X628" s="2">
        <v>435</v>
      </c>
      <c r="Y628" t="s">
        <v>2</v>
      </c>
      <c r="Z628" t="s">
        <v>3</v>
      </c>
      <c r="AA628" s="5">
        <v>0</v>
      </c>
      <c r="AB628" t="s">
        <v>17</v>
      </c>
      <c r="AL628" t="s">
        <v>8583</v>
      </c>
    </row>
    <row r="629" spans="1:38">
      <c r="A629" t="s">
        <v>4195</v>
      </c>
      <c r="B629" t="s">
        <v>5659</v>
      </c>
      <c r="C629" t="s">
        <v>179</v>
      </c>
      <c r="D629" t="s">
        <v>180</v>
      </c>
      <c r="E629" s="2">
        <v>5000</v>
      </c>
      <c r="F629" s="2">
        <v>5000</v>
      </c>
      <c r="G629" s="3">
        <v>43291</v>
      </c>
      <c r="H629" s="4">
        <v>0.875</v>
      </c>
      <c r="I629" s="3">
        <v>43292</v>
      </c>
      <c r="J629" s="4">
        <v>0.35392361111110998</v>
      </c>
      <c r="K629" s="2">
        <v>20</v>
      </c>
      <c r="L629" t="s">
        <v>0</v>
      </c>
      <c r="M629" t="s">
        <v>4204</v>
      </c>
      <c r="N629" s="3">
        <v>43298</v>
      </c>
      <c r="O629" s="3">
        <v>43294</v>
      </c>
      <c r="P629" t="s">
        <v>33</v>
      </c>
      <c r="Q629" t="s">
        <v>5660</v>
      </c>
      <c r="R629" t="s">
        <v>820</v>
      </c>
      <c r="S629" s="3">
        <v>43298</v>
      </c>
      <c r="T629" t="s">
        <v>7954</v>
      </c>
      <c r="U629" t="s">
        <v>4019</v>
      </c>
      <c r="V629">
        <v>701</v>
      </c>
      <c r="W629" t="s">
        <v>2434</v>
      </c>
      <c r="X629" s="2">
        <v>435</v>
      </c>
      <c r="Y629" t="s">
        <v>2</v>
      </c>
      <c r="Z629" t="s">
        <v>3</v>
      </c>
      <c r="AA629" s="5">
        <v>0</v>
      </c>
      <c r="AB629" t="s">
        <v>17</v>
      </c>
      <c r="AL629" t="s">
        <v>8584</v>
      </c>
    </row>
    <row r="630" spans="1:38">
      <c r="A630" t="s">
        <v>4195</v>
      </c>
      <c r="B630" t="s">
        <v>5663</v>
      </c>
      <c r="C630" t="s">
        <v>3713</v>
      </c>
      <c r="D630" t="s">
        <v>3714</v>
      </c>
      <c r="E630" s="2">
        <v>8000</v>
      </c>
      <c r="F630" s="2">
        <v>8000</v>
      </c>
      <c r="G630" s="3">
        <v>43294</v>
      </c>
      <c r="H630" s="4">
        <v>0.23371527777778001</v>
      </c>
      <c r="I630" s="3">
        <v>43295</v>
      </c>
      <c r="J630" s="4">
        <v>0</v>
      </c>
      <c r="K630" s="2">
        <v>20</v>
      </c>
      <c r="L630" t="s">
        <v>0</v>
      </c>
      <c r="M630" t="s">
        <v>5664</v>
      </c>
      <c r="N630" s="3">
        <v>43298</v>
      </c>
      <c r="O630" s="3">
        <v>43296</v>
      </c>
      <c r="P630" t="s">
        <v>7</v>
      </c>
      <c r="Q630" t="s">
        <v>5665</v>
      </c>
      <c r="R630" t="s">
        <v>820</v>
      </c>
      <c r="S630" s="3">
        <v>43298</v>
      </c>
      <c r="T630" t="s">
        <v>7955</v>
      </c>
      <c r="U630" t="s">
        <v>3222</v>
      </c>
      <c r="V630">
        <v>701</v>
      </c>
      <c r="W630" t="s">
        <v>2434</v>
      </c>
      <c r="X630" s="2">
        <v>435</v>
      </c>
      <c r="Y630" t="s">
        <v>2</v>
      </c>
      <c r="Z630" t="s">
        <v>3</v>
      </c>
      <c r="AA630" s="5">
        <v>0</v>
      </c>
      <c r="AB630" t="s">
        <v>17</v>
      </c>
      <c r="AL630" t="s">
        <v>8585</v>
      </c>
    </row>
    <row r="631" spans="1:38">
      <c r="A631" t="s">
        <v>4195</v>
      </c>
      <c r="B631" t="s">
        <v>5661</v>
      </c>
      <c r="C631" t="s">
        <v>3143</v>
      </c>
      <c r="D631" t="s">
        <v>3144</v>
      </c>
      <c r="E631" s="2">
        <v>2000</v>
      </c>
      <c r="F631" s="2">
        <v>2000</v>
      </c>
      <c r="G631" s="3">
        <v>43295</v>
      </c>
      <c r="H631" s="4">
        <v>0.80842592592592999</v>
      </c>
      <c r="I631" s="3">
        <v>43296</v>
      </c>
      <c r="J631" s="4">
        <v>0</v>
      </c>
      <c r="K631" s="2">
        <v>0</v>
      </c>
      <c r="L631" t="s">
        <v>0</v>
      </c>
      <c r="M631" t="s">
        <v>5608</v>
      </c>
      <c r="N631" s="3">
        <v>43298</v>
      </c>
      <c r="O631" s="3">
        <v>43297</v>
      </c>
      <c r="P631" t="s">
        <v>3146</v>
      </c>
      <c r="Q631" t="s">
        <v>5662</v>
      </c>
      <c r="R631" t="s">
        <v>820</v>
      </c>
      <c r="S631" s="3">
        <v>43298</v>
      </c>
      <c r="T631" t="s">
        <v>7956</v>
      </c>
      <c r="U631">
        <v>325</v>
      </c>
      <c r="V631">
        <v>1001</v>
      </c>
      <c r="W631" t="s">
        <v>2434</v>
      </c>
      <c r="X631" s="2">
        <v>435</v>
      </c>
      <c r="Y631" t="s">
        <v>2</v>
      </c>
      <c r="Z631" t="s">
        <v>3</v>
      </c>
      <c r="AA631" s="5">
        <v>0</v>
      </c>
      <c r="AB631" t="s">
        <v>17</v>
      </c>
      <c r="AL631" t="s">
        <v>8586</v>
      </c>
    </row>
    <row r="632" spans="1:38">
      <c r="A632" t="s">
        <v>4195</v>
      </c>
      <c r="B632" t="s">
        <v>5666</v>
      </c>
      <c r="C632" t="s">
        <v>5667</v>
      </c>
      <c r="D632" t="s">
        <v>5668</v>
      </c>
      <c r="E632" s="2">
        <v>1000</v>
      </c>
      <c r="F632" s="2">
        <v>1000</v>
      </c>
      <c r="G632" s="3">
        <v>43296</v>
      </c>
      <c r="H632" s="4">
        <v>0.90421296296296005</v>
      </c>
      <c r="I632" s="3">
        <v>43297</v>
      </c>
      <c r="J632" s="4">
        <v>0</v>
      </c>
      <c r="K632" s="2">
        <v>0</v>
      </c>
      <c r="L632" t="s">
        <v>0</v>
      </c>
      <c r="M632" t="s">
        <v>4205</v>
      </c>
      <c r="N632" s="3">
        <v>43300</v>
      </c>
      <c r="O632" s="3">
        <v>43298</v>
      </c>
      <c r="P632" t="s">
        <v>13</v>
      </c>
      <c r="Q632" t="s">
        <v>5669</v>
      </c>
      <c r="R632" t="s">
        <v>820</v>
      </c>
      <c r="S632" s="3">
        <v>43300</v>
      </c>
      <c r="T632" t="s">
        <v>7957</v>
      </c>
      <c r="U632" t="s">
        <v>2702</v>
      </c>
      <c r="V632" t="s">
        <v>5670</v>
      </c>
      <c r="W632" t="s">
        <v>2434</v>
      </c>
      <c r="X632" s="2">
        <v>435</v>
      </c>
      <c r="Y632" t="s">
        <v>2</v>
      </c>
      <c r="Z632" t="s">
        <v>3</v>
      </c>
      <c r="AA632" s="5">
        <v>0</v>
      </c>
      <c r="AB632" t="s">
        <v>17</v>
      </c>
      <c r="AL632" t="s">
        <v>8587</v>
      </c>
    </row>
    <row r="633" spans="1:38">
      <c r="A633" t="s">
        <v>4195</v>
      </c>
      <c r="B633" t="s">
        <v>5671</v>
      </c>
      <c r="C633" t="s">
        <v>5620</v>
      </c>
      <c r="D633" t="s">
        <v>5621</v>
      </c>
      <c r="E633" s="2">
        <v>2000</v>
      </c>
      <c r="F633" s="2">
        <v>2000</v>
      </c>
      <c r="G633" s="3">
        <v>43297</v>
      </c>
      <c r="H633" s="4">
        <v>0.80842592592592999</v>
      </c>
      <c r="I633" s="3">
        <v>43298</v>
      </c>
      <c r="J633" s="4">
        <v>0</v>
      </c>
      <c r="K633" s="2">
        <v>0</v>
      </c>
      <c r="L633" t="s">
        <v>0</v>
      </c>
      <c r="M633" t="s">
        <v>5608</v>
      </c>
      <c r="N633" s="3">
        <v>43300</v>
      </c>
      <c r="O633" s="3">
        <v>43299</v>
      </c>
      <c r="P633" t="s">
        <v>27</v>
      </c>
      <c r="Q633" t="s">
        <v>5672</v>
      </c>
      <c r="R633" t="s">
        <v>820</v>
      </c>
      <c r="S633" s="3">
        <v>43300</v>
      </c>
      <c r="T633" t="s">
        <v>7958</v>
      </c>
      <c r="U633" t="s">
        <v>2484</v>
      </c>
      <c r="V633" t="s">
        <v>3480</v>
      </c>
      <c r="W633" t="s">
        <v>2434</v>
      </c>
      <c r="X633" s="2">
        <v>435</v>
      </c>
      <c r="Y633" t="s">
        <v>2</v>
      </c>
      <c r="Z633" t="s">
        <v>3</v>
      </c>
      <c r="AA633" s="5">
        <v>0</v>
      </c>
      <c r="AB633" t="s">
        <v>17</v>
      </c>
      <c r="AL633" t="s">
        <v>8588</v>
      </c>
    </row>
    <row r="634" spans="1:38">
      <c r="A634" t="s">
        <v>5808</v>
      </c>
      <c r="B634" t="s">
        <v>7141</v>
      </c>
      <c r="C634" t="s">
        <v>5809</v>
      </c>
      <c r="D634" t="s">
        <v>5810</v>
      </c>
      <c r="E634" s="2">
        <v>14785</v>
      </c>
      <c r="F634" s="2">
        <v>38570</v>
      </c>
      <c r="G634" s="3">
        <v>43281</v>
      </c>
      <c r="H634" s="4">
        <v>0.99998842592592996</v>
      </c>
      <c r="I634" s="3">
        <v>43287</v>
      </c>
      <c r="J634" s="4">
        <v>0.13773148148148001</v>
      </c>
      <c r="K634" s="2">
        <v>0</v>
      </c>
      <c r="L634" t="s">
        <v>0</v>
      </c>
      <c r="M634" t="s">
        <v>7959</v>
      </c>
      <c r="N634" s="3">
        <v>43307</v>
      </c>
      <c r="O634" s="3">
        <v>43307</v>
      </c>
      <c r="P634" t="s">
        <v>1</v>
      </c>
      <c r="Q634" t="s">
        <v>1</v>
      </c>
      <c r="R634" t="s">
        <v>819</v>
      </c>
      <c r="S634" s="3"/>
      <c r="T634" t="s">
        <v>7960</v>
      </c>
      <c r="U634" t="s">
        <v>5811</v>
      </c>
      <c r="V634">
        <v>10000</v>
      </c>
      <c r="W634" t="s">
        <v>5812</v>
      </c>
      <c r="X634" s="2">
        <v>3500</v>
      </c>
      <c r="Y634" t="s">
        <v>2</v>
      </c>
      <c r="Z634" t="s">
        <v>3</v>
      </c>
      <c r="AA634" s="5">
        <v>0</v>
      </c>
      <c r="AB634" t="s">
        <v>4</v>
      </c>
      <c r="AL634" t="s">
        <v>8589</v>
      </c>
    </row>
    <row r="635" spans="1:38">
      <c r="A635" t="s">
        <v>7961</v>
      </c>
      <c r="B635" t="s">
        <v>7962</v>
      </c>
      <c r="C635" t="s">
        <v>7963</v>
      </c>
      <c r="D635" t="s">
        <v>7964</v>
      </c>
      <c r="E635" s="2">
        <v>80</v>
      </c>
      <c r="F635" s="2">
        <v>50100</v>
      </c>
      <c r="G635" s="3">
        <v>43270</v>
      </c>
      <c r="H635" s="4">
        <v>0.61148148148147996</v>
      </c>
      <c r="I635" s="3">
        <v>43271</v>
      </c>
      <c r="J635" s="4">
        <v>0.20790509259258999</v>
      </c>
      <c r="K635" s="2">
        <v>0</v>
      </c>
      <c r="L635" t="s">
        <v>0</v>
      </c>
      <c r="M635" t="s">
        <v>7965</v>
      </c>
      <c r="N635" s="3">
        <v>43291</v>
      </c>
      <c r="O635" s="3">
        <v>43291</v>
      </c>
      <c r="P635" t="s">
        <v>1</v>
      </c>
      <c r="Q635" t="s">
        <v>1</v>
      </c>
      <c r="R635" t="s">
        <v>821</v>
      </c>
      <c r="S635" s="3">
        <v>43344</v>
      </c>
      <c r="T635" t="s">
        <v>7966</v>
      </c>
      <c r="U635" t="s">
        <v>7967</v>
      </c>
      <c r="V635">
        <v>900</v>
      </c>
      <c r="W635" t="s">
        <v>5812</v>
      </c>
      <c r="X635" s="2">
        <v>3500</v>
      </c>
      <c r="Y635" t="s">
        <v>2</v>
      </c>
      <c r="Z635" t="s">
        <v>3</v>
      </c>
      <c r="AA635" s="5">
        <v>0</v>
      </c>
      <c r="AB635" t="s">
        <v>4</v>
      </c>
      <c r="AL635" t="s">
        <v>8590</v>
      </c>
    </row>
    <row r="636" spans="1:38">
      <c r="A636" t="s">
        <v>7961</v>
      </c>
      <c r="B636" t="s">
        <v>7968</v>
      </c>
      <c r="C636" t="s">
        <v>7963</v>
      </c>
      <c r="D636" t="s">
        <v>7964</v>
      </c>
      <c r="E636" s="2">
        <v>80</v>
      </c>
      <c r="F636" s="2">
        <v>50100</v>
      </c>
      <c r="G636" s="3">
        <v>43272</v>
      </c>
      <c r="H636" s="4">
        <v>0.40357638888889003</v>
      </c>
      <c r="I636" s="3">
        <v>43273</v>
      </c>
      <c r="J636" s="4">
        <v>0</v>
      </c>
      <c r="K636" s="2">
        <v>0</v>
      </c>
      <c r="L636" t="s">
        <v>0</v>
      </c>
      <c r="M636" t="s">
        <v>7965</v>
      </c>
      <c r="N636" s="3">
        <v>43293</v>
      </c>
      <c r="O636" s="3">
        <v>43292</v>
      </c>
      <c r="P636" t="s">
        <v>1</v>
      </c>
      <c r="Q636" t="s">
        <v>1</v>
      </c>
      <c r="R636" t="s">
        <v>821</v>
      </c>
      <c r="S636" s="3">
        <v>43344</v>
      </c>
      <c r="T636" t="s">
        <v>7969</v>
      </c>
      <c r="U636" t="s">
        <v>7967</v>
      </c>
      <c r="V636">
        <v>900</v>
      </c>
      <c r="W636" t="s">
        <v>5812</v>
      </c>
      <c r="X636" s="2">
        <v>3500</v>
      </c>
      <c r="Y636" t="s">
        <v>2</v>
      </c>
      <c r="Z636" t="s">
        <v>3</v>
      </c>
      <c r="AA636" s="5">
        <v>0</v>
      </c>
      <c r="AB636" t="s">
        <v>4</v>
      </c>
      <c r="AL636" t="s">
        <v>8591</v>
      </c>
    </row>
  </sheetData>
  <autoFilter ref="A1:AL1029"/>
  <sortState ref="A2:AF1926">
    <sortCondition ref="A2:A1926"/>
    <sortCondition ref="G2:G1926"/>
    <sortCondition ref="H2:H1926"/>
  </sortState>
  <phoneticPr fontId="0" type="noConversion"/>
  <conditionalFormatting sqref="B1:B1048576">
    <cfRule type="duplicateValues" dxfId="4" priority="7"/>
    <cfRule type="duplicateValues" dxfId="3" priority="8"/>
  </conditionalFormatting>
  <pageMargins left="0.75" right="0.75" top="1" bottom="1" header="0.5" footer="0.5"/>
  <pageSetup paperSize="9" orientation="portrait" r:id="rId1"/>
  <headerFooter alignWithMargins="0">
    <oddHeader>&amp;L&amp;"SABIC Typeface Headline Light"&amp;10 Classification: General Business Use&amp;1#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ZD5483"/>
  <sheetViews>
    <sheetView showGridLines="0" tabSelected="1" zoomScaleNormal="100" workbookViewId="0">
      <pane xSplit="4" ySplit="2" topLeftCell="E3" activePane="bottomRight" state="frozenSplit"/>
      <selection pane="topRight" activeCell="E1" sqref="E1"/>
      <selection pane="bottomLeft" activeCell="A3" sqref="A3"/>
      <selection pane="bottomRight" activeCell="AX10" sqref="AX10"/>
    </sheetView>
  </sheetViews>
  <sheetFormatPr defaultRowHeight="12.75"/>
  <cols>
    <col min="1" max="1" width="6.7109375" style="8" customWidth="1"/>
    <col min="2" max="2" width="1.7109375" style="8" customWidth="1"/>
    <col min="3" max="3" width="10" style="8" hidden="1" customWidth="1"/>
    <col min="4" max="4" width="0.85546875" style="15" customWidth="1"/>
    <col min="5" max="19" width="0.85546875" style="8" customWidth="1"/>
    <col min="20" max="20" width="0.85546875" style="17" customWidth="1"/>
    <col min="21" max="35" width="0.85546875" style="8" customWidth="1"/>
    <col min="36" max="36" width="0.85546875" style="17" customWidth="1"/>
    <col min="37" max="51" width="0.85546875" style="8" customWidth="1"/>
    <col min="52" max="52" width="0.85546875" style="19" customWidth="1"/>
    <col min="53" max="67" width="0.85546875" style="8" customWidth="1"/>
    <col min="68" max="68" width="0.85546875" style="17" customWidth="1"/>
    <col min="69" max="83" width="0.85546875" style="8" customWidth="1"/>
    <col min="84" max="84" width="0.85546875" style="17" customWidth="1"/>
    <col min="85" max="99" width="0.85546875" style="8" customWidth="1"/>
    <col min="100" max="100" width="0.85546875" style="19" customWidth="1"/>
    <col min="101" max="115" width="0.85546875" style="8" customWidth="1"/>
    <col min="116" max="116" width="0.85546875" style="17" customWidth="1"/>
    <col min="117" max="131" width="0.85546875" style="8" customWidth="1"/>
    <col min="132" max="132" width="0.85546875" style="17" customWidth="1"/>
    <col min="133" max="147" width="0.85546875" style="8" customWidth="1"/>
    <col min="148" max="148" width="0.85546875" style="19" customWidth="1"/>
    <col min="149" max="163" width="0.85546875" style="8" customWidth="1"/>
    <col min="164" max="164" width="0.85546875" style="17" customWidth="1"/>
    <col min="165" max="179" width="0.85546875" style="8" customWidth="1"/>
    <col min="180" max="180" width="0.85546875" style="17" customWidth="1"/>
    <col min="181" max="195" width="0.85546875" style="8" customWidth="1"/>
    <col min="196" max="196" width="0.85546875" style="19" customWidth="1"/>
    <col min="197" max="211" width="0.85546875" style="8" customWidth="1"/>
    <col min="212" max="212" width="0.85546875" style="17" customWidth="1"/>
    <col min="213" max="227" width="0.85546875" style="8" customWidth="1"/>
    <col min="228" max="228" width="0.85546875" style="17" customWidth="1"/>
    <col min="229" max="243" width="0.85546875" style="8" customWidth="1"/>
    <col min="244" max="244" width="0.85546875" style="19" customWidth="1"/>
    <col min="245" max="259" width="0.85546875" style="8" customWidth="1"/>
    <col min="260" max="260" width="0.85546875" style="17" customWidth="1"/>
    <col min="261" max="275" width="0.85546875" style="8" customWidth="1"/>
    <col min="276" max="276" width="0.85546875" style="17" customWidth="1"/>
    <col min="277" max="291" width="0.85546875" style="8" customWidth="1"/>
    <col min="292" max="292" width="0.85546875" style="19" customWidth="1"/>
    <col min="293" max="307" width="0.85546875" style="8" customWidth="1"/>
    <col min="308" max="308" width="0.85546875" style="17" customWidth="1"/>
    <col min="309" max="323" width="0.85546875" style="8" customWidth="1"/>
    <col min="324" max="324" width="0.85546875" style="17" customWidth="1"/>
    <col min="325" max="339" width="0.85546875" style="8" customWidth="1"/>
    <col min="340" max="340" width="0.85546875" style="19" customWidth="1"/>
    <col min="341" max="355" width="0.85546875" style="8" customWidth="1"/>
    <col min="356" max="356" width="0.85546875" style="17" customWidth="1"/>
    <col min="357" max="371" width="0.85546875" style="8" customWidth="1"/>
    <col min="372" max="372" width="0.85546875" style="17" customWidth="1"/>
    <col min="373" max="387" width="0.85546875" style="8" customWidth="1"/>
    <col min="388" max="388" width="0.85546875" style="19" customWidth="1"/>
    <col min="389" max="403" width="0.85546875" style="8" customWidth="1"/>
    <col min="404" max="404" width="0.85546875" style="17" customWidth="1"/>
    <col min="405" max="419" width="0.85546875" style="8" customWidth="1"/>
    <col min="420" max="420" width="0.85546875" style="17" customWidth="1"/>
    <col min="421" max="435" width="0.85546875" style="8" customWidth="1"/>
    <col min="436" max="436" width="0.85546875" style="19" customWidth="1"/>
    <col min="437" max="451" width="0.85546875" style="8" customWidth="1"/>
    <col min="452" max="452" width="0.85546875" style="17" customWidth="1"/>
    <col min="453" max="467" width="0.85546875" style="8" customWidth="1"/>
    <col min="468" max="468" width="0.85546875" style="17" customWidth="1"/>
    <col min="469" max="483" width="0.85546875" style="8" customWidth="1"/>
    <col min="484" max="484" width="0.85546875" style="19" customWidth="1"/>
    <col min="485" max="499" width="0.85546875" style="8" customWidth="1"/>
    <col min="500" max="500" width="0.85546875" style="17" customWidth="1"/>
    <col min="501" max="515" width="0.85546875" style="8" customWidth="1"/>
    <col min="516" max="516" width="0.85546875" style="17" customWidth="1"/>
    <col min="517" max="531" width="0.85546875" style="8" customWidth="1"/>
    <col min="532" max="532" width="0.85546875" style="19" customWidth="1"/>
    <col min="533" max="547" width="0.85546875" style="8" customWidth="1"/>
    <col min="548" max="548" width="0.85546875" style="17" customWidth="1"/>
    <col min="549" max="563" width="0.85546875" style="8" customWidth="1"/>
    <col min="564" max="564" width="0.85546875" style="17" customWidth="1"/>
    <col min="565" max="579" width="0.85546875" style="8" customWidth="1"/>
    <col min="580" max="580" width="0.85546875" style="19" customWidth="1"/>
    <col min="581" max="595" width="0.85546875" style="8" customWidth="1"/>
    <col min="596" max="596" width="0.85546875" style="17" customWidth="1"/>
    <col min="597" max="611" width="0.85546875" style="8" customWidth="1"/>
    <col min="612" max="612" width="0.85546875" style="17" customWidth="1"/>
    <col min="613" max="627" width="0.85546875" style="8" customWidth="1"/>
    <col min="628" max="628" width="0.85546875" style="19" customWidth="1"/>
    <col min="629" max="643" width="0.85546875" style="8" customWidth="1"/>
    <col min="644" max="644" width="0.85546875" style="17" customWidth="1"/>
    <col min="645" max="659" width="0.85546875" style="8" customWidth="1"/>
    <col min="660" max="660" width="0.85546875" style="17" customWidth="1"/>
    <col min="661" max="675" width="0.85546875" style="8" customWidth="1"/>
    <col min="676" max="676" width="0.85546875" style="19" customWidth="1"/>
    <col min="677" max="691" width="0.85546875" style="8" customWidth="1"/>
    <col min="692" max="692" width="0.85546875" style="17" customWidth="1"/>
    <col min="693" max="707" width="0.85546875" style="8" customWidth="1"/>
    <col min="708" max="708" width="0.85546875" style="17" customWidth="1"/>
    <col min="709" max="723" width="0.85546875" style="8" customWidth="1"/>
    <col min="724" max="724" width="0.85546875" style="19" customWidth="1"/>
    <col min="725" max="739" width="0.85546875" style="8" customWidth="1"/>
    <col min="740" max="740" width="0.85546875" style="17" customWidth="1"/>
    <col min="741" max="755" width="0.85546875" style="8" customWidth="1"/>
    <col min="756" max="756" width="0.85546875" style="17" customWidth="1"/>
    <col min="757" max="771" width="0.85546875" style="8" customWidth="1"/>
    <col min="772" max="772" width="0.85546875" style="19" customWidth="1"/>
    <col min="773" max="787" width="0.85546875" style="8" customWidth="1"/>
    <col min="788" max="788" width="0.85546875" style="17" customWidth="1"/>
    <col min="789" max="803" width="0.85546875" style="8" customWidth="1"/>
    <col min="804" max="804" width="0.85546875" style="17" customWidth="1"/>
    <col min="805" max="819" width="0.85546875" style="8" customWidth="1"/>
    <col min="820" max="820" width="0.85546875" style="19" customWidth="1"/>
    <col min="821" max="835" width="0.85546875" style="8" customWidth="1"/>
    <col min="836" max="836" width="0.85546875" style="17" customWidth="1"/>
    <col min="837" max="851" width="0.85546875" style="8" customWidth="1"/>
    <col min="852" max="852" width="0.85546875" style="17" customWidth="1"/>
    <col min="853" max="867" width="0.85546875" style="8" customWidth="1"/>
    <col min="868" max="868" width="0.85546875" style="19" customWidth="1"/>
    <col min="869" max="883" width="0.85546875" style="8" customWidth="1"/>
    <col min="884" max="884" width="0.85546875" style="17" customWidth="1"/>
    <col min="885" max="899" width="0.85546875" style="8" customWidth="1"/>
    <col min="900" max="900" width="0.85546875" style="17" customWidth="1"/>
    <col min="901" max="915" width="0.85546875" style="8" customWidth="1"/>
    <col min="916" max="916" width="0.85546875" style="19" customWidth="1"/>
    <col min="917" max="931" width="0.85546875" style="8" customWidth="1"/>
    <col min="932" max="932" width="0.85546875" style="17" customWidth="1"/>
    <col min="933" max="947" width="0.85546875" style="8" customWidth="1"/>
    <col min="948" max="948" width="0.85546875" style="17" customWidth="1"/>
    <col min="949" max="963" width="0.85546875" style="8" customWidth="1"/>
    <col min="964" max="964" width="0.85546875" style="19" customWidth="1"/>
    <col min="965" max="979" width="0.85546875" style="8" customWidth="1"/>
    <col min="980" max="980" width="0.85546875" style="17" customWidth="1"/>
    <col min="981" max="995" width="0.85546875" style="8" customWidth="1"/>
    <col min="996" max="996" width="0.85546875" style="17" customWidth="1"/>
    <col min="997" max="1011" width="0.85546875" style="8" customWidth="1"/>
    <col min="1012" max="1012" width="0.85546875" style="19" customWidth="1"/>
    <col min="1013" max="1027" width="0.85546875" style="8" customWidth="1"/>
    <col min="1028" max="1028" width="0.85546875" style="17" customWidth="1"/>
    <col min="1029" max="1043" width="0.85546875" style="8" customWidth="1"/>
    <col min="1044" max="1044" width="0.85546875" style="17" customWidth="1"/>
    <col min="1045" max="1059" width="0.85546875" style="8" customWidth="1"/>
    <col min="1060" max="1060" width="0.85546875" style="19" customWidth="1"/>
    <col min="1061" max="1075" width="0.85546875" style="8" customWidth="1"/>
    <col min="1076" max="1076" width="0.85546875" style="17" customWidth="1"/>
    <col min="1077" max="1091" width="0.85546875" style="8" customWidth="1"/>
    <col min="1092" max="1092" width="0.85546875" style="17" customWidth="1"/>
    <col min="1093" max="1107" width="0.85546875" style="8" customWidth="1"/>
    <col min="1108" max="1108" width="0.85546875" style="19" customWidth="1"/>
    <col min="1109" max="1123" width="0.85546875" style="8" customWidth="1"/>
    <col min="1124" max="1124" width="0.85546875" style="17" customWidth="1"/>
    <col min="1125" max="1139" width="0.85546875" style="8" customWidth="1"/>
    <col min="1140" max="1140" width="0.85546875" style="17" customWidth="1"/>
    <col min="1141" max="1155" width="0.85546875" style="8" customWidth="1"/>
    <col min="1156" max="1156" width="0.85546875" style="19" customWidth="1"/>
    <col min="1157" max="1171" width="0.85546875" style="8" customWidth="1"/>
    <col min="1172" max="1172" width="0.85546875" style="17" customWidth="1"/>
    <col min="1173" max="1187" width="0.85546875" style="8" customWidth="1"/>
    <col min="1188" max="1188" width="0.85546875" style="17" customWidth="1"/>
    <col min="1189" max="1203" width="0.85546875" style="8" customWidth="1"/>
    <col min="1204" max="1204" width="0.85546875" style="19" customWidth="1"/>
    <col min="1205" max="1219" width="0.85546875" style="8" customWidth="1"/>
    <col min="1220" max="1220" width="0.85546875" style="17" customWidth="1"/>
    <col min="1221" max="1235" width="0.85546875" style="8" customWidth="1"/>
    <col min="1236" max="1236" width="0.85546875" style="17" customWidth="1"/>
    <col min="1237" max="1251" width="0.85546875" style="8" customWidth="1"/>
    <col min="1252" max="1252" width="0.85546875" style="19" customWidth="1"/>
    <col min="1253" max="1267" width="0.85546875" style="8" customWidth="1"/>
    <col min="1268" max="1268" width="0.85546875" style="17" customWidth="1"/>
    <col min="1269" max="1283" width="0.85546875" style="8" customWidth="1"/>
    <col min="1284" max="1284" width="0.85546875" style="17" customWidth="1"/>
    <col min="1285" max="1299" width="0.85546875" style="8" customWidth="1"/>
    <col min="1300" max="1300" width="0.85546875" style="19" customWidth="1"/>
    <col min="1301" max="1315" width="0.85546875" style="8" customWidth="1"/>
    <col min="1316" max="1316" width="0.85546875" style="17" customWidth="1"/>
    <col min="1317" max="1331" width="0.85546875" style="8" customWidth="1"/>
    <col min="1332" max="1332" width="0.85546875" style="17" customWidth="1"/>
    <col min="1333" max="1347" width="0.85546875" style="8" customWidth="1"/>
    <col min="1348" max="1348" width="0.85546875" style="19" customWidth="1"/>
    <col min="1349" max="1363" width="0.85546875" style="8" customWidth="1"/>
    <col min="1364" max="1364" width="0.85546875" style="17" customWidth="1"/>
    <col min="1365" max="1379" width="0.85546875" style="8" customWidth="1"/>
    <col min="1380" max="1380" width="0.85546875" style="17" customWidth="1"/>
    <col min="1381" max="1395" width="0.85546875" style="8" customWidth="1"/>
    <col min="1396" max="1396" width="0.85546875" style="19" customWidth="1"/>
    <col min="1397" max="16384" width="9.140625" style="8"/>
  </cols>
  <sheetData>
    <row r="1" spans="1:1396" ht="16.5" customHeight="1">
      <c r="A1" s="25" t="s">
        <v>6645</v>
      </c>
      <c r="B1" s="10">
        <v>43270</v>
      </c>
      <c r="C1" s="8" t="s">
        <v>1548</v>
      </c>
      <c r="D1" s="14" t="s">
        <v>6644</v>
      </c>
      <c r="E1" s="8">
        <v>1</v>
      </c>
      <c r="F1" s="8">
        <v>2</v>
      </c>
      <c r="G1" s="8">
        <v>3</v>
      </c>
      <c r="H1" s="8">
        <v>4</v>
      </c>
      <c r="I1" s="8">
        <v>5</v>
      </c>
      <c r="J1" s="8">
        <v>6</v>
      </c>
      <c r="K1" s="8">
        <v>7</v>
      </c>
      <c r="L1" s="8">
        <v>8</v>
      </c>
      <c r="M1" s="8">
        <v>9</v>
      </c>
      <c r="N1" s="8">
        <v>10</v>
      </c>
      <c r="O1" s="8">
        <v>11</v>
      </c>
      <c r="P1" s="8">
        <v>12</v>
      </c>
      <c r="Q1" s="8">
        <v>13</v>
      </c>
      <c r="R1" s="8">
        <v>14</v>
      </c>
      <c r="S1" s="8">
        <v>15</v>
      </c>
      <c r="T1" s="8">
        <v>16</v>
      </c>
      <c r="U1" s="8">
        <v>17</v>
      </c>
      <c r="V1" s="8">
        <v>18</v>
      </c>
      <c r="W1" s="8">
        <v>19</v>
      </c>
      <c r="X1" s="8">
        <v>20</v>
      </c>
      <c r="Y1" s="8">
        <v>21</v>
      </c>
      <c r="Z1" s="8">
        <v>22</v>
      </c>
      <c r="AA1" s="8">
        <v>23</v>
      </c>
      <c r="AB1" s="8">
        <v>24</v>
      </c>
      <c r="AC1" s="8">
        <v>25</v>
      </c>
      <c r="AD1" s="8">
        <v>26</v>
      </c>
      <c r="AE1" s="8">
        <v>27</v>
      </c>
      <c r="AF1" s="8">
        <v>28</v>
      </c>
      <c r="AG1" s="8">
        <v>29</v>
      </c>
      <c r="AH1" s="8">
        <v>30</v>
      </c>
      <c r="AI1" s="8">
        <v>31</v>
      </c>
      <c r="AJ1" s="8">
        <v>32</v>
      </c>
      <c r="AK1" s="8">
        <v>33</v>
      </c>
      <c r="AL1" s="8">
        <v>34</v>
      </c>
      <c r="AM1" s="8">
        <v>35</v>
      </c>
      <c r="AN1" s="8">
        <v>36</v>
      </c>
      <c r="AO1" s="8">
        <v>37</v>
      </c>
      <c r="AP1" s="8">
        <v>38</v>
      </c>
      <c r="AQ1" s="8">
        <v>39</v>
      </c>
      <c r="AR1" s="8">
        <v>40</v>
      </c>
      <c r="AS1" s="8">
        <v>41</v>
      </c>
      <c r="AT1" s="8">
        <v>42</v>
      </c>
      <c r="AU1" s="8">
        <v>43</v>
      </c>
      <c r="AV1" s="8">
        <v>44</v>
      </c>
      <c r="AW1" s="8">
        <v>45</v>
      </c>
      <c r="AX1" s="8">
        <v>46</v>
      </c>
      <c r="AY1" s="8">
        <v>47</v>
      </c>
      <c r="AZ1" s="8">
        <v>48</v>
      </c>
      <c r="BA1" s="8">
        <v>49</v>
      </c>
      <c r="BB1" s="8">
        <v>50</v>
      </c>
      <c r="BC1" s="8">
        <v>51</v>
      </c>
      <c r="BD1" s="8">
        <v>52</v>
      </c>
      <c r="BE1" s="8">
        <v>53</v>
      </c>
      <c r="BF1" s="8">
        <v>54</v>
      </c>
      <c r="BG1" s="8">
        <v>55</v>
      </c>
      <c r="BH1" s="8">
        <v>56</v>
      </c>
      <c r="BI1" s="8">
        <v>57</v>
      </c>
      <c r="BJ1" s="8">
        <v>58</v>
      </c>
      <c r="BK1" s="8">
        <v>59</v>
      </c>
      <c r="BL1" s="8">
        <v>60</v>
      </c>
      <c r="BM1" s="8">
        <v>61</v>
      </c>
      <c r="BN1" s="8">
        <v>62</v>
      </c>
      <c r="BO1" s="8">
        <v>63</v>
      </c>
      <c r="BP1" s="8">
        <v>64</v>
      </c>
      <c r="BQ1" s="8">
        <v>65</v>
      </c>
      <c r="BR1" s="8">
        <v>66</v>
      </c>
      <c r="BS1" s="8">
        <v>67</v>
      </c>
      <c r="BT1" s="8">
        <v>68</v>
      </c>
      <c r="BU1" s="8">
        <v>69</v>
      </c>
      <c r="BV1" s="8">
        <v>70</v>
      </c>
      <c r="BW1" s="8">
        <v>71</v>
      </c>
      <c r="BX1" s="8">
        <v>72</v>
      </c>
      <c r="BY1" s="8">
        <v>73</v>
      </c>
      <c r="BZ1" s="8">
        <v>74</v>
      </c>
      <c r="CA1" s="8">
        <v>75</v>
      </c>
      <c r="CB1" s="8">
        <v>76</v>
      </c>
      <c r="CC1" s="8">
        <v>77</v>
      </c>
      <c r="CD1" s="8">
        <v>78</v>
      </c>
      <c r="CE1" s="8">
        <v>79</v>
      </c>
      <c r="CF1" s="8">
        <v>80</v>
      </c>
      <c r="CG1" s="8">
        <v>81</v>
      </c>
      <c r="CH1" s="8">
        <v>82</v>
      </c>
      <c r="CI1" s="8">
        <v>83</v>
      </c>
      <c r="CJ1" s="8">
        <v>84</v>
      </c>
      <c r="CK1" s="8">
        <v>85</v>
      </c>
      <c r="CL1" s="8">
        <v>86</v>
      </c>
      <c r="CM1" s="8">
        <v>87</v>
      </c>
      <c r="CN1" s="8">
        <v>88</v>
      </c>
      <c r="CO1" s="8">
        <v>89</v>
      </c>
      <c r="CP1" s="8">
        <v>90</v>
      </c>
      <c r="CQ1" s="8">
        <v>91</v>
      </c>
      <c r="CR1" s="8">
        <v>92</v>
      </c>
      <c r="CS1" s="8">
        <v>93</v>
      </c>
      <c r="CT1" s="8">
        <v>94</v>
      </c>
      <c r="CU1" s="8">
        <v>95</v>
      </c>
      <c r="CV1" s="8">
        <v>96</v>
      </c>
      <c r="CW1" s="8">
        <v>97</v>
      </c>
      <c r="CX1" s="8">
        <v>98</v>
      </c>
      <c r="CY1" s="8">
        <v>99</v>
      </c>
      <c r="CZ1" s="8">
        <v>100</v>
      </c>
      <c r="DA1" s="8">
        <v>101</v>
      </c>
      <c r="DB1" s="8">
        <v>102</v>
      </c>
      <c r="DC1" s="8">
        <v>103</v>
      </c>
      <c r="DD1" s="8">
        <v>104</v>
      </c>
      <c r="DE1" s="8">
        <v>105</v>
      </c>
      <c r="DF1" s="8">
        <v>106</v>
      </c>
      <c r="DG1" s="8">
        <v>107</v>
      </c>
      <c r="DH1" s="8">
        <v>108</v>
      </c>
      <c r="DI1" s="8">
        <v>109</v>
      </c>
      <c r="DJ1" s="8">
        <v>110</v>
      </c>
      <c r="DK1" s="8">
        <v>111</v>
      </c>
      <c r="DL1" s="8">
        <v>112</v>
      </c>
      <c r="DM1" s="8">
        <v>113</v>
      </c>
      <c r="DN1" s="8">
        <v>114</v>
      </c>
      <c r="DO1" s="8">
        <v>115</v>
      </c>
      <c r="DP1" s="8">
        <v>116</v>
      </c>
      <c r="DQ1" s="8">
        <v>117</v>
      </c>
      <c r="DR1" s="8">
        <v>118</v>
      </c>
      <c r="DS1" s="8">
        <v>119</v>
      </c>
      <c r="DT1" s="8">
        <v>120</v>
      </c>
      <c r="DU1" s="8">
        <v>121</v>
      </c>
      <c r="DV1" s="8">
        <v>122</v>
      </c>
      <c r="DW1" s="8">
        <v>123</v>
      </c>
      <c r="DX1" s="8">
        <v>124</v>
      </c>
      <c r="DY1" s="8">
        <v>125</v>
      </c>
      <c r="DZ1" s="8">
        <v>126</v>
      </c>
      <c r="EA1" s="8">
        <v>127</v>
      </c>
      <c r="EB1" s="8">
        <v>128</v>
      </c>
      <c r="EC1" s="8">
        <v>129</v>
      </c>
      <c r="ED1" s="8">
        <v>130</v>
      </c>
      <c r="EE1" s="8">
        <v>131</v>
      </c>
      <c r="EF1" s="8">
        <v>132</v>
      </c>
      <c r="EG1" s="8">
        <v>133</v>
      </c>
      <c r="EH1" s="8">
        <v>134</v>
      </c>
      <c r="EI1" s="8">
        <v>135</v>
      </c>
      <c r="EJ1" s="8">
        <v>136</v>
      </c>
      <c r="EK1" s="8">
        <v>137</v>
      </c>
      <c r="EL1" s="8">
        <v>138</v>
      </c>
      <c r="EM1" s="8">
        <v>139</v>
      </c>
      <c r="EN1" s="8">
        <v>140</v>
      </c>
      <c r="EO1" s="8">
        <v>141</v>
      </c>
      <c r="EP1" s="8">
        <v>142</v>
      </c>
      <c r="EQ1" s="8">
        <v>143</v>
      </c>
      <c r="ER1" s="8">
        <v>144</v>
      </c>
      <c r="ES1" s="8">
        <v>145</v>
      </c>
      <c r="ET1" s="8">
        <v>146</v>
      </c>
      <c r="EU1" s="8">
        <v>147</v>
      </c>
      <c r="EV1" s="8">
        <v>148</v>
      </c>
      <c r="EW1" s="8">
        <v>149</v>
      </c>
      <c r="EX1" s="8">
        <v>150</v>
      </c>
      <c r="EY1" s="8">
        <v>151</v>
      </c>
      <c r="EZ1" s="8">
        <v>152</v>
      </c>
      <c r="FA1" s="8">
        <v>153</v>
      </c>
      <c r="FB1" s="8">
        <v>154</v>
      </c>
      <c r="FC1" s="8">
        <v>155</v>
      </c>
      <c r="FD1" s="8">
        <v>156</v>
      </c>
      <c r="FE1" s="8">
        <v>157</v>
      </c>
      <c r="FF1" s="8">
        <v>158</v>
      </c>
      <c r="FG1" s="8">
        <v>159</v>
      </c>
      <c r="FH1" s="8">
        <v>160</v>
      </c>
      <c r="FI1" s="8">
        <v>161</v>
      </c>
      <c r="FJ1" s="8">
        <v>162</v>
      </c>
      <c r="FK1" s="8">
        <v>163</v>
      </c>
      <c r="FL1" s="8">
        <v>164</v>
      </c>
      <c r="FM1" s="8">
        <v>165</v>
      </c>
      <c r="FN1" s="8">
        <v>166</v>
      </c>
      <c r="FO1" s="8">
        <v>167</v>
      </c>
      <c r="FP1" s="8">
        <v>168</v>
      </c>
      <c r="FQ1" s="8">
        <v>169</v>
      </c>
      <c r="FR1" s="8">
        <v>170</v>
      </c>
      <c r="FS1" s="8">
        <v>171</v>
      </c>
      <c r="FT1" s="8">
        <v>172</v>
      </c>
      <c r="FU1" s="8">
        <v>173</v>
      </c>
      <c r="FV1" s="8">
        <v>174</v>
      </c>
      <c r="FW1" s="8">
        <v>175</v>
      </c>
      <c r="FX1" s="8">
        <v>176</v>
      </c>
      <c r="FY1" s="8">
        <v>177</v>
      </c>
      <c r="FZ1" s="8">
        <v>178</v>
      </c>
      <c r="GA1" s="8">
        <v>179</v>
      </c>
      <c r="GB1" s="8">
        <v>180</v>
      </c>
      <c r="GC1" s="8">
        <v>181</v>
      </c>
      <c r="GD1" s="8">
        <v>182</v>
      </c>
      <c r="GE1" s="8">
        <v>183</v>
      </c>
      <c r="GF1" s="8">
        <v>184</v>
      </c>
      <c r="GG1" s="8">
        <v>185</v>
      </c>
      <c r="GH1" s="8">
        <v>186</v>
      </c>
      <c r="GI1" s="8">
        <v>187</v>
      </c>
      <c r="GJ1" s="8">
        <v>188</v>
      </c>
      <c r="GK1" s="8">
        <v>189</v>
      </c>
      <c r="GL1" s="8">
        <v>190</v>
      </c>
      <c r="GM1" s="8">
        <v>191</v>
      </c>
      <c r="GN1" s="8">
        <v>192</v>
      </c>
      <c r="GO1" s="8">
        <v>193</v>
      </c>
      <c r="GP1" s="8">
        <v>194</v>
      </c>
      <c r="GQ1" s="8">
        <v>195</v>
      </c>
      <c r="GR1" s="8">
        <v>196</v>
      </c>
      <c r="GS1" s="8">
        <v>197</v>
      </c>
      <c r="GT1" s="8">
        <v>198</v>
      </c>
      <c r="GU1" s="8">
        <v>199</v>
      </c>
      <c r="GV1" s="8">
        <v>200</v>
      </c>
      <c r="GW1" s="8">
        <v>201</v>
      </c>
      <c r="GX1" s="8">
        <v>202</v>
      </c>
      <c r="GY1" s="8">
        <v>203</v>
      </c>
      <c r="GZ1" s="8">
        <v>204</v>
      </c>
      <c r="HA1" s="8">
        <v>205</v>
      </c>
      <c r="HB1" s="8">
        <v>206</v>
      </c>
      <c r="HC1" s="8">
        <v>207</v>
      </c>
      <c r="HD1" s="8">
        <v>208</v>
      </c>
      <c r="HE1" s="8">
        <v>209</v>
      </c>
      <c r="HF1" s="8">
        <v>210</v>
      </c>
      <c r="HG1" s="8">
        <v>211</v>
      </c>
      <c r="HH1" s="8">
        <v>212</v>
      </c>
      <c r="HI1" s="8">
        <v>213</v>
      </c>
      <c r="HJ1" s="8">
        <v>214</v>
      </c>
      <c r="HK1" s="8">
        <v>215</v>
      </c>
      <c r="HL1" s="8">
        <v>216</v>
      </c>
      <c r="HM1" s="8">
        <v>217</v>
      </c>
      <c r="HN1" s="8">
        <v>218</v>
      </c>
      <c r="HO1" s="8">
        <v>219</v>
      </c>
      <c r="HP1" s="8">
        <v>220</v>
      </c>
      <c r="HQ1" s="8">
        <v>221</v>
      </c>
      <c r="HR1" s="8">
        <v>222</v>
      </c>
      <c r="HS1" s="8">
        <v>223</v>
      </c>
      <c r="HT1" s="8">
        <v>224</v>
      </c>
      <c r="HU1" s="8">
        <v>225</v>
      </c>
      <c r="HV1" s="8">
        <v>226</v>
      </c>
      <c r="HW1" s="8">
        <v>227</v>
      </c>
      <c r="HX1" s="8">
        <v>228</v>
      </c>
      <c r="HY1" s="8">
        <v>229</v>
      </c>
      <c r="HZ1" s="8">
        <v>230</v>
      </c>
      <c r="IA1" s="8">
        <v>231</v>
      </c>
      <c r="IB1" s="8">
        <v>232</v>
      </c>
      <c r="IC1" s="8">
        <v>233</v>
      </c>
      <c r="ID1" s="8">
        <v>234</v>
      </c>
      <c r="IE1" s="8">
        <v>235</v>
      </c>
      <c r="IF1" s="8">
        <v>236</v>
      </c>
      <c r="IG1" s="8">
        <v>237</v>
      </c>
      <c r="IH1" s="8">
        <v>238</v>
      </c>
      <c r="II1" s="8">
        <v>239</v>
      </c>
      <c r="IJ1" s="8">
        <v>240</v>
      </c>
      <c r="IK1" s="8">
        <v>241</v>
      </c>
      <c r="IL1" s="8">
        <v>242</v>
      </c>
      <c r="IM1" s="8">
        <v>243</v>
      </c>
      <c r="IN1" s="8">
        <v>244</v>
      </c>
      <c r="IO1" s="8">
        <v>245</v>
      </c>
      <c r="IP1" s="8">
        <v>246</v>
      </c>
      <c r="IQ1" s="8">
        <v>247</v>
      </c>
      <c r="IR1" s="8">
        <v>248</v>
      </c>
      <c r="IS1" s="8">
        <v>249</v>
      </c>
      <c r="IT1" s="8">
        <v>250</v>
      </c>
      <c r="IU1" s="8">
        <v>251</v>
      </c>
      <c r="IV1" s="8">
        <v>252</v>
      </c>
      <c r="IW1" s="8">
        <v>253</v>
      </c>
      <c r="IX1" s="8">
        <v>254</v>
      </c>
      <c r="IY1" s="8">
        <v>255</v>
      </c>
      <c r="IZ1" s="8">
        <v>256</v>
      </c>
      <c r="JA1" s="8">
        <v>257</v>
      </c>
      <c r="JB1" s="8">
        <v>258</v>
      </c>
      <c r="JC1" s="8">
        <v>259</v>
      </c>
      <c r="JD1" s="8">
        <v>260</v>
      </c>
      <c r="JE1" s="8">
        <v>261</v>
      </c>
      <c r="JF1" s="8">
        <v>262</v>
      </c>
      <c r="JG1" s="8">
        <v>263</v>
      </c>
      <c r="JH1" s="8">
        <v>264</v>
      </c>
      <c r="JI1" s="8">
        <v>265</v>
      </c>
      <c r="JJ1" s="8">
        <v>266</v>
      </c>
      <c r="JK1" s="8">
        <v>267</v>
      </c>
      <c r="JL1" s="8">
        <v>268</v>
      </c>
      <c r="JM1" s="8">
        <v>269</v>
      </c>
      <c r="JN1" s="8">
        <v>270</v>
      </c>
      <c r="JO1" s="8">
        <v>271</v>
      </c>
      <c r="JP1" s="8">
        <v>272</v>
      </c>
      <c r="JQ1" s="8">
        <v>273</v>
      </c>
      <c r="JR1" s="8">
        <v>274</v>
      </c>
      <c r="JS1" s="8">
        <v>275</v>
      </c>
      <c r="JT1" s="8">
        <v>276</v>
      </c>
      <c r="JU1" s="8">
        <v>277</v>
      </c>
      <c r="JV1" s="8">
        <v>278</v>
      </c>
      <c r="JW1" s="8">
        <v>279</v>
      </c>
      <c r="JX1" s="8">
        <v>280</v>
      </c>
      <c r="JY1" s="8">
        <v>281</v>
      </c>
      <c r="JZ1" s="8">
        <v>282</v>
      </c>
      <c r="KA1" s="8">
        <v>283</v>
      </c>
      <c r="KB1" s="8">
        <v>284</v>
      </c>
      <c r="KC1" s="8">
        <v>285</v>
      </c>
      <c r="KD1" s="8">
        <v>286</v>
      </c>
      <c r="KE1" s="8">
        <v>287</v>
      </c>
      <c r="KF1" s="8">
        <v>288</v>
      </c>
      <c r="KG1" s="8">
        <v>289</v>
      </c>
      <c r="KH1" s="8">
        <v>290</v>
      </c>
      <c r="KI1" s="8">
        <v>291</v>
      </c>
      <c r="KJ1" s="8">
        <v>292</v>
      </c>
      <c r="KK1" s="8">
        <v>293</v>
      </c>
      <c r="KL1" s="8">
        <v>294</v>
      </c>
      <c r="KM1" s="8">
        <v>295</v>
      </c>
      <c r="KN1" s="8">
        <v>296</v>
      </c>
      <c r="KO1" s="8">
        <v>297</v>
      </c>
      <c r="KP1" s="8">
        <v>298</v>
      </c>
      <c r="KQ1" s="8">
        <v>299</v>
      </c>
      <c r="KR1" s="8">
        <v>300</v>
      </c>
      <c r="KS1" s="8">
        <v>301</v>
      </c>
      <c r="KT1" s="8">
        <v>302</v>
      </c>
      <c r="KU1" s="8">
        <v>303</v>
      </c>
      <c r="KV1" s="8">
        <v>304</v>
      </c>
      <c r="KW1" s="8">
        <v>305</v>
      </c>
      <c r="KX1" s="8">
        <v>306</v>
      </c>
      <c r="KY1" s="8">
        <v>307</v>
      </c>
      <c r="KZ1" s="8">
        <v>308</v>
      </c>
      <c r="LA1" s="8">
        <v>309</v>
      </c>
      <c r="LB1" s="8">
        <v>310</v>
      </c>
      <c r="LC1" s="8">
        <v>311</v>
      </c>
      <c r="LD1" s="8">
        <v>312</v>
      </c>
      <c r="LE1" s="8">
        <v>313</v>
      </c>
      <c r="LF1" s="8">
        <v>314</v>
      </c>
      <c r="LG1" s="8">
        <v>315</v>
      </c>
      <c r="LH1" s="8">
        <v>316</v>
      </c>
      <c r="LI1" s="8">
        <v>317</v>
      </c>
      <c r="LJ1" s="8">
        <v>318</v>
      </c>
      <c r="LK1" s="8">
        <v>319</v>
      </c>
      <c r="LL1" s="8">
        <v>320</v>
      </c>
      <c r="LM1" s="8">
        <v>321</v>
      </c>
      <c r="LN1" s="8">
        <v>322</v>
      </c>
      <c r="LO1" s="8">
        <v>323</v>
      </c>
      <c r="LP1" s="8">
        <v>324</v>
      </c>
      <c r="LQ1" s="8">
        <v>325</v>
      </c>
      <c r="LR1" s="8">
        <v>326</v>
      </c>
      <c r="LS1" s="8">
        <v>327</v>
      </c>
      <c r="LT1" s="8">
        <v>328</v>
      </c>
      <c r="LU1" s="8">
        <v>329</v>
      </c>
      <c r="LV1" s="8">
        <v>330</v>
      </c>
      <c r="LW1" s="8">
        <v>331</v>
      </c>
      <c r="LX1" s="8">
        <v>332</v>
      </c>
      <c r="LY1" s="8">
        <v>333</v>
      </c>
      <c r="LZ1" s="8">
        <v>334</v>
      </c>
      <c r="MA1" s="8">
        <v>335</v>
      </c>
      <c r="MB1" s="8">
        <v>336</v>
      </c>
      <c r="MC1" s="8">
        <v>337</v>
      </c>
      <c r="MD1" s="8">
        <v>338</v>
      </c>
      <c r="ME1" s="8">
        <v>339</v>
      </c>
      <c r="MF1" s="8">
        <v>340</v>
      </c>
      <c r="MG1" s="8">
        <v>341</v>
      </c>
      <c r="MH1" s="8">
        <v>342</v>
      </c>
      <c r="MI1" s="8">
        <v>343</v>
      </c>
      <c r="MJ1" s="8">
        <v>344</v>
      </c>
      <c r="MK1" s="8">
        <v>345</v>
      </c>
      <c r="ML1" s="8">
        <v>346</v>
      </c>
      <c r="MM1" s="8">
        <v>347</v>
      </c>
      <c r="MN1" s="8">
        <v>348</v>
      </c>
      <c r="MO1" s="8">
        <v>349</v>
      </c>
      <c r="MP1" s="8">
        <v>350</v>
      </c>
      <c r="MQ1" s="8">
        <v>351</v>
      </c>
      <c r="MR1" s="8">
        <v>352</v>
      </c>
      <c r="MS1" s="8">
        <v>353</v>
      </c>
      <c r="MT1" s="8">
        <v>354</v>
      </c>
      <c r="MU1" s="8">
        <v>355</v>
      </c>
      <c r="MV1" s="8">
        <v>356</v>
      </c>
      <c r="MW1" s="8">
        <v>357</v>
      </c>
      <c r="MX1" s="8">
        <v>358</v>
      </c>
      <c r="MY1" s="8">
        <v>359</v>
      </c>
      <c r="MZ1" s="8">
        <v>360</v>
      </c>
      <c r="NA1" s="8">
        <v>361</v>
      </c>
      <c r="NB1" s="8">
        <v>362</v>
      </c>
      <c r="NC1" s="8">
        <v>363</v>
      </c>
      <c r="ND1" s="8">
        <v>364</v>
      </c>
      <c r="NE1" s="8">
        <v>365</v>
      </c>
      <c r="NF1" s="8">
        <v>366</v>
      </c>
      <c r="NG1" s="8">
        <v>367</v>
      </c>
      <c r="NH1" s="8">
        <v>368</v>
      </c>
      <c r="NI1" s="8">
        <v>369</v>
      </c>
      <c r="NJ1" s="8">
        <v>370</v>
      </c>
      <c r="NK1" s="8">
        <v>371</v>
      </c>
      <c r="NL1" s="8">
        <v>372</v>
      </c>
      <c r="NM1" s="8">
        <v>373</v>
      </c>
      <c r="NN1" s="8">
        <v>374</v>
      </c>
      <c r="NO1" s="8">
        <v>375</v>
      </c>
      <c r="NP1" s="8">
        <v>376</v>
      </c>
      <c r="NQ1" s="8">
        <v>377</v>
      </c>
      <c r="NR1" s="8">
        <v>378</v>
      </c>
      <c r="NS1" s="8">
        <v>379</v>
      </c>
      <c r="NT1" s="8">
        <v>380</v>
      </c>
      <c r="NU1" s="8">
        <v>381</v>
      </c>
      <c r="NV1" s="8">
        <v>382</v>
      </c>
      <c r="NW1" s="8">
        <v>383</v>
      </c>
      <c r="NX1" s="8">
        <v>384</v>
      </c>
      <c r="NY1" s="8">
        <v>385</v>
      </c>
      <c r="NZ1" s="8">
        <v>386</v>
      </c>
      <c r="OA1" s="8">
        <v>387</v>
      </c>
      <c r="OB1" s="8">
        <v>388</v>
      </c>
      <c r="OC1" s="8">
        <v>389</v>
      </c>
      <c r="OD1" s="8">
        <v>390</v>
      </c>
      <c r="OE1" s="8">
        <v>391</v>
      </c>
      <c r="OF1" s="8">
        <v>392</v>
      </c>
      <c r="OG1" s="8">
        <v>393</v>
      </c>
      <c r="OH1" s="8">
        <v>394</v>
      </c>
      <c r="OI1" s="8">
        <v>395</v>
      </c>
      <c r="OJ1" s="8">
        <v>396</v>
      </c>
      <c r="OK1" s="8">
        <v>397</v>
      </c>
      <c r="OL1" s="8">
        <v>398</v>
      </c>
      <c r="OM1" s="8">
        <v>399</v>
      </c>
      <c r="ON1" s="8">
        <v>400</v>
      </c>
      <c r="OO1" s="8">
        <v>401</v>
      </c>
      <c r="OP1" s="8">
        <v>402</v>
      </c>
      <c r="OQ1" s="8">
        <v>403</v>
      </c>
      <c r="OR1" s="8">
        <v>404</v>
      </c>
      <c r="OS1" s="8">
        <v>405</v>
      </c>
      <c r="OT1" s="8">
        <v>406</v>
      </c>
      <c r="OU1" s="8">
        <v>407</v>
      </c>
      <c r="OV1" s="8">
        <v>408</v>
      </c>
      <c r="OW1" s="8">
        <v>409</v>
      </c>
      <c r="OX1" s="8">
        <v>410</v>
      </c>
      <c r="OY1" s="8">
        <v>411</v>
      </c>
      <c r="OZ1" s="8">
        <v>412</v>
      </c>
      <c r="PA1" s="8">
        <v>413</v>
      </c>
      <c r="PB1" s="8">
        <v>414</v>
      </c>
      <c r="PC1" s="8">
        <v>415</v>
      </c>
      <c r="PD1" s="8">
        <v>416</v>
      </c>
      <c r="PE1" s="8">
        <v>417</v>
      </c>
      <c r="PF1" s="8">
        <v>418</v>
      </c>
      <c r="PG1" s="8">
        <v>419</v>
      </c>
      <c r="PH1" s="8">
        <v>420</v>
      </c>
      <c r="PI1" s="8">
        <v>421</v>
      </c>
      <c r="PJ1" s="8">
        <v>422</v>
      </c>
      <c r="PK1" s="8">
        <v>423</v>
      </c>
      <c r="PL1" s="8">
        <v>424</v>
      </c>
      <c r="PM1" s="8">
        <v>425</v>
      </c>
      <c r="PN1" s="8">
        <v>426</v>
      </c>
      <c r="PO1" s="8">
        <v>427</v>
      </c>
      <c r="PP1" s="8">
        <v>428</v>
      </c>
      <c r="PQ1" s="8">
        <v>429</v>
      </c>
      <c r="PR1" s="8">
        <v>430</v>
      </c>
      <c r="PS1" s="8">
        <v>431</v>
      </c>
      <c r="PT1" s="8">
        <v>432</v>
      </c>
      <c r="PU1" s="8">
        <v>433</v>
      </c>
      <c r="PV1" s="8">
        <v>434</v>
      </c>
      <c r="PW1" s="8">
        <v>435</v>
      </c>
      <c r="PX1" s="8">
        <v>436</v>
      </c>
      <c r="PY1" s="8">
        <v>437</v>
      </c>
      <c r="PZ1" s="8">
        <v>438</v>
      </c>
      <c r="QA1" s="8">
        <v>439</v>
      </c>
      <c r="QB1" s="8">
        <v>440</v>
      </c>
      <c r="QC1" s="8">
        <v>441</v>
      </c>
      <c r="QD1" s="8">
        <v>442</v>
      </c>
      <c r="QE1" s="8">
        <v>443</v>
      </c>
      <c r="QF1" s="8">
        <v>444</v>
      </c>
      <c r="QG1" s="8">
        <v>445</v>
      </c>
      <c r="QH1" s="8">
        <v>446</v>
      </c>
      <c r="QI1" s="8">
        <v>447</v>
      </c>
      <c r="QJ1" s="8">
        <v>448</v>
      </c>
      <c r="QK1" s="8">
        <v>449</v>
      </c>
      <c r="QL1" s="8">
        <v>450</v>
      </c>
      <c r="QM1" s="8">
        <v>451</v>
      </c>
      <c r="QN1" s="8">
        <v>452</v>
      </c>
      <c r="QO1" s="8">
        <v>453</v>
      </c>
      <c r="QP1" s="8">
        <v>454</v>
      </c>
      <c r="QQ1" s="8">
        <v>455</v>
      </c>
      <c r="QR1" s="8">
        <v>456</v>
      </c>
      <c r="QS1" s="8">
        <v>457</v>
      </c>
      <c r="QT1" s="8">
        <v>458</v>
      </c>
      <c r="QU1" s="8">
        <v>459</v>
      </c>
      <c r="QV1" s="8">
        <v>460</v>
      </c>
      <c r="QW1" s="8">
        <v>461</v>
      </c>
      <c r="QX1" s="8">
        <v>462</v>
      </c>
      <c r="QY1" s="8">
        <v>463</v>
      </c>
      <c r="QZ1" s="8">
        <v>464</v>
      </c>
      <c r="RA1" s="8">
        <v>465</v>
      </c>
      <c r="RB1" s="8">
        <v>466</v>
      </c>
      <c r="RC1" s="8">
        <v>467</v>
      </c>
      <c r="RD1" s="8">
        <v>468</v>
      </c>
      <c r="RE1" s="8">
        <v>469</v>
      </c>
      <c r="RF1" s="8">
        <v>470</v>
      </c>
      <c r="RG1" s="8">
        <v>471</v>
      </c>
      <c r="RH1" s="8">
        <v>472</v>
      </c>
      <c r="RI1" s="8">
        <v>473</v>
      </c>
      <c r="RJ1" s="8">
        <v>474</v>
      </c>
      <c r="RK1" s="8">
        <v>475</v>
      </c>
      <c r="RL1" s="8">
        <v>476</v>
      </c>
      <c r="RM1" s="8">
        <v>477</v>
      </c>
      <c r="RN1" s="8">
        <v>478</v>
      </c>
      <c r="RO1" s="8">
        <v>479</v>
      </c>
      <c r="RP1" s="8">
        <v>480</v>
      </c>
      <c r="RQ1" s="8">
        <v>481</v>
      </c>
      <c r="RR1" s="8">
        <v>482</v>
      </c>
      <c r="RS1" s="8">
        <v>483</v>
      </c>
      <c r="RT1" s="8">
        <v>484</v>
      </c>
      <c r="RU1" s="8">
        <v>485</v>
      </c>
      <c r="RV1" s="8">
        <v>486</v>
      </c>
      <c r="RW1" s="8">
        <v>487</v>
      </c>
      <c r="RX1" s="8">
        <v>488</v>
      </c>
      <c r="RY1" s="8">
        <v>489</v>
      </c>
      <c r="RZ1" s="8">
        <v>490</v>
      </c>
      <c r="SA1" s="8">
        <v>491</v>
      </c>
      <c r="SB1" s="8">
        <v>492</v>
      </c>
      <c r="SC1" s="8">
        <v>493</v>
      </c>
      <c r="SD1" s="8">
        <v>494</v>
      </c>
      <c r="SE1" s="8">
        <v>495</v>
      </c>
      <c r="SF1" s="8">
        <v>496</v>
      </c>
      <c r="SG1" s="8">
        <v>497</v>
      </c>
      <c r="SH1" s="8">
        <v>498</v>
      </c>
      <c r="SI1" s="8">
        <v>499</v>
      </c>
      <c r="SJ1" s="8">
        <v>500</v>
      </c>
      <c r="SK1" s="8">
        <v>501</v>
      </c>
      <c r="SL1" s="8">
        <v>502</v>
      </c>
      <c r="SM1" s="8">
        <v>503</v>
      </c>
      <c r="SN1" s="8">
        <v>504</v>
      </c>
      <c r="SO1" s="8">
        <v>505</v>
      </c>
      <c r="SP1" s="8">
        <v>506</v>
      </c>
      <c r="SQ1" s="8">
        <v>507</v>
      </c>
      <c r="SR1" s="8">
        <v>508</v>
      </c>
      <c r="SS1" s="8">
        <v>509</v>
      </c>
      <c r="ST1" s="8">
        <v>510</v>
      </c>
      <c r="SU1" s="8">
        <v>511</v>
      </c>
      <c r="SV1" s="8">
        <v>512</v>
      </c>
      <c r="SW1" s="8">
        <v>513</v>
      </c>
      <c r="SX1" s="8">
        <v>514</v>
      </c>
      <c r="SY1" s="8">
        <v>515</v>
      </c>
      <c r="SZ1" s="8">
        <v>516</v>
      </c>
      <c r="TA1" s="8">
        <v>517</v>
      </c>
      <c r="TB1" s="8">
        <v>518</v>
      </c>
      <c r="TC1" s="8">
        <v>519</v>
      </c>
      <c r="TD1" s="8">
        <v>520</v>
      </c>
      <c r="TE1" s="8">
        <v>521</v>
      </c>
      <c r="TF1" s="8">
        <v>522</v>
      </c>
      <c r="TG1" s="8">
        <v>523</v>
      </c>
      <c r="TH1" s="8">
        <v>524</v>
      </c>
      <c r="TI1" s="8">
        <v>525</v>
      </c>
      <c r="TJ1" s="8">
        <v>526</v>
      </c>
      <c r="TK1" s="8">
        <v>527</v>
      </c>
      <c r="TL1" s="8">
        <v>528</v>
      </c>
      <c r="TM1" s="8">
        <v>529</v>
      </c>
      <c r="TN1" s="8">
        <v>530</v>
      </c>
      <c r="TO1" s="8">
        <v>531</v>
      </c>
      <c r="TP1" s="8">
        <v>532</v>
      </c>
      <c r="TQ1" s="8">
        <v>533</v>
      </c>
      <c r="TR1" s="8">
        <v>534</v>
      </c>
      <c r="TS1" s="8">
        <v>535</v>
      </c>
      <c r="TT1" s="8">
        <v>536</v>
      </c>
      <c r="TU1" s="8">
        <v>537</v>
      </c>
      <c r="TV1" s="8">
        <v>538</v>
      </c>
      <c r="TW1" s="8">
        <v>539</v>
      </c>
      <c r="TX1" s="8">
        <v>540</v>
      </c>
      <c r="TY1" s="8">
        <v>541</v>
      </c>
      <c r="TZ1" s="8">
        <v>542</v>
      </c>
      <c r="UA1" s="8">
        <v>543</v>
      </c>
      <c r="UB1" s="8">
        <v>544</v>
      </c>
      <c r="UC1" s="8">
        <v>545</v>
      </c>
      <c r="UD1" s="8">
        <v>546</v>
      </c>
      <c r="UE1" s="8">
        <v>547</v>
      </c>
      <c r="UF1" s="8">
        <v>548</v>
      </c>
      <c r="UG1" s="8">
        <v>549</v>
      </c>
      <c r="UH1" s="8">
        <v>550</v>
      </c>
      <c r="UI1" s="8">
        <v>551</v>
      </c>
      <c r="UJ1" s="8">
        <v>552</v>
      </c>
      <c r="UK1" s="8">
        <v>553</v>
      </c>
      <c r="UL1" s="8">
        <v>554</v>
      </c>
      <c r="UM1" s="8">
        <v>555</v>
      </c>
      <c r="UN1" s="8">
        <v>556</v>
      </c>
      <c r="UO1" s="8">
        <v>557</v>
      </c>
      <c r="UP1" s="8">
        <v>558</v>
      </c>
      <c r="UQ1" s="8">
        <v>559</v>
      </c>
      <c r="UR1" s="8">
        <v>560</v>
      </c>
      <c r="US1" s="8">
        <v>561</v>
      </c>
      <c r="UT1" s="8">
        <v>562</v>
      </c>
      <c r="UU1" s="8">
        <v>563</v>
      </c>
      <c r="UV1" s="8">
        <v>564</v>
      </c>
      <c r="UW1" s="8">
        <v>565</v>
      </c>
      <c r="UX1" s="8">
        <v>566</v>
      </c>
      <c r="UY1" s="8">
        <v>567</v>
      </c>
      <c r="UZ1" s="8">
        <v>568</v>
      </c>
      <c r="VA1" s="8">
        <v>569</v>
      </c>
      <c r="VB1" s="8">
        <v>570</v>
      </c>
      <c r="VC1" s="8">
        <v>571</v>
      </c>
      <c r="VD1" s="8">
        <v>572</v>
      </c>
      <c r="VE1" s="8">
        <v>573</v>
      </c>
      <c r="VF1" s="8">
        <v>574</v>
      </c>
      <c r="VG1" s="8">
        <v>575</v>
      </c>
      <c r="VH1" s="8">
        <v>576</v>
      </c>
      <c r="VI1" s="8">
        <v>577</v>
      </c>
      <c r="VJ1" s="8">
        <v>578</v>
      </c>
      <c r="VK1" s="8">
        <v>579</v>
      </c>
      <c r="VL1" s="8">
        <v>580</v>
      </c>
      <c r="VM1" s="8">
        <v>581</v>
      </c>
      <c r="VN1" s="8">
        <v>582</v>
      </c>
      <c r="VO1" s="8">
        <v>583</v>
      </c>
      <c r="VP1" s="8">
        <v>584</v>
      </c>
      <c r="VQ1" s="8">
        <v>585</v>
      </c>
      <c r="VR1" s="8">
        <v>586</v>
      </c>
      <c r="VS1" s="8">
        <v>587</v>
      </c>
      <c r="VT1" s="8">
        <v>588</v>
      </c>
      <c r="VU1" s="8">
        <v>589</v>
      </c>
      <c r="VV1" s="8">
        <v>590</v>
      </c>
      <c r="VW1" s="8">
        <v>591</v>
      </c>
      <c r="VX1" s="8">
        <v>592</v>
      </c>
      <c r="VY1" s="8">
        <v>593</v>
      </c>
      <c r="VZ1" s="8">
        <v>594</v>
      </c>
      <c r="WA1" s="8">
        <v>595</v>
      </c>
      <c r="WB1" s="8">
        <v>596</v>
      </c>
      <c r="WC1" s="8">
        <v>597</v>
      </c>
      <c r="WD1" s="8">
        <v>598</v>
      </c>
      <c r="WE1" s="8">
        <v>599</v>
      </c>
      <c r="WF1" s="8">
        <v>600</v>
      </c>
      <c r="WG1" s="8">
        <v>601</v>
      </c>
      <c r="WH1" s="8">
        <v>602</v>
      </c>
      <c r="WI1" s="8">
        <v>603</v>
      </c>
      <c r="WJ1" s="8">
        <v>604</v>
      </c>
      <c r="WK1" s="8">
        <v>605</v>
      </c>
      <c r="WL1" s="8">
        <v>606</v>
      </c>
      <c r="WM1" s="8">
        <v>607</v>
      </c>
      <c r="WN1" s="8">
        <v>608</v>
      </c>
      <c r="WO1" s="8">
        <v>609</v>
      </c>
      <c r="WP1" s="8">
        <v>610</v>
      </c>
      <c r="WQ1" s="8">
        <v>611</v>
      </c>
      <c r="WR1" s="8">
        <v>612</v>
      </c>
      <c r="WS1" s="8">
        <v>613</v>
      </c>
      <c r="WT1" s="8">
        <v>614</v>
      </c>
      <c r="WU1" s="8">
        <v>615</v>
      </c>
      <c r="WV1" s="8">
        <v>616</v>
      </c>
      <c r="WW1" s="8">
        <v>617</v>
      </c>
      <c r="WX1" s="8">
        <v>618</v>
      </c>
      <c r="WY1" s="8">
        <v>619</v>
      </c>
      <c r="WZ1" s="8">
        <v>620</v>
      </c>
      <c r="XA1" s="8">
        <v>621</v>
      </c>
      <c r="XB1" s="8">
        <v>622</v>
      </c>
      <c r="XC1" s="8">
        <v>623</v>
      </c>
      <c r="XD1" s="8">
        <v>624</v>
      </c>
      <c r="XE1" s="8">
        <v>625</v>
      </c>
      <c r="XF1" s="8">
        <v>626</v>
      </c>
      <c r="XG1" s="8">
        <v>627</v>
      </c>
      <c r="XH1" s="8">
        <v>628</v>
      </c>
      <c r="XI1" s="8">
        <v>629</v>
      </c>
      <c r="XJ1" s="8">
        <v>630</v>
      </c>
      <c r="XK1" s="8">
        <v>631</v>
      </c>
      <c r="XL1" s="8">
        <v>632</v>
      </c>
      <c r="XM1" s="8">
        <v>633</v>
      </c>
      <c r="XN1" s="8">
        <v>634</v>
      </c>
      <c r="XO1" s="8">
        <v>635</v>
      </c>
      <c r="XP1" s="8">
        <v>636</v>
      </c>
      <c r="XQ1" s="8">
        <v>637</v>
      </c>
      <c r="XR1" s="8">
        <v>638</v>
      </c>
      <c r="XS1" s="8">
        <v>639</v>
      </c>
      <c r="XT1" s="8">
        <v>640</v>
      </c>
      <c r="XU1" s="8">
        <v>641</v>
      </c>
      <c r="XV1" s="8">
        <v>642</v>
      </c>
      <c r="XW1" s="8">
        <v>643</v>
      </c>
      <c r="XX1" s="8">
        <v>644</v>
      </c>
      <c r="XY1" s="8">
        <v>645</v>
      </c>
      <c r="XZ1" s="8">
        <v>646</v>
      </c>
      <c r="YA1" s="8">
        <v>647</v>
      </c>
      <c r="YB1" s="8">
        <v>648</v>
      </c>
      <c r="YC1" s="8">
        <v>649</v>
      </c>
      <c r="YD1" s="8">
        <v>650</v>
      </c>
      <c r="YE1" s="8">
        <v>651</v>
      </c>
      <c r="YF1" s="8">
        <v>652</v>
      </c>
      <c r="YG1" s="8">
        <v>653</v>
      </c>
      <c r="YH1" s="8">
        <v>654</v>
      </c>
      <c r="YI1" s="8">
        <v>655</v>
      </c>
      <c r="YJ1" s="8">
        <v>656</v>
      </c>
      <c r="YK1" s="8">
        <v>657</v>
      </c>
      <c r="YL1" s="8">
        <v>658</v>
      </c>
      <c r="YM1" s="8">
        <v>659</v>
      </c>
      <c r="YN1" s="8">
        <v>660</v>
      </c>
      <c r="YO1" s="8">
        <v>661</v>
      </c>
      <c r="YP1" s="8">
        <v>662</v>
      </c>
      <c r="YQ1" s="8">
        <v>663</v>
      </c>
      <c r="YR1" s="8">
        <v>664</v>
      </c>
      <c r="YS1" s="8">
        <v>665</v>
      </c>
      <c r="YT1" s="8">
        <v>666</v>
      </c>
      <c r="YU1" s="8">
        <v>667</v>
      </c>
      <c r="YV1" s="8">
        <v>668</v>
      </c>
      <c r="YW1" s="8">
        <v>669</v>
      </c>
      <c r="YX1" s="8">
        <v>670</v>
      </c>
      <c r="YY1" s="8">
        <v>671</v>
      </c>
      <c r="YZ1" s="8">
        <v>672</v>
      </c>
      <c r="ZA1" s="8">
        <v>673</v>
      </c>
      <c r="ZB1" s="8">
        <v>674</v>
      </c>
      <c r="ZC1" s="8">
        <v>675</v>
      </c>
      <c r="ZD1" s="8">
        <v>676</v>
      </c>
      <c r="ZE1" s="8">
        <v>677</v>
      </c>
      <c r="ZF1" s="8">
        <v>678</v>
      </c>
      <c r="ZG1" s="8">
        <v>679</v>
      </c>
      <c r="ZH1" s="8">
        <v>680</v>
      </c>
      <c r="ZI1" s="8">
        <v>681</v>
      </c>
      <c r="ZJ1" s="8">
        <v>682</v>
      </c>
      <c r="ZK1" s="8">
        <v>683</v>
      </c>
      <c r="ZL1" s="8">
        <v>684</v>
      </c>
      <c r="ZM1" s="8">
        <v>685</v>
      </c>
      <c r="ZN1" s="8">
        <v>686</v>
      </c>
      <c r="ZO1" s="8">
        <v>687</v>
      </c>
      <c r="ZP1" s="8">
        <v>688</v>
      </c>
      <c r="ZQ1" s="8">
        <v>689</v>
      </c>
      <c r="ZR1" s="8">
        <v>690</v>
      </c>
      <c r="ZS1" s="8">
        <v>691</v>
      </c>
      <c r="ZT1" s="8">
        <v>692</v>
      </c>
      <c r="ZU1" s="8">
        <v>693</v>
      </c>
      <c r="ZV1" s="8">
        <v>694</v>
      </c>
      <c r="ZW1" s="8">
        <v>695</v>
      </c>
      <c r="ZX1" s="8">
        <v>696</v>
      </c>
      <c r="ZY1" s="8">
        <v>697</v>
      </c>
      <c r="ZZ1" s="8">
        <v>698</v>
      </c>
      <c r="AAA1" s="8">
        <v>699</v>
      </c>
      <c r="AAB1" s="8">
        <v>700</v>
      </c>
      <c r="AAC1" s="8">
        <v>701</v>
      </c>
      <c r="AAD1" s="8">
        <v>702</v>
      </c>
      <c r="AAE1" s="8">
        <v>703</v>
      </c>
      <c r="AAF1" s="8">
        <v>704</v>
      </c>
      <c r="AAG1" s="8">
        <v>705</v>
      </c>
      <c r="AAH1" s="8">
        <v>706</v>
      </c>
      <c r="AAI1" s="8">
        <v>707</v>
      </c>
      <c r="AAJ1" s="8">
        <v>708</v>
      </c>
      <c r="AAK1" s="8">
        <v>709</v>
      </c>
      <c r="AAL1" s="8">
        <v>710</v>
      </c>
      <c r="AAM1" s="8">
        <v>711</v>
      </c>
      <c r="AAN1" s="8">
        <v>712</v>
      </c>
      <c r="AAO1" s="8">
        <v>713</v>
      </c>
      <c r="AAP1" s="8">
        <v>714</v>
      </c>
      <c r="AAQ1" s="8">
        <v>715</v>
      </c>
      <c r="AAR1" s="8">
        <v>716</v>
      </c>
      <c r="AAS1" s="8">
        <v>717</v>
      </c>
      <c r="AAT1" s="8">
        <v>718</v>
      </c>
      <c r="AAU1" s="8">
        <v>719</v>
      </c>
      <c r="AAV1" s="8">
        <v>720</v>
      </c>
      <c r="AAW1" s="8">
        <v>721</v>
      </c>
      <c r="AAX1" s="8">
        <v>722</v>
      </c>
      <c r="AAY1" s="8">
        <v>723</v>
      </c>
      <c r="AAZ1" s="8">
        <v>724</v>
      </c>
      <c r="ABA1" s="8">
        <v>725</v>
      </c>
      <c r="ABB1" s="8">
        <v>726</v>
      </c>
      <c r="ABC1" s="8">
        <v>727</v>
      </c>
      <c r="ABD1" s="8">
        <v>728</v>
      </c>
      <c r="ABE1" s="8">
        <v>729</v>
      </c>
      <c r="ABF1" s="8">
        <v>730</v>
      </c>
      <c r="ABG1" s="8">
        <v>731</v>
      </c>
      <c r="ABH1" s="8">
        <v>732</v>
      </c>
      <c r="ABI1" s="8">
        <v>733</v>
      </c>
      <c r="ABJ1" s="8">
        <v>734</v>
      </c>
      <c r="ABK1" s="8">
        <v>735</v>
      </c>
      <c r="ABL1" s="8">
        <v>736</v>
      </c>
      <c r="ABM1" s="8">
        <v>737</v>
      </c>
      <c r="ABN1" s="8">
        <v>738</v>
      </c>
      <c r="ABO1" s="8">
        <v>739</v>
      </c>
      <c r="ABP1" s="8">
        <v>740</v>
      </c>
      <c r="ABQ1" s="8">
        <v>741</v>
      </c>
      <c r="ABR1" s="8">
        <v>742</v>
      </c>
      <c r="ABS1" s="8">
        <v>743</v>
      </c>
      <c r="ABT1" s="8">
        <v>744</v>
      </c>
      <c r="ABU1" s="8">
        <v>745</v>
      </c>
      <c r="ABV1" s="8">
        <v>746</v>
      </c>
      <c r="ABW1" s="8">
        <v>747</v>
      </c>
      <c r="ABX1" s="8">
        <v>748</v>
      </c>
      <c r="ABY1" s="8">
        <v>749</v>
      </c>
      <c r="ABZ1" s="8">
        <v>750</v>
      </c>
      <c r="ACA1" s="8">
        <v>751</v>
      </c>
      <c r="ACB1" s="8">
        <v>752</v>
      </c>
      <c r="ACC1" s="8">
        <v>753</v>
      </c>
      <c r="ACD1" s="8">
        <v>754</v>
      </c>
      <c r="ACE1" s="8">
        <v>755</v>
      </c>
      <c r="ACF1" s="8">
        <v>756</v>
      </c>
      <c r="ACG1" s="8">
        <v>757</v>
      </c>
      <c r="ACH1" s="8">
        <v>758</v>
      </c>
      <c r="ACI1" s="8">
        <v>759</v>
      </c>
      <c r="ACJ1" s="8">
        <v>760</v>
      </c>
      <c r="ACK1" s="8">
        <v>761</v>
      </c>
      <c r="ACL1" s="8">
        <v>762</v>
      </c>
      <c r="ACM1" s="8">
        <v>763</v>
      </c>
      <c r="ACN1" s="8">
        <v>764</v>
      </c>
      <c r="ACO1" s="8">
        <v>765</v>
      </c>
      <c r="ACP1" s="8">
        <v>766</v>
      </c>
      <c r="ACQ1" s="8">
        <v>767</v>
      </c>
      <c r="ACR1" s="8">
        <v>768</v>
      </c>
      <c r="ACS1" s="8">
        <v>769</v>
      </c>
      <c r="ACT1" s="8">
        <v>770</v>
      </c>
      <c r="ACU1" s="8">
        <v>771</v>
      </c>
      <c r="ACV1" s="8">
        <v>772</v>
      </c>
      <c r="ACW1" s="8">
        <v>773</v>
      </c>
      <c r="ACX1" s="8">
        <v>774</v>
      </c>
      <c r="ACY1" s="8">
        <v>775</v>
      </c>
      <c r="ACZ1" s="8">
        <v>776</v>
      </c>
      <c r="ADA1" s="8">
        <v>777</v>
      </c>
      <c r="ADB1" s="8">
        <v>778</v>
      </c>
      <c r="ADC1" s="8">
        <v>779</v>
      </c>
      <c r="ADD1" s="8">
        <v>780</v>
      </c>
      <c r="ADE1" s="8">
        <v>781</v>
      </c>
      <c r="ADF1" s="8">
        <v>782</v>
      </c>
      <c r="ADG1" s="8">
        <v>783</v>
      </c>
      <c r="ADH1" s="8">
        <v>784</v>
      </c>
      <c r="ADI1" s="8">
        <v>785</v>
      </c>
      <c r="ADJ1" s="8">
        <v>786</v>
      </c>
      <c r="ADK1" s="8">
        <v>787</v>
      </c>
      <c r="ADL1" s="8">
        <v>788</v>
      </c>
      <c r="ADM1" s="8">
        <v>789</v>
      </c>
      <c r="ADN1" s="8">
        <v>790</v>
      </c>
      <c r="ADO1" s="8">
        <v>791</v>
      </c>
      <c r="ADP1" s="8">
        <v>792</v>
      </c>
      <c r="ADQ1" s="8">
        <v>793</v>
      </c>
      <c r="ADR1" s="8">
        <v>794</v>
      </c>
      <c r="ADS1" s="8">
        <v>795</v>
      </c>
      <c r="ADT1" s="8">
        <v>796</v>
      </c>
      <c r="ADU1" s="8">
        <v>797</v>
      </c>
      <c r="ADV1" s="8">
        <v>798</v>
      </c>
      <c r="ADW1" s="8">
        <v>799</v>
      </c>
      <c r="ADX1" s="8">
        <v>800</v>
      </c>
      <c r="ADY1" s="8">
        <v>801</v>
      </c>
      <c r="ADZ1" s="8">
        <v>802</v>
      </c>
      <c r="AEA1" s="8">
        <v>803</v>
      </c>
      <c r="AEB1" s="8">
        <v>804</v>
      </c>
      <c r="AEC1" s="8">
        <v>805</v>
      </c>
      <c r="AED1" s="8">
        <v>806</v>
      </c>
      <c r="AEE1" s="8">
        <v>807</v>
      </c>
      <c r="AEF1" s="8">
        <v>808</v>
      </c>
      <c r="AEG1" s="8">
        <v>809</v>
      </c>
      <c r="AEH1" s="8">
        <v>810</v>
      </c>
      <c r="AEI1" s="8">
        <v>811</v>
      </c>
      <c r="AEJ1" s="8">
        <v>812</v>
      </c>
      <c r="AEK1" s="8">
        <v>813</v>
      </c>
      <c r="AEL1" s="8">
        <v>814</v>
      </c>
      <c r="AEM1" s="8">
        <v>815</v>
      </c>
      <c r="AEN1" s="8">
        <v>816</v>
      </c>
      <c r="AEO1" s="8">
        <v>817</v>
      </c>
      <c r="AEP1" s="8">
        <v>818</v>
      </c>
      <c r="AEQ1" s="8">
        <v>819</v>
      </c>
      <c r="AER1" s="8">
        <v>820</v>
      </c>
      <c r="AES1" s="8">
        <v>821</v>
      </c>
      <c r="AET1" s="8">
        <v>822</v>
      </c>
      <c r="AEU1" s="8">
        <v>823</v>
      </c>
      <c r="AEV1" s="8">
        <v>824</v>
      </c>
      <c r="AEW1" s="8">
        <v>825</v>
      </c>
      <c r="AEX1" s="8">
        <v>826</v>
      </c>
      <c r="AEY1" s="8">
        <v>827</v>
      </c>
      <c r="AEZ1" s="8">
        <v>828</v>
      </c>
      <c r="AFA1" s="8">
        <v>829</v>
      </c>
      <c r="AFB1" s="8">
        <v>830</v>
      </c>
      <c r="AFC1" s="8">
        <v>831</v>
      </c>
      <c r="AFD1" s="8">
        <v>832</v>
      </c>
      <c r="AFE1" s="8">
        <v>833</v>
      </c>
      <c r="AFF1" s="8">
        <v>834</v>
      </c>
      <c r="AFG1" s="8">
        <v>835</v>
      </c>
      <c r="AFH1" s="8">
        <v>836</v>
      </c>
      <c r="AFI1" s="8">
        <v>837</v>
      </c>
      <c r="AFJ1" s="8">
        <v>838</v>
      </c>
      <c r="AFK1" s="8">
        <v>839</v>
      </c>
      <c r="AFL1" s="8">
        <v>840</v>
      </c>
      <c r="AFM1" s="8">
        <v>841</v>
      </c>
      <c r="AFN1" s="8">
        <v>842</v>
      </c>
      <c r="AFO1" s="8">
        <v>843</v>
      </c>
      <c r="AFP1" s="8">
        <v>844</v>
      </c>
      <c r="AFQ1" s="8">
        <v>845</v>
      </c>
      <c r="AFR1" s="8">
        <v>846</v>
      </c>
      <c r="AFS1" s="8">
        <v>847</v>
      </c>
      <c r="AFT1" s="8">
        <v>848</v>
      </c>
      <c r="AFU1" s="8">
        <v>849</v>
      </c>
      <c r="AFV1" s="8">
        <v>850</v>
      </c>
      <c r="AFW1" s="8">
        <v>851</v>
      </c>
      <c r="AFX1" s="8">
        <v>852</v>
      </c>
      <c r="AFY1" s="8">
        <v>853</v>
      </c>
      <c r="AFZ1" s="8">
        <v>854</v>
      </c>
      <c r="AGA1" s="8">
        <v>855</v>
      </c>
      <c r="AGB1" s="8">
        <v>856</v>
      </c>
      <c r="AGC1" s="8">
        <v>857</v>
      </c>
      <c r="AGD1" s="8">
        <v>858</v>
      </c>
      <c r="AGE1" s="8">
        <v>859</v>
      </c>
      <c r="AGF1" s="8">
        <v>860</v>
      </c>
      <c r="AGG1" s="8">
        <v>861</v>
      </c>
      <c r="AGH1" s="8">
        <v>862</v>
      </c>
      <c r="AGI1" s="8">
        <v>863</v>
      </c>
      <c r="AGJ1" s="8">
        <v>864</v>
      </c>
      <c r="AGK1" s="8">
        <v>865</v>
      </c>
      <c r="AGL1" s="8">
        <v>866</v>
      </c>
      <c r="AGM1" s="8">
        <v>867</v>
      </c>
      <c r="AGN1" s="8">
        <v>868</v>
      </c>
      <c r="AGO1" s="8">
        <v>869</v>
      </c>
      <c r="AGP1" s="8">
        <v>870</v>
      </c>
      <c r="AGQ1" s="8">
        <v>871</v>
      </c>
      <c r="AGR1" s="8">
        <v>872</v>
      </c>
      <c r="AGS1" s="8">
        <v>873</v>
      </c>
      <c r="AGT1" s="8">
        <v>874</v>
      </c>
      <c r="AGU1" s="8">
        <v>875</v>
      </c>
      <c r="AGV1" s="8">
        <v>876</v>
      </c>
      <c r="AGW1" s="8">
        <v>877</v>
      </c>
      <c r="AGX1" s="8">
        <v>878</v>
      </c>
      <c r="AGY1" s="8">
        <v>879</v>
      </c>
      <c r="AGZ1" s="8">
        <v>880</v>
      </c>
      <c r="AHA1" s="8">
        <v>881</v>
      </c>
      <c r="AHB1" s="8">
        <v>882</v>
      </c>
      <c r="AHC1" s="8">
        <v>883</v>
      </c>
      <c r="AHD1" s="8">
        <v>884</v>
      </c>
      <c r="AHE1" s="8">
        <v>885</v>
      </c>
      <c r="AHF1" s="8">
        <v>886</v>
      </c>
      <c r="AHG1" s="8">
        <v>887</v>
      </c>
      <c r="AHH1" s="8">
        <v>888</v>
      </c>
      <c r="AHI1" s="8">
        <v>889</v>
      </c>
      <c r="AHJ1" s="8">
        <v>890</v>
      </c>
      <c r="AHK1" s="8">
        <v>891</v>
      </c>
      <c r="AHL1" s="8">
        <v>892</v>
      </c>
      <c r="AHM1" s="8">
        <v>893</v>
      </c>
      <c r="AHN1" s="8">
        <v>894</v>
      </c>
      <c r="AHO1" s="8">
        <v>895</v>
      </c>
      <c r="AHP1" s="8">
        <v>896</v>
      </c>
      <c r="AHQ1" s="8">
        <v>897</v>
      </c>
      <c r="AHR1" s="8">
        <v>898</v>
      </c>
      <c r="AHS1" s="8">
        <v>899</v>
      </c>
      <c r="AHT1" s="8">
        <v>900</v>
      </c>
      <c r="AHU1" s="8">
        <v>901</v>
      </c>
      <c r="AHV1" s="8">
        <v>902</v>
      </c>
      <c r="AHW1" s="8">
        <v>903</v>
      </c>
      <c r="AHX1" s="8">
        <v>904</v>
      </c>
      <c r="AHY1" s="8">
        <v>905</v>
      </c>
      <c r="AHZ1" s="8">
        <v>906</v>
      </c>
      <c r="AIA1" s="8">
        <v>907</v>
      </c>
      <c r="AIB1" s="8">
        <v>908</v>
      </c>
      <c r="AIC1" s="8">
        <v>909</v>
      </c>
      <c r="AID1" s="8">
        <v>910</v>
      </c>
      <c r="AIE1" s="8">
        <v>911</v>
      </c>
      <c r="AIF1" s="8">
        <v>912</v>
      </c>
      <c r="AIG1" s="8">
        <v>913</v>
      </c>
      <c r="AIH1" s="8">
        <v>914</v>
      </c>
      <c r="AII1" s="8">
        <v>915</v>
      </c>
      <c r="AIJ1" s="8">
        <v>916</v>
      </c>
      <c r="AIK1" s="8">
        <v>917</v>
      </c>
      <c r="AIL1" s="8">
        <v>918</v>
      </c>
      <c r="AIM1" s="8">
        <v>919</v>
      </c>
      <c r="AIN1" s="8">
        <v>920</v>
      </c>
      <c r="AIO1" s="8">
        <v>921</v>
      </c>
      <c r="AIP1" s="8">
        <v>922</v>
      </c>
      <c r="AIQ1" s="8">
        <v>923</v>
      </c>
      <c r="AIR1" s="8">
        <v>924</v>
      </c>
      <c r="AIS1" s="8">
        <v>925</v>
      </c>
      <c r="AIT1" s="8">
        <v>926</v>
      </c>
      <c r="AIU1" s="8">
        <v>927</v>
      </c>
      <c r="AIV1" s="8">
        <v>928</v>
      </c>
      <c r="AIW1" s="8">
        <v>929</v>
      </c>
      <c r="AIX1" s="8">
        <v>930</v>
      </c>
      <c r="AIY1" s="8">
        <v>931</v>
      </c>
      <c r="AIZ1" s="8">
        <v>932</v>
      </c>
      <c r="AJA1" s="8">
        <v>933</v>
      </c>
      <c r="AJB1" s="8">
        <v>934</v>
      </c>
      <c r="AJC1" s="8">
        <v>935</v>
      </c>
      <c r="AJD1" s="8">
        <v>936</v>
      </c>
      <c r="AJE1" s="8">
        <v>937</v>
      </c>
      <c r="AJF1" s="8">
        <v>938</v>
      </c>
      <c r="AJG1" s="8">
        <v>939</v>
      </c>
      <c r="AJH1" s="8">
        <v>940</v>
      </c>
      <c r="AJI1" s="8">
        <v>941</v>
      </c>
      <c r="AJJ1" s="8">
        <v>942</v>
      </c>
      <c r="AJK1" s="8">
        <v>943</v>
      </c>
      <c r="AJL1" s="8">
        <v>944</v>
      </c>
      <c r="AJM1" s="8">
        <v>945</v>
      </c>
      <c r="AJN1" s="8">
        <v>946</v>
      </c>
      <c r="AJO1" s="8">
        <v>947</v>
      </c>
      <c r="AJP1" s="8">
        <v>948</v>
      </c>
      <c r="AJQ1" s="8">
        <v>949</v>
      </c>
      <c r="AJR1" s="8">
        <v>950</v>
      </c>
      <c r="AJS1" s="8">
        <v>951</v>
      </c>
      <c r="AJT1" s="8">
        <v>952</v>
      </c>
      <c r="AJU1" s="8">
        <v>953</v>
      </c>
      <c r="AJV1" s="8">
        <v>954</v>
      </c>
      <c r="AJW1" s="8">
        <v>955</v>
      </c>
      <c r="AJX1" s="8">
        <v>956</v>
      </c>
      <c r="AJY1" s="8">
        <v>957</v>
      </c>
      <c r="AJZ1" s="8">
        <v>958</v>
      </c>
      <c r="AKA1" s="8">
        <v>959</v>
      </c>
      <c r="AKB1" s="8">
        <v>960</v>
      </c>
      <c r="AKC1" s="8">
        <v>961</v>
      </c>
      <c r="AKD1" s="8">
        <v>962</v>
      </c>
      <c r="AKE1" s="8">
        <v>963</v>
      </c>
      <c r="AKF1" s="8">
        <v>964</v>
      </c>
      <c r="AKG1" s="8">
        <v>965</v>
      </c>
      <c r="AKH1" s="8">
        <v>966</v>
      </c>
      <c r="AKI1" s="8">
        <v>967</v>
      </c>
      <c r="AKJ1" s="8">
        <v>968</v>
      </c>
      <c r="AKK1" s="8">
        <v>969</v>
      </c>
      <c r="AKL1" s="8">
        <v>970</v>
      </c>
      <c r="AKM1" s="8">
        <v>971</v>
      </c>
      <c r="AKN1" s="8">
        <v>972</v>
      </c>
      <c r="AKO1" s="8">
        <v>973</v>
      </c>
      <c r="AKP1" s="8">
        <v>974</v>
      </c>
      <c r="AKQ1" s="8">
        <v>975</v>
      </c>
      <c r="AKR1" s="8">
        <v>976</v>
      </c>
      <c r="AKS1" s="8">
        <v>977</v>
      </c>
      <c r="AKT1" s="8">
        <v>978</v>
      </c>
      <c r="AKU1" s="8">
        <v>979</v>
      </c>
      <c r="AKV1" s="8">
        <v>980</v>
      </c>
      <c r="AKW1" s="8">
        <v>981</v>
      </c>
      <c r="AKX1" s="8">
        <v>982</v>
      </c>
      <c r="AKY1" s="8">
        <v>983</v>
      </c>
      <c r="AKZ1" s="8">
        <v>984</v>
      </c>
      <c r="ALA1" s="8">
        <v>985</v>
      </c>
      <c r="ALB1" s="8">
        <v>986</v>
      </c>
      <c r="ALC1" s="8">
        <v>987</v>
      </c>
      <c r="ALD1" s="8">
        <v>988</v>
      </c>
      <c r="ALE1" s="8">
        <v>989</v>
      </c>
      <c r="ALF1" s="8">
        <v>990</v>
      </c>
      <c r="ALG1" s="8">
        <v>991</v>
      </c>
      <c r="ALH1" s="8">
        <v>992</v>
      </c>
      <c r="ALI1" s="8">
        <v>993</v>
      </c>
      <c r="ALJ1" s="8">
        <v>994</v>
      </c>
      <c r="ALK1" s="8">
        <v>995</v>
      </c>
      <c r="ALL1" s="8">
        <v>996</v>
      </c>
      <c r="ALM1" s="8">
        <v>997</v>
      </c>
      <c r="ALN1" s="8">
        <v>998</v>
      </c>
      <c r="ALO1" s="8">
        <v>999</v>
      </c>
      <c r="ALP1" s="8">
        <v>1000</v>
      </c>
      <c r="ALQ1" s="8">
        <v>1001</v>
      </c>
      <c r="ALR1" s="8">
        <v>1002</v>
      </c>
      <c r="ALS1" s="8">
        <v>1003</v>
      </c>
      <c r="ALT1" s="8">
        <v>1004</v>
      </c>
      <c r="ALU1" s="8">
        <v>1005</v>
      </c>
      <c r="ALV1" s="8">
        <v>1006</v>
      </c>
      <c r="ALW1" s="8">
        <v>1007</v>
      </c>
      <c r="ALX1" s="8">
        <v>1008</v>
      </c>
      <c r="ALY1" s="8">
        <v>1009</v>
      </c>
      <c r="ALZ1" s="8">
        <v>1010</v>
      </c>
      <c r="AMA1" s="8">
        <v>1011</v>
      </c>
      <c r="AMB1" s="8">
        <v>1012</v>
      </c>
      <c r="AMC1" s="8">
        <v>1013</v>
      </c>
      <c r="AMD1" s="8">
        <v>1014</v>
      </c>
      <c r="AME1" s="8">
        <v>1015</v>
      </c>
      <c r="AMF1" s="8">
        <v>1016</v>
      </c>
      <c r="AMG1" s="8">
        <v>1017</v>
      </c>
      <c r="AMH1" s="8">
        <v>1018</v>
      </c>
      <c r="AMI1" s="8">
        <v>1019</v>
      </c>
      <c r="AMJ1" s="8">
        <v>1020</v>
      </c>
      <c r="AMK1" s="8">
        <v>1021</v>
      </c>
      <c r="AML1" s="8">
        <v>1022</v>
      </c>
      <c r="AMM1" s="8">
        <v>1023</v>
      </c>
      <c r="AMN1" s="8">
        <v>1024</v>
      </c>
      <c r="AMO1" s="8">
        <v>1025</v>
      </c>
      <c r="AMP1" s="8">
        <v>1026</v>
      </c>
      <c r="AMQ1" s="8">
        <v>1027</v>
      </c>
      <c r="AMR1" s="8">
        <v>1028</v>
      </c>
      <c r="AMS1" s="8">
        <v>1029</v>
      </c>
      <c r="AMT1" s="8">
        <v>1030</v>
      </c>
      <c r="AMU1" s="8">
        <v>1031</v>
      </c>
      <c r="AMV1" s="8">
        <v>1032</v>
      </c>
      <c r="AMW1" s="8">
        <v>1033</v>
      </c>
      <c r="AMX1" s="8">
        <v>1034</v>
      </c>
      <c r="AMY1" s="8">
        <v>1035</v>
      </c>
      <c r="AMZ1" s="8">
        <v>1036</v>
      </c>
      <c r="ANA1" s="8">
        <v>1037</v>
      </c>
      <c r="ANB1" s="8">
        <v>1038</v>
      </c>
      <c r="ANC1" s="8">
        <v>1039</v>
      </c>
      <c r="AND1" s="8">
        <v>1040</v>
      </c>
      <c r="ANE1" s="8">
        <v>1041</v>
      </c>
      <c r="ANF1" s="8">
        <v>1042</v>
      </c>
      <c r="ANG1" s="8">
        <v>1043</v>
      </c>
      <c r="ANH1" s="8">
        <v>1044</v>
      </c>
      <c r="ANI1" s="8">
        <v>1045</v>
      </c>
      <c r="ANJ1" s="8">
        <v>1046</v>
      </c>
      <c r="ANK1" s="8">
        <v>1047</v>
      </c>
      <c r="ANL1" s="8">
        <v>1048</v>
      </c>
      <c r="ANM1" s="8">
        <v>1049</v>
      </c>
      <c r="ANN1" s="8">
        <v>1050</v>
      </c>
      <c r="ANO1" s="8">
        <v>1051</v>
      </c>
      <c r="ANP1" s="8">
        <v>1052</v>
      </c>
      <c r="ANQ1" s="8">
        <v>1053</v>
      </c>
      <c r="ANR1" s="8">
        <v>1054</v>
      </c>
      <c r="ANS1" s="8">
        <v>1055</v>
      </c>
      <c r="ANT1" s="8">
        <v>1056</v>
      </c>
      <c r="ANU1" s="8">
        <v>1057</v>
      </c>
      <c r="ANV1" s="8">
        <v>1058</v>
      </c>
      <c r="ANW1" s="8">
        <v>1059</v>
      </c>
      <c r="ANX1" s="8">
        <v>1060</v>
      </c>
      <c r="ANY1" s="8">
        <v>1061</v>
      </c>
      <c r="ANZ1" s="8">
        <v>1062</v>
      </c>
      <c r="AOA1" s="8">
        <v>1063</v>
      </c>
      <c r="AOB1" s="8">
        <v>1064</v>
      </c>
      <c r="AOC1" s="8">
        <v>1065</v>
      </c>
      <c r="AOD1" s="8">
        <v>1066</v>
      </c>
      <c r="AOE1" s="8">
        <v>1067</v>
      </c>
      <c r="AOF1" s="8">
        <v>1068</v>
      </c>
      <c r="AOG1" s="8">
        <v>1069</v>
      </c>
      <c r="AOH1" s="8">
        <v>1070</v>
      </c>
      <c r="AOI1" s="8">
        <v>1071</v>
      </c>
      <c r="AOJ1" s="8">
        <v>1072</v>
      </c>
      <c r="AOK1" s="8">
        <v>1073</v>
      </c>
      <c r="AOL1" s="8">
        <v>1074</v>
      </c>
      <c r="AOM1" s="8">
        <v>1075</v>
      </c>
      <c r="AON1" s="8">
        <v>1076</v>
      </c>
      <c r="AOO1" s="8">
        <v>1077</v>
      </c>
      <c r="AOP1" s="8">
        <v>1078</v>
      </c>
      <c r="AOQ1" s="8">
        <v>1079</v>
      </c>
      <c r="AOR1" s="8">
        <v>1080</v>
      </c>
      <c r="AOS1" s="8">
        <v>1081</v>
      </c>
      <c r="AOT1" s="8">
        <v>1082</v>
      </c>
      <c r="AOU1" s="8">
        <v>1083</v>
      </c>
      <c r="AOV1" s="8">
        <v>1084</v>
      </c>
      <c r="AOW1" s="8">
        <v>1085</v>
      </c>
      <c r="AOX1" s="8">
        <v>1086</v>
      </c>
      <c r="AOY1" s="8">
        <v>1087</v>
      </c>
      <c r="AOZ1" s="8">
        <v>1088</v>
      </c>
      <c r="APA1" s="8">
        <v>1089</v>
      </c>
      <c r="APB1" s="8">
        <v>1090</v>
      </c>
      <c r="APC1" s="8">
        <v>1091</v>
      </c>
      <c r="APD1" s="8">
        <v>1092</v>
      </c>
      <c r="APE1" s="8">
        <v>1093</v>
      </c>
      <c r="APF1" s="8">
        <v>1094</v>
      </c>
      <c r="APG1" s="8">
        <v>1095</v>
      </c>
      <c r="APH1" s="8">
        <v>1096</v>
      </c>
      <c r="API1" s="8">
        <v>1097</v>
      </c>
      <c r="APJ1" s="8">
        <v>1098</v>
      </c>
      <c r="APK1" s="8">
        <v>1099</v>
      </c>
      <c r="APL1" s="8">
        <v>1100</v>
      </c>
      <c r="APM1" s="8">
        <v>1101</v>
      </c>
      <c r="APN1" s="8">
        <v>1102</v>
      </c>
      <c r="APO1" s="8">
        <v>1103</v>
      </c>
      <c r="APP1" s="8">
        <v>1104</v>
      </c>
      <c r="APQ1" s="8">
        <v>1105</v>
      </c>
      <c r="APR1" s="8">
        <v>1106</v>
      </c>
      <c r="APS1" s="8">
        <v>1107</v>
      </c>
      <c r="APT1" s="8">
        <v>1108</v>
      </c>
      <c r="APU1" s="8">
        <v>1109</v>
      </c>
      <c r="APV1" s="8">
        <v>1110</v>
      </c>
      <c r="APW1" s="8">
        <v>1111</v>
      </c>
      <c r="APX1" s="8">
        <v>1112</v>
      </c>
      <c r="APY1" s="8">
        <v>1113</v>
      </c>
      <c r="APZ1" s="8">
        <v>1114</v>
      </c>
      <c r="AQA1" s="8">
        <v>1115</v>
      </c>
      <c r="AQB1" s="8">
        <v>1116</v>
      </c>
      <c r="AQC1" s="8">
        <v>1117</v>
      </c>
      <c r="AQD1" s="8">
        <v>1118</v>
      </c>
      <c r="AQE1" s="8">
        <v>1119</v>
      </c>
      <c r="AQF1" s="8">
        <v>1120</v>
      </c>
      <c r="AQG1" s="8">
        <v>1121</v>
      </c>
      <c r="AQH1" s="8">
        <v>1122</v>
      </c>
      <c r="AQI1" s="8">
        <v>1123</v>
      </c>
      <c r="AQJ1" s="8">
        <v>1124</v>
      </c>
      <c r="AQK1" s="8">
        <v>1125</v>
      </c>
      <c r="AQL1" s="8">
        <v>1126</v>
      </c>
      <c r="AQM1" s="8">
        <v>1127</v>
      </c>
      <c r="AQN1" s="8">
        <v>1128</v>
      </c>
      <c r="AQO1" s="8">
        <v>1129</v>
      </c>
      <c r="AQP1" s="8">
        <v>1130</v>
      </c>
      <c r="AQQ1" s="8">
        <v>1131</v>
      </c>
      <c r="AQR1" s="8">
        <v>1132</v>
      </c>
      <c r="AQS1" s="8">
        <v>1133</v>
      </c>
      <c r="AQT1" s="8">
        <v>1134</v>
      </c>
      <c r="AQU1" s="8">
        <v>1135</v>
      </c>
      <c r="AQV1" s="8">
        <v>1136</v>
      </c>
      <c r="AQW1" s="8">
        <v>1137</v>
      </c>
      <c r="AQX1" s="8">
        <v>1138</v>
      </c>
      <c r="AQY1" s="8">
        <v>1139</v>
      </c>
      <c r="AQZ1" s="8">
        <v>1140</v>
      </c>
      <c r="ARA1" s="8">
        <v>1141</v>
      </c>
      <c r="ARB1" s="8">
        <v>1142</v>
      </c>
      <c r="ARC1" s="8">
        <v>1143</v>
      </c>
      <c r="ARD1" s="8">
        <v>1144</v>
      </c>
      <c r="ARE1" s="8">
        <v>1145</v>
      </c>
      <c r="ARF1" s="8">
        <v>1146</v>
      </c>
      <c r="ARG1" s="8">
        <v>1147</v>
      </c>
      <c r="ARH1" s="8">
        <v>1148</v>
      </c>
      <c r="ARI1" s="8">
        <v>1149</v>
      </c>
      <c r="ARJ1" s="8">
        <v>1150</v>
      </c>
      <c r="ARK1" s="8">
        <v>1151</v>
      </c>
      <c r="ARL1" s="8">
        <v>1152</v>
      </c>
      <c r="ARM1" s="8">
        <v>1153</v>
      </c>
      <c r="ARN1" s="8">
        <v>1154</v>
      </c>
      <c r="ARO1" s="8">
        <v>1155</v>
      </c>
      <c r="ARP1" s="8">
        <v>1156</v>
      </c>
      <c r="ARQ1" s="8">
        <v>1157</v>
      </c>
      <c r="ARR1" s="8">
        <v>1158</v>
      </c>
      <c r="ARS1" s="8">
        <v>1159</v>
      </c>
      <c r="ART1" s="8">
        <v>1160</v>
      </c>
      <c r="ARU1" s="8">
        <v>1161</v>
      </c>
      <c r="ARV1" s="8">
        <v>1162</v>
      </c>
      <c r="ARW1" s="8">
        <v>1163</v>
      </c>
      <c r="ARX1" s="8">
        <v>1164</v>
      </c>
      <c r="ARY1" s="8">
        <v>1165</v>
      </c>
      <c r="ARZ1" s="8">
        <v>1166</v>
      </c>
      <c r="ASA1" s="8">
        <v>1167</v>
      </c>
      <c r="ASB1" s="8">
        <v>1168</v>
      </c>
      <c r="ASC1" s="8">
        <v>1169</v>
      </c>
      <c r="ASD1" s="8">
        <v>1170</v>
      </c>
      <c r="ASE1" s="8">
        <v>1171</v>
      </c>
      <c r="ASF1" s="8">
        <v>1172</v>
      </c>
      <c r="ASG1" s="8">
        <v>1173</v>
      </c>
      <c r="ASH1" s="8">
        <v>1174</v>
      </c>
      <c r="ASI1" s="8">
        <v>1175</v>
      </c>
      <c r="ASJ1" s="8">
        <v>1176</v>
      </c>
      <c r="ASK1" s="8">
        <v>1177</v>
      </c>
      <c r="ASL1" s="8">
        <v>1178</v>
      </c>
      <c r="ASM1" s="8">
        <v>1179</v>
      </c>
      <c r="ASN1" s="8">
        <v>1180</v>
      </c>
      <c r="ASO1" s="8">
        <v>1181</v>
      </c>
      <c r="ASP1" s="8">
        <v>1182</v>
      </c>
      <c r="ASQ1" s="8">
        <v>1183</v>
      </c>
      <c r="ASR1" s="8">
        <v>1184</v>
      </c>
      <c r="ASS1" s="8">
        <v>1185</v>
      </c>
      <c r="AST1" s="8">
        <v>1186</v>
      </c>
      <c r="ASU1" s="8">
        <v>1187</v>
      </c>
      <c r="ASV1" s="8">
        <v>1188</v>
      </c>
      <c r="ASW1" s="8">
        <v>1189</v>
      </c>
      <c r="ASX1" s="8">
        <v>1190</v>
      </c>
      <c r="ASY1" s="8">
        <v>1191</v>
      </c>
      <c r="ASZ1" s="8">
        <v>1192</v>
      </c>
      <c r="ATA1" s="8">
        <v>1193</v>
      </c>
      <c r="ATB1" s="8">
        <v>1194</v>
      </c>
      <c r="ATC1" s="8">
        <v>1195</v>
      </c>
      <c r="ATD1" s="8">
        <v>1196</v>
      </c>
      <c r="ATE1" s="8">
        <v>1197</v>
      </c>
      <c r="ATF1" s="8">
        <v>1198</v>
      </c>
      <c r="ATG1" s="8">
        <v>1199</v>
      </c>
      <c r="ATH1" s="8">
        <v>1200</v>
      </c>
      <c r="ATI1" s="8">
        <v>1201</v>
      </c>
      <c r="ATJ1" s="8">
        <v>1202</v>
      </c>
      <c r="ATK1" s="8">
        <v>1203</v>
      </c>
      <c r="ATL1" s="8">
        <v>1204</v>
      </c>
      <c r="ATM1" s="8">
        <v>1205</v>
      </c>
      <c r="ATN1" s="8">
        <v>1206</v>
      </c>
      <c r="ATO1" s="8">
        <v>1207</v>
      </c>
      <c r="ATP1" s="8">
        <v>1208</v>
      </c>
      <c r="ATQ1" s="8">
        <v>1209</v>
      </c>
      <c r="ATR1" s="8">
        <v>1210</v>
      </c>
      <c r="ATS1" s="8">
        <v>1211</v>
      </c>
      <c r="ATT1" s="8">
        <v>1212</v>
      </c>
      <c r="ATU1" s="8">
        <v>1213</v>
      </c>
      <c r="ATV1" s="8">
        <v>1214</v>
      </c>
      <c r="ATW1" s="8">
        <v>1215</v>
      </c>
      <c r="ATX1" s="8">
        <v>1216</v>
      </c>
      <c r="ATY1" s="8">
        <v>1217</v>
      </c>
      <c r="ATZ1" s="8">
        <v>1218</v>
      </c>
      <c r="AUA1" s="8">
        <v>1219</v>
      </c>
      <c r="AUB1" s="8">
        <v>1220</v>
      </c>
      <c r="AUC1" s="8">
        <v>1221</v>
      </c>
      <c r="AUD1" s="8">
        <v>1222</v>
      </c>
      <c r="AUE1" s="8">
        <v>1223</v>
      </c>
      <c r="AUF1" s="8">
        <v>1224</v>
      </c>
      <c r="AUG1" s="8">
        <v>1225</v>
      </c>
      <c r="AUH1" s="8">
        <v>1226</v>
      </c>
      <c r="AUI1" s="8">
        <v>1227</v>
      </c>
      <c r="AUJ1" s="8">
        <v>1228</v>
      </c>
      <c r="AUK1" s="8">
        <v>1229</v>
      </c>
      <c r="AUL1" s="8">
        <v>1230</v>
      </c>
      <c r="AUM1" s="8">
        <v>1231</v>
      </c>
      <c r="AUN1" s="8">
        <v>1232</v>
      </c>
      <c r="AUO1" s="8">
        <v>1233</v>
      </c>
      <c r="AUP1" s="8">
        <v>1234</v>
      </c>
      <c r="AUQ1" s="8">
        <v>1235</v>
      </c>
      <c r="AUR1" s="8">
        <v>1236</v>
      </c>
      <c r="AUS1" s="8">
        <v>1237</v>
      </c>
      <c r="AUT1" s="8">
        <v>1238</v>
      </c>
      <c r="AUU1" s="8">
        <v>1239</v>
      </c>
      <c r="AUV1" s="8">
        <v>1240</v>
      </c>
      <c r="AUW1" s="8">
        <v>1241</v>
      </c>
      <c r="AUX1" s="8">
        <v>1242</v>
      </c>
      <c r="AUY1" s="8">
        <v>1243</v>
      </c>
      <c r="AUZ1" s="8">
        <v>1244</v>
      </c>
      <c r="AVA1" s="8">
        <v>1245</v>
      </c>
      <c r="AVB1" s="8">
        <v>1246</v>
      </c>
      <c r="AVC1" s="8">
        <v>1247</v>
      </c>
      <c r="AVD1" s="8">
        <v>1248</v>
      </c>
      <c r="AVE1" s="8">
        <v>1249</v>
      </c>
      <c r="AVF1" s="8">
        <v>1250</v>
      </c>
      <c r="AVG1" s="8">
        <v>1251</v>
      </c>
      <c r="AVH1" s="8">
        <v>1252</v>
      </c>
      <c r="AVI1" s="8">
        <v>1253</v>
      </c>
      <c r="AVJ1" s="8">
        <v>1254</v>
      </c>
      <c r="AVK1" s="8">
        <v>1255</v>
      </c>
      <c r="AVL1" s="8">
        <v>1256</v>
      </c>
      <c r="AVM1" s="8">
        <v>1257</v>
      </c>
      <c r="AVN1" s="8">
        <v>1258</v>
      </c>
      <c r="AVO1" s="8">
        <v>1259</v>
      </c>
      <c r="AVP1" s="8">
        <v>1260</v>
      </c>
      <c r="AVQ1" s="8">
        <v>1261</v>
      </c>
      <c r="AVR1" s="8">
        <v>1262</v>
      </c>
      <c r="AVS1" s="8">
        <v>1263</v>
      </c>
      <c r="AVT1" s="8">
        <v>1264</v>
      </c>
      <c r="AVU1" s="8">
        <v>1265</v>
      </c>
      <c r="AVV1" s="8">
        <v>1266</v>
      </c>
      <c r="AVW1" s="8">
        <v>1267</v>
      </c>
      <c r="AVX1" s="8">
        <v>1268</v>
      </c>
      <c r="AVY1" s="8">
        <v>1269</v>
      </c>
      <c r="AVZ1" s="8">
        <v>1270</v>
      </c>
      <c r="AWA1" s="8">
        <v>1271</v>
      </c>
      <c r="AWB1" s="8">
        <v>1272</v>
      </c>
      <c r="AWC1" s="8">
        <v>1273</v>
      </c>
      <c r="AWD1" s="8">
        <v>1274</v>
      </c>
      <c r="AWE1" s="8">
        <v>1275</v>
      </c>
      <c r="AWF1" s="8">
        <v>1276</v>
      </c>
      <c r="AWG1" s="8">
        <v>1277</v>
      </c>
      <c r="AWH1" s="8">
        <v>1278</v>
      </c>
      <c r="AWI1" s="8">
        <v>1279</v>
      </c>
      <c r="AWJ1" s="8">
        <v>1280</v>
      </c>
      <c r="AWK1" s="8">
        <v>1281</v>
      </c>
      <c r="AWL1" s="8">
        <v>1282</v>
      </c>
      <c r="AWM1" s="8">
        <v>1283</v>
      </c>
      <c r="AWN1" s="8">
        <v>1284</v>
      </c>
      <c r="AWO1" s="8">
        <v>1285</v>
      </c>
      <c r="AWP1" s="8">
        <v>1286</v>
      </c>
      <c r="AWQ1" s="8">
        <v>1287</v>
      </c>
      <c r="AWR1" s="8">
        <v>1288</v>
      </c>
      <c r="AWS1" s="8">
        <v>1289</v>
      </c>
      <c r="AWT1" s="8">
        <v>1290</v>
      </c>
      <c r="AWU1" s="8">
        <v>1291</v>
      </c>
      <c r="AWV1" s="8">
        <v>1292</v>
      </c>
      <c r="AWW1" s="8">
        <v>1293</v>
      </c>
      <c r="AWX1" s="8">
        <v>1294</v>
      </c>
      <c r="AWY1" s="8">
        <v>1295</v>
      </c>
      <c r="AWZ1" s="8">
        <v>1296</v>
      </c>
      <c r="AXA1" s="8">
        <v>1297</v>
      </c>
      <c r="AXB1" s="8">
        <v>1298</v>
      </c>
      <c r="AXC1" s="8">
        <v>1299</v>
      </c>
      <c r="AXD1" s="8">
        <v>1300</v>
      </c>
      <c r="AXE1" s="8">
        <v>1301</v>
      </c>
      <c r="AXF1" s="8">
        <v>1302</v>
      </c>
      <c r="AXG1" s="8">
        <v>1303</v>
      </c>
      <c r="AXH1" s="8">
        <v>1304</v>
      </c>
      <c r="AXI1" s="8">
        <v>1305</v>
      </c>
      <c r="AXJ1" s="8">
        <v>1306</v>
      </c>
      <c r="AXK1" s="8">
        <v>1307</v>
      </c>
      <c r="AXL1" s="8">
        <v>1308</v>
      </c>
      <c r="AXM1" s="8">
        <v>1309</v>
      </c>
      <c r="AXN1" s="8">
        <v>1310</v>
      </c>
      <c r="AXO1" s="8">
        <v>1311</v>
      </c>
      <c r="AXP1" s="8">
        <v>1312</v>
      </c>
      <c r="AXQ1" s="8">
        <v>1313</v>
      </c>
      <c r="AXR1" s="8">
        <v>1314</v>
      </c>
      <c r="AXS1" s="8">
        <v>1315</v>
      </c>
      <c r="AXT1" s="8">
        <v>1316</v>
      </c>
      <c r="AXU1" s="8">
        <v>1317</v>
      </c>
      <c r="AXV1" s="8">
        <v>1318</v>
      </c>
      <c r="AXW1" s="8">
        <v>1319</v>
      </c>
      <c r="AXX1" s="8">
        <v>1320</v>
      </c>
      <c r="AXY1" s="8">
        <v>1321</v>
      </c>
      <c r="AXZ1" s="8">
        <v>1322</v>
      </c>
      <c r="AYA1" s="8">
        <v>1323</v>
      </c>
      <c r="AYB1" s="8">
        <v>1324</v>
      </c>
      <c r="AYC1" s="8">
        <v>1325</v>
      </c>
      <c r="AYD1" s="8">
        <v>1326</v>
      </c>
      <c r="AYE1" s="8">
        <v>1327</v>
      </c>
      <c r="AYF1" s="8">
        <v>1328</v>
      </c>
      <c r="AYG1" s="8">
        <v>1329</v>
      </c>
      <c r="AYH1" s="8">
        <v>1330</v>
      </c>
      <c r="AYI1" s="8">
        <v>1331</v>
      </c>
      <c r="AYJ1" s="8">
        <v>1332</v>
      </c>
      <c r="AYK1" s="8">
        <v>1333</v>
      </c>
      <c r="AYL1" s="8">
        <v>1334</v>
      </c>
      <c r="AYM1" s="8">
        <v>1335</v>
      </c>
      <c r="AYN1" s="8">
        <v>1336</v>
      </c>
      <c r="AYO1" s="8">
        <v>1337</v>
      </c>
      <c r="AYP1" s="8">
        <v>1338</v>
      </c>
      <c r="AYQ1" s="8">
        <v>1339</v>
      </c>
      <c r="AYR1" s="8">
        <v>1340</v>
      </c>
      <c r="AYS1" s="8">
        <v>1341</v>
      </c>
      <c r="AYT1" s="8">
        <v>1342</v>
      </c>
      <c r="AYU1" s="8">
        <v>1343</v>
      </c>
      <c r="AYV1" s="8">
        <v>1344</v>
      </c>
      <c r="AYW1" s="8">
        <v>1345</v>
      </c>
      <c r="AYX1" s="8">
        <v>1346</v>
      </c>
      <c r="AYY1" s="8">
        <v>1347</v>
      </c>
      <c r="AYZ1" s="8">
        <v>1348</v>
      </c>
      <c r="AZA1" s="8">
        <v>1349</v>
      </c>
      <c r="AZB1" s="8">
        <v>1350</v>
      </c>
      <c r="AZC1" s="8">
        <v>1351</v>
      </c>
      <c r="AZD1" s="8">
        <v>1352</v>
      </c>
      <c r="AZE1" s="8">
        <v>1353</v>
      </c>
      <c r="AZF1" s="8">
        <v>1354</v>
      </c>
      <c r="AZG1" s="8">
        <v>1355</v>
      </c>
      <c r="AZH1" s="8">
        <v>1356</v>
      </c>
      <c r="AZI1" s="8">
        <v>1357</v>
      </c>
      <c r="AZJ1" s="8">
        <v>1358</v>
      </c>
      <c r="AZK1" s="8">
        <v>1359</v>
      </c>
      <c r="AZL1" s="8">
        <v>1360</v>
      </c>
      <c r="AZM1" s="8">
        <v>1361</v>
      </c>
      <c r="AZN1" s="8">
        <v>1362</v>
      </c>
      <c r="AZO1" s="8">
        <v>1363</v>
      </c>
      <c r="AZP1" s="8">
        <v>1364</v>
      </c>
      <c r="AZQ1" s="8">
        <v>1365</v>
      </c>
      <c r="AZR1" s="8">
        <v>1366</v>
      </c>
      <c r="AZS1" s="8">
        <v>1367</v>
      </c>
      <c r="AZT1" s="8">
        <v>1368</v>
      </c>
      <c r="AZU1" s="8">
        <v>1369</v>
      </c>
      <c r="AZV1" s="8">
        <v>1370</v>
      </c>
      <c r="AZW1" s="8">
        <v>1371</v>
      </c>
      <c r="AZX1" s="8">
        <v>1372</v>
      </c>
      <c r="AZY1" s="8">
        <v>1373</v>
      </c>
      <c r="AZZ1" s="8">
        <v>1374</v>
      </c>
      <c r="BAA1" s="8">
        <v>1375</v>
      </c>
      <c r="BAB1" s="8">
        <v>1376</v>
      </c>
      <c r="BAC1" s="8">
        <v>1377</v>
      </c>
      <c r="BAD1" s="8">
        <v>1378</v>
      </c>
      <c r="BAE1" s="8">
        <v>1379</v>
      </c>
      <c r="BAF1" s="8">
        <v>1380</v>
      </c>
      <c r="BAG1" s="8">
        <v>1381</v>
      </c>
      <c r="BAH1" s="8">
        <v>1382</v>
      </c>
      <c r="BAI1" s="8">
        <v>1383</v>
      </c>
      <c r="BAJ1" s="8">
        <v>1384</v>
      </c>
      <c r="BAK1" s="8">
        <v>1385</v>
      </c>
      <c r="BAL1" s="8">
        <v>1386</v>
      </c>
      <c r="BAM1" s="8">
        <v>1387</v>
      </c>
      <c r="BAN1" s="8">
        <v>1388</v>
      </c>
      <c r="BAO1" s="8">
        <v>1389</v>
      </c>
      <c r="BAP1" s="8">
        <v>1390</v>
      </c>
      <c r="BAQ1" s="8">
        <v>1391</v>
      </c>
      <c r="BAR1" s="8">
        <v>1392</v>
      </c>
    </row>
    <row r="2" spans="1:1396" ht="15.75">
      <c r="A2" s="25" t="s">
        <v>6646</v>
      </c>
      <c r="B2" s="10"/>
      <c r="C2" s="8" t="s">
        <v>1548</v>
      </c>
      <c r="D2" s="15" t="s">
        <v>6644</v>
      </c>
      <c r="E2" s="38">
        <v>43270</v>
      </c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4"/>
      <c r="BA2" s="35">
        <v>43271</v>
      </c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36"/>
      <c r="BQ2" s="36"/>
      <c r="BR2" s="36"/>
      <c r="BS2" s="36"/>
      <c r="BT2" s="36"/>
      <c r="BU2" s="36"/>
      <c r="BV2" s="36"/>
      <c r="BW2" s="36"/>
      <c r="BX2" s="36"/>
      <c r="BY2" s="36"/>
      <c r="BZ2" s="36"/>
      <c r="CA2" s="36"/>
      <c r="CB2" s="36"/>
      <c r="CC2" s="36"/>
      <c r="CD2" s="36"/>
      <c r="CE2" s="36"/>
      <c r="CF2" s="36"/>
      <c r="CG2" s="36"/>
      <c r="CH2" s="36"/>
      <c r="CI2" s="36"/>
      <c r="CJ2" s="36"/>
      <c r="CK2" s="36"/>
      <c r="CL2" s="36"/>
      <c r="CM2" s="36"/>
      <c r="CN2" s="36"/>
      <c r="CO2" s="36"/>
      <c r="CP2" s="36"/>
      <c r="CQ2" s="36"/>
      <c r="CR2" s="36"/>
      <c r="CS2" s="36"/>
      <c r="CT2" s="36"/>
      <c r="CU2" s="36"/>
      <c r="CV2" s="37"/>
      <c r="CW2" s="32">
        <v>43272</v>
      </c>
      <c r="CX2" s="33"/>
      <c r="CY2" s="33"/>
      <c r="CZ2" s="33"/>
      <c r="DA2" s="33"/>
      <c r="DB2" s="33"/>
      <c r="DC2" s="33"/>
      <c r="DD2" s="33"/>
      <c r="DE2" s="33"/>
      <c r="DF2" s="33"/>
      <c r="DG2" s="33"/>
      <c r="DH2" s="33"/>
      <c r="DI2" s="33"/>
      <c r="DJ2" s="33"/>
      <c r="DK2" s="33"/>
      <c r="DL2" s="33"/>
      <c r="DM2" s="33"/>
      <c r="DN2" s="33"/>
      <c r="DO2" s="33"/>
      <c r="DP2" s="33"/>
      <c r="DQ2" s="33"/>
      <c r="DR2" s="33"/>
      <c r="DS2" s="33"/>
      <c r="DT2" s="33"/>
      <c r="DU2" s="33"/>
      <c r="DV2" s="33"/>
      <c r="DW2" s="33"/>
      <c r="DX2" s="33"/>
      <c r="DY2" s="33"/>
      <c r="DZ2" s="33"/>
      <c r="EA2" s="33"/>
      <c r="EB2" s="33"/>
      <c r="EC2" s="33"/>
      <c r="ED2" s="33"/>
      <c r="EE2" s="33"/>
      <c r="EF2" s="33"/>
      <c r="EG2" s="33"/>
      <c r="EH2" s="33"/>
      <c r="EI2" s="33"/>
      <c r="EJ2" s="33"/>
      <c r="EK2" s="33"/>
      <c r="EL2" s="33"/>
      <c r="EM2" s="33"/>
      <c r="EN2" s="33"/>
      <c r="EO2" s="33"/>
      <c r="EP2" s="33"/>
      <c r="EQ2" s="33"/>
      <c r="ER2" s="34"/>
      <c r="ES2" s="35">
        <v>43273</v>
      </c>
      <c r="ET2" s="36"/>
      <c r="EU2" s="36"/>
      <c r="EV2" s="36"/>
      <c r="EW2" s="36"/>
      <c r="EX2" s="36"/>
      <c r="EY2" s="36"/>
      <c r="EZ2" s="36"/>
      <c r="FA2" s="36"/>
      <c r="FB2" s="36"/>
      <c r="FC2" s="36"/>
      <c r="FD2" s="36"/>
      <c r="FE2" s="36"/>
      <c r="FF2" s="36"/>
      <c r="FG2" s="36"/>
      <c r="FH2" s="36"/>
      <c r="FI2" s="36"/>
      <c r="FJ2" s="36"/>
      <c r="FK2" s="36"/>
      <c r="FL2" s="36"/>
      <c r="FM2" s="36"/>
      <c r="FN2" s="36"/>
      <c r="FO2" s="36"/>
      <c r="FP2" s="36"/>
      <c r="FQ2" s="36"/>
      <c r="FR2" s="36"/>
      <c r="FS2" s="36"/>
      <c r="FT2" s="36"/>
      <c r="FU2" s="36"/>
      <c r="FV2" s="36"/>
      <c r="FW2" s="36"/>
      <c r="FX2" s="36"/>
      <c r="FY2" s="36"/>
      <c r="FZ2" s="36"/>
      <c r="GA2" s="36"/>
      <c r="GB2" s="36"/>
      <c r="GC2" s="36"/>
      <c r="GD2" s="36"/>
      <c r="GE2" s="36"/>
      <c r="GF2" s="36"/>
      <c r="GG2" s="36"/>
      <c r="GH2" s="36"/>
      <c r="GI2" s="36"/>
      <c r="GJ2" s="36"/>
      <c r="GK2" s="36"/>
      <c r="GL2" s="36"/>
      <c r="GM2" s="36"/>
      <c r="GN2" s="37"/>
      <c r="GO2" s="32">
        <v>43274</v>
      </c>
      <c r="GP2" s="33"/>
      <c r="GQ2" s="33"/>
      <c r="GR2" s="33"/>
      <c r="GS2" s="33"/>
      <c r="GT2" s="33"/>
      <c r="GU2" s="33"/>
      <c r="GV2" s="33"/>
      <c r="GW2" s="33"/>
      <c r="GX2" s="33"/>
      <c r="GY2" s="33"/>
      <c r="GZ2" s="33"/>
      <c r="HA2" s="33"/>
      <c r="HB2" s="33"/>
      <c r="HC2" s="33"/>
      <c r="HD2" s="33"/>
      <c r="HE2" s="33"/>
      <c r="HF2" s="33"/>
      <c r="HG2" s="33"/>
      <c r="HH2" s="33"/>
      <c r="HI2" s="33"/>
      <c r="HJ2" s="33"/>
      <c r="HK2" s="33"/>
      <c r="HL2" s="33"/>
      <c r="HM2" s="33"/>
      <c r="HN2" s="33"/>
      <c r="HO2" s="33"/>
      <c r="HP2" s="33"/>
      <c r="HQ2" s="33"/>
      <c r="HR2" s="33"/>
      <c r="HS2" s="33"/>
      <c r="HT2" s="33"/>
      <c r="HU2" s="33"/>
      <c r="HV2" s="33"/>
      <c r="HW2" s="33"/>
      <c r="HX2" s="33"/>
      <c r="HY2" s="33"/>
      <c r="HZ2" s="33"/>
      <c r="IA2" s="33"/>
      <c r="IB2" s="33"/>
      <c r="IC2" s="33"/>
      <c r="ID2" s="33"/>
      <c r="IE2" s="33"/>
      <c r="IF2" s="33"/>
      <c r="IG2" s="33"/>
      <c r="IH2" s="33"/>
      <c r="II2" s="33"/>
      <c r="IJ2" s="34"/>
      <c r="IK2" s="35">
        <v>43275</v>
      </c>
      <c r="IL2" s="36"/>
      <c r="IM2" s="36"/>
      <c r="IN2" s="36"/>
      <c r="IO2" s="36"/>
      <c r="IP2" s="36"/>
      <c r="IQ2" s="36"/>
      <c r="IR2" s="36"/>
      <c r="IS2" s="36"/>
      <c r="IT2" s="36"/>
      <c r="IU2" s="36"/>
      <c r="IV2" s="36"/>
      <c r="IW2" s="36"/>
      <c r="IX2" s="36"/>
      <c r="IY2" s="36"/>
      <c r="IZ2" s="36"/>
      <c r="JA2" s="36"/>
      <c r="JB2" s="36"/>
      <c r="JC2" s="36"/>
      <c r="JD2" s="36"/>
      <c r="JE2" s="36"/>
      <c r="JF2" s="36"/>
      <c r="JG2" s="36"/>
      <c r="JH2" s="36"/>
      <c r="JI2" s="36"/>
      <c r="JJ2" s="36"/>
      <c r="JK2" s="36"/>
      <c r="JL2" s="36"/>
      <c r="JM2" s="36"/>
      <c r="JN2" s="36"/>
      <c r="JO2" s="36"/>
      <c r="JP2" s="36"/>
      <c r="JQ2" s="36"/>
      <c r="JR2" s="36"/>
      <c r="JS2" s="36"/>
      <c r="JT2" s="36"/>
      <c r="JU2" s="36"/>
      <c r="JV2" s="36"/>
      <c r="JW2" s="36"/>
      <c r="JX2" s="36"/>
      <c r="JY2" s="36"/>
      <c r="JZ2" s="36"/>
      <c r="KA2" s="36"/>
      <c r="KB2" s="36"/>
      <c r="KC2" s="36"/>
      <c r="KD2" s="36"/>
      <c r="KE2" s="36"/>
      <c r="KF2" s="37"/>
      <c r="KG2" s="32">
        <v>43276</v>
      </c>
      <c r="KH2" s="33"/>
      <c r="KI2" s="33"/>
      <c r="KJ2" s="33"/>
      <c r="KK2" s="33"/>
      <c r="KL2" s="33"/>
      <c r="KM2" s="33"/>
      <c r="KN2" s="33"/>
      <c r="KO2" s="33"/>
      <c r="KP2" s="33"/>
      <c r="KQ2" s="33"/>
      <c r="KR2" s="33"/>
      <c r="KS2" s="33"/>
      <c r="KT2" s="33"/>
      <c r="KU2" s="33"/>
      <c r="KV2" s="33"/>
      <c r="KW2" s="33"/>
      <c r="KX2" s="33"/>
      <c r="KY2" s="33"/>
      <c r="KZ2" s="33"/>
      <c r="LA2" s="33"/>
      <c r="LB2" s="33"/>
      <c r="LC2" s="33"/>
      <c r="LD2" s="33"/>
      <c r="LE2" s="33"/>
      <c r="LF2" s="33"/>
      <c r="LG2" s="33"/>
      <c r="LH2" s="33"/>
      <c r="LI2" s="33"/>
      <c r="LJ2" s="33"/>
      <c r="LK2" s="33"/>
      <c r="LL2" s="33"/>
      <c r="LM2" s="33"/>
      <c r="LN2" s="33"/>
      <c r="LO2" s="33"/>
      <c r="LP2" s="33"/>
      <c r="LQ2" s="33"/>
      <c r="LR2" s="33"/>
      <c r="LS2" s="33"/>
      <c r="LT2" s="33"/>
      <c r="LU2" s="33"/>
      <c r="LV2" s="33"/>
      <c r="LW2" s="33"/>
      <c r="LX2" s="33"/>
      <c r="LY2" s="33"/>
      <c r="LZ2" s="33"/>
      <c r="MA2" s="33"/>
      <c r="MB2" s="34"/>
      <c r="MC2" s="35">
        <v>43277</v>
      </c>
      <c r="MD2" s="36"/>
      <c r="ME2" s="36"/>
      <c r="MF2" s="36"/>
      <c r="MG2" s="36"/>
      <c r="MH2" s="36"/>
      <c r="MI2" s="36"/>
      <c r="MJ2" s="36"/>
      <c r="MK2" s="36"/>
      <c r="ML2" s="36"/>
      <c r="MM2" s="36"/>
      <c r="MN2" s="36"/>
      <c r="MO2" s="36"/>
      <c r="MP2" s="36"/>
      <c r="MQ2" s="36"/>
      <c r="MR2" s="36"/>
      <c r="MS2" s="36"/>
      <c r="MT2" s="36"/>
      <c r="MU2" s="36"/>
      <c r="MV2" s="36"/>
      <c r="MW2" s="36"/>
      <c r="MX2" s="36"/>
      <c r="MY2" s="36"/>
      <c r="MZ2" s="36"/>
      <c r="NA2" s="36"/>
      <c r="NB2" s="36"/>
      <c r="NC2" s="36"/>
      <c r="ND2" s="36"/>
      <c r="NE2" s="36"/>
      <c r="NF2" s="36"/>
      <c r="NG2" s="36"/>
      <c r="NH2" s="36"/>
      <c r="NI2" s="36"/>
      <c r="NJ2" s="36"/>
      <c r="NK2" s="36"/>
      <c r="NL2" s="36"/>
      <c r="NM2" s="36"/>
      <c r="NN2" s="36"/>
      <c r="NO2" s="36"/>
      <c r="NP2" s="36"/>
      <c r="NQ2" s="36"/>
      <c r="NR2" s="36"/>
      <c r="NS2" s="36"/>
      <c r="NT2" s="36"/>
      <c r="NU2" s="36"/>
      <c r="NV2" s="36"/>
      <c r="NW2" s="36"/>
      <c r="NX2" s="37"/>
      <c r="NY2" s="32">
        <v>43278</v>
      </c>
      <c r="NZ2" s="33"/>
      <c r="OA2" s="33"/>
      <c r="OB2" s="33"/>
      <c r="OC2" s="33"/>
      <c r="OD2" s="33"/>
      <c r="OE2" s="33"/>
      <c r="OF2" s="33"/>
      <c r="OG2" s="33"/>
      <c r="OH2" s="33"/>
      <c r="OI2" s="33"/>
      <c r="OJ2" s="33"/>
      <c r="OK2" s="33"/>
      <c r="OL2" s="33"/>
      <c r="OM2" s="33"/>
      <c r="ON2" s="33"/>
      <c r="OO2" s="33"/>
      <c r="OP2" s="33"/>
      <c r="OQ2" s="33"/>
      <c r="OR2" s="33"/>
      <c r="OS2" s="33"/>
      <c r="OT2" s="33"/>
      <c r="OU2" s="33"/>
      <c r="OV2" s="33"/>
      <c r="OW2" s="33"/>
      <c r="OX2" s="33"/>
      <c r="OY2" s="33"/>
      <c r="OZ2" s="33"/>
      <c r="PA2" s="33"/>
      <c r="PB2" s="33"/>
      <c r="PC2" s="33"/>
      <c r="PD2" s="33"/>
      <c r="PE2" s="33"/>
      <c r="PF2" s="33"/>
      <c r="PG2" s="33"/>
      <c r="PH2" s="33"/>
      <c r="PI2" s="33"/>
      <c r="PJ2" s="33"/>
      <c r="PK2" s="33"/>
      <c r="PL2" s="33"/>
      <c r="PM2" s="33"/>
      <c r="PN2" s="33"/>
      <c r="PO2" s="33"/>
      <c r="PP2" s="33"/>
      <c r="PQ2" s="33"/>
      <c r="PR2" s="33"/>
      <c r="PS2" s="33"/>
      <c r="PT2" s="34"/>
      <c r="PU2" s="35">
        <v>43279</v>
      </c>
      <c r="PV2" s="36"/>
      <c r="PW2" s="36"/>
      <c r="PX2" s="36"/>
      <c r="PY2" s="36"/>
      <c r="PZ2" s="36"/>
      <c r="QA2" s="36"/>
      <c r="QB2" s="36"/>
      <c r="QC2" s="36"/>
      <c r="QD2" s="36"/>
      <c r="QE2" s="36"/>
      <c r="QF2" s="36"/>
      <c r="QG2" s="36"/>
      <c r="QH2" s="36"/>
      <c r="QI2" s="36"/>
      <c r="QJ2" s="36"/>
      <c r="QK2" s="36"/>
      <c r="QL2" s="36"/>
      <c r="QM2" s="36"/>
      <c r="QN2" s="36"/>
      <c r="QO2" s="36"/>
      <c r="QP2" s="36"/>
      <c r="QQ2" s="36"/>
      <c r="QR2" s="36"/>
      <c r="QS2" s="36"/>
      <c r="QT2" s="36"/>
      <c r="QU2" s="36"/>
      <c r="QV2" s="36"/>
      <c r="QW2" s="36"/>
      <c r="QX2" s="36"/>
      <c r="QY2" s="36"/>
      <c r="QZ2" s="36"/>
      <c r="RA2" s="36"/>
      <c r="RB2" s="36"/>
      <c r="RC2" s="36"/>
      <c r="RD2" s="36"/>
      <c r="RE2" s="36"/>
      <c r="RF2" s="36"/>
      <c r="RG2" s="36"/>
      <c r="RH2" s="36"/>
      <c r="RI2" s="36"/>
      <c r="RJ2" s="36"/>
      <c r="RK2" s="36"/>
      <c r="RL2" s="36"/>
      <c r="RM2" s="36"/>
      <c r="RN2" s="36"/>
      <c r="RO2" s="36"/>
      <c r="RP2" s="37"/>
      <c r="RQ2" s="32">
        <v>43280</v>
      </c>
      <c r="RR2" s="33"/>
      <c r="RS2" s="33"/>
      <c r="RT2" s="33"/>
      <c r="RU2" s="33"/>
      <c r="RV2" s="33"/>
      <c r="RW2" s="33"/>
      <c r="RX2" s="33"/>
      <c r="RY2" s="33"/>
      <c r="RZ2" s="33"/>
      <c r="SA2" s="33"/>
      <c r="SB2" s="33"/>
      <c r="SC2" s="33"/>
      <c r="SD2" s="33"/>
      <c r="SE2" s="33"/>
      <c r="SF2" s="33"/>
      <c r="SG2" s="33"/>
      <c r="SH2" s="33"/>
      <c r="SI2" s="33"/>
      <c r="SJ2" s="33"/>
      <c r="SK2" s="33"/>
      <c r="SL2" s="33"/>
      <c r="SM2" s="33"/>
      <c r="SN2" s="33"/>
      <c r="SO2" s="33"/>
      <c r="SP2" s="33"/>
      <c r="SQ2" s="33"/>
      <c r="SR2" s="33"/>
      <c r="SS2" s="33"/>
      <c r="ST2" s="33"/>
      <c r="SU2" s="33"/>
      <c r="SV2" s="33"/>
      <c r="SW2" s="33"/>
      <c r="SX2" s="33"/>
      <c r="SY2" s="33"/>
      <c r="SZ2" s="33"/>
      <c r="TA2" s="33"/>
      <c r="TB2" s="33"/>
      <c r="TC2" s="33"/>
      <c r="TD2" s="33"/>
      <c r="TE2" s="33"/>
      <c r="TF2" s="33"/>
      <c r="TG2" s="33"/>
      <c r="TH2" s="33"/>
      <c r="TI2" s="33"/>
      <c r="TJ2" s="33"/>
      <c r="TK2" s="33"/>
      <c r="TL2" s="34"/>
      <c r="TM2" s="35">
        <v>43281</v>
      </c>
      <c r="TN2" s="36"/>
      <c r="TO2" s="36"/>
      <c r="TP2" s="36"/>
      <c r="TQ2" s="36"/>
      <c r="TR2" s="36"/>
      <c r="TS2" s="36"/>
      <c r="TT2" s="36"/>
      <c r="TU2" s="36"/>
      <c r="TV2" s="36"/>
      <c r="TW2" s="36"/>
      <c r="TX2" s="36"/>
      <c r="TY2" s="36"/>
      <c r="TZ2" s="36"/>
      <c r="UA2" s="36"/>
      <c r="UB2" s="36"/>
      <c r="UC2" s="36"/>
      <c r="UD2" s="36"/>
      <c r="UE2" s="36"/>
      <c r="UF2" s="36"/>
      <c r="UG2" s="36"/>
      <c r="UH2" s="36"/>
      <c r="UI2" s="36"/>
      <c r="UJ2" s="36"/>
      <c r="UK2" s="36"/>
      <c r="UL2" s="36"/>
      <c r="UM2" s="36"/>
      <c r="UN2" s="36"/>
      <c r="UO2" s="36"/>
      <c r="UP2" s="36"/>
      <c r="UQ2" s="36"/>
      <c r="UR2" s="36"/>
      <c r="US2" s="36"/>
      <c r="UT2" s="36"/>
      <c r="UU2" s="36"/>
      <c r="UV2" s="36"/>
      <c r="UW2" s="36"/>
      <c r="UX2" s="36"/>
      <c r="UY2" s="36"/>
      <c r="UZ2" s="36"/>
      <c r="VA2" s="36"/>
      <c r="VB2" s="36"/>
      <c r="VC2" s="36"/>
      <c r="VD2" s="36"/>
      <c r="VE2" s="36"/>
      <c r="VF2" s="36"/>
      <c r="VG2" s="36"/>
      <c r="VH2" s="37"/>
      <c r="VI2" s="32">
        <v>43282</v>
      </c>
      <c r="VJ2" s="33"/>
      <c r="VK2" s="33"/>
      <c r="VL2" s="33"/>
      <c r="VM2" s="33"/>
      <c r="VN2" s="33"/>
      <c r="VO2" s="33"/>
      <c r="VP2" s="33"/>
      <c r="VQ2" s="33"/>
      <c r="VR2" s="33"/>
      <c r="VS2" s="33"/>
      <c r="VT2" s="33"/>
      <c r="VU2" s="33"/>
      <c r="VV2" s="33"/>
      <c r="VW2" s="33"/>
      <c r="VX2" s="33"/>
      <c r="VY2" s="33"/>
      <c r="VZ2" s="33"/>
      <c r="WA2" s="33"/>
      <c r="WB2" s="33"/>
      <c r="WC2" s="33"/>
      <c r="WD2" s="33"/>
      <c r="WE2" s="33"/>
      <c r="WF2" s="33"/>
      <c r="WG2" s="33"/>
      <c r="WH2" s="33"/>
      <c r="WI2" s="33"/>
      <c r="WJ2" s="33"/>
      <c r="WK2" s="33"/>
      <c r="WL2" s="33"/>
      <c r="WM2" s="33"/>
      <c r="WN2" s="33"/>
      <c r="WO2" s="33"/>
      <c r="WP2" s="33"/>
      <c r="WQ2" s="33"/>
      <c r="WR2" s="33"/>
      <c r="WS2" s="33"/>
      <c r="WT2" s="33"/>
      <c r="WU2" s="33"/>
      <c r="WV2" s="33"/>
      <c r="WW2" s="33"/>
      <c r="WX2" s="33"/>
      <c r="WY2" s="33"/>
      <c r="WZ2" s="33"/>
      <c r="XA2" s="33"/>
      <c r="XB2" s="33"/>
      <c r="XC2" s="33"/>
      <c r="XD2" s="34"/>
      <c r="XE2" s="35">
        <v>43283</v>
      </c>
      <c r="XF2" s="36"/>
      <c r="XG2" s="36"/>
      <c r="XH2" s="36"/>
      <c r="XI2" s="36"/>
      <c r="XJ2" s="36"/>
      <c r="XK2" s="36"/>
      <c r="XL2" s="36"/>
      <c r="XM2" s="36"/>
      <c r="XN2" s="36"/>
      <c r="XO2" s="36"/>
      <c r="XP2" s="36"/>
      <c r="XQ2" s="36"/>
      <c r="XR2" s="36"/>
      <c r="XS2" s="36"/>
      <c r="XT2" s="36"/>
      <c r="XU2" s="36"/>
      <c r="XV2" s="36"/>
      <c r="XW2" s="36"/>
      <c r="XX2" s="36"/>
      <c r="XY2" s="36"/>
      <c r="XZ2" s="36"/>
      <c r="YA2" s="36"/>
      <c r="YB2" s="36"/>
      <c r="YC2" s="36"/>
      <c r="YD2" s="36"/>
      <c r="YE2" s="36"/>
      <c r="YF2" s="36"/>
      <c r="YG2" s="36"/>
      <c r="YH2" s="36"/>
      <c r="YI2" s="36"/>
      <c r="YJ2" s="36"/>
      <c r="YK2" s="36"/>
      <c r="YL2" s="36"/>
      <c r="YM2" s="36"/>
      <c r="YN2" s="36"/>
      <c r="YO2" s="36"/>
      <c r="YP2" s="36"/>
      <c r="YQ2" s="36"/>
      <c r="YR2" s="36"/>
      <c r="YS2" s="36"/>
      <c r="YT2" s="36"/>
      <c r="YU2" s="36"/>
      <c r="YV2" s="36"/>
      <c r="YW2" s="36"/>
      <c r="YX2" s="36"/>
      <c r="YY2" s="36"/>
      <c r="YZ2" s="37"/>
      <c r="ZA2" s="32">
        <v>43284</v>
      </c>
      <c r="ZB2" s="33"/>
      <c r="ZC2" s="33"/>
      <c r="ZD2" s="33"/>
      <c r="ZE2" s="33"/>
      <c r="ZF2" s="33"/>
      <c r="ZG2" s="33"/>
      <c r="ZH2" s="33"/>
      <c r="ZI2" s="33"/>
      <c r="ZJ2" s="33"/>
      <c r="ZK2" s="33"/>
      <c r="ZL2" s="33"/>
      <c r="ZM2" s="33"/>
      <c r="ZN2" s="33"/>
      <c r="ZO2" s="33"/>
      <c r="ZP2" s="33"/>
      <c r="ZQ2" s="33"/>
      <c r="ZR2" s="33"/>
      <c r="ZS2" s="33"/>
      <c r="ZT2" s="33"/>
      <c r="ZU2" s="33"/>
      <c r="ZV2" s="33"/>
      <c r="ZW2" s="33"/>
      <c r="ZX2" s="33"/>
      <c r="ZY2" s="33"/>
      <c r="ZZ2" s="33"/>
      <c r="AAA2" s="33"/>
      <c r="AAB2" s="33"/>
      <c r="AAC2" s="33"/>
      <c r="AAD2" s="33"/>
      <c r="AAE2" s="33"/>
      <c r="AAF2" s="33"/>
      <c r="AAG2" s="33"/>
      <c r="AAH2" s="33"/>
      <c r="AAI2" s="33"/>
      <c r="AAJ2" s="33"/>
      <c r="AAK2" s="33"/>
      <c r="AAL2" s="33"/>
      <c r="AAM2" s="33"/>
      <c r="AAN2" s="33"/>
      <c r="AAO2" s="33"/>
      <c r="AAP2" s="33"/>
      <c r="AAQ2" s="33"/>
      <c r="AAR2" s="33"/>
      <c r="AAS2" s="33"/>
      <c r="AAT2" s="33"/>
      <c r="AAU2" s="33"/>
      <c r="AAV2" s="34"/>
      <c r="AAW2" s="35">
        <v>43285</v>
      </c>
      <c r="AAX2" s="36"/>
      <c r="AAY2" s="36"/>
      <c r="AAZ2" s="36"/>
      <c r="ABA2" s="36"/>
      <c r="ABB2" s="36"/>
      <c r="ABC2" s="36"/>
      <c r="ABD2" s="36"/>
      <c r="ABE2" s="36"/>
      <c r="ABF2" s="36"/>
      <c r="ABG2" s="36"/>
      <c r="ABH2" s="36"/>
      <c r="ABI2" s="36"/>
      <c r="ABJ2" s="36"/>
      <c r="ABK2" s="36"/>
      <c r="ABL2" s="36"/>
      <c r="ABM2" s="36"/>
      <c r="ABN2" s="36"/>
      <c r="ABO2" s="36"/>
      <c r="ABP2" s="36"/>
      <c r="ABQ2" s="36"/>
      <c r="ABR2" s="36"/>
      <c r="ABS2" s="36"/>
      <c r="ABT2" s="36"/>
      <c r="ABU2" s="36"/>
      <c r="ABV2" s="36"/>
      <c r="ABW2" s="36"/>
      <c r="ABX2" s="36"/>
      <c r="ABY2" s="36"/>
      <c r="ABZ2" s="36"/>
      <c r="ACA2" s="36"/>
      <c r="ACB2" s="36"/>
      <c r="ACC2" s="36"/>
      <c r="ACD2" s="36"/>
      <c r="ACE2" s="36"/>
      <c r="ACF2" s="36"/>
      <c r="ACG2" s="36"/>
      <c r="ACH2" s="36"/>
      <c r="ACI2" s="36"/>
      <c r="ACJ2" s="36"/>
      <c r="ACK2" s="36"/>
      <c r="ACL2" s="36"/>
      <c r="ACM2" s="36"/>
      <c r="ACN2" s="36"/>
      <c r="ACO2" s="36"/>
      <c r="ACP2" s="36"/>
      <c r="ACQ2" s="36"/>
      <c r="ACR2" s="37"/>
      <c r="ACS2" s="32">
        <v>43286</v>
      </c>
      <c r="ACT2" s="33"/>
      <c r="ACU2" s="33"/>
      <c r="ACV2" s="33"/>
      <c r="ACW2" s="33"/>
      <c r="ACX2" s="33"/>
      <c r="ACY2" s="33"/>
      <c r="ACZ2" s="33"/>
      <c r="ADA2" s="33"/>
      <c r="ADB2" s="33"/>
      <c r="ADC2" s="33"/>
      <c r="ADD2" s="33"/>
      <c r="ADE2" s="33"/>
      <c r="ADF2" s="33"/>
      <c r="ADG2" s="33"/>
      <c r="ADH2" s="33"/>
      <c r="ADI2" s="33"/>
      <c r="ADJ2" s="33"/>
      <c r="ADK2" s="33"/>
      <c r="ADL2" s="33"/>
      <c r="ADM2" s="33"/>
      <c r="ADN2" s="33"/>
      <c r="ADO2" s="33"/>
      <c r="ADP2" s="33"/>
      <c r="ADQ2" s="33"/>
      <c r="ADR2" s="33"/>
      <c r="ADS2" s="33"/>
      <c r="ADT2" s="33"/>
      <c r="ADU2" s="33"/>
      <c r="ADV2" s="33"/>
      <c r="ADW2" s="33"/>
      <c r="ADX2" s="33"/>
      <c r="ADY2" s="33"/>
      <c r="ADZ2" s="33"/>
      <c r="AEA2" s="33"/>
      <c r="AEB2" s="33"/>
      <c r="AEC2" s="33"/>
      <c r="AED2" s="33"/>
      <c r="AEE2" s="33"/>
      <c r="AEF2" s="33"/>
      <c r="AEG2" s="33"/>
      <c r="AEH2" s="33"/>
      <c r="AEI2" s="33"/>
      <c r="AEJ2" s="33"/>
      <c r="AEK2" s="33"/>
      <c r="AEL2" s="33"/>
      <c r="AEM2" s="33"/>
      <c r="AEN2" s="34"/>
      <c r="AEO2" s="35">
        <v>43287</v>
      </c>
      <c r="AEP2" s="36"/>
      <c r="AEQ2" s="36"/>
      <c r="AER2" s="36"/>
      <c r="AES2" s="36"/>
      <c r="AET2" s="36"/>
      <c r="AEU2" s="36"/>
      <c r="AEV2" s="36"/>
      <c r="AEW2" s="36"/>
      <c r="AEX2" s="36"/>
      <c r="AEY2" s="36"/>
      <c r="AEZ2" s="36"/>
      <c r="AFA2" s="36"/>
      <c r="AFB2" s="36"/>
      <c r="AFC2" s="36"/>
      <c r="AFD2" s="36"/>
      <c r="AFE2" s="36"/>
      <c r="AFF2" s="36"/>
      <c r="AFG2" s="36"/>
      <c r="AFH2" s="36"/>
      <c r="AFI2" s="36"/>
      <c r="AFJ2" s="36"/>
      <c r="AFK2" s="36"/>
      <c r="AFL2" s="36"/>
      <c r="AFM2" s="36"/>
      <c r="AFN2" s="36"/>
      <c r="AFO2" s="36"/>
      <c r="AFP2" s="36"/>
      <c r="AFQ2" s="36"/>
      <c r="AFR2" s="36"/>
      <c r="AFS2" s="36"/>
      <c r="AFT2" s="36"/>
      <c r="AFU2" s="36"/>
      <c r="AFV2" s="36"/>
      <c r="AFW2" s="36"/>
      <c r="AFX2" s="36"/>
      <c r="AFY2" s="36"/>
      <c r="AFZ2" s="36"/>
      <c r="AGA2" s="36"/>
      <c r="AGB2" s="36"/>
      <c r="AGC2" s="36"/>
      <c r="AGD2" s="36"/>
      <c r="AGE2" s="36"/>
      <c r="AGF2" s="36"/>
      <c r="AGG2" s="36"/>
      <c r="AGH2" s="36"/>
      <c r="AGI2" s="36"/>
      <c r="AGJ2" s="37"/>
      <c r="AGK2" s="32">
        <v>43288</v>
      </c>
      <c r="AGL2" s="33"/>
      <c r="AGM2" s="33"/>
      <c r="AGN2" s="33"/>
      <c r="AGO2" s="33"/>
      <c r="AGP2" s="33"/>
      <c r="AGQ2" s="33"/>
      <c r="AGR2" s="33"/>
      <c r="AGS2" s="33"/>
      <c r="AGT2" s="33"/>
      <c r="AGU2" s="33"/>
      <c r="AGV2" s="33"/>
      <c r="AGW2" s="33"/>
      <c r="AGX2" s="33"/>
      <c r="AGY2" s="33"/>
      <c r="AGZ2" s="33"/>
      <c r="AHA2" s="33"/>
      <c r="AHB2" s="33"/>
      <c r="AHC2" s="33"/>
      <c r="AHD2" s="33"/>
      <c r="AHE2" s="33"/>
      <c r="AHF2" s="33"/>
      <c r="AHG2" s="33"/>
      <c r="AHH2" s="33"/>
      <c r="AHI2" s="33"/>
      <c r="AHJ2" s="33"/>
      <c r="AHK2" s="33"/>
      <c r="AHL2" s="33"/>
      <c r="AHM2" s="33"/>
      <c r="AHN2" s="33"/>
      <c r="AHO2" s="33"/>
      <c r="AHP2" s="33"/>
      <c r="AHQ2" s="33"/>
      <c r="AHR2" s="33"/>
      <c r="AHS2" s="33"/>
      <c r="AHT2" s="33"/>
      <c r="AHU2" s="33"/>
      <c r="AHV2" s="33"/>
      <c r="AHW2" s="33"/>
      <c r="AHX2" s="33"/>
      <c r="AHY2" s="33"/>
      <c r="AHZ2" s="33"/>
      <c r="AIA2" s="33"/>
      <c r="AIB2" s="33"/>
      <c r="AIC2" s="33"/>
      <c r="AID2" s="33"/>
      <c r="AIE2" s="33"/>
      <c r="AIF2" s="34"/>
      <c r="AIG2" s="35">
        <v>43289</v>
      </c>
      <c r="AIH2" s="36"/>
      <c r="AII2" s="36"/>
      <c r="AIJ2" s="36"/>
      <c r="AIK2" s="36"/>
      <c r="AIL2" s="36"/>
      <c r="AIM2" s="36"/>
      <c r="AIN2" s="36"/>
      <c r="AIO2" s="36"/>
      <c r="AIP2" s="36"/>
      <c r="AIQ2" s="36"/>
      <c r="AIR2" s="36"/>
      <c r="AIS2" s="36"/>
      <c r="AIT2" s="36"/>
      <c r="AIU2" s="36"/>
      <c r="AIV2" s="36"/>
      <c r="AIW2" s="36"/>
      <c r="AIX2" s="36"/>
      <c r="AIY2" s="36"/>
      <c r="AIZ2" s="36"/>
      <c r="AJA2" s="36"/>
      <c r="AJB2" s="36"/>
      <c r="AJC2" s="36"/>
      <c r="AJD2" s="36"/>
      <c r="AJE2" s="36"/>
      <c r="AJF2" s="36"/>
      <c r="AJG2" s="36"/>
      <c r="AJH2" s="36"/>
      <c r="AJI2" s="36"/>
      <c r="AJJ2" s="36"/>
      <c r="AJK2" s="36"/>
      <c r="AJL2" s="36"/>
      <c r="AJM2" s="36"/>
      <c r="AJN2" s="36"/>
      <c r="AJO2" s="36"/>
      <c r="AJP2" s="36"/>
      <c r="AJQ2" s="36"/>
      <c r="AJR2" s="36"/>
      <c r="AJS2" s="36"/>
      <c r="AJT2" s="36"/>
      <c r="AJU2" s="36"/>
      <c r="AJV2" s="36"/>
      <c r="AJW2" s="36"/>
      <c r="AJX2" s="36"/>
      <c r="AJY2" s="36"/>
      <c r="AJZ2" s="36"/>
      <c r="AKA2" s="36"/>
      <c r="AKB2" s="37"/>
      <c r="AKC2" s="32">
        <v>43290</v>
      </c>
      <c r="AKD2" s="33"/>
      <c r="AKE2" s="33"/>
      <c r="AKF2" s="33"/>
      <c r="AKG2" s="33"/>
      <c r="AKH2" s="33"/>
      <c r="AKI2" s="33"/>
      <c r="AKJ2" s="33"/>
      <c r="AKK2" s="33"/>
      <c r="AKL2" s="33"/>
      <c r="AKM2" s="33"/>
      <c r="AKN2" s="33"/>
      <c r="AKO2" s="33"/>
      <c r="AKP2" s="33"/>
      <c r="AKQ2" s="33"/>
      <c r="AKR2" s="33"/>
      <c r="AKS2" s="33"/>
      <c r="AKT2" s="33"/>
      <c r="AKU2" s="33"/>
      <c r="AKV2" s="33"/>
      <c r="AKW2" s="33"/>
      <c r="AKX2" s="33"/>
      <c r="AKY2" s="33"/>
      <c r="AKZ2" s="33"/>
      <c r="ALA2" s="33"/>
      <c r="ALB2" s="33"/>
      <c r="ALC2" s="33"/>
      <c r="ALD2" s="33"/>
      <c r="ALE2" s="33"/>
      <c r="ALF2" s="33"/>
      <c r="ALG2" s="33"/>
      <c r="ALH2" s="33"/>
      <c r="ALI2" s="33"/>
      <c r="ALJ2" s="33"/>
      <c r="ALK2" s="33"/>
      <c r="ALL2" s="33"/>
      <c r="ALM2" s="33"/>
      <c r="ALN2" s="33"/>
      <c r="ALO2" s="33"/>
      <c r="ALP2" s="33"/>
      <c r="ALQ2" s="33"/>
      <c r="ALR2" s="33"/>
      <c r="ALS2" s="33"/>
      <c r="ALT2" s="33"/>
      <c r="ALU2" s="33"/>
      <c r="ALV2" s="33"/>
      <c r="ALW2" s="33"/>
      <c r="ALX2" s="34"/>
      <c r="ALY2" s="35">
        <v>43291</v>
      </c>
      <c r="ALZ2" s="36"/>
      <c r="AMA2" s="36"/>
      <c r="AMB2" s="36"/>
      <c r="AMC2" s="36"/>
      <c r="AMD2" s="36"/>
      <c r="AME2" s="36"/>
      <c r="AMF2" s="36"/>
      <c r="AMG2" s="36"/>
      <c r="AMH2" s="36"/>
      <c r="AMI2" s="36"/>
      <c r="AMJ2" s="36"/>
      <c r="AMK2" s="36"/>
      <c r="AML2" s="36"/>
      <c r="AMM2" s="36"/>
      <c r="AMN2" s="36"/>
      <c r="AMO2" s="36"/>
      <c r="AMP2" s="36"/>
      <c r="AMQ2" s="36"/>
      <c r="AMR2" s="36"/>
      <c r="AMS2" s="36"/>
      <c r="AMT2" s="36"/>
      <c r="AMU2" s="36"/>
      <c r="AMV2" s="36"/>
      <c r="AMW2" s="36"/>
      <c r="AMX2" s="36"/>
      <c r="AMY2" s="36"/>
      <c r="AMZ2" s="36"/>
      <c r="ANA2" s="36"/>
      <c r="ANB2" s="36"/>
      <c r="ANC2" s="36"/>
      <c r="AND2" s="36"/>
      <c r="ANE2" s="36"/>
      <c r="ANF2" s="36"/>
      <c r="ANG2" s="36"/>
      <c r="ANH2" s="36"/>
      <c r="ANI2" s="36"/>
      <c r="ANJ2" s="36"/>
      <c r="ANK2" s="36"/>
      <c r="ANL2" s="36"/>
      <c r="ANM2" s="36"/>
      <c r="ANN2" s="36"/>
      <c r="ANO2" s="36"/>
      <c r="ANP2" s="36"/>
      <c r="ANQ2" s="36"/>
      <c r="ANR2" s="36"/>
      <c r="ANS2" s="36"/>
      <c r="ANT2" s="37"/>
      <c r="ANU2" s="32">
        <v>43292</v>
      </c>
      <c r="ANV2" s="33"/>
      <c r="ANW2" s="33"/>
      <c r="ANX2" s="33"/>
      <c r="ANY2" s="33"/>
      <c r="ANZ2" s="33"/>
      <c r="AOA2" s="33"/>
      <c r="AOB2" s="33"/>
      <c r="AOC2" s="33"/>
      <c r="AOD2" s="33"/>
      <c r="AOE2" s="33"/>
      <c r="AOF2" s="33"/>
      <c r="AOG2" s="33"/>
      <c r="AOH2" s="33"/>
      <c r="AOI2" s="33"/>
      <c r="AOJ2" s="33"/>
      <c r="AOK2" s="33"/>
      <c r="AOL2" s="33"/>
      <c r="AOM2" s="33"/>
      <c r="AON2" s="33"/>
      <c r="AOO2" s="33"/>
      <c r="AOP2" s="33"/>
      <c r="AOQ2" s="33"/>
      <c r="AOR2" s="33"/>
      <c r="AOS2" s="33"/>
      <c r="AOT2" s="33"/>
      <c r="AOU2" s="33"/>
      <c r="AOV2" s="33"/>
      <c r="AOW2" s="33"/>
      <c r="AOX2" s="33"/>
      <c r="AOY2" s="33"/>
      <c r="AOZ2" s="33"/>
      <c r="APA2" s="33"/>
      <c r="APB2" s="33"/>
      <c r="APC2" s="33"/>
      <c r="APD2" s="33"/>
      <c r="APE2" s="33"/>
      <c r="APF2" s="33"/>
      <c r="APG2" s="33"/>
      <c r="APH2" s="33"/>
      <c r="API2" s="33"/>
      <c r="APJ2" s="33"/>
      <c r="APK2" s="33"/>
      <c r="APL2" s="33"/>
      <c r="APM2" s="33"/>
      <c r="APN2" s="33"/>
      <c r="APO2" s="33"/>
      <c r="APP2" s="34"/>
      <c r="APQ2" s="35">
        <v>43293</v>
      </c>
      <c r="APR2" s="36"/>
      <c r="APS2" s="36"/>
      <c r="APT2" s="36"/>
      <c r="APU2" s="36"/>
      <c r="APV2" s="36"/>
      <c r="APW2" s="36"/>
      <c r="APX2" s="36"/>
      <c r="APY2" s="36"/>
      <c r="APZ2" s="36"/>
      <c r="AQA2" s="36"/>
      <c r="AQB2" s="36"/>
      <c r="AQC2" s="36"/>
      <c r="AQD2" s="36"/>
      <c r="AQE2" s="36"/>
      <c r="AQF2" s="36"/>
      <c r="AQG2" s="36"/>
      <c r="AQH2" s="36"/>
      <c r="AQI2" s="36"/>
      <c r="AQJ2" s="36"/>
      <c r="AQK2" s="36"/>
      <c r="AQL2" s="36"/>
      <c r="AQM2" s="36"/>
      <c r="AQN2" s="36"/>
      <c r="AQO2" s="36"/>
      <c r="AQP2" s="36"/>
      <c r="AQQ2" s="36"/>
      <c r="AQR2" s="36"/>
      <c r="AQS2" s="36"/>
      <c r="AQT2" s="36"/>
      <c r="AQU2" s="36"/>
      <c r="AQV2" s="36"/>
      <c r="AQW2" s="36"/>
      <c r="AQX2" s="36"/>
      <c r="AQY2" s="36"/>
      <c r="AQZ2" s="36"/>
      <c r="ARA2" s="36"/>
      <c r="ARB2" s="36"/>
      <c r="ARC2" s="36"/>
      <c r="ARD2" s="36"/>
      <c r="ARE2" s="36"/>
      <c r="ARF2" s="36"/>
      <c r="ARG2" s="36"/>
      <c r="ARH2" s="36"/>
      <c r="ARI2" s="36"/>
      <c r="ARJ2" s="36"/>
      <c r="ARK2" s="36"/>
      <c r="ARL2" s="37"/>
      <c r="ARM2" s="32">
        <v>43294</v>
      </c>
      <c r="ARN2" s="33"/>
      <c r="ARO2" s="33"/>
      <c r="ARP2" s="33"/>
      <c r="ARQ2" s="33"/>
      <c r="ARR2" s="33"/>
      <c r="ARS2" s="33"/>
      <c r="ART2" s="33"/>
      <c r="ARU2" s="33"/>
      <c r="ARV2" s="33"/>
      <c r="ARW2" s="33"/>
      <c r="ARX2" s="33"/>
      <c r="ARY2" s="33"/>
      <c r="ARZ2" s="33"/>
      <c r="ASA2" s="33"/>
      <c r="ASB2" s="33"/>
      <c r="ASC2" s="33"/>
      <c r="ASD2" s="33"/>
      <c r="ASE2" s="33"/>
      <c r="ASF2" s="33"/>
      <c r="ASG2" s="33"/>
      <c r="ASH2" s="33"/>
      <c r="ASI2" s="33"/>
      <c r="ASJ2" s="33"/>
      <c r="ASK2" s="33"/>
      <c r="ASL2" s="33"/>
      <c r="ASM2" s="33"/>
      <c r="ASN2" s="33"/>
      <c r="ASO2" s="33"/>
      <c r="ASP2" s="33"/>
      <c r="ASQ2" s="33"/>
      <c r="ASR2" s="33"/>
      <c r="ASS2" s="33"/>
      <c r="AST2" s="33"/>
      <c r="ASU2" s="33"/>
      <c r="ASV2" s="33"/>
      <c r="ASW2" s="33"/>
      <c r="ASX2" s="33"/>
      <c r="ASY2" s="33"/>
      <c r="ASZ2" s="33"/>
      <c r="ATA2" s="33"/>
      <c r="ATB2" s="33"/>
      <c r="ATC2" s="33"/>
      <c r="ATD2" s="33"/>
      <c r="ATE2" s="33"/>
      <c r="ATF2" s="33"/>
      <c r="ATG2" s="33"/>
      <c r="ATH2" s="34"/>
      <c r="ATI2" s="35">
        <v>43295</v>
      </c>
      <c r="ATJ2" s="36"/>
      <c r="ATK2" s="36"/>
      <c r="ATL2" s="36"/>
      <c r="ATM2" s="36"/>
      <c r="ATN2" s="36"/>
      <c r="ATO2" s="36"/>
      <c r="ATP2" s="36"/>
      <c r="ATQ2" s="36"/>
      <c r="ATR2" s="36"/>
      <c r="ATS2" s="36"/>
      <c r="ATT2" s="36"/>
      <c r="ATU2" s="36"/>
      <c r="ATV2" s="36"/>
      <c r="ATW2" s="36"/>
      <c r="ATX2" s="36"/>
      <c r="ATY2" s="36"/>
      <c r="ATZ2" s="36"/>
      <c r="AUA2" s="36"/>
      <c r="AUB2" s="36"/>
      <c r="AUC2" s="36"/>
      <c r="AUD2" s="36"/>
      <c r="AUE2" s="36"/>
      <c r="AUF2" s="36"/>
      <c r="AUG2" s="36"/>
      <c r="AUH2" s="36"/>
      <c r="AUI2" s="36"/>
      <c r="AUJ2" s="36"/>
      <c r="AUK2" s="36"/>
      <c r="AUL2" s="36"/>
      <c r="AUM2" s="36"/>
      <c r="AUN2" s="36"/>
      <c r="AUO2" s="36"/>
      <c r="AUP2" s="36"/>
      <c r="AUQ2" s="36"/>
      <c r="AUR2" s="36"/>
      <c r="AUS2" s="36"/>
      <c r="AUT2" s="36"/>
      <c r="AUU2" s="36"/>
      <c r="AUV2" s="36"/>
      <c r="AUW2" s="36"/>
      <c r="AUX2" s="36"/>
      <c r="AUY2" s="36"/>
      <c r="AUZ2" s="36"/>
      <c r="AVA2" s="36"/>
      <c r="AVB2" s="36"/>
      <c r="AVC2" s="36"/>
      <c r="AVD2" s="37"/>
      <c r="AVE2" s="32">
        <v>43296</v>
      </c>
      <c r="AVF2" s="33"/>
      <c r="AVG2" s="33"/>
      <c r="AVH2" s="33"/>
      <c r="AVI2" s="33"/>
      <c r="AVJ2" s="33"/>
      <c r="AVK2" s="33"/>
      <c r="AVL2" s="33"/>
      <c r="AVM2" s="33"/>
      <c r="AVN2" s="33"/>
      <c r="AVO2" s="33"/>
      <c r="AVP2" s="33"/>
      <c r="AVQ2" s="33"/>
      <c r="AVR2" s="33"/>
      <c r="AVS2" s="33"/>
      <c r="AVT2" s="33"/>
      <c r="AVU2" s="33"/>
      <c r="AVV2" s="33"/>
      <c r="AVW2" s="33"/>
      <c r="AVX2" s="33"/>
      <c r="AVY2" s="33"/>
      <c r="AVZ2" s="33"/>
      <c r="AWA2" s="33"/>
      <c r="AWB2" s="33"/>
      <c r="AWC2" s="33"/>
      <c r="AWD2" s="33"/>
      <c r="AWE2" s="33"/>
      <c r="AWF2" s="33"/>
      <c r="AWG2" s="33"/>
      <c r="AWH2" s="33"/>
      <c r="AWI2" s="33"/>
      <c r="AWJ2" s="33"/>
      <c r="AWK2" s="33"/>
      <c r="AWL2" s="33"/>
      <c r="AWM2" s="33"/>
      <c r="AWN2" s="33"/>
      <c r="AWO2" s="33"/>
      <c r="AWP2" s="33"/>
      <c r="AWQ2" s="33"/>
      <c r="AWR2" s="33"/>
      <c r="AWS2" s="33"/>
      <c r="AWT2" s="33"/>
      <c r="AWU2" s="33"/>
      <c r="AWV2" s="33"/>
      <c r="AWW2" s="33"/>
      <c r="AWX2" s="33"/>
      <c r="AWY2" s="33"/>
      <c r="AWZ2" s="34"/>
      <c r="AXA2" s="35">
        <v>43297</v>
      </c>
      <c r="AXB2" s="36"/>
      <c r="AXC2" s="36"/>
      <c r="AXD2" s="36"/>
      <c r="AXE2" s="36"/>
      <c r="AXF2" s="36"/>
      <c r="AXG2" s="36"/>
      <c r="AXH2" s="36"/>
      <c r="AXI2" s="36"/>
      <c r="AXJ2" s="36"/>
      <c r="AXK2" s="36"/>
      <c r="AXL2" s="36"/>
      <c r="AXM2" s="36"/>
      <c r="AXN2" s="36"/>
      <c r="AXO2" s="36"/>
      <c r="AXP2" s="36"/>
      <c r="AXQ2" s="36"/>
      <c r="AXR2" s="36"/>
      <c r="AXS2" s="36"/>
      <c r="AXT2" s="36"/>
      <c r="AXU2" s="36"/>
      <c r="AXV2" s="36"/>
      <c r="AXW2" s="36"/>
      <c r="AXX2" s="36"/>
      <c r="AXY2" s="36"/>
      <c r="AXZ2" s="36"/>
      <c r="AYA2" s="36"/>
      <c r="AYB2" s="36"/>
      <c r="AYC2" s="36"/>
      <c r="AYD2" s="36"/>
      <c r="AYE2" s="36"/>
      <c r="AYF2" s="36"/>
      <c r="AYG2" s="36"/>
      <c r="AYH2" s="36"/>
      <c r="AYI2" s="36"/>
      <c r="AYJ2" s="36"/>
      <c r="AYK2" s="36"/>
      <c r="AYL2" s="36"/>
      <c r="AYM2" s="36"/>
      <c r="AYN2" s="36"/>
      <c r="AYO2" s="36"/>
      <c r="AYP2" s="36"/>
      <c r="AYQ2" s="36"/>
      <c r="AYR2" s="36"/>
      <c r="AYS2" s="36"/>
      <c r="AYT2" s="36"/>
      <c r="AYU2" s="36"/>
      <c r="AYV2" s="37"/>
      <c r="AYW2" s="32">
        <v>43298</v>
      </c>
      <c r="AYX2" s="33"/>
      <c r="AYY2" s="33"/>
      <c r="AYZ2" s="33"/>
      <c r="AZA2" s="33"/>
      <c r="AZB2" s="33"/>
      <c r="AZC2" s="33"/>
      <c r="AZD2" s="33"/>
      <c r="AZE2" s="33"/>
      <c r="AZF2" s="33"/>
      <c r="AZG2" s="33"/>
      <c r="AZH2" s="33"/>
      <c r="AZI2" s="33"/>
      <c r="AZJ2" s="33"/>
      <c r="AZK2" s="33"/>
      <c r="AZL2" s="33"/>
      <c r="AZM2" s="33"/>
      <c r="AZN2" s="33"/>
      <c r="AZO2" s="33"/>
      <c r="AZP2" s="33"/>
      <c r="AZQ2" s="33"/>
      <c r="AZR2" s="33"/>
      <c r="AZS2" s="33"/>
      <c r="AZT2" s="33"/>
      <c r="AZU2" s="33"/>
      <c r="AZV2" s="33"/>
      <c r="AZW2" s="33"/>
      <c r="AZX2" s="33"/>
      <c r="AZY2" s="33"/>
      <c r="AZZ2" s="33"/>
      <c r="BAA2" s="33"/>
      <c r="BAB2" s="33"/>
      <c r="BAC2" s="33"/>
      <c r="BAD2" s="33"/>
      <c r="BAE2" s="33"/>
      <c r="BAF2" s="33"/>
      <c r="BAG2" s="33"/>
      <c r="BAH2" s="33"/>
      <c r="BAI2" s="33"/>
      <c r="BAJ2" s="33"/>
      <c r="BAK2" s="33"/>
      <c r="BAL2" s="33"/>
      <c r="BAM2" s="33"/>
      <c r="BAN2" s="33"/>
      <c r="BAO2" s="33"/>
      <c r="BAP2" s="33"/>
      <c r="BAQ2" s="33"/>
      <c r="BAR2" s="34"/>
    </row>
    <row r="3" spans="1:1396">
      <c r="A3" s="8" t="s">
        <v>1423</v>
      </c>
      <c r="B3" s="29" t="s">
        <v>7970</v>
      </c>
      <c r="C3" s="8">
        <v>42</v>
      </c>
      <c r="D3" s="15">
        <v>32.706666666548699</v>
      </c>
      <c r="CE3" s="8" t="s">
        <v>7970</v>
      </c>
    </row>
    <row r="4" spans="1:1396">
      <c r="A4" s="8" t="s">
        <v>1423</v>
      </c>
      <c r="B4" s="10" t="s">
        <v>7971</v>
      </c>
      <c r="C4" s="8">
        <v>79.484444444300607</v>
      </c>
      <c r="D4" s="15">
        <v>16.582222222090088</v>
      </c>
      <c r="CZ4" s="8" t="s">
        <v>7971</v>
      </c>
    </row>
    <row r="5" spans="1:1396">
      <c r="A5" s="8" t="s">
        <v>1423</v>
      </c>
      <c r="B5" s="10" t="s">
        <v>7972</v>
      </c>
      <c r="C5" s="8">
        <v>100.00000000011642</v>
      </c>
      <c r="D5" s="15">
        <v>16.353333333390925</v>
      </c>
      <c r="DT5" s="8" t="s">
        <v>7972</v>
      </c>
    </row>
    <row r="6" spans="1:1396">
      <c r="A6" s="8" t="s">
        <v>1423</v>
      </c>
      <c r="B6" s="10" t="s">
        <v>7973</v>
      </c>
      <c r="C6" s="8">
        <v>120</v>
      </c>
      <c r="D6" s="15">
        <v>16.582222222234122</v>
      </c>
      <c r="EO6" s="8" t="s">
        <v>7973</v>
      </c>
    </row>
    <row r="7" spans="1:1396">
      <c r="A7" s="8" t="s">
        <v>1423</v>
      </c>
      <c r="B7" s="10" t="s">
        <v>7974</v>
      </c>
      <c r="C7" s="8">
        <v>509.58666666678619</v>
      </c>
      <c r="D7" s="15">
        <v>32.70666666666817</v>
      </c>
      <c r="UD7" s="8" t="s">
        <v>7974</v>
      </c>
    </row>
    <row r="8" spans="1:1396">
      <c r="A8" s="8" t="s">
        <v>1423</v>
      </c>
      <c r="B8" s="10" t="s">
        <v>7975</v>
      </c>
      <c r="C8" s="8">
        <v>543.2933333334513</v>
      </c>
      <c r="D8" s="15">
        <v>32.70666666666672</v>
      </c>
      <c r="VL8" s="8" t="s">
        <v>7975</v>
      </c>
    </row>
    <row r="9" spans="1:1396">
      <c r="A9" s="8" t="s">
        <v>1423</v>
      </c>
      <c r="B9" s="10" t="s">
        <v>7976</v>
      </c>
      <c r="C9" s="8">
        <v>895.64666666672565</v>
      </c>
      <c r="D9" s="15">
        <v>16.353333333333119</v>
      </c>
      <c r="AIJ9" s="8" t="s">
        <v>7976</v>
      </c>
    </row>
    <row r="10" spans="1:1396">
      <c r="A10" s="8" t="s">
        <v>1423</v>
      </c>
      <c r="B10" s="10" t="s">
        <v>7977</v>
      </c>
      <c r="C10" s="8">
        <v>927.2933333334513</v>
      </c>
      <c r="D10" s="15">
        <v>32.70666666666672</v>
      </c>
      <c r="AKF10" s="8" t="s">
        <v>7977</v>
      </c>
    </row>
    <row r="11" spans="1:1396">
      <c r="A11" s="8" t="s">
        <v>1423</v>
      </c>
      <c r="B11" s="10" t="s">
        <v>7978</v>
      </c>
      <c r="C11" s="8">
        <v>975.2933333334513</v>
      </c>
      <c r="D11" s="15">
        <v>32.70666666666672</v>
      </c>
      <c r="AMB11" s="8" t="s">
        <v>7978</v>
      </c>
    </row>
    <row r="12" spans="1:1396">
      <c r="A12" s="8" t="s">
        <v>1423</v>
      </c>
      <c r="B12" s="10" t="s">
        <v>7979</v>
      </c>
      <c r="C12" s="8">
        <v>975.2933333334513</v>
      </c>
      <c r="D12" s="15">
        <v>32.70666666666672</v>
      </c>
      <c r="AMB12" s="8" t="s">
        <v>7979</v>
      </c>
    </row>
    <row r="13" spans="1:1396">
      <c r="A13" s="8" t="s">
        <v>1423</v>
      </c>
      <c r="B13" s="10" t="s">
        <v>7980</v>
      </c>
      <c r="C13" s="8">
        <v>1023.2933333334513</v>
      </c>
      <c r="D13" s="15">
        <v>32.70666666666672</v>
      </c>
      <c r="ANX13" s="8" t="s">
        <v>7980</v>
      </c>
      <c r="BAJ13" s="8" t="s">
        <v>5813</v>
      </c>
    </row>
    <row r="14" spans="1:1396">
      <c r="A14" s="8" t="s">
        <v>1423</v>
      </c>
      <c r="B14" s="10" t="s">
        <v>7981</v>
      </c>
      <c r="C14" s="8">
        <v>1071.2933333334513</v>
      </c>
      <c r="D14" s="15">
        <v>32.70666666666672</v>
      </c>
      <c r="APT14" s="8" t="s">
        <v>7981</v>
      </c>
    </row>
    <row r="15" spans="1:1396">
      <c r="A15" s="8" t="s">
        <v>1423</v>
      </c>
      <c r="B15" s="10" t="s">
        <v>7982</v>
      </c>
      <c r="C15" s="8">
        <v>1119.2933333334513</v>
      </c>
      <c r="D15" s="15">
        <v>32.70666666666672</v>
      </c>
      <c r="ARP15" s="8" t="s">
        <v>7982</v>
      </c>
    </row>
    <row r="16" spans="1:1396">
      <c r="A16" s="8" t="s">
        <v>1423</v>
      </c>
      <c r="B16" s="10" t="s">
        <v>7983</v>
      </c>
      <c r="C16" s="8">
        <v>1287.8233333333628</v>
      </c>
      <c r="D16" s="15">
        <v>8.1766666666665593</v>
      </c>
      <c r="AXD16" s="8" t="s">
        <v>7983</v>
      </c>
    </row>
    <row r="17" spans="1:424 1352:1896 2120:2456">
      <c r="A17" s="8" t="s">
        <v>1423</v>
      </c>
      <c r="B17" s="10" t="s">
        <v>7984</v>
      </c>
      <c r="C17" s="8">
        <v>1341.9400000000605</v>
      </c>
      <c r="D17" s="15">
        <v>32.706666666609394</v>
      </c>
      <c r="BAE17" s="8" t="s">
        <v>7984</v>
      </c>
    </row>
    <row r="18" spans="1:424 1352:1896 2120:2456">
      <c r="A18" s="8" t="s">
        <v>1423</v>
      </c>
      <c r="B18" s="10" t="s">
        <v>7985</v>
      </c>
      <c r="C18" s="8">
        <v>1375.6466666667257</v>
      </c>
      <c r="D18" s="15">
        <v>16.353333333333119</v>
      </c>
      <c r="BAV18" s="8" t="s">
        <v>7985</v>
      </c>
    </row>
    <row r="19" spans="1:424 1352:1896 2120:2456">
      <c r="A19" s="8" t="s">
        <v>1424</v>
      </c>
      <c r="B19" s="10" t="s">
        <v>7986</v>
      </c>
      <c r="C19" s="8">
        <v>73.999999999883585</v>
      </c>
      <c r="D19" s="15">
        <v>17.636666666832596</v>
      </c>
      <c r="CV19" s="19" t="s">
        <v>7986</v>
      </c>
    </row>
    <row r="20" spans="1:424 1352:1896 2120:2456">
      <c r="A20" s="8" t="s">
        <v>1424</v>
      </c>
      <c r="B20" s="10" t="s">
        <v>7987</v>
      </c>
      <c r="C20" s="8">
        <v>97.999999999883585</v>
      </c>
      <c r="D20" s="15">
        <v>17.636666666832593</v>
      </c>
      <c r="DT20" s="8" t="s">
        <v>7987</v>
      </c>
    </row>
    <row r="21" spans="1:424 1352:1896 2120:2456">
      <c r="A21" s="8" t="s">
        <v>1424</v>
      </c>
      <c r="B21" s="10" t="s">
        <v>7988</v>
      </c>
      <c r="C21" s="8">
        <v>121.99999999988358</v>
      </c>
      <c r="D21" s="15">
        <v>8.8183333333580105</v>
      </c>
      <c r="EI21" s="8" t="s">
        <v>7988</v>
      </c>
    </row>
    <row r="22" spans="1:424 1352:1896 2120:2456">
      <c r="A22" s="8" t="s">
        <v>1424</v>
      </c>
      <c r="B22" s="10" t="s">
        <v>7989</v>
      </c>
      <c r="C22" s="8">
        <v>136.00000000011642</v>
      </c>
      <c r="D22" s="15">
        <v>8.8183333332419114</v>
      </c>
      <c r="EW22" s="8" t="s">
        <v>7989</v>
      </c>
    </row>
    <row r="23" spans="1:424 1352:1896 2120:2456">
      <c r="A23" s="8" t="s">
        <v>1424</v>
      </c>
      <c r="B23" s="10" t="s">
        <v>7990</v>
      </c>
      <c r="C23" s="8">
        <v>150</v>
      </c>
      <c r="D23" s="15">
        <v>8.8183333334745839</v>
      </c>
      <c r="FK23" s="8" t="s">
        <v>7990</v>
      </c>
    </row>
    <row r="24" spans="1:424 1352:1896 2120:2456">
      <c r="A24" s="8" t="s">
        <v>1424</v>
      </c>
      <c r="B24" s="10" t="s">
        <v>7991</v>
      </c>
      <c r="C24" s="8">
        <v>166.00000000011642</v>
      </c>
      <c r="D24" s="15">
        <v>34.423333333339706</v>
      </c>
      <c r="GZ24" s="8" t="s">
        <v>7991</v>
      </c>
    </row>
    <row r="25" spans="1:424 1352:1896 2120:2456">
      <c r="A25" s="8" t="s">
        <v>1424</v>
      </c>
      <c r="B25" s="10" t="s">
        <v>7992</v>
      </c>
      <c r="C25" s="8">
        <v>202.00000000011642</v>
      </c>
      <c r="D25" s="15">
        <v>34.423333333339698</v>
      </c>
      <c r="IJ25" s="19" t="s">
        <v>7992</v>
      </c>
      <c r="AYZ25" s="8" t="s">
        <v>6647</v>
      </c>
      <c r="BAV25" s="8" t="s">
        <v>4596</v>
      </c>
      <c r="BCR25" s="8" t="s">
        <v>4215</v>
      </c>
    </row>
    <row r="26" spans="1:424 1352:1896 2120:2456">
      <c r="A26" s="8" t="s">
        <v>1424</v>
      </c>
      <c r="B26" s="10" t="s">
        <v>7993</v>
      </c>
      <c r="C26" s="8">
        <v>244.00000000011642</v>
      </c>
      <c r="D26" s="15">
        <v>17.652222222066644</v>
      </c>
      <c r="JJ26" s="8" t="s">
        <v>7993</v>
      </c>
      <c r="AYZ26" s="8" t="s">
        <v>5177</v>
      </c>
      <c r="BCR26" s="8" t="s">
        <v>6648</v>
      </c>
      <c r="BEN26" s="8" t="s">
        <v>4216</v>
      </c>
    </row>
    <row r="27" spans="1:424 1352:1896 2120:2456">
      <c r="A27" s="8" t="s">
        <v>1424</v>
      </c>
      <c r="B27" s="10" t="s">
        <v>7994</v>
      </c>
      <c r="C27" s="8">
        <v>268.00000000011642</v>
      </c>
      <c r="D27" s="15">
        <v>8.6061111110031323</v>
      </c>
      <c r="JY27" s="8" t="s">
        <v>7994</v>
      </c>
      <c r="AYZ27" s="8" t="s">
        <v>5178</v>
      </c>
      <c r="BAV27" s="8" t="s">
        <v>5178</v>
      </c>
      <c r="BEN27" s="8" t="s">
        <v>4597</v>
      </c>
      <c r="BGJ27" s="8" t="s">
        <v>6649</v>
      </c>
    </row>
    <row r="28" spans="1:424 1352:1896 2120:2456">
      <c r="A28" s="8" t="s">
        <v>1424</v>
      </c>
      <c r="B28" s="10" t="s">
        <v>7995</v>
      </c>
      <c r="C28" s="8">
        <v>292.00000000011642</v>
      </c>
      <c r="D28" s="15">
        <v>17.636666666716497</v>
      </c>
      <c r="LF28" s="8" t="s">
        <v>7995</v>
      </c>
      <c r="BAV28" s="8" t="s">
        <v>5179</v>
      </c>
      <c r="BCR28" s="8" t="s">
        <v>5179</v>
      </c>
      <c r="BEN28" s="8" t="s">
        <v>4598</v>
      </c>
      <c r="BGJ28" s="8" t="s">
        <v>4217</v>
      </c>
      <c r="BKB28" s="8" t="s">
        <v>183</v>
      </c>
      <c r="BLX28" s="8" t="s">
        <v>6650</v>
      </c>
    </row>
    <row r="29" spans="1:424 1352:1896 2120:2456">
      <c r="A29" s="8" t="s">
        <v>1424</v>
      </c>
      <c r="B29" s="10" t="s">
        <v>7996</v>
      </c>
      <c r="C29" s="8">
        <v>313.63666666683275</v>
      </c>
      <c r="D29" s="15">
        <v>26.454999999891452</v>
      </c>
      <c r="MJ29" s="8" t="s">
        <v>7996</v>
      </c>
      <c r="BAV29" s="8" t="s">
        <v>5180</v>
      </c>
      <c r="BCR29" s="8" t="s">
        <v>5180</v>
      </c>
      <c r="BKB29" s="8" t="s">
        <v>4599</v>
      </c>
      <c r="BLX29" s="8" t="s">
        <v>4218</v>
      </c>
      <c r="BRI29" s="8" t="s">
        <v>184</v>
      </c>
      <c r="CCN29" s="8" t="s">
        <v>6651</v>
      </c>
    </row>
    <row r="30" spans="1:424 1352:1896 2120:2456">
      <c r="A30" s="8" t="s">
        <v>1424</v>
      </c>
      <c r="B30" s="10" t="s">
        <v>7997</v>
      </c>
      <c r="C30" s="8">
        <v>344.09166666667443</v>
      </c>
      <c r="D30" s="15">
        <v>17.636666666607628</v>
      </c>
      <c r="NF30" s="8" t="s">
        <v>7997</v>
      </c>
      <c r="BGJ30" s="8" t="s">
        <v>5181</v>
      </c>
      <c r="BIF30" s="8" t="s">
        <v>5181</v>
      </c>
      <c r="BRK30" s="8" t="s">
        <v>185</v>
      </c>
      <c r="BRL30" s="8" t="s">
        <v>4600</v>
      </c>
      <c r="BTH30" s="8" t="s">
        <v>4219</v>
      </c>
      <c r="CCN30" s="8" t="s">
        <v>6652</v>
      </c>
    </row>
    <row r="31" spans="1:424 1352:1896 2120:2456">
      <c r="A31" s="8" t="s">
        <v>1424</v>
      </c>
      <c r="B31" s="10" t="s">
        <v>7998</v>
      </c>
      <c r="C31" s="8">
        <v>362.72833333339076</v>
      </c>
      <c r="D31" s="15">
        <v>17.636666666657248</v>
      </c>
      <c r="NX31" s="19" t="s">
        <v>7998</v>
      </c>
      <c r="AYZ31" s="8" t="s">
        <v>5178</v>
      </c>
      <c r="BKB31" s="8" t="s">
        <v>5182</v>
      </c>
      <c r="BLX31" s="8" t="s">
        <v>5182</v>
      </c>
      <c r="BTX31" s="8" t="s">
        <v>186</v>
      </c>
      <c r="CEJ31" s="8" t="s">
        <v>6653</v>
      </c>
      <c r="CNP31" s="8" t="s">
        <v>4601</v>
      </c>
      <c r="CPL31" s="8" t="s">
        <v>4220</v>
      </c>
    </row>
    <row r="32" spans="1:424 1352:1896 2120:2456">
      <c r="A32" s="8" t="s">
        <v>1424</v>
      </c>
      <c r="B32" s="10" t="s">
        <v>7999</v>
      </c>
      <c r="C32" s="8">
        <v>381.3650000001071</v>
      </c>
      <c r="D32" s="15">
        <v>34.423333333330071</v>
      </c>
      <c r="PH32" s="8" t="s">
        <v>7999</v>
      </c>
      <c r="AYZ32" s="8" t="s">
        <v>844</v>
      </c>
      <c r="BAV32" s="8" t="s">
        <v>5179</v>
      </c>
      <c r="BKB32" s="8" t="s">
        <v>183</v>
      </c>
      <c r="BNT32" s="8" t="s">
        <v>5183</v>
      </c>
      <c r="BPP32" s="8" t="s">
        <v>5183</v>
      </c>
      <c r="BTH32" s="8" t="s">
        <v>187</v>
      </c>
      <c r="CGF32" s="8" t="s">
        <v>6654</v>
      </c>
      <c r="CNP32" s="8" t="s">
        <v>4602</v>
      </c>
      <c r="CPL32" s="8" t="s">
        <v>4221</v>
      </c>
    </row>
    <row r="33" spans="1:1016 1064:2036 2067:3032 3080:3944 4328:4424 7288:7307">
      <c r="A33" s="8" t="s">
        <v>1424</v>
      </c>
      <c r="B33" s="10" t="s">
        <v>8000</v>
      </c>
      <c r="C33" s="8">
        <v>416.78833333344664</v>
      </c>
      <c r="D33" s="15">
        <v>34.42333333333633</v>
      </c>
      <c r="QQ33" s="8" t="s">
        <v>8000</v>
      </c>
      <c r="AYZ33" s="8" t="s">
        <v>183</v>
      </c>
      <c r="BAV33" s="8" t="s">
        <v>5180</v>
      </c>
      <c r="BIF33" s="8" t="s">
        <v>845</v>
      </c>
      <c r="BKB33" s="8" t="s">
        <v>845</v>
      </c>
      <c r="BRI33" s="8" t="s">
        <v>184</v>
      </c>
      <c r="BTH33" s="8" t="s">
        <v>5184</v>
      </c>
      <c r="BVD33" s="8" t="s">
        <v>5184</v>
      </c>
      <c r="BWR33" s="8" t="s">
        <v>188</v>
      </c>
      <c r="CPL33" s="8" t="s">
        <v>4603</v>
      </c>
      <c r="CRH33" s="8" t="s">
        <v>4222</v>
      </c>
      <c r="CWV33" s="8" t="s">
        <v>6655</v>
      </c>
    </row>
    <row r="34" spans="1:1016 1064:2036 2067:3032 3080:3944 4328:4424 7288:7307">
      <c r="A34" s="8" t="s">
        <v>1424</v>
      </c>
      <c r="B34" s="10" t="s">
        <v>8001</v>
      </c>
      <c r="C34" s="8">
        <v>452.21166666678619</v>
      </c>
      <c r="D34" s="15">
        <v>34.423333333342597</v>
      </c>
      <c r="SA34" s="8" t="s">
        <v>8001</v>
      </c>
      <c r="BAL34" s="8" t="s">
        <v>6254</v>
      </c>
      <c r="BCH34" s="8" t="s">
        <v>5875</v>
      </c>
      <c r="BCO34" s="8" t="s">
        <v>184</v>
      </c>
      <c r="BCR34" s="8" t="s">
        <v>846</v>
      </c>
      <c r="BEN34" s="8" t="s">
        <v>184</v>
      </c>
      <c r="BFZ34" s="8" t="s">
        <v>5814</v>
      </c>
      <c r="BKB34" s="8" t="s">
        <v>184</v>
      </c>
      <c r="BPM34" s="8" t="s">
        <v>846</v>
      </c>
      <c r="BRI34" s="8" t="s">
        <v>846</v>
      </c>
      <c r="BRK34" s="8" t="s">
        <v>185</v>
      </c>
      <c r="BWZ34" s="8" t="s">
        <v>189</v>
      </c>
      <c r="CJX34" s="8" t="s">
        <v>5185</v>
      </c>
      <c r="CLT34" s="8" t="s">
        <v>5185</v>
      </c>
      <c r="CRH34" s="8" t="s">
        <v>4604</v>
      </c>
      <c r="CTD34" s="8" t="s">
        <v>4223</v>
      </c>
      <c r="DCJ34" s="8" t="s">
        <v>6656</v>
      </c>
    </row>
    <row r="35" spans="1:1016 1064:2036 2067:3032 3080:3944 4328:4424 7288:7307">
      <c r="A35" s="8" t="s">
        <v>1424</v>
      </c>
      <c r="B35" s="10" t="s">
        <v>8002</v>
      </c>
      <c r="C35" s="8">
        <v>490.63500000012573</v>
      </c>
      <c r="D35" s="15">
        <v>8.8183333332510667</v>
      </c>
      <c r="SM35" s="8" t="s">
        <v>8002</v>
      </c>
      <c r="AYZ35" s="8" t="s">
        <v>6647</v>
      </c>
      <c r="BAV35" s="8" t="s">
        <v>6255</v>
      </c>
      <c r="BCR35" s="8" t="s">
        <v>5876</v>
      </c>
      <c r="BGJ35" s="8" t="s">
        <v>5181</v>
      </c>
      <c r="BLU35" s="8" t="s">
        <v>185</v>
      </c>
      <c r="BPO35" s="8" t="s">
        <v>847</v>
      </c>
      <c r="BRI35" s="8" t="s">
        <v>847</v>
      </c>
      <c r="BRK35" s="8" t="s">
        <v>847</v>
      </c>
      <c r="BRZ35" s="8" t="s">
        <v>185</v>
      </c>
      <c r="BTX35" s="8" t="s">
        <v>186</v>
      </c>
      <c r="CBD35" s="8" t="s">
        <v>190</v>
      </c>
      <c r="CJX35" s="8" t="s">
        <v>5186</v>
      </c>
      <c r="CLT35" s="8" t="s">
        <v>5186</v>
      </c>
      <c r="DEF35" s="8" t="s">
        <v>6657</v>
      </c>
      <c r="DHX35" s="8" t="s">
        <v>4605</v>
      </c>
      <c r="DJT35" s="8" t="s">
        <v>4224</v>
      </c>
    </row>
    <row r="36" spans="1:1016 1064:2036 2067:3032 3080:3944 4328:4424 7288:7307">
      <c r="A36" s="8" t="s">
        <v>1424</v>
      </c>
      <c r="B36" s="10" t="s">
        <v>8003</v>
      </c>
      <c r="C36" s="8">
        <v>500.45333333336748</v>
      </c>
      <c r="D36" s="15">
        <v>34.423333333257332</v>
      </c>
      <c r="TW36" s="8" t="s">
        <v>8003</v>
      </c>
      <c r="BCR36" s="8" t="s">
        <v>6648</v>
      </c>
      <c r="BEN36" s="8" t="s">
        <v>6256</v>
      </c>
      <c r="BGJ36" s="8" t="s">
        <v>5877</v>
      </c>
      <c r="BKB36" s="8" t="s">
        <v>5182</v>
      </c>
      <c r="BLW36" s="8" t="s">
        <v>186</v>
      </c>
      <c r="BMN36" s="8" t="s">
        <v>186</v>
      </c>
      <c r="BNS36" s="8" t="s">
        <v>848</v>
      </c>
      <c r="BRK36" s="8" t="s">
        <v>186</v>
      </c>
      <c r="BSB36" s="8" t="s">
        <v>848</v>
      </c>
      <c r="BTH36" s="8" t="s">
        <v>187</v>
      </c>
      <c r="BTX36" s="8" t="s">
        <v>848</v>
      </c>
      <c r="CCI36" s="8" t="s">
        <v>191</v>
      </c>
      <c r="CLT36" s="8" t="s">
        <v>5187</v>
      </c>
      <c r="CNP36" s="8" t="s">
        <v>5187</v>
      </c>
      <c r="DLP36" s="8" t="s">
        <v>6658</v>
      </c>
      <c r="DNL36" s="8" t="s">
        <v>4606</v>
      </c>
      <c r="DPH36" s="8" t="s">
        <v>4225</v>
      </c>
    </row>
    <row r="37" spans="1:1016 1064:2036 2067:3032 3080:3944 4328:4424 7288:7307">
      <c r="A37" s="8" t="s">
        <v>1424</v>
      </c>
      <c r="B37" s="10" t="s">
        <v>8004</v>
      </c>
      <c r="C37" s="8">
        <v>540</v>
      </c>
      <c r="D37" s="15">
        <v>17.211666666786186</v>
      </c>
      <c r="US37" s="8" t="s">
        <v>8004</v>
      </c>
      <c r="BGJ37" s="8" t="s">
        <v>6649</v>
      </c>
      <c r="BIF37" s="8" t="s">
        <v>6257</v>
      </c>
      <c r="BKB37" s="8" t="s">
        <v>5878</v>
      </c>
      <c r="BNT37" s="8" t="s">
        <v>5183</v>
      </c>
      <c r="BOJ37" s="8" t="s">
        <v>187</v>
      </c>
      <c r="BRL37" s="8" t="s">
        <v>849</v>
      </c>
      <c r="BTH37" s="8" t="s">
        <v>849</v>
      </c>
      <c r="BTX37" s="8" t="s">
        <v>187</v>
      </c>
      <c r="BVT37" s="8" t="s">
        <v>849</v>
      </c>
      <c r="BWK37" s="8" t="s">
        <v>187</v>
      </c>
      <c r="BWR37" s="8" t="s">
        <v>188</v>
      </c>
      <c r="CJX37" s="8" t="s">
        <v>192</v>
      </c>
      <c r="CNP37" s="8" t="s">
        <v>5188</v>
      </c>
      <c r="CPL37" s="8" t="s">
        <v>5188</v>
      </c>
      <c r="DPH37" s="8" t="s">
        <v>4607</v>
      </c>
      <c r="DRD37" s="8" t="s">
        <v>4226</v>
      </c>
      <c r="DYN37" s="8" t="s">
        <v>6659</v>
      </c>
    </row>
    <row r="38" spans="1:1016 1064:2036 2067:3032 3080:3944 4328:4424 7288:7307">
      <c r="A38" s="8" t="s">
        <v>1424</v>
      </c>
      <c r="B38" s="10" t="s">
        <v>8005</v>
      </c>
      <c r="C38" s="8">
        <v>829.57666666677687</v>
      </c>
      <c r="D38" s="15">
        <v>34.423333333333439</v>
      </c>
      <c r="AGN38" s="8" t="s">
        <v>8005</v>
      </c>
      <c r="BLX38" s="8" t="s">
        <v>6650</v>
      </c>
      <c r="BNT38" s="8" t="s">
        <v>6258</v>
      </c>
      <c r="BPH38" s="8" t="s">
        <v>188</v>
      </c>
      <c r="BPP38" s="8" t="s">
        <v>5846</v>
      </c>
      <c r="BTH38" s="8" t="s">
        <v>5184</v>
      </c>
      <c r="BUV38" s="8" t="s">
        <v>850</v>
      </c>
      <c r="BWR38" s="8" t="s">
        <v>850</v>
      </c>
      <c r="BWZ38" s="8" t="s">
        <v>189</v>
      </c>
      <c r="CWV38" s="8" t="s">
        <v>193</v>
      </c>
      <c r="DEF38" s="8" t="s">
        <v>5189</v>
      </c>
      <c r="DGB38" s="8" t="s">
        <v>5189</v>
      </c>
      <c r="EAJ38" s="8" t="s">
        <v>6660</v>
      </c>
      <c r="EJP38" s="8" t="s">
        <v>4608</v>
      </c>
      <c r="ELL38" s="8" t="s">
        <v>4227</v>
      </c>
    </row>
    <row r="39" spans="1:1016 1064:2036 2067:3032 3080:3944 4328:4424 7288:7307">
      <c r="A39" s="8" t="s">
        <v>1424</v>
      </c>
      <c r="B39" s="10" t="s">
        <v>8006</v>
      </c>
      <c r="C39" s="8">
        <v>877.57666666677687</v>
      </c>
      <c r="D39" s="15">
        <v>34.423333333333439</v>
      </c>
      <c r="AIJ39" s="8" t="s">
        <v>8006</v>
      </c>
      <c r="BRD39" s="8" t="s">
        <v>189</v>
      </c>
      <c r="BVD39" s="8" t="s">
        <v>851</v>
      </c>
      <c r="BWR39" s="8" t="s">
        <v>851</v>
      </c>
      <c r="BWZ39" s="8" t="s">
        <v>851</v>
      </c>
      <c r="CBD39" s="8" t="s">
        <v>190</v>
      </c>
      <c r="CCN39" s="8" t="s">
        <v>6651</v>
      </c>
      <c r="CEJ39" s="8" t="s">
        <v>6259</v>
      </c>
      <c r="CGF39" s="8" t="s">
        <v>5879</v>
      </c>
      <c r="CJX39" s="8" t="s">
        <v>5185</v>
      </c>
      <c r="DJT39" s="8" t="s">
        <v>5190</v>
      </c>
      <c r="DLP39" s="8" t="s">
        <v>5190</v>
      </c>
      <c r="ELL39" s="8" t="s">
        <v>4609</v>
      </c>
      <c r="ELO39" s="8" t="s">
        <v>194</v>
      </c>
      <c r="ENH39" s="8" t="s">
        <v>4228</v>
      </c>
      <c r="FJL39" s="8" t="s">
        <v>7142</v>
      </c>
    </row>
    <row r="40" spans="1:1016 1064:2036 2067:3032 3080:3944 4328:4424 7288:7307">
      <c r="A40" s="8" t="s">
        <v>1424</v>
      </c>
      <c r="B40" s="10" t="s">
        <v>8007</v>
      </c>
      <c r="C40" s="8">
        <v>877.57666666677687</v>
      </c>
      <c r="D40" s="15">
        <v>34.423333333333439</v>
      </c>
      <c r="AIJ40" s="8" t="s">
        <v>8007</v>
      </c>
      <c r="BRL40" s="8" t="s">
        <v>190</v>
      </c>
      <c r="BTH40" s="8" t="s">
        <v>852</v>
      </c>
      <c r="BTT40" s="8" t="s">
        <v>190</v>
      </c>
      <c r="BWZ40" s="8" t="s">
        <v>190</v>
      </c>
      <c r="BZH40" s="8" t="s">
        <v>852</v>
      </c>
      <c r="CBD40" s="8" t="s">
        <v>852</v>
      </c>
      <c r="CCI40" s="8" t="s">
        <v>191</v>
      </c>
      <c r="CCN40" s="8" t="s">
        <v>6652</v>
      </c>
      <c r="CEJ40" s="8" t="s">
        <v>6260</v>
      </c>
      <c r="CGF40" s="8" t="s">
        <v>5880</v>
      </c>
      <c r="CJX40" s="8" t="s">
        <v>5186</v>
      </c>
      <c r="DLP40" s="8" t="s">
        <v>5191</v>
      </c>
      <c r="DNL40" s="8" t="s">
        <v>5191</v>
      </c>
      <c r="ESV40" s="8" t="s">
        <v>4610</v>
      </c>
      <c r="EUR40" s="8" t="s">
        <v>4229</v>
      </c>
      <c r="FND40" s="8" t="s">
        <v>7143</v>
      </c>
    </row>
    <row r="41" spans="1:1016 1064:2036 2067:3032 3080:3944 4328:4424 7288:7307">
      <c r="A41" s="8" t="s">
        <v>1424</v>
      </c>
      <c r="B41" s="10" t="s">
        <v>8008</v>
      </c>
      <c r="C41" s="8">
        <v>912</v>
      </c>
      <c r="D41" s="15">
        <v>17.211666666786186</v>
      </c>
      <c r="AJA41" s="8" t="s">
        <v>8008</v>
      </c>
      <c r="BVP41" s="8" t="s">
        <v>191</v>
      </c>
      <c r="BYQ41" s="8" t="s">
        <v>191</v>
      </c>
      <c r="BZH41" s="8" t="s">
        <v>853</v>
      </c>
      <c r="CAM41" s="8" t="s">
        <v>853</v>
      </c>
      <c r="CBD41" s="8" t="s">
        <v>191</v>
      </c>
      <c r="CCI41" s="8" t="s">
        <v>853</v>
      </c>
      <c r="CEJ41" s="8" t="s">
        <v>6653</v>
      </c>
      <c r="CGF41" s="8" t="s">
        <v>6261</v>
      </c>
      <c r="CIB41" s="8" t="s">
        <v>5881</v>
      </c>
      <c r="CJX41" s="8" t="s">
        <v>192</v>
      </c>
      <c r="CLT41" s="8" t="s">
        <v>5187</v>
      </c>
      <c r="DSZ41" s="8" t="s">
        <v>5192</v>
      </c>
      <c r="DUV41" s="8" t="s">
        <v>5192</v>
      </c>
    </row>
    <row r="42" spans="1:1016 1064:2036 2067:3032 3080:3944 4328:4424 7288:7307">
      <c r="A42" s="8" t="s">
        <v>1424</v>
      </c>
      <c r="B42" s="10" t="s">
        <v>8009</v>
      </c>
      <c r="C42" s="8">
        <v>939.34611111099366</v>
      </c>
      <c r="D42" s="15">
        <v>20.653888888888801</v>
      </c>
      <c r="AKF42" s="8" t="s">
        <v>8009</v>
      </c>
      <c r="BUY42" s="8" t="s">
        <v>854</v>
      </c>
      <c r="BVD42" s="8" t="s">
        <v>192</v>
      </c>
      <c r="BWU42" s="8" t="s">
        <v>192</v>
      </c>
      <c r="CCI42" s="8" t="s">
        <v>192</v>
      </c>
      <c r="CGF42" s="8" t="s">
        <v>6654</v>
      </c>
      <c r="CIB42" s="8" t="s">
        <v>6262</v>
      </c>
      <c r="CJX42" s="8" t="s">
        <v>5847</v>
      </c>
      <c r="CNP42" s="8" t="s">
        <v>5188</v>
      </c>
      <c r="CWV42" s="8" t="s">
        <v>193</v>
      </c>
      <c r="EFX42" s="8" t="s">
        <v>5193</v>
      </c>
      <c r="EHT42" s="8" t="s">
        <v>5193</v>
      </c>
    </row>
    <row r="43" spans="1:1016 1064:2036 2067:3032 3080:3944 4328:4424 7288:7307">
      <c r="A43" s="8" t="s">
        <v>1424</v>
      </c>
      <c r="B43" s="10" t="s">
        <v>8010</v>
      </c>
      <c r="C43" s="8">
        <v>951.3938888887642</v>
      </c>
      <c r="D43" s="15">
        <v>8.6061111111110407</v>
      </c>
      <c r="AKF43" s="8" t="s">
        <v>8010</v>
      </c>
      <c r="BWZ43" s="8" t="s">
        <v>855</v>
      </c>
      <c r="CEJ43" s="8" t="s">
        <v>193</v>
      </c>
      <c r="CJX43" s="8" t="s">
        <v>193</v>
      </c>
      <c r="CUZ43" s="8" t="s">
        <v>855</v>
      </c>
      <c r="CWV43" s="8" t="s">
        <v>6655</v>
      </c>
      <c r="CYR43" s="8" t="s">
        <v>6263</v>
      </c>
      <c r="DAN43" s="8" t="s">
        <v>5882</v>
      </c>
      <c r="DEF43" s="8" t="s">
        <v>5189</v>
      </c>
      <c r="EHT43" s="8" t="s">
        <v>5194</v>
      </c>
      <c r="EJP43" s="8" t="s">
        <v>5194</v>
      </c>
      <c r="ELO43" s="8" t="s">
        <v>194</v>
      </c>
    </row>
    <row r="44" spans="1:1016 1064:2036 2067:3032 3080:3944 4328:4424 7288:7307">
      <c r="A44" s="8" t="s">
        <v>1424</v>
      </c>
      <c r="B44" s="10" t="s">
        <v>8011</v>
      </c>
      <c r="C44" s="8">
        <v>990.78833333321381</v>
      </c>
      <c r="D44" s="15">
        <v>17.211666666666719</v>
      </c>
      <c r="AMB44" s="8" t="s">
        <v>8011</v>
      </c>
      <c r="BIF44" s="8" t="s">
        <v>856</v>
      </c>
      <c r="BII44" s="8" t="s">
        <v>194</v>
      </c>
      <c r="CRH44" s="8" t="s">
        <v>194</v>
      </c>
      <c r="CWV44" s="8" t="s">
        <v>194</v>
      </c>
      <c r="DCJ44" s="8" t="s">
        <v>6656</v>
      </c>
      <c r="DEF44" s="8" t="s">
        <v>6264</v>
      </c>
      <c r="DGB44" s="8" t="s">
        <v>5883</v>
      </c>
      <c r="DJT44" s="8" t="s">
        <v>5190</v>
      </c>
      <c r="EJS44" s="8" t="s">
        <v>856</v>
      </c>
      <c r="ELO44" s="8" t="s">
        <v>856</v>
      </c>
    </row>
    <row r="45" spans="1:1016 1064:2036 2067:3032 3080:3944 4328:4424 7288:7307">
      <c r="A45" s="8" t="s">
        <v>1424</v>
      </c>
      <c r="B45" s="10" t="s">
        <v>8012</v>
      </c>
      <c r="C45" s="8">
        <v>1038.7883333332138</v>
      </c>
      <c r="D45" s="15">
        <v>17.211666666666719</v>
      </c>
      <c r="ANX45" s="8" t="s">
        <v>8012</v>
      </c>
      <c r="AYZ45" s="8" t="s">
        <v>184</v>
      </c>
      <c r="BAV45" s="8" t="s">
        <v>184</v>
      </c>
      <c r="BPQ45" s="8" t="s">
        <v>195</v>
      </c>
      <c r="BQO45" s="8" t="s">
        <v>195</v>
      </c>
      <c r="BRM45" s="8" t="s">
        <v>1391</v>
      </c>
      <c r="DEF45" s="8" t="s">
        <v>6657</v>
      </c>
      <c r="DGB45" s="8" t="s">
        <v>6265</v>
      </c>
      <c r="DHX45" s="8" t="s">
        <v>5884</v>
      </c>
      <c r="DLP45" s="8" t="s">
        <v>5191</v>
      </c>
      <c r="EGA45" s="8" t="s">
        <v>195</v>
      </c>
      <c r="ELO45" s="8" t="s">
        <v>195</v>
      </c>
      <c r="JTH45" s="8" t="s">
        <v>195</v>
      </c>
      <c r="JUA45" s="8" t="s">
        <v>1391</v>
      </c>
    </row>
    <row r="46" spans="1:1016 1064:2036 2067:3032 3080:3944 4328:4424 7288:7307">
      <c r="A46" s="8" t="s">
        <v>1424</v>
      </c>
      <c r="B46" s="10" t="s">
        <v>8013</v>
      </c>
      <c r="C46" s="8">
        <v>1086.7883333332138</v>
      </c>
      <c r="D46" s="15">
        <v>17.211666666666719</v>
      </c>
      <c r="APT46" s="8" t="s">
        <v>8013</v>
      </c>
      <c r="AYW46" s="8" t="s">
        <v>1549</v>
      </c>
      <c r="BCO46" s="8" t="s">
        <v>185</v>
      </c>
      <c r="BEK46" s="8" t="s">
        <v>185</v>
      </c>
      <c r="BGG46" s="8" t="s">
        <v>185</v>
      </c>
      <c r="BIC46" s="8" t="s">
        <v>185</v>
      </c>
      <c r="DLP46" s="8" t="s">
        <v>6658</v>
      </c>
      <c r="DNL46" s="8" t="s">
        <v>6266</v>
      </c>
      <c r="DPH46" s="8" t="s">
        <v>5885</v>
      </c>
      <c r="DSZ46" s="8" t="s">
        <v>5192</v>
      </c>
    </row>
    <row r="47" spans="1:1016 1064:2036 2067:3032 3080:3944 4328:4424 7288:7307">
      <c r="A47" s="8" t="s">
        <v>1424</v>
      </c>
      <c r="B47" s="10" t="s">
        <v>8014</v>
      </c>
      <c r="C47" s="8">
        <v>1086.7883333332138</v>
      </c>
      <c r="D47" s="15">
        <v>17.211666666666719</v>
      </c>
      <c r="APT47" s="8" t="s">
        <v>8014</v>
      </c>
      <c r="AYY47" s="8" t="s">
        <v>1550</v>
      </c>
      <c r="BCQ47" s="8" t="s">
        <v>186</v>
      </c>
      <c r="BEM47" s="8" t="s">
        <v>186</v>
      </c>
      <c r="BGI47" s="8" t="s">
        <v>186</v>
      </c>
      <c r="BIE47" s="8" t="s">
        <v>186</v>
      </c>
      <c r="DYN47" s="8" t="s">
        <v>6659</v>
      </c>
      <c r="EAJ47" s="8" t="s">
        <v>6267</v>
      </c>
      <c r="ECF47" s="8" t="s">
        <v>5886</v>
      </c>
      <c r="EFX47" s="8" t="s">
        <v>5193</v>
      </c>
    </row>
    <row r="48" spans="1:1016 1064:2036 2067:3032 3080:3944 4328:4424 7288:7307">
      <c r="A48" s="8" t="s">
        <v>1424</v>
      </c>
      <c r="B48" s="10" t="s">
        <v>8015</v>
      </c>
      <c r="C48" s="8">
        <v>1134.7883333332138</v>
      </c>
      <c r="D48" s="15">
        <v>17.211666666666719</v>
      </c>
      <c r="ARP48" s="8" t="s">
        <v>8015</v>
      </c>
      <c r="AYZ48" s="8" t="s">
        <v>1999</v>
      </c>
      <c r="BAV48" s="8" t="s">
        <v>1551</v>
      </c>
      <c r="BEN48" s="8" t="s">
        <v>188</v>
      </c>
      <c r="BGJ48" s="8" t="s">
        <v>188</v>
      </c>
      <c r="BIF48" s="8" t="s">
        <v>188</v>
      </c>
      <c r="BKB48" s="8" t="s">
        <v>188</v>
      </c>
      <c r="EAJ48" s="8" t="s">
        <v>6660</v>
      </c>
      <c r="ECF48" s="8" t="s">
        <v>6268</v>
      </c>
      <c r="EEB48" s="8" t="s">
        <v>5887</v>
      </c>
      <c r="EHT48" s="8" t="s">
        <v>5194</v>
      </c>
    </row>
    <row r="49" spans="1:236 1208:2041 2072:2456 3179:3515">
      <c r="A49" s="8" t="s">
        <v>1424</v>
      </c>
      <c r="B49" s="10" t="s">
        <v>8016</v>
      </c>
      <c r="C49" s="8">
        <v>1165.5766666667769</v>
      </c>
      <c r="D49" s="15">
        <v>34.423333333333439</v>
      </c>
      <c r="ATL49" s="8" t="s">
        <v>8016</v>
      </c>
      <c r="AZP49" s="8" t="s">
        <v>2000</v>
      </c>
      <c r="BBL49" s="8" t="s">
        <v>1552</v>
      </c>
      <c r="BFD49" s="8" t="s">
        <v>187</v>
      </c>
      <c r="BGZ49" s="8" t="s">
        <v>187</v>
      </c>
      <c r="BIV49" s="8" t="s">
        <v>187</v>
      </c>
      <c r="BKR49" s="8" t="s">
        <v>187</v>
      </c>
    </row>
    <row r="50" spans="1:236 1208:2041 2072:2456 3179:3515">
      <c r="A50" s="8" t="s">
        <v>1424</v>
      </c>
      <c r="B50" s="10" t="s">
        <v>8017</v>
      </c>
      <c r="C50" s="8">
        <v>1165.5766666667769</v>
      </c>
      <c r="D50" s="15">
        <v>34.423333333333439</v>
      </c>
      <c r="ATL50" s="8" t="s">
        <v>8017</v>
      </c>
      <c r="BAV50" s="8" t="s">
        <v>184</v>
      </c>
      <c r="BCJ50" s="8" t="s">
        <v>2001</v>
      </c>
      <c r="BCR50" s="8" t="s">
        <v>184</v>
      </c>
      <c r="BEF50" s="8" t="s">
        <v>1553</v>
      </c>
      <c r="BHX50" s="8" t="s">
        <v>189</v>
      </c>
      <c r="BJT50" s="8" t="s">
        <v>189</v>
      </c>
      <c r="BLP50" s="8" t="s">
        <v>189</v>
      </c>
      <c r="BNL50" s="8" t="s">
        <v>189</v>
      </c>
    </row>
    <row r="51" spans="1:236 1208:2041 2072:2456 3179:3515">
      <c r="A51" s="8" t="s">
        <v>1424</v>
      </c>
      <c r="B51" s="10" t="s">
        <v>8018</v>
      </c>
      <c r="C51" s="8">
        <v>1326.7883333332138</v>
      </c>
      <c r="D51" s="15">
        <v>17.211666666666719</v>
      </c>
      <c r="AYZ51" s="8" t="s">
        <v>8018</v>
      </c>
      <c r="BCR51" s="8" t="s">
        <v>2002</v>
      </c>
      <c r="BEN51" s="8" t="s">
        <v>1554</v>
      </c>
      <c r="BIC51" s="8" t="s">
        <v>185</v>
      </c>
      <c r="BIF51" s="8" t="s">
        <v>190</v>
      </c>
      <c r="BJY51" s="8" t="s">
        <v>185</v>
      </c>
      <c r="BKB51" s="8" t="s">
        <v>190</v>
      </c>
      <c r="BLX51" s="8" t="s">
        <v>190</v>
      </c>
      <c r="BNT51" s="8" t="s">
        <v>190</v>
      </c>
    </row>
    <row r="52" spans="1:236 1208:2041 2072:2456 3179:3515">
      <c r="A52" s="8" t="s">
        <v>1424</v>
      </c>
      <c r="B52" s="10" t="s">
        <v>8019</v>
      </c>
      <c r="C52" s="8">
        <v>1353.5766666666605</v>
      </c>
      <c r="D52" s="15">
        <v>17.211666666779927</v>
      </c>
      <c r="BAA52" s="8" t="s">
        <v>8019</v>
      </c>
      <c r="BEN52" s="8" t="s">
        <v>2003</v>
      </c>
      <c r="BGJ52" s="8" t="s">
        <v>1555</v>
      </c>
      <c r="BIE52" s="8" t="s">
        <v>186</v>
      </c>
      <c r="BKA52" s="8" t="s">
        <v>186</v>
      </c>
      <c r="BKB52" s="8" t="s">
        <v>1447</v>
      </c>
      <c r="BLX52" s="8" t="s">
        <v>1447</v>
      </c>
      <c r="BNT52" s="8" t="s">
        <v>1447</v>
      </c>
      <c r="BPP52" s="8" t="s">
        <v>1447</v>
      </c>
    </row>
    <row r="53" spans="1:236 1208:2041 2072:2456 3179:3515">
      <c r="A53" s="8" t="s">
        <v>1424</v>
      </c>
      <c r="B53" s="10" t="s">
        <v>8020</v>
      </c>
      <c r="C53" s="8">
        <v>1374.7883333332138</v>
      </c>
      <c r="D53" s="15">
        <v>17.211666666666719</v>
      </c>
      <c r="BAV53" s="8" t="s">
        <v>8020</v>
      </c>
      <c r="BGV53" s="8" t="s">
        <v>2004</v>
      </c>
      <c r="BIR53" s="8" t="s">
        <v>1556</v>
      </c>
      <c r="BKB53" s="8" t="s">
        <v>188</v>
      </c>
      <c r="BKR53" s="8" t="s">
        <v>187</v>
      </c>
      <c r="BMJ53" s="8" t="s">
        <v>191</v>
      </c>
      <c r="BMN53" s="8" t="s">
        <v>187</v>
      </c>
      <c r="BOF53" s="8" t="s">
        <v>191</v>
      </c>
      <c r="BQB53" s="8" t="s">
        <v>191</v>
      </c>
      <c r="BRX53" s="8" t="s">
        <v>191</v>
      </c>
    </row>
    <row r="54" spans="1:236 1208:2041 2072:2456 3179:3515">
      <c r="A54" s="8" t="s">
        <v>1424</v>
      </c>
      <c r="B54" s="10" t="s">
        <v>8021</v>
      </c>
      <c r="C54" s="8">
        <v>1374.7883333332138</v>
      </c>
      <c r="D54" s="15">
        <v>17.211666666666719</v>
      </c>
      <c r="BAV54" s="8" t="s">
        <v>8021</v>
      </c>
      <c r="BIA54" s="8" t="s">
        <v>2005</v>
      </c>
      <c r="BJW54" s="8" t="s">
        <v>1557</v>
      </c>
      <c r="BKB54" s="8" t="s">
        <v>188</v>
      </c>
      <c r="BKR54" s="8" t="s">
        <v>187</v>
      </c>
      <c r="BLX54" s="8" t="s">
        <v>188</v>
      </c>
      <c r="BNO54" s="8" t="s">
        <v>192</v>
      </c>
      <c r="BPK54" s="8" t="s">
        <v>192</v>
      </c>
      <c r="BRG54" s="8" t="s">
        <v>192</v>
      </c>
      <c r="BTC54" s="8" t="s">
        <v>192</v>
      </c>
    </row>
    <row r="55" spans="1:236 1208:2041 2072:2456 3179:3515">
      <c r="A55" s="8" t="s">
        <v>1424</v>
      </c>
      <c r="B55" s="10" t="s">
        <v>8022</v>
      </c>
      <c r="C55" s="8">
        <v>1374.7883333332138</v>
      </c>
      <c r="D55" s="15">
        <v>17.211666666666719</v>
      </c>
      <c r="BAV55" s="8" t="s">
        <v>8022</v>
      </c>
      <c r="BIF55" s="8" t="s">
        <v>2006</v>
      </c>
      <c r="BKB55" s="8" t="s">
        <v>1558</v>
      </c>
      <c r="BNL55" s="8" t="s">
        <v>189</v>
      </c>
      <c r="BNT55" s="8" t="s">
        <v>1448</v>
      </c>
      <c r="BPH55" s="8" t="s">
        <v>189</v>
      </c>
      <c r="BPP55" s="8" t="s">
        <v>1448</v>
      </c>
      <c r="BRL55" s="8" t="s">
        <v>1448</v>
      </c>
      <c r="BTH55" s="8" t="s">
        <v>1448</v>
      </c>
    </row>
    <row r="56" spans="1:236 1208:2041 2072:2456 3179:3515">
      <c r="A56" s="8" t="s">
        <v>1424</v>
      </c>
      <c r="B56" s="10" t="s">
        <v>8023</v>
      </c>
      <c r="C56" s="8">
        <v>1422.7877777778776</v>
      </c>
      <c r="D56" s="15">
        <v>17.211666666536658</v>
      </c>
      <c r="BCR56" s="8" t="s">
        <v>8023</v>
      </c>
      <c r="BNT56" s="8" t="s">
        <v>190</v>
      </c>
      <c r="BPP56" s="8" t="s">
        <v>2007</v>
      </c>
      <c r="BRL56" s="8" t="s">
        <v>1559</v>
      </c>
      <c r="BVD56" s="8" t="s">
        <v>193</v>
      </c>
      <c r="BWZ56" s="8" t="s">
        <v>193</v>
      </c>
      <c r="BYV56" s="8" t="s">
        <v>193</v>
      </c>
      <c r="CAR56" s="8" t="s">
        <v>193</v>
      </c>
    </row>
    <row r="57" spans="1:236 1208:2041 2072:2456 3179:3515">
      <c r="A57" s="8" t="s">
        <v>1425</v>
      </c>
      <c r="B57" s="10" t="s">
        <v>8024</v>
      </c>
      <c r="C57" s="8">
        <v>34.158333333441988</v>
      </c>
      <c r="D57" s="15">
        <v>9.183888889026731</v>
      </c>
      <c r="AY57" s="8" t="s">
        <v>8024</v>
      </c>
      <c r="BPP57" s="8" t="s">
        <v>1447</v>
      </c>
      <c r="BRL57" s="8" t="s">
        <v>1447</v>
      </c>
      <c r="BZM57" s="8" t="s">
        <v>2008</v>
      </c>
      <c r="CBI57" s="8" t="s">
        <v>1560</v>
      </c>
      <c r="CFA57" s="8" t="s">
        <v>182</v>
      </c>
      <c r="CGW57" s="8" t="s">
        <v>182</v>
      </c>
      <c r="CIS57" s="8" t="s">
        <v>182</v>
      </c>
      <c r="CKO57" s="8" t="s">
        <v>182</v>
      </c>
    </row>
    <row r="58" spans="1:236 1208:2041 2072:2456 3179:3515">
      <c r="A58" s="8" t="s">
        <v>1425</v>
      </c>
      <c r="B58" s="10" t="s">
        <v>8025</v>
      </c>
      <c r="C58" s="8">
        <v>49.999999999883585</v>
      </c>
      <c r="D58" s="15">
        <v>18.367777777719152</v>
      </c>
      <c r="BX58" s="8" t="s">
        <v>8025</v>
      </c>
      <c r="BRX58" s="8" t="s">
        <v>191</v>
      </c>
      <c r="BTT58" s="8" t="s">
        <v>191</v>
      </c>
      <c r="CCN58" s="8" t="s">
        <v>2009</v>
      </c>
      <c r="CEJ58" s="8" t="s">
        <v>1561</v>
      </c>
      <c r="CIB58" s="8" t="s">
        <v>194</v>
      </c>
      <c r="CJX58" s="8" t="s">
        <v>194</v>
      </c>
      <c r="CLT58" s="8" t="s">
        <v>194</v>
      </c>
      <c r="CNP58" s="8" t="s">
        <v>194</v>
      </c>
    </row>
    <row r="59" spans="1:236 1208:2041 2072:2456 3179:3515">
      <c r="A59" s="8" t="s">
        <v>1425</v>
      </c>
      <c r="B59" s="10" t="s">
        <v>8026</v>
      </c>
      <c r="C59" s="8">
        <v>70.194999999948777</v>
      </c>
      <c r="D59" s="15">
        <v>9.1838888888668002</v>
      </c>
      <c r="CI59" s="8" t="s">
        <v>8026</v>
      </c>
      <c r="BTC59" s="8" t="s">
        <v>192</v>
      </c>
      <c r="BUY59" s="8" t="s">
        <v>192</v>
      </c>
      <c r="DRG59" s="8" t="s">
        <v>2010</v>
      </c>
      <c r="DTC59" s="8" t="s">
        <v>1562</v>
      </c>
      <c r="DWU59" s="8" t="s">
        <v>195</v>
      </c>
      <c r="DYQ59" s="8" t="s">
        <v>195</v>
      </c>
      <c r="EAM59" s="8" t="s">
        <v>195</v>
      </c>
      <c r="ECI59" s="8" t="s">
        <v>195</v>
      </c>
    </row>
    <row r="60" spans="1:236 1208:2041 2072:2456 3179:3515">
      <c r="A60" s="8" t="s">
        <v>1425</v>
      </c>
      <c r="B60" s="10" t="s">
        <v>8027</v>
      </c>
      <c r="C60" s="8">
        <v>84.2216666667955</v>
      </c>
      <c r="D60" s="15">
        <v>18.367777777615096</v>
      </c>
      <c r="DG60" s="8" t="s">
        <v>8027</v>
      </c>
      <c r="BTH60" s="8" t="s">
        <v>1448</v>
      </c>
      <c r="BVD60" s="8" t="s">
        <v>1448</v>
      </c>
    </row>
    <row r="61" spans="1:236 1208:2041 2072:2456 3179:3515">
      <c r="A61" s="8" t="s">
        <v>1425</v>
      </c>
      <c r="B61" s="10" t="s">
        <v>8028</v>
      </c>
      <c r="C61" s="8">
        <v>106.23611111124046</v>
      </c>
      <c r="D61" s="15">
        <v>9.183888889047445</v>
      </c>
      <c r="DS61" s="8" t="s">
        <v>8028</v>
      </c>
      <c r="CAR61" s="8" t="s">
        <v>193</v>
      </c>
      <c r="CCN61" s="8" t="s">
        <v>193</v>
      </c>
    </row>
    <row r="62" spans="1:236 1208:2041 2072:2456 3179:3515">
      <c r="A62" s="8" t="s">
        <v>1425</v>
      </c>
      <c r="B62" s="10" t="s">
        <v>8029</v>
      </c>
      <c r="C62" s="8">
        <v>127.65833333332557</v>
      </c>
      <c r="D62" s="15">
        <v>9.0088888888635914</v>
      </c>
      <c r="EO62" s="8" t="s">
        <v>8029</v>
      </c>
      <c r="CKO62" s="8" t="s">
        <v>182</v>
      </c>
      <c r="CMK62" s="8" t="s">
        <v>182</v>
      </c>
    </row>
    <row r="63" spans="1:236 1208:2041 2072:2456 3179:3515">
      <c r="A63" s="8" t="s">
        <v>1425</v>
      </c>
      <c r="B63" s="10" t="s">
        <v>8030</v>
      </c>
      <c r="C63" s="8">
        <v>150</v>
      </c>
      <c r="D63" s="15">
        <v>36.036111111170612</v>
      </c>
      <c r="GL63" s="8" t="s">
        <v>8030</v>
      </c>
      <c r="CNP63" s="8" t="s">
        <v>194</v>
      </c>
      <c r="CPL63" s="8" t="s">
        <v>194</v>
      </c>
    </row>
    <row r="64" spans="1:236 1208:2041 2072:2456 3179:3515">
      <c r="A64" s="8" t="s">
        <v>1425</v>
      </c>
      <c r="B64" s="10" t="s">
        <v>8031</v>
      </c>
      <c r="C64" s="8">
        <v>192</v>
      </c>
      <c r="D64" s="15">
        <v>36.036111111170612</v>
      </c>
      <c r="IB64" s="8" t="s">
        <v>8031</v>
      </c>
      <c r="ECI64" s="8" t="s">
        <v>195</v>
      </c>
      <c r="EEE64" s="8" t="s">
        <v>195</v>
      </c>
    </row>
    <row r="65" spans="1:949 1448:1544">
      <c r="A65" s="8" t="s">
        <v>1425</v>
      </c>
      <c r="B65" s="10" t="s">
        <v>8032</v>
      </c>
      <c r="C65" s="8">
        <v>241.00000000011642</v>
      </c>
      <c r="D65" s="15">
        <v>36.735000000102602</v>
      </c>
      <c r="JZ65" s="8" t="s">
        <v>8032</v>
      </c>
    </row>
    <row r="66" spans="1:949 1448:1544">
      <c r="A66" s="8" t="s">
        <v>1425</v>
      </c>
      <c r="B66" s="10" t="s">
        <v>8033</v>
      </c>
      <c r="C66" s="8">
        <v>289.00000000011642</v>
      </c>
      <c r="D66" s="15">
        <v>36.735000000102602</v>
      </c>
      <c r="LV66" s="8" t="s">
        <v>8033</v>
      </c>
    </row>
    <row r="67" spans="1:949 1448:1544">
      <c r="A67" s="8" t="s">
        <v>1425</v>
      </c>
      <c r="B67" s="10" t="s">
        <v>8034</v>
      </c>
      <c r="C67" s="8">
        <v>326.73499999986961</v>
      </c>
      <c r="D67" s="15">
        <v>36.734999999855482</v>
      </c>
      <c r="NG67" s="8" t="s">
        <v>8034</v>
      </c>
    </row>
    <row r="68" spans="1:949 1448:1544">
      <c r="A68" s="8" t="s">
        <v>1425</v>
      </c>
      <c r="B68" s="10" t="s">
        <v>8035</v>
      </c>
      <c r="C68" s="8">
        <v>364.46999999997206</v>
      </c>
      <c r="D68" s="15">
        <v>36.036111111142674</v>
      </c>
      <c r="OS68" s="8" t="s">
        <v>8035</v>
      </c>
    </row>
    <row r="69" spans="1:949 1448:1544">
      <c r="A69" s="8" t="s">
        <v>1425</v>
      </c>
      <c r="B69" s="10" t="s">
        <v>8036</v>
      </c>
      <c r="C69" s="8">
        <v>401.50611111125909</v>
      </c>
      <c r="D69" s="15">
        <v>18.01777777789048</v>
      </c>
      <c r="PL69" s="8" t="s">
        <v>8036</v>
      </c>
    </row>
    <row r="70" spans="1:949 1448:1544">
      <c r="A70" s="8" t="s">
        <v>1425</v>
      </c>
      <c r="B70" s="10" t="s">
        <v>8037</v>
      </c>
      <c r="C70" s="8">
        <v>420.52388888876885</v>
      </c>
      <c r="D70" s="15">
        <v>18.017777777622648</v>
      </c>
      <c r="QE70" s="8" t="s">
        <v>8037</v>
      </c>
    </row>
    <row r="71" spans="1:949 1448:1544">
      <c r="A71" s="8" t="s">
        <v>1425</v>
      </c>
      <c r="B71" s="10" t="s">
        <v>8038</v>
      </c>
      <c r="C71" s="8">
        <v>439.54166666662786</v>
      </c>
      <c r="D71" s="15">
        <v>18.017777777703575</v>
      </c>
      <c r="QX71" s="8" t="s">
        <v>8038</v>
      </c>
    </row>
    <row r="72" spans="1:949 1448:1544">
      <c r="A72" s="8" t="s">
        <v>1425</v>
      </c>
      <c r="B72" s="10" t="s">
        <v>8039</v>
      </c>
      <c r="C72" s="8">
        <v>454.00000000011642</v>
      </c>
      <c r="D72" s="15">
        <v>18.01777777785917</v>
      </c>
      <c r="RL72" s="8" t="s">
        <v>8039</v>
      </c>
    </row>
    <row r="73" spans="1:949 1448:1544">
      <c r="A73" s="8" t="s">
        <v>1425</v>
      </c>
      <c r="B73" s="10" t="s">
        <v>8040</v>
      </c>
      <c r="C73" s="8">
        <v>475.99999999988358</v>
      </c>
      <c r="D73" s="15">
        <v>36.036111111054041</v>
      </c>
      <c r="SZ73" s="8" t="s">
        <v>8040</v>
      </c>
    </row>
    <row r="74" spans="1:949 1448:1544">
      <c r="A74" s="8" t="s">
        <v>1425</v>
      </c>
      <c r="B74" s="10" t="s">
        <v>8041</v>
      </c>
      <c r="C74" s="8">
        <v>516</v>
      </c>
      <c r="D74" s="15">
        <v>9.0088888888712972</v>
      </c>
      <c r="TM74" s="8" t="s">
        <v>8041</v>
      </c>
    </row>
    <row r="75" spans="1:949 1448:1544">
      <c r="A75" s="8" t="s">
        <v>1425</v>
      </c>
      <c r="B75" s="10" t="s">
        <v>8042</v>
      </c>
      <c r="C75" s="8">
        <v>528</v>
      </c>
      <c r="D75" s="15">
        <v>9.0088888888712972</v>
      </c>
      <c r="TY75" s="8" t="s">
        <v>8042</v>
      </c>
    </row>
    <row r="76" spans="1:949 1448:1544">
      <c r="A76" s="8" t="s">
        <v>1425</v>
      </c>
      <c r="B76" s="10" t="s">
        <v>8043</v>
      </c>
      <c r="C76" s="8">
        <v>538.00000000011642</v>
      </c>
      <c r="D76" s="15">
        <v>14.414444444584818</v>
      </c>
      <c r="UN76" s="8" t="s">
        <v>8043</v>
      </c>
      <c r="BCR76" s="8" t="s">
        <v>6661</v>
      </c>
    </row>
    <row r="77" spans="1:949 1448:1544">
      <c r="A77" s="8" t="s">
        <v>1425</v>
      </c>
      <c r="B77" s="10" t="s">
        <v>8044</v>
      </c>
      <c r="C77" s="8">
        <v>827.96388888882939</v>
      </c>
      <c r="D77" s="15">
        <v>36.036111111110877</v>
      </c>
      <c r="AGN77" s="8" t="s">
        <v>8044</v>
      </c>
      <c r="BCR77" s="8" t="s">
        <v>6662</v>
      </c>
    </row>
    <row r="78" spans="1:949 1448:1544">
      <c r="A78" s="8" t="s">
        <v>1425</v>
      </c>
      <c r="B78" s="10" t="s">
        <v>8045</v>
      </c>
      <c r="C78" s="8">
        <v>836.97277777770068</v>
      </c>
      <c r="D78" s="15">
        <v>27.027222222222242</v>
      </c>
      <c r="AGN78" s="8" t="s">
        <v>8045</v>
      </c>
      <c r="BDS78" s="8" t="s">
        <v>7144</v>
      </c>
    </row>
    <row r="79" spans="1:949 1448:1544">
      <c r="A79" s="8" t="s">
        <v>1425</v>
      </c>
      <c r="B79" s="10" t="s">
        <v>8046</v>
      </c>
      <c r="C79" s="8">
        <v>866.97666666680016</v>
      </c>
      <c r="D79" s="15">
        <v>36.036111110954799</v>
      </c>
      <c r="AIA79" s="8" t="s">
        <v>8046</v>
      </c>
      <c r="BEN79" s="8" t="s">
        <v>6663</v>
      </c>
    </row>
    <row r="80" spans="1:949 1448:1544">
      <c r="A80" s="8" t="s">
        <v>1425</v>
      </c>
      <c r="B80" s="10" t="s">
        <v>8047</v>
      </c>
      <c r="C80" s="8">
        <v>931.97333333326969</v>
      </c>
      <c r="D80" s="15">
        <v>9.0088888888077108</v>
      </c>
      <c r="AJM80" s="8" t="s">
        <v>8047</v>
      </c>
      <c r="BGJ80" s="8" t="s">
        <v>6664</v>
      </c>
    </row>
    <row r="81" spans="1:1016 1064:2024 2072:2648 3272:3272">
      <c r="A81" s="8" t="s">
        <v>1425</v>
      </c>
      <c r="B81" s="10" t="s">
        <v>8048</v>
      </c>
      <c r="C81" s="8">
        <v>989.98222222225741</v>
      </c>
      <c r="D81" s="15">
        <v>18.017777777777759</v>
      </c>
      <c r="AMB81" s="8" t="s">
        <v>8048</v>
      </c>
      <c r="BIF81" s="8" t="s">
        <v>6665</v>
      </c>
    </row>
    <row r="82" spans="1:1016 1064:2024 2072:2648 3272:3272">
      <c r="A82" s="8" t="s">
        <v>1425</v>
      </c>
      <c r="B82" s="10" t="s">
        <v>8049</v>
      </c>
      <c r="C82" s="8">
        <v>989.98222222225741</v>
      </c>
      <c r="D82" s="15">
        <v>18.017777777777759</v>
      </c>
      <c r="AMB82" s="8" t="s">
        <v>8049</v>
      </c>
      <c r="AZN82" s="8" t="s">
        <v>5195</v>
      </c>
      <c r="BKB82" s="8" t="s">
        <v>6666</v>
      </c>
    </row>
    <row r="83" spans="1:1016 1064:2024 2072:2648 3272:3272">
      <c r="A83" s="8" t="s">
        <v>1425</v>
      </c>
      <c r="B83" s="10" t="s">
        <v>8050</v>
      </c>
      <c r="C83" s="8">
        <v>1019.9638888888294</v>
      </c>
      <c r="D83" s="15">
        <v>36.036111111110877</v>
      </c>
      <c r="ANX83" s="8" t="s">
        <v>8050</v>
      </c>
      <c r="AYZ83" s="8" t="s">
        <v>5196</v>
      </c>
      <c r="BAV83" s="8" t="s">
        <v>5196</v>
      </c>
      <c r="BTH83" s="8" t="s">
        <v>6667</v>
      </c>
    </row>
    <row r="84" spans="1:1016 1064:2024 2072:2648 3272:3272">
      <c r="A84" s="8" t="s">
        <v>1425</v>
      </c>
      <c r="B84" s="10" t="s">
        <v>8051</v>
      </c>
      <c r="C84" s="8">
        <v>1067.9638888888294</v>
      </c>
      <c r="D84" s="15">
        <v>36.036111111110877</v>
      </c>
      <c r="APT84" s="8" t="s">
        <v>8051</v>
      </c>
      <c r="AYZ84" s="8" t="s">
        <v>5197</v>
      </c>
      <c r="BAV84" s="8" t="s">
        <v>5197</v>
      </c>
      <c r="BVD84" s="8" t="s">
        <v>6668</v>
      </c>
    </row>
    <row r="85" spans="1:1016 1064:2024 2072:2648 3272:3272">
      <c r="A85" s="8" t="s">
        <v>1425</v>
      </c>
      <c r="B85" s="10" t="s">
        <v>8052</v>
      </c>
      <c r="C85" s="8">
        <v>1089.5855555555318</v>
      </c>
      <c r="D85" s="15">
        <v>14.414444444444642</v>
      </c>
      <c r="APT85" s="8" t="s">
        <v>8052</v>
      </c>
      <c r="AYZ85" s="8" t="s">
        <v>4611</v>
      </c>
      <c r="AZE85" s="8" t="s">
        <v>6237</v>
      </c>
      <c r="BAV85" s="8" t="s">
        <v>4230</v>
      </c>
      <c r="BCW85" s="8" t="s">
        <v>5198</v>
      </c>
      <c r="BES85" s="8" t="s">
        <v>5198</v>
      </c>
      <c r="BWP85" s="8" t="s">
        <v>7145</v>
      </c>
    </row>
    <row r="86" spans="1:1016 1064:2024 2072:2648 3272:3272">
      <c r="A86" s="8" t="s">
        <v>1425</v>
      </c>
      <c r="B86" s="10" t="s">
        <v>8053</v>
      </c>
      <c r="C86" s="8">
        <v>1133.9822222222574</v>
      </c>
      <c r="D86" s="15">
        <v>18.017777777777759</v>
      </c>
      <c r="H86" s="10"/>
      <c r="ARP86" s="8" t="s">
        <v>8053</v>
      </c>
      <c r="AYZ86" s="8" t="s">
        <v>5865</v>
      </c>
      <c r="BAV86" s="8" t="s">
        <v>4231</v>
      </c>
      <c r="BCR86" s="8" t="s">
        <v>5199</v>
      </c>
      <c r="BEN86" s="8" t="s">
        <v>5199</v>
      </c>
      <c r="BWZ86" s="8" t="s">
        <v>6669</v>
      </c>
    </row>
    <row r="87" spans="1:1016 1064:2024 2072:2648 3272:3272">
      <c r="A87" s="8" t="s">
        <v>1425</v>
      </c>
      <c r="B87" s="10" t="s">
        <v>8054</v>
      </c>
      <c r="C87" s="8">
        <v>1139.8344444445102</v>
      </c>
      <c r="D87" s="15">
        <v>9.0088888889368128</v>
      </c>
      <c r="ARM87" s="8" t="s">
        <v>8054</v>
      </c>
      <c r="BAO87" s="8" t="s">
        <v>6238</v>
      </c>
      <c r="BAV87" s="8" t="s">
        <v>4612</v>
      </c>
      <c r="BCR87" s="8" t="s">
        <v>4232</v>
      </c>
      <c r="BEG87" s="8" t="s">
        <v>5200</v>
      </c>
      <c r="BGC87" s="8" t="s">
        <v>5200</v>
      </c>
      <c r="BYV87" s="8" t="s">
        <v>6670</v>
      </c>
    </row>
    <row r="88" spans="1:1016 1064:2024 2072:2648 3272:3272">
      <c r="A88" s="8" t="s">
        <v>1425</v>
      </c>
      <c r="B88" s="10" t="s">
        <v>8055</v>
      </c>
      <c r="C88" s="8">
        <v>1181.9822222222574</v>
      </c>
      <c r="D88" s="15">
        <v>18.017777777777759</v>
      </c>
      <c r="ATL88" s="8" t="s">
        <v>8055</v>
      </c>
      <c r="BAE88" s="8" t="s">
        <v>6269</v>
      </c>
      <c r="BCA88" s="8" t="s">
        <v>5888</v>
      </c>
      <c r="BDD88" s="8" t="s">
        <v>4613</v>
      </c>
      <c r="BEZ88" s="8" t="s">
        <v>4233</v>
      </c>
      <c r="BFS88" s="8" t="s">
        <v>5201</v>
      </c>
      <c r="BHO88" s="8" t="s">
        <v>5201</v>
      </c>
      <c r="CAR88" s="8" t="s">
        <v>6671</v>
      </c>
    </row>
    <row r="89" spans="1:1016 1064:2024 2072:2648 3272:3272">
      <c r="A89" s="8" t="s">
        <v>1425</v>
      </c>
      <c r="B89" s="10" t="s">
        <v>8056</v>
      </c>
      <c r="C89" s="8">
        <v>1181.9822222222574</v>
      </c>
      <c r="D89" s="15">
        <v>18.017777777777759</v>
      </c>
      <c r="ATL89" s="8" t="s">
        <v>8056</v>
      </c>
      <c r="BCR89" s="8" t="s">
        <v>6661</v>
      </c>
      <c r="BEN89" s="8" t="s">
        <v>6270</v>
      </c>
      <c r="BGJ89" s="8" t="s">
        <v>5848</v>
      </c>
      <c r="BIF89" s="8" t="s">
        <v>5202</v>
      </c>
      <c r="BKB89" s="8" t="s">
        <v>5203</v>
      </c>
      <c r="CCN89" s="8" t="s">
        <v>6672</v>
      </c>
    </row>
    <row r="90" spans="1:1016 1064:2024 2072:2648 3272:3272">
      <c r="A90" s="8" t="s">
        <v>1425</v>
      </c>
      <c r="B90" s="10" t="s">
        <v>8057</v>
      </c>
      <c r="C90" s="8">
        <v>1229.9822222222574</v>
      </c>
      <c r="D90" s="15">
        <v>18.017777777777759</v>
      </c>
      <c r="AVH90" s="8" t="s">
        <v>8057</v>
      </c>
      <c r="BCR90" s="8" t="s">
        <v>6662</v>
      </c>
      <c r="BEN90" s="8" t="s">
        <v>6271</v>
      </c>
      <c r="BGJ90" s="8" t="s">
        <v>5849</v>
      </c>
      <c r="BKB90" s="8" t="s">
        <v>5204</v>
      </c>
      <c r="BLX90" s="8" t="s">
        <v>5203</v>
      </c>
      <c r="CEJ90" s="8" t="s">
        <v>6673</v>
      </c>
    </row>
    <row r="91" spans="1:1016 1064:2024 2072:2648 3272:3272">
      <c r="A91" s="8" t="s">
        <v>1425</v>
      </c>
      <c r="B91" s="10" t="s">
        <v>8058</v>
      </c>
      <c r="C91" s="8">
        <v>1229.9822222222574</v>
      </c>
      <c r="D91" s="15">
        <v>18.017777777777759</v>
      </c>
      <c r="AVH91" s="8" t="s">
        <v>8058</v>
      </c>
      <c r="BEN91" s="8" t="s">
        <v>6663</v>
      </c>
      <c r="BFF91" s="8" t="s">
        <v>4614</v>
      </c>
      <c r="BGJ91" s="8" t="s">
        <v>6272</v>
      </c>
      <c r="BHB91" s="8" t="s">
        <v>4234</v>
      </c>
      <c r="BIF91" s="8" t="s">
        <v>5889</v>
      </c>
      <c r="BKB91" s="8" t="s">
        <v>5204</v>
      </c>
      <c r="BLX91" s="8" t="s">
        <v>5205</v>
      </c>
      <c r="CGF91" s="8" t="s">
        <v>6674</v>
      </c>
    </row>
    <row r="92" spans="1:1016 1064:2024 2072:2648 3272:3272">
      <c r="A92" s="8" t="s">
        <v>1425</v>
      </c>
      <c r="B92" s="10" t="s">
        <v>8059</v>
      </c>
      <c r="C92" s="8">
        <v>1277.9822222222574</v>
      </c>
      <c r="D92" s="15">
        <v>18.017777777777759</v>
      </c>
      <c r="AXD92" s="8" t="s">
        <v>8059</v>
      </c>
      <c r="BGJ92" s="8" t="s">
        <v>6664</v>
      </c>
      <c r="BGO92" s="8" t="s">
        <v>4615</v>
      </c>
      <c r="BIF92" s="8" t="s">
        <v>6273</v>
      </c>
      <c r="BIK92" s="8" t="s">
        <v>4235</v>
      </c>
      <c r="BKB92" s="8" t="s">
        <v>5890</v>
      </c>
      <c r="BLX92" s="8" t="s">
        <v>5205</v>
      </c>
      <c r="BNT92" s="8" t="s">
        <v>5206</v>
      </c>
      <c r="CIB92" s="8" t="s">
        <v>6675</v>
      </c>
    </row>
    <row r="93" spans="1:1016 1064:2024 2072:2648 3272:3272">
      <c r="A93" s="8" t="s">
        <v>1425</v>
      </c>
      <c r="B93" s="10" t="s">
        <v>8060</v>
      </c>
      <c r="C93" s="8">
        <v>1286.9911111111287</v>
      </c>
      <c r="D93" s="15">
        <v>9.0088888888891177</v>
      </c>
      <c r="AXD93" s="8" t="s">
        <v>8060</v>
      </c>
      <c r="BGJ93" s="8" t="s">
        <v>4616</v>
      </c>
      <c r="BIF93" s="8" t="s">
        <v>6665</v>
      </c>
      <c r="BKB93" s="8" t="s">
        <v>6274</v>
      </c>
      <c r="BLX93" s="8" t="s">
        <v>5891</v>
      </c>
      <c r="BNT93" s="8" t="s">
        <v>5206</v>
      </c>
      <c r="BPP93" s="8" t="s">
        <v>5207</v>
      </c>
      <c r="CIB93" s="8" t="s">
        <v>6676</v>
      </c>
    </row>
    <row r="94" spans="1:1016 1064:2024 2072:2648 3272:3272">
      <c r="A94" s="8" t="s">
        <v>1425</v>
      </c>
      <c r="B94" s="10" t="s">
        <v>8061</v>
      </c>
      <c r="C94" s="8">
        <v>1325.9822222222574</v>
      </c>
      <c r="D94" s="15">
        <v>18.017777777777759</v>
      </c>
      <c r="AYZ94" s="8" t="s">
        <v>8061</v>
      </c>
      <c r="BHY94" s="8" t="s">
        <v>4617</v>
      </c>
      <c r="BJU94" s="8" t="s">
        <v>4236</v>
      </c>
      <c r="BKB94" s="8" t="s">
        <v>6666</v>
      </c>
      <c r="BLX94" s="8" t="s">
        <v>6275</v>
      </c>
      <c r="BNT94" s="8" t="s">
        <v>5892</v>
      </c>
      <c r="BPP94" s="8" t="s">
        <v>5207</v>
      </c>
      <c r="BRL94" s="8" t="s">
        <v>5208</v>
      </c>
      <c r="CWV94" s="8" t="s">
        <v>6677</v>
      </c>
    </row>
    <row r="95" spans="1:1016 1064:2024 2072:2648 3272:3272">
      <c r="A95" s="8" t="s">
        <v>1425</v>
      </c>
      <c r="B95" s="10" t="s">
        <v>8062</v>
      </c>
      <c r="C95" s="8">
        <v>1325.9822222222574</v>
      </c>
      <c r="D95" s="15">
        <v>18.017777777777759</v>
      </c>
      <c r="AYZ95" s="8" t="s">
        <v>8062</v>
      </c>
      <c r="BCT95" s="8" t="s">
        <v>198</v>
      </c>
      <c r="BJK95" s="8" t="s">
        <v>4618</v>
      </c>
      <c r="BLG95" s="8" t="s">
        <v>4237</v>
      </c>
      <c r="BRL95" s="8" t="s">
        <v>5208</v>
      </c>
      <c r="BTH95" s="8" t="s">
        <v>6667</v>
      </c>
      <c r="BVD95" s="8" t="s">
        <v>6276</v>
      </c>
      <c r="BWZ95" s="8" t="s">
        <v>5893</v>
      </c>
      <c r="CAR95" s="8" t="s">
        <v>5209</v>
      </c>
      <c r="DUV95" s="8" t="s">
        <v>6678</v>
      </c>
    </row>
    <row r="96" spans="1:1016 1064:2024 2072:2648 3272:3272">
      <c r="A96" s="8" t="s">
        <v>1425</v>
      </c>
      <c r="B96" s="10" t="s">
        <v>8063</v>
      </c>
      <c r="C96" s="8">
        <v>1340.3205555556342</v>
      </c>
      <c r="D96" s="15">
        <v>36.036111111249127</v>
      </c>
      <c r="H96" s="11"/>
      <c r="I96" s="12"/>
      <c r="J96" s="12"/>
      <c r="K96" s="12"/>
      <c r="BAF96" s="8" t="s">
        <v>8063</v>
      </c>
      <c r="BEN96" s="8" t="s">
        <v>199</v>
      </c>
      <c r="BLX96" s="8" t="s">
        <v>4619</v>
      </c>
      <c r="BNT96" s="8" t="s">
        <v>4238</v>
      </c>
      <c r="BVD96" s="8" t="s">
        <v>6668</v>
      </c>
      <c r="BWZ96" s="8" t="s">
        <v>6277</v>
      </c>
      <c r="BYV96" s="8" t="s">
        <v>5894</v>
      </c>
      <c r="CAR96" s="8" t="s">
        <v>5209</v>
      </c>
      <c r="CCN96" s="8" t="s">
        <v>5210</v>
      </c>
      <c r="DUV96" s="8" t="s">
        <v>6679</v>
      </c>
    </row>
    <row r="97" spans="1:374 1352:2024 2072:2905 3272:3848 4136:4136">
      <c r="A97" s="8" t="s">
        <v>1425</v>
      </c>
      <c r="B97" s="10" t="s">
        <v>8064</v>
      </c>
      <c r="C97" s="8">
        <v>1403.9638888888294</v>
      </c>
      <c r="D97" s="15">
        <v>36.036111111110877</v>
      </c>
      <c r="BCR97" s="8" t="s">
        <v>8064</v>
      </c>
      <c r="BIF97" s="8" t="s">
        <v>200</v>
      </c>
      <c r="BNT97" s="8" t="s">
        <v>4620</v>
      </c>
      <c r="BPP97" s="8" t="s">
        <v>4239</v>
      </c>
      <c r="BWZ97" s="8" t="s">
        <v>6669</v>
      </c>
      <c r="BYV97" s="8" t="s">
        <v>6278</v>
      </c>
      <c r="CAR97" s="8" t="s">
        <v>5895</v>
      </c>
      <c r="CCN97" s="8" t="s">
        <v>5210</v>
      </c>
      <c r="CEJ97" s="8" t="s">
        <v>5211</v>
      </c>
      <c r="DUV97" s="8" t="s">
        <v>6680</v>
      </c>
    </row>
    <row r="98" spans="1:374 1352:2024 2072:2905 3272:3848 4136:4136">
      <c r="A98" s="8" t="s">
        <v>1426</v>
      </c>
      <c r="B98" s="10" t="s">
        <v>8065</v>
      </c>
      <c r="C98" s="8">
        <v>2.533333333209157</v>
      </c>
      <c r="D98" s="15">
        <v>23.766666666829543</v>
      </c>
      <c r="AH98" s="8" t="s">
        <v>8065</v>
      </c>
      <c r="BOK98" s="8" t="s">
        <v>201</v>
      </c>
      <c r="BPP98" s="8" t="s">
        <v>4621</v>
      </c>
      <c r="BRL98" s="8" t="s">
        <v>4240</v>
      </c>
      <c r="BYV98" s="8" t="s">
        <v>6670</v>
      </c>
      <c r="CAR98" s="8" t="s">
        <v>6279</v>
      </c>
      <c r="CCN98" s="8" t="s">
        <v>5896</v>
      </c>
      <c r="CEJ98" s="8" t="s">
        <v>5211</v>
      </c>
      <c r="CGF98" s="8" t="s">
        <v>5212</v>
      </c>
      <c r="DWR98" s="8" t="s">
        <v>6681</v>
      </c>
    </row>
    <row r="99" spans="1:374 1352:2024 2072:2905 3272:3848 4136:4136">
      <c r="A99" s="8" t="s">
        <v>1426</v>
      </c>
      <c r="B99" s="10" t="s">
        <v>8066</v>
      </c>
      <c r="C99" s="8">
        <v>24.233333333395422</v>
      </c>
      <c r="D99" s="15">
        <v>23.766666666666723</v>
      </c>
      <c r="BD99" s="8" t="s">
        <v>8066</v>
      </c>
      <c r="BOT99" s="8" t="s">
        <v>202</v>
      </c>
      <c r="BRL99" s="8" t="s">
        <v>4622</v>
      </c>
      <c r="BTH99" s="8" t="s">
        <v>4241</v>
      </c>
      <c r="CAR99" s="8" t="s">
        <v>6671</v>
      </c>
      <c r="CCN99" s="8" t="s">
        <v>6280</v>
      </c>
      <c r="CEJ99" s="8" t="s">
        <v>5897</v>
      </c>
      <c r="CGF99" s="8" t="s">
        <v>5212</v>
      </c>
      <c r="CIB99" s="8" t="s">
        <v>5213</v>
      </c>
      <c r="EEC99" s="8" t="s">
        <v>6682</v>
      </c>
    </row>
    <row r="100" spans="1:374 1352:2024 2072:2905 3272:3848 4136:4136">
      <c r="A100" s="8" t="s">
        <v>1426</v>
      </c>
      <c r="B100" s="10" t="s">
        <v>8067</v>
      </c>
      <c r="C100" s="8">
        <v>50.497777777723968</v>
      </c>
      <c r="D100" s="15">
        <v>23.766666666550627</v>
      </c>
      <c r="CD100" s="8" t="s">
        <v>8067</v>
      </c>
      <c r="BPB100" s="8" t="s">
        <v>203</v>
      </c>
      <c r="BTH100" s="8" t="s">
        <v>4623</v>
      </c>
      <c r="BVD100" s="8" t="s">
        <v>4242</v>
      </c>
      <c r="CCN100" s="8" t="s">
        <v>6672</v>
      </c>
      <c r="CEJ100" s="8" t="s">
        <v>6281</v>
      </c>
      <c r="CGF100" s="8" t="s">
        <v>5898</v>
      </c>
      <c r="CIB100" s="8" t="s">
        <v>5213</v>
      </c>
      <c r="CJX100" s="8" t="s">
        <v>5214</v>
      </c>
      <c r="EGM100" s="8" t="s">
        <v>6683</v>
      </c>
    </row>
    <row r="101" spans="1:374 1352:2024 2072:2905 3272:3848 4136:4136">
      <c r="A101" s="8" t="s">
        <v>1426</v>
      </c>
      <c r="B101" s="10" t="s">
        <v>8068</v>
      </c>
      <c r="C101" s="8">
        <v>76.000000000116415</v>
      </c>
      <c r="D101" s="15">
        <v>23.543333333218627</v>
      </c>
      <c r="DD101" s="8" t="s">
        <v>8068</v>
      </c>
      <c r="BAX101" s="8" t="s">
        <v>857</v>
      </c>
      <c r="BCT101" s="8" t="s">
        <v>857</v>
      </c>
      <c r="BRN101" s="8" t="s">
        <v>204</v>
      </c>
      <c r="BVD101" s="8" t="s">
        <v>4624</v>
      </c>
      <c r="BWZ101" s="8" t="s">
        <v>4243</v>
      </c>
      <c r="CEJ101" s="8" t="s">
        <v>6673</v>
      </c>
      <c r="CGF101" s="8" t="s">
        <v>6282</v>
      </c>
      <c r="CIB101" s="8" t="s">
        <v>5899</v>
      </c>
      <c r="CJX101" s="8" t="s">
        <v>5214</v>
      </c>
      <c r="CLT101" s="8" t="s">
        <v>5215</v>
      </c>
      <c r="EJP101" s="8" t="s">
        <v>6684</v>
      </c>
    </row>
    <row r="102" spans="1:374 1352:2024 2072:2905 3272:3848 4136:4136">
      <c r="A102" s="8" t="s">
        <v>1426</v>
      </c>
      <c r="B102" s="10" t="s">
        <v>8069</v>
      </c>
      <c r="C102" s="8">
        <v>100.00000000011642</v>
      </c>
      <c r="D102" s="15">
        <v>23.54333333321863</v>
      </c>
      <c r="EB102" s="17" t="s">
        <v>8069</v>
      </c>
      <c r="BAF102" s="8" t="s">
        <v>199</v>
      </c>
      <c r="BAX102" s="8" t="s">
        <v>858</v>
      </c>
      <c r="BCR102" s="8" t="s">
        <v>858</v>
      </c>
      <c r="BCT102" s="8" t="s">
        <v>858</v>
      </c>
      <c r="BEN102" s="8" t="s">
        <v>858</v>
      </c>
      <c r="BSL102" s="8" t="s">
        <v>205</v>
      </c>
      <c r="CEJ102" s="8" t="s">
        <v>4625</v>
      </c>
      <c r="CGF102" s="8" t="s">
        <v>6674</v>
      </c>
      <c r="CIB102" s="8" t="s">
        <v>6283</v>
      </c>
      <c r="CJX102" s="8" t="s">
        <v>5900</v>
      </c>
      <c r="CLT102" s="8" t="s">
        <v>5215</v>
      </c>
      <c r="CNP102" s="8" t="s">
        <v>5216</v>
      </c>
      <c r="FCB102" s="8" t="s">
        <v>6685</v>
      </c>
    </row>
    <row r="103" spans="1:374 1352:2024 2072:2905 3272:3848 4136:4136">
      <c r="A103" s="8" t="s">
        <v>1426</v>
      </c>
      <c r="B103" s="10" t="s">
        <v>8070</v>
      </c>
      <c r="C103" s="8">
        <v>120.23333333339542</v>
      </c>
      <c r="D103" s="15">
        <v>23.766666666666723</v>
      </c>
      <c r="EV103" s="8" t="s">
        <v>8070</v>
      </c>
      <c r="AYZ103" s="8" t="s">
        <v>200</v>
      </c>
      <c r="BAV103" s="8" t="s">
        <v>859</v>
      </c>
      <c r="BBL103" s="8" t="s">
        <v>200</v>
      </c>
      <c r="BEN103" s="8" t="s">
        <v>859</v>
      </c>
      <c r="BGJ103" s="8" t="s">
        <v>859</v>
      </c>
      <c r="BIF103" s="8" t="s">
        <v>859</v>
      </c>
      <c r="BUZ103" s="8" t="s">
        <v>206</v>
      </c>
      <c r="CGF103" s="8" t="s">
        <v>4626</v>
      </c>
      <c r="CIB103" s="8" t="s">
        <v>6675</v>
      </c>
      <c r="CJX103" s="8" t="s">
        <v>6284</v>
      </c>
      <c r="CLT103" s="8" t="s">
        <v>5901</v>
      </c>
      <c r="CNP103" s="8" t="s">
        <v>5216</v>
      </c>
      <c r="CPL103" s="8" t="s">
        <v>5217</v>
      </c>
    </row>
    <row r="104" spans="1:374 1352:2024 2072:2905 3272:3848 4136:4136">
      <c r="A104" s="8" t="s">
        <v>1426</v>
      </c>
      <c r="B104" s="10" t="s">
        <v>8071</v>
      </c>
      <c r="C104" s="8">
        <v>145.00000000011642</v>
      </c>
      <c r="D104" s="15">
        <v>23.766666666721154</v>
      </c>
      <c r="FU104" s="8" t="s">
        <v>8071</v>
      </c>
      <c r="AYZ104" s="8" t="s">
        <v>201</v>
      </c>
      <c r="AZY104" s="8" t="s">
        <v>201</v>
      </c>
      <c r="BAV104" s="8" t="s">
        <v>860</v>
      </c>
      <c r="BCR104" s="8" t="s">
        <v>201</v>
      </c>
      <c r="BIF104" s="8" t="s">
        <v>860</v>
      </c>
      <c r="BMO104" s="8" t="s">
        <v>860</v>
      </c>
      <c r="BOK104" s="8" t="s">
        <v>860</v>
      </c>
      <c r="BVD104" s="8" t="s">
        <v>207</v>
      </c>
      <c r="CIB104" s="8" t="s">
        <v>6676</v>
      </c>
      <c r="CJX104" s="8" t="s">
        <v>6285</v>
      </c>
      <c r="CLT104" s="8" t="s">
        <v>5850</v>
      </c>
      <c r="CPL104" s="8" t="s">
        <v>5218</v>
      </c>
      <c r="CRH104" s="8" t="s">
        <v>5217</v>
      </c>
    </row>
    <row r="105" spans="1:374 1352:2024 2072:2905 3272:3848 4136:4136">
      <c r="A105" s="8" t="s">
        <v>1426</v>
      </c>
      <c r="B105" s="10" t="s">
        <v>8072</v>
      </c>
      <c r="C105" s="8">
        <v>169.76666666683741</v>
      </c>
      <c r="D105" s="15">
        <v>23.766666666775109</v>
      </c>
      <c r="GT105" s="8" t="s">
        <v>8072</v>
      </c>
      <c r="AZQ105" s="8" t="s">
        <v>202</v>
      </c>
      <c r="BBM105" s="8" t="s">
        <v>202</v>
      </c>
      <c r="BDI105" s="8" t="s">
        <v>202</v>
      </c>
      <c r="BFE105" s="8" t="s">
        <v>202</v>
      </c>
      <c r="BIW105" s="8" t="s">
        <v>202</v>
      </c>
      <c r="BMX105" s="8" t="s">
        <v>861</v>
      </c>
      <c r="BOK105" s="8" t="s">
        <v>861</v>
      </c>
      <c r="BOT105" s="8" t="s">
        <v>861</v>
      </c>
      <c r="CGY105" s="8" t="s">
        <v>208</v>
      </c>
      <c r="CJX105" s="8" t="s">
        <v>4627</v>
      </c>
      <c r="CLT105" s="8" t="s">
        <v>4244</v>
      </c>
      <c r="CPL105" s="8" t="s">
        <v>5218</v>
      </c>
      <c r="CRH105" s="8" t="s">
        <v>5218</v>
      </c>
      <c r="CWV105" s="8" t="s">
        <v>6677</v>
      </c>
      <c r="CYR105" s="8" t="s">
        <v>6286</v>
      </c>
      <c r="DAN105" s="8" t="s">
        <v>5902</v>
      </c>
      <c r="DEF105" s="8" t="s">
        <v>5219</v>
      </c>
    </row>
    <row r="106" spans="1:374 1352:2024 2072:2905 3272:3848 4136:4136">
      <c r="A106" s="8" t="s">
        <v>1426</v>
      </c>
      <c r="B106" s="10" t="s">
        <v>8073</v>
      </c>
      <c r="C106" s="8">
        <v>194.53333333320916</v>
      </c>
      <c r="D106" s="15">
        <v>23.54333333332702</v>
      </c>
      <c r="HR106" s="8" t="s">
        <v>8073</v>
      </c>
      <c r="AZZ106" s="8" t="s">
        <v>203</v>
      </c>
      <c r="BBV106" s="8" t="s">
        <v>203</v>
      </c>
      <c r="BDR106" s="8" t="s">
        <v>203</v>
      </c>
      <c r="BFN106" s="8" t="s">
        <v>203</v>
      </c>
      <c r="BJF106" s="8" t="s">
        <v>203</v>
      </c>
      <c r="BNF106" s="8" t="s">
        <v>862</v>
      </c>
      <c r="BOT106" s="8" t="s">
        <v>862</v>
      </c>
      <c r="BPB106" s="8" t="s">
        <v>862</v>
      </c>
      <c r="CHG106" s="8" t="s">
        <v>209</v>
      </c>
      <c r="CJX106" s="8" t="s">
        <v>4628</v>
      </c>
      <c r="CLT106" s="8" t="s">
        <v>4245</v>
      </c>
      <c r="DEF106" s="8" t="s">
        <v>5219</v>
      </c>
      <c r="DGB106" s="8" t="s">
        <v>5219</v>
      </c>
      <c r="DUV106" s="8" t="s">
        <v>6678</v>
      </c>
      <c r="DWR106" s="8" t="s">
        <v>6287</v>
      </c>
      <c r="DYN106" s="8" t="s">
        <v>5903</v>
      </c>
      <c r="ECF106" s="8" t="s">
        <v>5220</v>
      </c>
    </row>
    <row r="107" spans="1:374 1352:2024 2072:2905 3272:3848 4136:4136">
      <c r="A107" s="8" t="s">
        <v>1426</v>
      </c>
      <c r="B107" s="10" t="s">
        <v>8074</v>
      </c>
      <c r="C107" s="8">
        <v>219.07666666677687</v>
      </c>
      <c r="D107" s="15">
        <v>23.543333333212367</v>
      </c>
      <c r="IQ107" s="8" t="s">
        <v>8074</v>
      </c>
      <c r="BAH107" s="8" t="s">
        <v>204</v>
      </c>
      <c r="BCD107" s="8" t="s">
        <v>204</v>
      </c>
      <c r="BDZ107" s="8" t="s">
        <v>204</v>
      </c>
      <c r="BFV107" s="8" t="s">
        <v>204</v>
      </c>
      <c r="BJN107" s="8" t="s">
        <v>204</v>
      </c>
      <c r="BNF107" s="8" t="s">
        <v>863</v>
      </c>
      <c r="BNO107" s="8" t="s">
        <v>204</v>
      </c>
      <c r="BPB107" s="8" t="s">
        <v>863</v>
      </c>
      <c r="BPR107" s="8" t="s">
        <v>863</v>
      </c>
      <c r="BRN107" s="8" t="s">
        <v>863</v>
      </c>
      <c r="CID107" s="8" t="s">
        <v>210</v>
      </c>
      <c r="CLT107" s="8" t="s">
        <v>4629</v>
      </c>
      <c r="CNP107" s="8" t="s">
        <v>4246</v>
      </c>
      <c r="DUV107" s="8" t="s">
        <v>6679</v>
      </c>
      <c r="DWR107" s="8" t="s">
        <v>6288</v>
      </c>
      <c r="DYN107" s="8" t="s">
        <v>5904</v>
      </c>
      <c r="ECF107" s="8" t="s">
        <v>5221</v>
      </c>
      <c r="EEB107" s="8" t="s">
        <v>5220</v>
      </c>
    </row>
    <row r="108" spans="1:374 1352:2024 2072:2905 3272:3848 4136:4136">
      <c r="A108" s="8" t="s">
        <v>1426</v>
      </c>
      <c r="B108" s="10" t="s">
        <v>8075</v>
      </c>
      <c r="C108" s="8">
        <v>243.61999999999534</v>
      </c>
      <c r="D108" s="15">
        <v>23.543333333446483</v>
      </c>
      <c r="JO108" s="8" t="s">
        <v>8075</v>
      </c>
      <c r="BCD108" s="8" t="s">
        <v>1451</v>
      </c>
      <c r="BDZ108" s="8" t="s">
        <v>1451</v>
      </c>
      <c r="BFV108" s="8" t="s">
        <v>1451</v>
      </c>
      <c r="BHR108" s="8" t="s">
        <v>1451</v>
      </c>
      <c r="BLZ108" s="8" t="s">
        <v>205</v>
      </c>
      <c r="BQP108" s="8" t="s">
        <v>864</v>
      </c>
      <c r="BRN108" s="8" t="s">
        <v>864</v>
      </c>
      <c r="BRV108" s="8" t="s">
        <v>205</v>
      </c>
      <c r="BSL108" s="8" t="s">
        <v>864</v>
      </c>
      <c r="CLT108" s="8" t="s">
        <v>4630</v>
      </c>
      <c r="CNP108" s="8" t="s">
        <v>4247</v>
      </c>
      <c r="CPL108" s="8" t="s">
        <v>211</v>
      </c>
      <c r="DUV108" s="8" t="s">
        <v>6680</v>
      </c>
      <c r="DWR108" s="8" t="s">
        <v>6289</v>
      </c>
      <c r="DYN108" s="8" t="s">
        <v>5905</v>
      </c>
      <c r="ECF108" s="8" t="s">
        <v>5222</v>
      </c>
      <c r="EEB108" s="8" t="s">
        <v>5221</v>
      </c>
    </row>
    <row r="109" spans="1:374 1352:2024 2072:2905 3272:3848 4136:4136">
      <c r="A109" s="8" t="s">
        <v>1426</v>
      </c>
      <c r="B109" s="10" t="s">
        <v>8076</v>
      </c>
      <c r="C109" s="8">
        <v>268.16333333321381</v>
      </c>
      <c r="D109" s="15">
        <v>23.543333333331834</v>
      </c>
      <c r="KN109" s="8" t="s">
        <v>8076</v>
      </c>
      <c r="AZB109" s="8" t="s">
        <v>1563</v>
      </c>
      <c r="BCT109" s="8" t="s">
        <v>205</v>
      </c>
      <c r="BEP109" s="8" t="s">
        <v>205</v>
      </c>
      <c r="BGL109" s="8" t="s">
        <v>205</v>
      </c>
      <c r="BIH109" s="8" t="s">
        <v>205</v>
      </c>
      <c r="BMX109" s="8" t="s">
        <v>206</v>
      </c>
      <c r="BOF109" s="8" t="s">
        <v>206</v>
      </c>
      <c r="BOT109" s="8" t="s">
        <v>865</v>
      </c>
      <c r="BSL109" s="8" t="s">
        <v>865</v>
      </c>
      <c r="BTD109" s="8" t="s">
        <v>865</v>
      </c>
      <c r="BUZ109" s="8" t="s">
        <v>865</v>
      </c>
      <c r="CNP109" s="8" t="s">
        <v>4631</v>
      </c>
      <c r="CPL109" s="8" t="s">
        <v>4248</v>
      </c>
      <c r="DBE109" s="8" t="s">
        <v>212</v>
      </c>
      <c r="DWR109" s="8" t="s">
        <v>6681</v>
      </c>
      <c r="DYN109" s="8" t="s">
        <v>6290</v>
      </c>
      <c r="EAJ109" s="8" t="s">
        <v>5906</v>
      </c>
      <c r="ECF109" s="8" t="s">
        <v>5222</v>
      </c>
      <c r="EEB109" s="8" t="s">
        <v>5223</v>
      </c>
    </row>
    <row r="110" spans="1:374 1352:2024 2072:2905 3272:3848 4136:4136">
      <c r="A110" s="8" t="s">
        <v>1426</v>
      </c>
      <c r="B110" s="10" t="s">
        <v>8077</v>
      </c>
      <c r="C110" s="8">
        <v>292.70666666678153</v>
      </c>
      <c r="D110" s="15">
        <v>23.543333333216705</v>
      </c>
      <c r="LL110" s="17" t="s">
        <v>8077</v>
      </c>
      <c r="AZZ110" s="8" t="s">
        <v>1564</v>
      </c>
      <c r="BDR110" s="8" t="s">
        <v>206</v>
      </c>
      <c r="BFN110" s="8" t="s">
        <v>206</v>
      </c>
      <c r="BHJ110" s="8" t="s">
        <v>206</v>
      </c>
      <c r="BJF110" s="8" t="s">
        <v>206</v>
      </c>
      <c r="BPL110" s="8" t="s">
        <v>207</v>
      </c>
      <c r="BTH110" s="8" t="s">
        <v>866</v>
      </c>
      <c r="BUZ110" s="8" t="s">
        <v>866</v>
      </c>
      <c r="BVD110" s="8" t="s">
        <v>866</v>
      </c>
      <c r="BVQ110" s="8" t="s">
        <v>207</v>
      </c>
      <c r="CPL110" s="8" t="s">
        <v>4632</v>
      </c>
      <c r="CRH110" s="8" t="s">
        <v>4249</v>
      </c>
      <c r="DBV110" s="8" t="s">
        <v>213</v>
      </c>
      <c r="EEB110" s="8" t="s">
        <v>5223</v>
      </c>
      <c r="EEC110" s="8" t="s">
        <v>6682</v>
      </c>
      <c r="EFX110" s="8" t="s">
        <v>5223</v>
      </c>
      <c r="EFY110" s="8" t="s">
        <v>6291</v>
      </c>
      <c r="EHU110" s="8" t="s">
        <v>5907</v>
      </c>
      <c r="ELM110" s="8" t="s">
        <v>5224</v>
      </c>
    </row>
    <row r="111" spans="1:374 1352:2024 2072:2905 3272:3848 4136:4136">
      <c r="A111" s="8" t="s">
        <v>1426</v>
      </c>
      <c r="B111" s="10" t="s">
        <v>8078</v>
      </c>
      <c r="C111" s="8">
        <v>317.25</v>
      </c>
      <c r="D111" s="15">
        <v>23.543333333451301</v>
      </c>
      <c r="MK111" s="8" t="s">
        <v>8078</v>
      </c>
      <c r="BAA111" s="8" t="s">
        <v>2011</v>
      </c>
      <c r="BBW111" s="8" t="s">
        <v>1565</v>
      </c>
      <c r="BFO111" s="8" t="s">
        <v>1452</v>
      </c>
      <c r="BGX111" s="8" t="s">
        <v>208</v>
      </c>
      <c r="BHK111" s="8" t="s">
        <v>1452</v>
      </c>
      <c r="BIF111" s="8" t="s">
        <v>867</v>
      </c>
      <c r="BJG111" s="8" t="s">
        <v>1452</v>
      </c>
      <c r="BLC111" s="8" t="s">
        <v>1452</v>
      </c>
      <c r="BPP111" s="8" t="s">
        <v>208</v>
      </c>
      <c r="BVD111" s="8" t="s">
        <v>867</v>
      </c>
      <c r="CFC111" s="8" t="s">
        <v>867</v>
      </c>
      <c r="CGY111" s="8" t="s">
        <v>867</v>
      </c>
      <c r="CRH111" s="8" t="s">
        <v>4633</v>
      </c>
      <c r="CTD111" s="8" t="s">
        <v>4250</v>
      </c>
      <c r="DCL111" s="8" t="s">
        <v>214</v>
      </c>
      <c r="EGM111" s="8" t="s">
        <v>6683</v>
      </c>
      <c r="EII111" s="8" t="s">
        <v>6292</v>
      </c>
      <c r="EKE111" s="8" t="s">
        <v>5908</v>
      </c>
      <c r="ELM111" s="8" t="s">
        <v>5224</v>
      </c>
      <c r="ENI111" s="8" t="s">
        <v>5224</v>
      </c>
      <c r="ENW111" s="8" t="s">
        <v>5225</v>
      </c>
    </row>
    <row r="112" spans="1:374 1352:2024 2072:2905 3272:3848 4136:4136">
      <c r="A112" s="8" t="s">
        <v>1426</v>
      </c>
      <c r="B112" s="10" t="s">
        <v>8079</v>
      </c>
      <c r="C112" s="8">
        <v>341.79333333321847</v>
      </c>
      <c r="D112" s="15">
        <v>23.766666666839175</v>
      </c>
      <c r="NJ112" s="8" t="s">
        <v>8079</v>
      </c>
      <c r="BAR112" s="19" t="s">
        <v>2012</v>
      </c>
      <c r="BCN112" s="8" t="s">
        <v>1566</v>
      </c>
      <c r="BGF112" s="8" t="s">
        <v>207</v>
      </c>
      <c r="BIB112" s="8" t="s">
        <v>207</v>
      </c>
      <c r="BJX112" s="8" t="s">
        <v>207</v>
      </c>
      <c r="BLT112" s="8" t="s">
        <v>207</v>
      </c>
      <c r="CBK112" s="8" t="s">
        <v>209</v>
      </c>
      <c r="CFK112" s="8" t="s">
        <v>868</v>
      </c>
      <c r="CGY112" s="8" t="s">
        <v>868</v>
      </c>
      <c r="CHG112" s="8" t="s">
        <v>868</v>
      </c>
      <c r="CTD112" s="8" t="s">
        <v>4634</v>
      </c>
      <c r="CUZ112" s="8" t="s">
        <v>4251</v>
      </c>
      <c r="DGS112" s="8" t="s">
        <v>215</v>
      </c>
      <c r="EJP112" s="8" t="s">
        <v>6684</v>
      </c>
      <c r="ELL112" s="8" t="s">
        <v>6293</v>
      </c>
      <c r="ENH112" s="8" t="s">
        <v>5909</v>
      </c>
      <c r="ENW112" s="8" t="s">
        <v>5225</v>
      </c>
      <c r="EPS112" s="8" t="s">
        <v>5225</v>
      </c>
      <c r="EQZ112" s="8" t="s">
        <v>5226</v>
      </c>
    </row>
    <row r="113" spans="1:1016 1028:2026 2072:3066 3080:4069 4122:4376" s="9" customFormat="1">
      <c r="A113" s="9" t="s">
        <v>1426</v>
      </c>
      <c r="B113" s="16" t="s">
        <v>8080</v>
      </c>
      <c r="C113" s="9">
        <v>366.55999999993946</v>
      </c>
      <c r="D113" s="15">
        <v>23.76666666654388</v>
      </c>
      <c r="T113" s="18"/>
      <c r="AJ113" s="18"/>
      <c r="AZ113" s="20"/>
      <c r="BP113" s="18"/>
      <c r="CF113" s="18"/>
      <c r="CV113" s="20"/>
      <c r="DL113" s="18"/>
      <c r="EB113" s="18"/>
      <c r="ER113" s="20"/>
      <c r="FH113" s="18"/>
      <c r="FX113" s="18"/>
      <c r="GN113" s="20"/>
      <c r="HD113" s="18"/>
      <c r="HT113" s="18"/>
      <c r="IJ113" s="20"/>
      <c r="IZ113" s="18"/>
      <c r="JP113" s="18"/>
      <c r="KF113" s="20"/>
      <c r="KV113" s="18"/>
      <c r="LL113" s="18"/>
      <c r="MB113" s="20"/>
      <c r="MR113" s="18"/>
      <c r="NH113" s="18"/>
      <c r="NX113" s="20"/>
      <c r="OH113" s="9" t="s">
        <v>8080</v>
      </c>
      <c r="ON113" s="18"/>
      <c r="PD113" s="18"/>
      <c r="PT113" s="20"/>
      <c r="QJ113" s="18"/>
      <c r="QZ113" s="18"/>
      <c r="RP113" s="20"/>
      <c r="SF113" s="18"/>
      <c r="SV113" s="18"/>
      <c r="TL113" s="20"/>
      <c r="UB113" s="18"/>
      <c r="UR113" s="18"/>
      <c r="VH113" s="20"/>
      <c r="VX113" s="18"/>
      <c r="WN113" s="18"/>
      <c r="XD113" s="20"/>
      <c r="XT113" s="18"/>
      <c r="YJ113" s="18"/>
      <c r="YZ113" s="20"/>
      <c r="ZP113" s="18"/>
      <c r="AAF113" s="18"/>
      <c r="AAV113" s="20"/>
      <c r="ABL113" s="18"/>
      <c r="ACB113" s="18"/>
      <c r="ACR113" s="20"/>
      <c r="ADH113" s="18"/>
      <c r="ADX113" s="18"/>
      <c r="AEN113" s="20"/>
      <c r="AFD113" s="18"/>
      <c r="AFT113" s="18"/>
      <c r="AGJ113" s="20"/>
      <c r="AGZ113" s="18"/>
      <c r="AHP113" s="18"/>
      <c r="AIF113" s="20"/>
      <c r="AIV113" s="18"/>
      <c r="AJL113" s="18"/>
      <c r="AKB113" s="20"/>
      <c r="AKR113" s="18"/>
      <c r="ALH113" s="18"/>
      <c r="ALX113" s="20"/>
      <c r="AMN113" s="18"/>
      <c r="AND113" s="18"/>
      <c r="ANT113" s="20"/>
      <c r="AOJ113" s="18"/>
      <c r="AOZ113" s="18"/>
      <c r="APP113" s="20"/>
      <c r="AQF113" s="18"/>
      <c r="AQV113" s="18"/>
      <c r="ARL113" s="20"/>
      <c r="ASB113" s="18"/>
      <c r="ASR113" s="18"/>
      <c r="ATH113" s="20"/>
      <c r="ATX113" s="18"/>
      <c r="AUN113" s="18"/>
      <c r="AVD113" s="20"/>
      <c r="AVT113" s="18"/>
      <c r="AWJ113" s="18"/>
      <c r="AWZ113" s="20"/>
      <c r="AXP113" s="18"/>
      <c r="AYF113" s="18"/>
      <c r="AYV113" s="20"/>
      <c r="AZL113" s="18"/>
      <c r="BAB113" s="18"/>
      <c r="BAR113" s="20"/>
      <c r="BAV113" s="9" t="s">
        <v>2013</v>
      </c>
      <c r="BCR113" s="9" t="s">
        <v>1567</v>
      </c>
      <c r="BGJ113" s="9" t="s">
        <v>208</v>
      </c>
      <c r="BIF113" s="9" t="s">
        <v>208</v>
      </c>
      <c r="BKB113" s="9" t="s">
        <v>208</v>
      </c>
      <c r="BLX113" s="9" t="s">
        <v>208</v>
      </c>
      <c r="CBS113" s="9" t="s">
        <v>210</v>
      </c>
      <c r="CGH113" s="9" t="s">
        <v>869</v>
      </c>
      <c r="CHG113" s="9" t="s">
        <v>869</v>
      </c>
      <c r="CHW113" s="9" t="s">
        <v>210</v>
      </c>
      <c r="CID113" s="9" t="s">
        <v>869</v>
      </c>
      <c r="CTD113" s="9" t="s">
        <v>4635</v>
      </c>
      <c r="CUZ113" s="9" t="s">
        <v>4252</v>
      </c>
      <c r="DHJ113" s="9" t="s">
        <v>216</v>
      </c>
      <c r="EQZ113" s="9" t="s">
        <v>5226</v>
      </c>
      <c r="ESV113" s="9" t="s">
        <v>5226</v>
      </c>
      <c r="FCB113" s="9" t="s">
        <v>6685</v>
      </c>
      <c r="FDX113" s="9" t="s">
        <v>6294</v>
      </c>
      <c r="FFT113" s="9" t="s">
        <v>5910</v>
      </c>
      <c r="FJL113" s="9" t="s">
        <v>5227</v>
      </c>
    </row>
    <row r="114" spans="1:1016 1028:2026 2072:3066 3080:4069 4122:4376">
      <c r="A114" s="8" t="s">
        <v>1426</v>
      </c>
      <c r="B114" s="10" t="s">
        <v>8081</v>
      </c>
      <c r="C114" s="8">
        <v>391.32666666666046</v>
      </c>
      <c r="D114" s="15">
        <v>23.543333333445041</v>
      </c>
      <c r="PG114" s="8" t="s">
        <v>8081</v>
      </c>
      <c r="BMQ114" s="8" t="s">
        <v>2014</v>
      </c>
      <c r="BOM114" s="8" t="s">
        <v>1568</v>
      </c>
      <c r="BSE114" s="8" t="s">
        <v>209</v>
      </c>
      <c r="BUA114" s="8" t="s">
        <v>209</v>
      </c>
      <c r="BVW114" s="8" t="s">
        <v>209</v>
      </c>
      <c r="BXS114" s="8" t="s">
        <v>209</v>
      </c>
      <c r="CAR114" s="8" t="s">
        <v>211</v>
      </c>
      <c r="CAT114" s="8" t="s">
        <v>870</v>
      </c>
      <c r="CCP114" s="8" t="s">
        <v>211</v>
      </c>
      <c r="CID114" s="8" t="s">
        <v>870</v>
      </c>
      <c r="CNP114" s="8" t="s">
        <v>870</v>
      </c>
      <c r="CPL114" s="8" t="s">
        <v>870</v>
      </c>
      <c r="DHX114" s="8" t="s">
        <v>4636</v>
      </c>
      <c r="DHZ114" s="8" t="s">
        <v>217</v>
      </c>
      <c r="DJT114" s="8" t="s">
        <v>4253</v>
      </c>
      <c r="FJL114" s="8" t="s">
        <v>5227</v>
      </c>
      <c r="FLH114" s="8" t="s">
        <v>5227</v>
      </c>
    </row>
    <row r="115" spans="1:1016 1028:2026 2072:3066 3080:4069 4122:4376">
      <c r="A115" s="8" t="s">
        <v>1426</v>
      </c>
      <c r="B115" s="10" t="s">
        <v>8082</v>
      </c>
      <c r="C115" s="8">
        <v>415.86999999987893</v>
      </c>
      <c r="D115" s="15">
        <v>23.543333333330388</v>
      </c>
      <c r="QE115" s="8" t="s">
        <v>8082</v>
      </c>
      <c r="BMY115" s="8" t="s">
        <v>2015</v>
      </c>
      <c r="BOU115" s="8" t="s">
        <v>1569</v>
      </c>
      <c r="BSM115" s="8" t="s">
        <v>210</v>
      </c>
      <c r="BUI115" s="8" t="s">
        <v>210</v>
      </c>
      <c r="BWE115" s="8" t="s">
        <v>210</v>
      </c>
      <c r="BYA115" s="8" t="s">
        <v>210</v>
      </c>
      <c r="CBQ115" s="8" t="s">
        <v>212</v>
      </c>
      <c r="CCN115" s="8" t="s">
        <v>871</v>
      </c>
      <c r="CJX115" s="8" t="s">
        <v>212</v>
      </c>
      <c r="CPL115" s="8" t="s">
        <v>871</v>
      </c>
      <c r="CZI115" s="8" t="s">
        <v>871</v>
      </c>
      <c r="DBE115" s="8" t="s">
        <v>871</v>
      </c>
      <c r="DRF115" s="8" t="s">
        <v>218</v>
      </c>
      <c r="EFX115" s="8" t="s">
        <v>4637</v>
      </c>
      <c r="EHT115" s="8" t="s">
        <v>4254</v>
      </c>
    </row>
    <row r="116" spans="1:1016 1028:2026 2072:3066 3080:4069 4122:4376">
      <c r="A116" s="8" t="s">
        <v>1426</v>
      </c>
      <c r="B116" s="10" t="s">
        <v>8083</v>
      </c>
      <c r="C116" s="8">
        <v>456.4566666665487</v>
      </c>
      <c r="D116" s="15">
        <v>23.54333333333328</v>
      </c>
      <c r="RT116" s="8" t="s">
        <v>8083</v>
      </c>
      <c r="AZH116" s="8" t="s">
        <v>872</v>
      </c>
      <c r="BNV116" s="8" t="s">
        <v>2016</v>
      </c>
      <c r="BPR116" s="8" t="s">
        <v>1570</v>
      </c>
      <c r="BTJ116" s="8" t="s">
        <v>211</v>
      </c>
      <c r="BVF116" s="8" t="s">
        <v>211</v>
      </c>
      <c r="BXB116" s="8" t="s">
        <v>211</v>
      </c>
      <c r="BYX116" s="8" t="s">
        <v>211</v>
      </c>
      <c r="CVQ116" s="8" t="s">
        <v>213</v>
      </c>
      <c r="CZZ116" s="8" t="s">
        <v>872</v>
      </c>
      <c r="DBE116" s="8" t="s">
        <v>872</v>
      </c>
      <c r="DBN116" s="8" t="s">
        <v>213</v>
      </c>
      <c r="DBV116" s="8" t="s">
        <v>872</v>
      </c>
      <c r="DSZ116" s="8" t="s">
        <v>219</v>
      </c>
      <c r="EPE116" s="8" t="s">
        <v>4638</v>
      </c>
      <c r="ERA116" s="8" t="s">
        <v>4255</v>
      </c>
    </row>
    <row r="117" spans="1:1016 1028:2026 2072:3066 3080:4069 4122:4376">
      <c r="A117" s="8" t="s">
        <v>1426</v>
      </c>
      <c r="B117" s="10" t="s">
        <v>8084</v>
      </c>
      <c r="C117" s="8">
        <v>456.4566666665487</v>
      </c>
      <c r="D117" s="15">
        <v>23.54333333333328</v>
      </c>
      <c r="RT117" s="8" t="s">
        <v>8084</v>
      </c>
      <c r="AZQ117" s="8" t="s">
        <v>873</v>
      </c>
      <c r="BVD117" s="8" t="s">
        <v>2017</v>
      </c>
      <c r="BWZ117" s="8" t="s">
        <v>1571</v>
      </c>
      <c r="CAR117" s="8" t="s">
        <v>212</v>
      </c>
      <c r="CCN117" s="8" t="s">
        <v>212</v>
      </c>
      <c r="CEJ117" s="8" t="s">
        <v>212</v>
      </c>
      <c r="CGF117" s="8" t="s">
        <v>212</v>
      </c>
      <c r="CWH117" s="8" t="s">
        <v>214</v>
      </c>
      <c r="DAP117" s="8" t="s">
        <v>873</v>
      </c>
      <c r="DBV117" s="8" t="s">
        <v>873</v>
      </c>
      <c r="DCL117" s="8" t="s">
        <v>873</v>
      </c>
      <c r="DUE117" s="8" t="s">
        <v>220</v>
      </c>
      <c r="ERO117" s="8" t="s">
        <v>4639</v>
      </c>
      <c r="ETK117" s="8" t="s">
        <v>4256</v>
      </c>
    </row>
    <row r="118" spans="1:1016 1028:2026 2072:3066 3080:4069 4122:4376">
      <c r="A118" s="8" t="s">
        <v>1426</v>
      </c>
      <c r="B118" s="10" t="s">
        <v>8085</v>
      </c>
      <c r="C118" s="8">
        <v>504.4566666665487</v>
      </c>
      <c r="D118" s="15">
        <v>23.54333333333328</v>
      </c>
      <c r="TP118" s="8" t="s">
        <v>8085</v>
      </c>
      <c r="AZA118" s="8" t="s">
        <v>215</v>
      </c>
      <c r="AZY118" s="8" t="s">
        <v>874</v>
      </c>
      <c r="CGW118" s="8" t="s">
        <v>2018</v>
      </c>
      <c r="CIS118" s="8" t="s">
        <v>1572</v>
      </c>
      <c r="CMK118" s="8" t="s">
        <v>213</v>
      </c>
      <c r="COG118" s="8" t="s">
        <v>213</v>
      </c>
      <c r="CQC118" s="8" t="s">
        <v>213</v>
      </c>
      <c r="CRY118" s="8" t="s">
        <v>213</v>
      </c>
      <c r="CVT118" s="8" t="s">
        <v>215</v>
      </c>
      <c r="CWX118" s="8" t="s">
        <v>215</v>
      </c>
      <c r="DCL118" s="8" t="s">
        <v>874</v>
      </c>
      <c r="DEW118" s="8" t="s">
        <v>874</v>
      </c>
      <c r="DGS118" s="8" t="s">
        <v>874</v>
      </c>
      <c r="DUV118" s="8" t="s">
        <v>221</v>
      </c>
      <c r="ESV118" s="8" t="s">
        <v>4640</v>
      </c>
      <c r="EUR118" s="8" t="s">
        <v>4257</v>
      </c>
    </row>
    <row r="119" spans="1:1016 1028:2026 2072:3066 3080:4069 4122:4376">
      <c r="A119" s="8" t="s">
        <v>1426</v>
      </c>
      <c r="B119" s="10" t="s">
        <v>8086</v>
      </c>
      <c r="C119" s="8">
        <v>504.4566666665487</v>
      </c>
      <c r="D119" s="15">
        <v>23.54333333333328</v>
      </c>
      <c r="TP119" s="8" t="s">
        <v>8086</v>
      </c>
      <c r="BAF119" s="8" t="s">
        <v>216</v>
      </c>
      <c r="BBD119" s="8" t="s">
        <v>216</v>
      </c>
      <c r="BCB119" s="8" t="s">
        <v>875</v>
      </c>
      <c r="CHN119" s="8" t="s">
        <v>2019</v>
      </c>
      <c r="CJJ119" s="8" t="s">
        <v>1573</v>
      </c>
      <c r="CNB119" s="8" t="s">
        <v>214</v>
      </c>
      <c r="COX119" s="8" t="s">
        <v>214</v>
      </c>
      <c r="CQT119" s="8" t="s">
        <v>214</v>
      </c>
      <c r="CSP119" s="8" t="s">
        <v>214</v>
      </c>
      <c r="DBE119" s="8" t="s">
        <v>216</v>
      </c>
      <c r="DFN119" s="8" t="s">
        <v>875</v>
      </c>
      <c r="DGS119" s="8" t="s">
        <v>875</v>
      </c>
      <c r="DHG119" s="8" t="s">
        <v>216</v>
      </c>
      <c r="DHJ119" s="8" t="s">
        <v>875</v>
      </c>
      <c r="ECK119" s="8" t="s">
        <v>222</v>
      </c>
      <c r="EUR119" s="8" t="s">
        <v>4641</v>
      </c>
      <c r="EWN119" s="8" t="s">
        <v>4258</v>
      </c>
    </row>
    <row r="120" spans="1:1016 1028:2026 2072:3066 3080:4069 4122:4376">
      <c r="A120" s="8" t="s">
        <v>1426</v>
      </c>
      <c r="B120" s="10" t="s">
        <v>8087</v>
      </c>
      <c r="C120" s="8">
        <v>552.45722222223412</v>
      </c>
      <c r="D120" s="15">
        <v>263.54277777777793</v>
      </c>
      <c r="AER120" s="8" t="s">
        <v>8087</v>
      </c>
      <c r="BAO120" s="8" t="s">
        <v>217</v>
      </c>
      <c r="BBM120" s="8" t="s">
        <v>217</v>
      </c>
      <c r="BCK120" s="8" t="s">
        <v>876</v>
      </c>
      <c r="CID120" s="8" t="s">
        <v>2020</v>
      </c>
      <c r="CJZ120" s="8" t="s">
        <v>1574</v>
      </c>
      <c r="CNR120" s="8" t="s">
        <v>215</v>
      </c>
      <c r="CPN120" s="8" t="s">
        <v>215</v>
      </c>
      <c r="CRJ120" s="8" t="s">
        <v>215</v>
      </c>
      <c r="CTF120" s="8" t="s">
        <v>215</v>
      </c>
      <c r="DBV120" s="8" t="s">
        <v>217</v>
      </c>
      <c r="DGD120" s="8" t="s">
        <v>876</v>
      </c>
      <c r="DHJ120" s="8" t="s">
        <v>876</v>
      </c>
      <c r="DHZ120" s="8" t="s">
        <v>876</v>
      </c>
      <c r="EED120" s="8" t="s">
        <v>223</v>
      </c>
    </row>
    <row r="121" spans="1:1016 1028:2026 2072:3066 3080:4069 4122:4376">
      <c r="A121" s="8" t="s">
        <v>1426</v>
      </c>
      <c r="B121" s="10" t="s">
        <v>8088</v>
      </c>
      <c r="C121" s="8">
        <v>840.4566666665487</v>
      </c>
      <c r="D121" s="15">
        <v>23.54333333333328</v>
      </c>
      <c r="AGN121" s="8" t="s">
        <v>8088</v>
      </c>
      <c r="BAW121" s="8" t="s">
        <v>218</v>
      </c>
      <c r="BBU121" s="8" t="s">
        <v>218</v>
      </c>
      <c r="BCS121" s="8" t="s">
        <v>877</v>
      </c>
      <c r="CMK121" s="8" t="s">
        <v>2021</v>
      </c>
      <c r="COG121" s="8" t="s">
        <v>1575</v>
      </c>
      <c r="CRY121" s="8" t="s">
        <v>216</v>
      </c>
      <c r="CTU121" s="8" t="s">
        <v>216</v>
      </c>
      <c r="CVQ121" s="8" t="s">
        <v>216</v>
      </c>
      <c r="CXM121" s="8" t="s">
        <v>216</v>
      </c>
      <c r="CYT121" s="8" t="s">
        <v>877</v>
      </c>
      <c r="DCL121" s="8" t="s">
        <v>218</v>
      </c>
      <c r="DHZ121" s="8" t="s">
        <v>877</v>
      </c>
      <c r="DPJ121" s="8" t="s">
        <v>877</v>
      </c>
      <c r="DRF121" s="8" t="s">
        <v>877</v>
      </c>
      <c r="EJP121" s="8" t="s">
        <v>224</v>
      </c>
    </row>
    <row r="122" spans="1:1016 1028:2026 2072:3066 3080:4069 4122:4376">
      <c r="A122" s="8" t="s">
        <v>1426</v>
      </c>
      <c r="B122" s="10" t="s">
        <v>8089</v>
      </c>
      <c r="C122" s="8">
        <v>888.4566666665487</v>
      </c>
      <c r="D122" s="15">
        <v>23.54333333333328</v>
      </c>
      <c r="AIJ122" s="8" t="s">
        <v>8089</v>
      </c>
      <c r="BFM122" s="8" t="s">
        <v>219</v>
      </c>
      <c r="BGK122" s="8" t="s">
        <v>219</v>
      </c>
      <c r="BHI122" s="8" t="s">
        <v>878</v>
      </c>
      <c r="CNB122" s="8" t="s">
        <v>2022</v>
      </c>
      <c r="COX122" s="8" t="s">
        <v>1576</v>
      </c>
      <c r="CSP122" s="8" t="s">
        <v>217</v>
      </c>
      <c r="CUL122" s="8" t="s">
        <v>217</v>
      </c>
      <c r="CWH122" s="8" t="s">
        <v>217</v>
      </c>
      <c r="CYD122" s="8" t="s">
        <v>217</v>
      </c>
      <c r="DLR122" s="8" t="s">
        <v>219</v>
      </c>
      <c r="DPJ122" s="8" t="s">
        <v>878</v>
      </c>
      <c r="DPP122" s="8" t="s">
        <v>219</v>
      </c>
      <c r="DRD122" s="8" t="s">
        <v>878</v>
      </c>
      <c r="DRF122" s="8" t="s">
        <v>878</v>
      </c>
      <c r="DSZ122" s="8" t="s">
        <v>878</v>
      </c>
      <c r="ERB122" s="8" t="s">
        <v>225</v>
      </c>
    </row>
    <row r="123" spans="1:1016 1028:2026 2072:3066 3080:4069 4122:4376">
      <c r="A123" s="8" t="s">
        <v>1426</v>
      </c>
      <c r="B123" s="10" t="s">
        <v>8090</v>
      </c>
      <c r="C123" s="8">
        <v>888.4566666665487</v>
      </c>
      <c r="D123" s="15">
        <v>23.54333333333328</v>
      </c>
      <c r="AIJ123" s="8" t="s">
        <v>8090</v>
      </c>
      <c r="BGJ123" s="8" t="s">
        <v>220</v>
      </c>
      <c r="BHH123" s="8" t="s">
        <v>220</v>
      </c>
      <c r="BIF123" s="8" t="s">
        <v>879</v>
      </c>
      <c r="CNR123" s="8" t="s">
        <v>2023</v>
      </c>
      <c r="CPN123" s="8" t="s">
        <v>1577</v>
      </c>
      <c r="CTF123" s="8" t="s">
        <v>218</v>
      </c>
      <c r="CVB123" s="8" t="s">
        <v>218</v>
      </c>
      <c r="CWX123" s="8" t="s">
        <v>218</v>
      </c>
      <c r="CYT123" s="8" t="s">
        <v>218</v>
      </c>
      <c r="DNL123" s="8" t="s">
        <v>220</v>
      </c>
      <c r="DQM123" s="8" t="s">
        <v>220</v>
      </c>
      <c r="DRD123" s="8" t="s">
        <v>879</v>
      </c>
      <c r="DSI123" s="8" t="s">
        <v>879</v>
      </c>
      <c r="DSZ123" s="8" t="s">
        <v>879</v>
      </c>
      <c r="DUE123" s="8" t="s">
        <v>879</v>
      </c>
      <c r="EZM123" s="8" t="s">
        <v>226</v>
      </c>
    </row>
    <row r="124" spans="1:1016 1028:2026 2072:3066 3080:4069 4122:4376">
      <c r="A124" s="8" t="s">
        <v>1426</v>
      </c>
      <c r="B124" s="10" t="s">
        <v>8091</v>
      </c>
      <c r="C124" s="8">
        <v>936.4566666665487</v>
      </c>
      <c r="D124" s="15">
        <v>23.54333333333328</v>
      </c>
      <c r="AKF124" s="8" t="s">
        <v>8091</v>
      </c>
      <c r="BGZ124" s="8" t="s">
        <v>221</v>
      </c>
      <c r="BHX124" s="8" t="s">
        <v>221</v>
      </c>
      <c r="BIV124" s="8" t="s">
        <v>880</v>
      </c>
      <c r="CWX124" s="8" t="s">
        <v>2024</v>
      </c>
      <c r="CYT124" s="8" t="s">
        <v>1578</v>
      </c>
      <c r="DCL124" s="8" t="s">
        <v>219</v>
      </c>
      <c r="DEH124" s="8" t="s">
        <v>219</v>
      </c>
      <c r="DGD124" s="8" t="s">
        <v>219</v>
      </c>
      <c r="DHZ124" s="8" t="s">
        <v>219</v>
      </c>
      <c r="DOQ124" s="8" t="s">
        <v>221</v>
      </c>
      <c r="DSZ124" s="8" t="s">
        <v>880</v>
      </c>
      <c r="DUE124" s="8" t="s">
        <v>880</v>
      </c>
      <c r="DUN124" s="8" t="s">
        <v>221</v>
      </c>
      <c r="DUV124" s="8" t="s">
        <v>880</v>
      </c>
      <c r="FBN124" s="8" t="s">
        <v>227</v>
      </c>
    </row>
    <row r="125" spans="1:1016 1028:2026 2072:3066 3080:4069 4122:4376">
      <c r="A125" s="8" t="s">
        <v>1426</v>
      </c>
      <c r="B125" s="10" t="s">
        <v>8092</v>
      </c>
      <c r="C125" s="8">
        <v>936.4566666665487</v>
      </c>
      <c r="D125" s="15">
        <v>23.54333333333328</v>
      </c>
      <c r="AKF125" s="8" t="s">
        <v>8092</v>
      </c>
      <c r="BHH125" s="8" t="s">
        <v>222</v>
      </c>
      <c r="BIF125" s="8" t="s">
        <v>222</v>
      </c>
      <c r="BJD125" s="8" t="s">
        <v>881</v>
      </c>
      <c r="CYR125" s="8" t="s">
        <v>2025</v>
      </c>
      <c r="DAN125" s="8" t="s">
        <v>1579</v>
      </c>
      <c r="DEF125" s="8" t="s">
        <v>220</v>
      </c>
      <c r="DGB125" s="8" t="s">
        <v>220</v>
      </c>
      <c r="DHX125" s="8" t="s">
        <v>220</v>
      </c>
      <c r="DJT125" s="8" t="s">
        <v>220</v>
      </c>
      <c r="DMX125" s="8" t="s">
        <v>222</v>
      </c>
      <c r="DNL125" s="8" t="s">
        <v>881</v>
      </c>
      <c r="DPH125" s="8" t="s">
        <v>222</v>
      </c>
      <c r="DUV125" s="8" t="s">
        <v>881</v>
      </c>
      <c r="EAO125" s="8" t="s">
        <v>881</v>
      </c>
      <c r="ECK125" s="8" t="s">
        <v>881</v>
      </c>
      <c r="FCD125" s="8" t="s">
        <v>228</v>
      </c>
    </row>
    <row r="126" spans="1:1016 1028:2026 2072:3066 3080:4069 4122:4376">
      <c r="A126" s="8" t="s">
        <v>1426</v>
      </c>
      <c r="B126" s="10" t="s">
        <v>8093</v>
      </c>
      <c r="C126" s="8">
        <v>984.4566666665487</v>
      </c>
      <c r="D126" s="15">
        <v>23.54333333333328</v>
      </c>
      <c r="AMB126" s="8" t="s">
        <v>8093</v>
      </c>
      <c r="BAA126" s="8" t="s">
        <v>1449</v>
      </c>
      <c r="BLC126" s="8" t="s">
        <v>223</v>
      </c>
      <c r="BMA126" s="8" t="s">
        <v>223</v>
      </c>
      <c r="BMY126" s="8" t="s">
        <v>882</v>
      </c>
      <c r="CZW126" s="8" t="s">
        <v>2026</v>
      </c>
      <c r="DBS126" s="8" t="s">
        <v>1580</v>
      </c>
      <c r="DFK126" s="8" t="s">
        <v>221</v>
      </c>
      <c r="DHG126" s="8" t="s">
        <v>221</v>
      </c>
      <c r="DJC126" s="8" t="s">
        <v>221</v>
      </c>
      <c r="DKY126" s="8" t="s">
        <v>221</v>
      </c>
      <c r="DWW126" s="8" t="s">
        <v>223</v>
      </c>
      <c r="EAO126" s="8" t="s">
        <v>882</v>
      </c>
      <c r="EBE126" s="8" t="s">
        <v>223</v>
      </c>
      <c r="ECH126" s="8" t="s">
        <v>882</v>
      </c>
      <c r="ECK126" s="8" t="s">
        <v>882</v>
      </c>
      <c r="EED126" s="8" t="s">
        <v>882</v>
      </c>
      <c r="FHP126" s="8" t="s">
        <v>229</v>
      </c>
    </row>
    <row r="127" spans="1:1016 1028:2026 2072:3066 3080:4069 4122:4376">
      <c r="A127" s="8" t="s">
        <v>1426</v>
      </c>
      <c r="B127" s="10" t="s">
        <v>8094</v>
      </c>
      <c r="C127" s="8">
        <v>1032.4566666665487</v>
      </c>
      <c r="D127" s="15">
        <v>23.54333333333328</v>
      </c>
      <c r="ANX127" s="8" t="s">
        <v>8094</v>
      </c>
      <c r="BAE127" s="8" t="s">
        <v>1450</v>
      </c>
      <c r="BLY127" s="8" t="s">
        <v>224</v>
      </c>
      <c r="BMW127" s="8" t="s">
        <v>224</v>
      </c>
      <c r="BNU127" s="8" t="s">
        <v>883</v>
      </c>
      <c r="DAN127" s="8" t="s">
        <v>2027</v>
      </c>
      <c r="DCJ127" s="8" t="s">
        <v>1581</v>
      </c>
      <c r="DGB127" s="8" t="s">
        <v>222</v>
      </c>
      <c r="DHX127" s="8" t="s">
        <v>222</v>
      </c>
      <c r="DJT127" s="8" t="s">
        <v>222</v>
      </c>
      <c r="DLP127" s="8" t="s">
        <v>222</v>
      </c>
      <c r="DYP127" s="8" t="s">
        <v>224</v>
      </c>
      <c r="DYQ127" s="8" t="s">
        <v>224</v>
      </c>
      <c r="EED127" s="8" t="s">
        <v>883</v>
      </c>
      <c r="EHT127" s="8" t="s">
        <v>883</v>
      </c>
      <c r="EJP127" s="8" t="s">
        <v>883</v>
      </c>
    </row>
    <row r="128" spans="1:1016 1028:2026 2072:3066 3080:4069 4122:4376">
      <c r="A128" s="8" t="s">
        <v>1426</v>
      </c>
      <c r="B128" s="10" t="s">
        <v>8095</v>
      </c>
      <c r="C128" s="8">
        <v>1032.4566666665487</v>
      </c>
      <c r="D128" s="15">
        <v>23.54333333333328</v>
      </c>
      <c r="ANX128" s="8" t="s">
        <v>8095</v>
      </c>
      <c r="AYZ128" s="8" t="s">
        <v>201</v>
      </c>
      <c r="BAV128" s="8" t="s">
        <v>201</v>
      </c>
      <c r="BOR128" s="8" t="s">
        <v>225</v>
      </c>
      <c r="BPP128" s="8" t="s">
        <v>225</v>
      </c>
      <c r="BQN128" s="8" t="s">
        <v>884</v>
      </c>
      <c r="DIC128" s="8" t="s">
        <v>2028</v>
      </c>
      <c r="DJY128" s="8" t="s">
        <v>1582</v>
      </c>
      <c r="DNQ128" s="8" t="s">
        <v>223</v>
      </c>
      <c r="DPM128" s="8" t="s">
        <v>223</v>
      </c>
      <c r="DRI128" s="8" t="s">
        <v>223</v>
      </c>
      <c r="DTE128" s="8" t="s">
        <v>223</v>
      </c>
      <c r="ECE128" s="8" t="s">
        <v>225</v>
      </c>
      <c r="ECF128" s="8" t="s">
        <v>884</v>
      </c>
      <c r="EEB128" s="8" t="s">
        <v>225</v>
      </c>
      <c r="EJP128" s="8" t="s">
        <v>884</v>
      </c>
      <c r="EPF128" s="8" t="s">
        <v>884</v>
      </c>
      <c r="ERB128" s="8" t="s">
        <v>884</v>
      </c>
    </row>
    <row r="129" spans="1:8 1112:2043 2049:3034 3128:4090 4122:4280 8736:8744">
      <c r="A129" s="8" t="s">
        <v>1426</v>
      </c>
      <c r="B129" s="10" t="s">
        <v>8096</v>
      </c>
      <c r="C129" s="8">
        <v>1080.4566666665487</v>
      </c>
      <c r="D129" s="15">
        <v>23.54333333333328</v>
      </c>
      <c r="APT129" s="8" t="s">
        <v>8096</v>
      </c>
      <c r="BFE129" s="8" t="s">
        <v>202</v>
      </c>
      <c r="BHA129" s="8" t="s">
        <v>202</v>
      </c>
      <c r="BSK129" s="8" t="s">
        <v>226</v>
      </c>
      <c r="BTI129" s="8" t="s">
        <v>226</v>
      </c>
      <c r="BUG129" s="8" t="s">
        <v>885</v>
      </c>
      <c r="DJV129" s="8" t="s">
        <v>2029</v>
      </c>
      <c r="DLR129" s="8" t="s">
        <v>1583</v>
      </c>
      <c r="DPJ129" s="8" t="s">
        <v>224</v>
      </c>
      <c r="DRF129" s="8" t="s">
        <v>224</v>
      </c>
      <c r="DTB129" s="8" t="s">
        <v>224</v>
      </c>
      <c r="DUX129" s="8" t="s">
        <v>224</v>
      </c>
      <c r="EHI129" s="8" t="s">
        <v>226</v>
      </c>
      <c r="EHV129" s="8" t="s">
        <v>885</v>
      </c>
      <c r="ELN129" s="8" t="s">
        <v>226</v>
      </c>
      <c r="ERB129" s="8" t="s">
        <v>885</v>
      </c>
      <c r="EXQ129" s="8" t="s">
        <v>885</v>
      </c>
      <c r="EZM129" s="8" t="s">
        <v>885</v>
      </c>
    </row>
    <row r="130" spans="1:8 1112:2043 2049:3034 3128:4090 4122:4280 8736:8744">
      <c r="A130" s="8" t="s">
        <v>1426</v>
      </c>
      <c r="B130" s="10" t="s">
        <v>8097</v>
      </c>
      <c r="C130" s="8">
        <v>1080.4566666665487</v>
      </c>
      <c r="D130" s="15">
        <v>23.54333333333328</v>
      </c>
      <c r="APT130" s="8" t="s">
        <v>8097</v>
      </c>
      <c r="BFN130" s="8" t="s">
        <v>203</v>
      </c>
      <c r="BHJ130" s="8" t="s">
        <v>203</v>
      </c>
      <c r="BWQ130" s="8" t="s">
        <v>227</v>
      </c>
      <c r="BXO130" s="8" t="s">
        <v>227</v>
      </c>
      <c r="BYM130" s="8" t="s">
        <v>886</v>
      </c>
      <c r="DPH130" s="8" t="s">
        <v>2030</v>
      </c>
      <c r="DRD130" s="8" t="s">
        <v>1584</v>
      </c>
      <c r="DUV130" s="8" t="s">
        <v>225</v>
      </c>
      <c r="DWR130" s="8" t="s">
        <v>225</v>
      </c>
      <c r="DYN130" s="8" t="s">
        <v>225</v>
      </c>
      <c r="EAJ130" s="8" t="s">
        <v>225</v>
      </c>
      <c r="ETY130" s="8" t="s">
        <v>227</v>
      </c>
      <c r="EXQ130" s="8" t="s">
        <v>886</v>
      </c>
      <c r="EXY130" s="8" t="s">
        <v>227</v>
      </c>
      <c r="EZM130" s="8" t="s">
        <v>886</v>
      </c>
      <c r="EZR130" s="8" t="s">
        <v>886</v>
      </c>
      <c r="FBN130" s="8" t="s">
        <v>886</v>
      </c>
    </row>
    <row r="131" spans="1:8 1112:2043 2049:3034 3128:4090 4122:4280 8736:8744">
      <c r="A131" s="8" t="s">
        <v>1426</v>
      </c>
      <c r="B131" s="10" t="s">
        <v>8098</v>
      </c>
      <c r="C131" s="8">
        <v>1128.4566666665487</v>
      </c>
      <c r="D131" s="15">
        <v>23.54333333333328</v>
      </c>
      <c r="ARP131" s="8" t="s">
        <v>8098</v>
      </c>
      <c r="BFV131" s="8" t="s">
        <v>204</v>
      </c>
      <c r="BHR131" s="8" t="s">
        <v>204</v>
      </c>
      <c r="BXQ131" s="8" t="s">
        <v>228</v>
      </c>
      <c r="BYO131" s="8" t="s">
        <v>228</v>
      </c>
      <c r="BZM131" s="8" t="s">
        <v>887</v>
      </c>
      <c r="DWT131" s="8" t="s">
        <v>2031</v>
      </c>
      <c r="DYP131" s="8" t="s">
        <v>1585</v>
      </c>
      <c r="ECH131" s="8" t="s">
        <v>226</v>
      </c>
      <c r="EED131" s="8" t="s">
        <v>226</v>
      </c>
      <c r="EFZ131" s="8" t="s">
        <v>226</v>
      </c>
      <c r="EHV131" s="8" t="s">
        <v>226</v>
      </c>
      <c r="EVZ131" s="8" t="s">
        <v>228</v>
      </c>
      <c r="FAH131" s="8" t="s">
        <v>887</v>
      </c>
      <c r="FBN131" s="8" t="s">
        <v>887</v>
      </c>
      <c r="FBS131" s="8" t="s">
        <v>228</v>
      </c>
      <c r="FCD131" s="8" t="s">
        <v>887</v>
      </c>
    </row>
    <row r="132" spans="1:8 1112:2043 2049:3034 3128:4090 4122:4280 8736:8744">
      <c r="A132" s="8" t="s">
        <v>1426</v>
      </c>
      <c r="B132" s="10" t="s">
        <v>8099</v>
      </c>
      <c r="C132" s="8">
        <v>1128.4566666665487</v>
      </c>
      <c r="D132" s="15">
        <v>23.54333333333328</v>
      </c>
      <c r="ARP132" s="8" t="s">
        <v>8099</v>
      </c>
      <c r="BHR132" s="8" t="s">
        <v>1451</v>
      </c>
      <c r="BJN132" s="8" t="s">
        <v>1451</v>
      </c>
      <c r="BXY132" s="8" t="s">
        <v>229</v>
      </c>
      <c r="BYW132" s="8" t="s">
        <v>229</v>
      </c>
      <c r="BZU132" s="8" t="s">
        <v>888</v>
      </c>
      <c r="DXH132" s="8" t="s">
        <v>2032</v>
      </c>
      <c r="DZD132" s="8" t="s">
        <v>1586</v>
      </c>
      <c r="ECV132" s="8" t="s">
        <v>197</v>
      </c>
      <c r="EER132" s="8" t="s">
        <v>197</v>
      </c>
      <c r="EGN132" s="8" t="s">
        <v>197</v>
      </c>
      <c r="EIJ132" s="8" t="s">
        <v>197</v>
      </c>
      <c r="EWP132" s="8" t="s">
        <v>229</v>
      </c>
      <c r="EWY132" s="8" t="s">
        <v>229</v>
      </c>
      <c r="FCD132" s="8" t="s">
        <v>888</v>
      </c>
      <c r="FFT132" s="8" t="s">
        <v>888</v>
      </c>
      <c r="FHP132" s="8" t="s">
        <v>888</v>
      </c>
    </row>
    <row r="133" spans="1:8 1112:2043 2049:3034 3128:4090 4122:4280 8736:8744">
      <c r="A133" s="8" t="s">
        <v>1426</v>
      </c>
      <c r="B133" s="10" t="s">
        <v>8100</v>
      </c>
      <c r="C133" s="8">
        <v>1176.4566666665487</v>
      </c>
      <c r="D133" s="15">
        <v>23.54333333333328</v>
      </c>
      <c r="ATL133" s="8" t="s">
        <v>8100</v>
      </c>
      <c r="BIH133" s="8" t="s">
        <v>205</v>
      </c>
      <c r="BKD133" s="8" t="s">
        <v>205</v>
      </c>
      <c r="CAR133" s="8" t="s">
        <v>230</v>
      </c>
      <c r="CBP133" s="8" t="s">
        <v>230</v>
      </c>
      <c r="CCN133" s="8" t="s">
        <v>1392</v>
      </c>
      <c r="DXZ133" s="8" t="s">
        <v>2033</v>
      </c>
      <c r="DZV133" s="8" t="s">
        <v>1587</v>
      </c>
      <c r="EDN133" s="8" t="s">
        <v>196</v>
      </c>
      <c r="EFJ133" s="8" t="s">
        <v>196</v>
      </c>
      <c r="EHF133" s="8" t="s">
        <v>196</v>
      </c>
      <c r="EJB133" s="8" t="s">
        <v>196</v>
      </c>
      <c r="FCB133" s="8" t="s">
        <v>230</v>
      </c>
      <c r="FHP133" s="8" t="s">
        <v>1392</v>
      </c>
      <c r="LWZ133" s="8" t="s">
        <v>230</v>
      </c>
      <c r="LXH133" s="8" t="s">
        <v>1392</v>
      </c>
    </row>
    <row r="134" spans="1:8 1112:2043 2049:3034 3128:4090 4122:4280 8736:8744">
      <c r="A134" s="8" t="s">
        <v>1426</v>
      </c>
      <c r="B134" s="10" t="s">
        <v>8101</v>
      </c>
      <c r="C134" s="8">
        <v>1176.4566666665487</v>
      </c>
      <c r="D134" s="15">
        <v>23.54333333333328</v>
      </c>
      <c r="ATL134" s="8" t="s">
        <v>8101</v>
      </c>
      <c r="BJF134" s="8" t="s">
        <v>206</v>
      </c>
      <c r="BLB134" s="8" t="s">
        <v>206</v>
      </c>
      <c r="EFE134" s="8" t="s">
        <v>2034</v>
      </c>
      <c r="EHA134" s="8" t="s">
        <v>1588</v>
      </c>
      <c r="EKS134" s="8" t="s">
        <v>227</v>
      </c>
      <c r="EMO134" s="8" t="s">
        <v>227</v>
      </c>
      <c r="EOK134" s="8" t="s">
        <v>227</v>
      </c>
      <c r="EQG134" s="8" t="s">
        <v>227</v>
      </c>
    </row>
    <row r="135" spans="1:8 1112:2043 2049:3034 3128:4090 4122:4280 8736:8744">
      <c r="A135" s="8" t="s">
        <v>1426</v>
      </c>
      <c r="B135" s="10" t="s">
        <v>8102</v>
      </c>
      <c r="C135" s="8">
        <v>1224.4566666665487</v>
      </c>
      <c r="D135" s="15">
        <v>23.54333333333328</v>
      </c>
      <c r="AVH135" s="8" t="s">
        <v>8102</v>
      </c>
      <c r="BLC135" s="8" t="s">
        <v>1452</v>
      </c>
      <c r="BMY135" s="8" t="s">
        <v>1452</v>
      </c>
      <c r="EHF135" s="8" t="s">
        <v>2035</v>
      </c>
      <c r="EJB135" s="8" t="s">
        <v>1589</v>
      </c>
      <c r="EMT135" s="8" t="s">
        <v>228</v>
      </c>
      <c r="EOP135" s="8" t="s">
        <v>228</v>
      </c>
      <c r="EQL135" s="8" t="s">
        <v>228</v>
      </c>
      <c r="ESH135" s="8" t="s">
        <v>228</v>
      </c>
    </row>
    <row r="136" spans="1:8 1112:2043 2049:3034 3128:4090 4122:4280 8736:8744">
      <c r="A136" s="8" t="s">
        <v>1426</v>
      </c>
      <c r="B136" s="10" t="s">
        <v>8103</v>
      </c>
      <c r="C136" s="8">
        <v>1224.4566666665487</v>
      </c>
      <c r="D136" s="15">
        <v>23.54333333333328</v>
      </c>
      <c r="AVH136" s="8" t="s">
        <v>8103</v>
      </c>
      <c r="BLT136" s="8" t="s">
        <v>207</v>
      </c>
      <c r="BNP136" s="8" t="s">
        <v>207</v>
      </c>
      <c r="EHV136" s="8" t="s">
        <v>2036</v>
      </c>
      <c r="EJR136" s="8" t="s">
        <v>1590</v>
      </c>
      <c r="ENJ136" s="8" t="s">
        <v>229</v>
      </c>
      <c r="EPF136" s="8" t="s">
        <v>229</v>
      </c>
      <c r="ERB136" s="8" t="s">
        <v>229</v>
      </c>
      <c r="ESX136" s="8" t="s">
        <v>229</v>
      </c>
    </row>
    <row r="137" spans="1:8 1112:2043 2049:3034 3128:4090 4122:4280 8736:8744">
      <c r="A137" s="8" t="s">
        <v>1426</v>
      </c>
      <c r="B137" s="10" t="s">
        <v>8104</v>
      </c>
      <c r="C137" s="8">
        <v>1272.4566666665487</v>
      </c>
      <c r="D137" s="15">
        <v>23.54333333333328</v>
      </c>
      <c r="AXD137" s="8" t="s">
        <v>8104</v>
      </c>
      <c r="BLX137" s="8" t="s">
        <v>208</v>
      </c>
      <c r="BNT137" s="8" t="s">
        <v>208</v>
      </c>
      <c r="ENH137" s="8" t="s">
        <v>2037</v>
      </c>
      <c r="EPD137" s="8" t="s">
        <v>1591</v>
      </c>
      <c r="ESV137" s="8" t="s">
        <v>230</v>
      </c>
      <c r="EUR137" s="8" t="s">
        <v>230</v>
      </c>
      <c r="EWN137" s="8" t="s">
        <v>230</v>
      </c>
      <c r="EYJ137" s="8" t="s">
        <v>230</v>
      </c>
    </row>
    <row r="138" spans="1:8 1112:2043 2049:3034 3128:4090 4122:4280 8736:8744">
      <c r="A138" s="8" t="s">
        <v>1426</v>
      </c>
      <c r="B138" s="10" t="s">
        <v>8105</v>
      </c>
      <c r="C138" s="8">
        <v>1272.4566666665487</v>
      </c>
      <c r="D138" s="15">
        <v>23.54333333333328</v>
      </c>
      <c r="AXD138" s="8" t="s">
        <v>8105</v>
      </c>
      <c r="BXS138" s="8" t="s">
        <v>209</v>
      </c>
      <c r="BZO138" s="8" t="s">
        <v>209</v>
      </c>
      <c r="EUT138" s="8" t="s">
        <v>2038</v>
      </c>
      <c r="EWP138" s="8" t="s">
        <v>1592</v>
      </c>
      <c r="FAH138" s="8" t="s">
        <v>1453</v>
      </c>
      <c r="FCD138" s="8" t="s">
        <v>1453</v>
      </c>
      <c r="FDZ138" s="8" t="s">
        <v>1453</v>
      </c>
      <c r="FFV138" s="8" t="s">
        <v>1453</v>
      </c>
    </row>
    <row r="139" spans="1:8 1112:2043 2049:3034 3128:4090 4122:4280 8736:8744">
      <c r="A139" s="8" t="s">
        <v>1426</v>
      </c>
      <c r="B139" s="10" t="s">
        <v>8106</v>
      </c>
      <c r="C139" s="8">
        <v>1320.4566666665487</v>
      </c>
      <c r="D139" s="15">
        <v>23.54333333333328</v>
      </c>
      <c r="AYZ139" s="8" t="s">
        <v>8106</v>
      </c>
      <c r="BYA139" s="8" t="s">
        <v>210</v>
      </c>
      <c r="BZW139" s="8" t="s">
        <v>210</v>
      </c>
      <c r="EWN139" s="8" t="s">
        <v>2039</v>
      </c>
      <c r="EYJ139" s="8" t="s">
        <v>1593</v>
      </c>
      <c r="FCB139" s="8" t="s">
        <v>1454</v>
      </c>
      <c r="FDX139" s="8" t="s">
        <v>1454</v>
      </c>
      <c r="FFT139" s="8" t="s">
        <v>1454</v>
      </c>
      <c r="FHP139" s="8" t="s">
        <v>1454</v>
      </c>
    </row>
    <row r="140" spans="1:8 1112:2043 2049:3034 3128:4090 4122:4280 8736:8744">
      <c r="A140" s="8" t="s">
        <v>1426</v>
      </c>
      <c r="B140" s="10" t="s">
        <v>8107</v>
      </c>
      <c r="C140" s="8">
        <v>1320.4566666665487</v>
      </c>
      <c r="D140" s="15">
        <v>23.54333333333328</v>
      </c>
      <c r="AYZ140" s="8" t="s">
        <v>8107</v>
      </c>
      <c r="BYX140" s="8" t="s">
        <v>211</v>
      </c>
      <c r="CAT140" s="8" t="s">
        <v>211</v>
      </c>
    </row>
    <row r="141" spans="1:8 1112:2043 2049:3034 3128:4090 4122:4280 8736:8744">
      <c r="A141" s="8" t="s">
        <v>1426</v>
      </c>
      <c r="B141" s="10" t="s">
        <v>8108</v>
      </c>
      <c r="C141" s="8">
        <v>1368.4566666665487</v>
      </c>
      <c r="D141" s="15">
        <v>23.54333333333328</v>
      </c>
      <c r="BAV141" s="8" t="s">
        <v>8108</v>
      </c>
      <c r="CGF141" s="8" t="s">
        <v>212</v>
      </c>
      <c r="CIB141" s="8" t="s">
        <v>212</v>
      </c>
    </row>
    <row r="142" spans="1:8 1112:2043 2049:3034 3128:4090 4122:4280 8736:8744">
      <c r="A142" s="8" t="s">
        <v>1426</v>
      </c>
      <c r="B142" s="10" t="s">
        <v>8109</v>
      </c>
      <c r="C142" s="8">
        <v>1368.4566666665487</v>
      </c>
      <c r="D142" s="15">
        <v>23.54333333333328</v>
      </c>
      <c r="BAV142" s="8" t="s">
        <v>8109</v>
      </c>
      <c r="CRY142" s="8" t="s">
        <v>213</v>
      </c>
      <c r="CTU142" s="8" t="s">
        <v>213</v>
      </c>
    </row>
    <row r="143" spans="1:8 1112:2043 2049:3034 3128:4090 4122:4280 8736:8744">
      <c r="A143" s="8" t="s">
        <v>1426</v>
      </c>
      <c r="B143" s="10" t="s">
        <v>8110</v>
      </c>
      <c r="C143" s="8">
        <v>1416.4566666665487</v>
      </c>
      <c r="D143" s="15">
        <v>23.54333333333328</v>
      </c>
      <c r="BAZ143" s="8" t="s">
        <v>6686</v>
      </c>
      <c r="BCR143" s="8" t="s">
        <v>8110</v>
      </c>
      <c r="CSP143" s="8" t="s">
        <v>214</v>
      </c>
      <c r="CUL143" s="8" t="s">
        <v>214</v>
      </c>
    </row>
    <row r="144" spans="1:8 1112:2043 2049:3034 3128:4090 4122:4280 8736:8744">
      <c r="A144" s="8" t="s">
        <v>1427</v>
      </c>
      <c r="B144" s="10" t="s">
        <v>8111</v>
      </c>
      <c r="C144" s="8">
        <v>-400.00000000011642</v>
      </c>
      <c r="D144" s="15">
        <v>60.225555555429146</v>
      </c>
      <c r="H144" s="8" t="s">
        <v>8111</v>
      </c>
      <c r="BBS144" s="8" t="s">
        <v>6687</v>
      </c>
      <c r="CTF144" s="8" t="s">
        <v>215</v>
      </c>
      <c r="CVB144" s="8" t="s">
        <v>215</v>
      </c>
    </row>
    <row r="145" spans="1:392 1352:2024 2600:3063 3080:3946">
      <c r="A145" s="8" t="s">
        <v>1427</v>
      </c>
      <c r="B145" s="10" t="s">
        <v>8112</v>
      </c>
      <c r="C145" s="8">
        <v>-254.44999999995343</v>
      </c>
      <c r="D145" s="15">
        <v>11.560555555555197</v>
      </c>
      <c r="H145" s="8" t="s">
        <v>8112</v>
      </c>
      <c r="BIF145" s="8" t="s">
        <v>6689</v>
      </c>
      <c r="CXM145" s="8" t="s">
        <v>216</v>
      </c>
      <c r="CZI145" s="8" t="s">
        <v>216</v>
      </c>
    </row>
    <row r="146" spans="1:392 1352:2024 2600:3063 3080:3946">
      <c r="A146" s="8" t="s">
        <v>1427</v>
      </c>
      <c r="B146" s="10" t="s">
        <v>8113</v>
      </c>
      <c r="C146" s="8">
        <v>34.000000000116415</v>
      </c>
      <c r="D146" s="15">
        <v>10.498333333409549</v>
      </c>
      <c r="AZ146" s="19" t="s">
        <v>8113</v>
      </c>
      <c r="BIF146" s="8" t="s">
        <v>6690</v>
      </c>
      <c r="CYD146" s="8" t="s">
        <v>217</v>
      </c>
      <c r="CZZ146" s="8" t="s">
        <v>217</v>
      </c>
    </row>
    <row r="147" spans="1:392 1352:2024 2600:3063 3080:3946">
      <c r="A147" s="8" t="s">
        <v>1427</v>
      </c>
      <c r="B147" s="10" t="s">
        <v>8114</v>
      </c>
      <c r="C147" s="8">
        <v>49.000000000116415</v>
      </c>
      <c r="D147" s="15">
        <v>12.045000000158485</v>
      </c>
      <c r="BQ147" s="8" t="s">
        <v>8114</v>
      </c>
      <c r="AYZ147" s="8" t="s">
        <v>5230</v>
      </c>
      <c r="BIR147" s="8" t="s">
        <v>6691</v>
      </c>
      <c r="CYT147" s="8" t="s">
        <v>218</v>
      </c>
      <c r="DAP147" s="8" t="s">
        <v>218</v>
      </c>
    </row>
    <row r="148" spans="1:392 1352:2024 2600:3063 3080:3946">
      <c r="A148" s="8" t="s">
        <v>1427</v>
      </c>
      <c r="B148" s="10" t="s">
        <v>8115</v>
      </c>
      <c r="C148" s="8">
        <v>62.044999999925494</v>
      </c>
      <c r="D148" s="15">
        <v>6.0227777777890008</v>
      </c>
      <c r="BX148" s="8" t="s">
        <v>8115</v>
      </c>
      <c r="AYZ148" s="8" t="s">
        <v>5231</v>
      </c>
      <c r="BJU148" s="8" t="s">
        <v>6692</v>
      </c>
      <c r="DHZ148" s="8" t="s">
        <v>219</v>
      </c>
      <c r="DJV148" s="8" t="s">
        <v>219</v>
      </c>
    </row>
    <row r="149" spans="1:392 1352:2024 2600:3063 3080:3946">
      <c r="A149" s="8" t="s">
        <v>1427</v>
      </c>
      <c r="B149" s="10" t="s">
        <v>8116</v>
      </c>
      <c r="C149" s="8">
        <v>69.067777777905576</v>
      </c>
      <c r="D149" s="15">
        <v>30.112777777725892</v>
      </c>
      <c r="DC149" s="8" t="s">
        <v>8116</v>
      </c>
      <c r="AZT149" s="8" t="s">
        <v>5228</v>
      </c>
      <c r="BAK149" s="8" t="s">
        <v>5232</v>
      </c>
      <c r="BKM149" s="8" t="s">
        <v>7146</v>
      </c>
      <c r="DJT149" s="8" t="s">
        <v>220</v>
      </c>
      <c r="DLP149" s="8" t="s">
        <v>220</v>
      </c>
    </row>
    <row r="150" spans="1:392 1352:2024 2600:3063 3080:3946">
      <c r="A150" s="8" t="s">
        <v>1427</v>
      </c>
      <c r="B150" s="10" t="s">
        <v>8117</v>
      </c>
      <c r="C150" s="8">
        <v>101.70055555540603</v>
      </c>
      <c r="D150" s="15">
        <v>12.044999999892575</v>
      </c>
      <c r="DR150" s="8" t="s">
        <v>8117</v>
      </c>
      <c r="AYZ150" s="8" t="s">
        <v>5229</v>
      </c>
      <c r="BAV150" s="8" t="s">
        <v>5233</v>
      </c>
      <c r="BLX150" s="8" t="s">
        <v>6693</v>
      </c>
      <c r="DKY150" s="8" t="s">
        <v>221</v>
      </c>
      <c r="DMU150" s="8" t="s">
        <v>221</v>
      </c>
    </row>
    <row r="151" spans="1:392 1352:2024 2600:3063 3080:3946">
      <c r="A151" s="8" t="s">
        <v>1427</v>
      </c>
      <c r="B151" s="10" t="s">
        <v>8118</v>
      </c>
      <c r="C151" s="8">
        <v>113.22555555542931</v>
      </c>
      <c r="D151" s="15">
        <v>12.119999999985549</v>
      </c>
      <c r="EC151" s="8" t="s">
        <v>8118</v>
      </c>
      <c r="AYZ151" s="8" t="s">
        <v>5230</v>
      </c>
      <c r="BAV151" s="8" t="s">
        <v>5230</v>
      </c>
      <c r="BBT151" s="8" t="s">
        <v>5234</v>
      </c>
      <c r="BLX151" s="8" t="s">
        <v>6694</v>
      </c>
      <c r="DLP151" s="8" t="s">
        <v>222</v>
      </c>
      <c r="DNL151" s="8" t="s">
        <v>222</v>
      </c>
    </row>
    <row r="152" spans="1:392 1352:2024 2600:3063 3080:3946">
      <c r="A152" s="8" t="s">
        <v>1427</v>
      </c>
      <c r="B152" s="10" t="s">
        <v>8119</v>
      </c>
      <c r="C152" s="8">
        <v>129.7511111110216</v>
      </c>
      <c r="D152" s="15">
        <v>5.78055555550735</v>
      </c>
      <c r="EN152" s="8" t="s">
        <v>8119</v>
      </c>
      <c r="AYZ152" s="8" t="s">
        <v>5231</v>
      </c>
      <c r="BAV152" s="8" t="s">
        <v>5231</v>
      </c>
      <c r="BCN152" s="8" t="s">
        <v>5235</v>
      </c>
      <c r="BNT152" s="8" t="s">
        <v>6695</v>
      </c>
      <c r="DTE152" s="8" t="s">
        <v>223</v>
      </c>
      <c r="DVA152" s="8" t="s">
        <v>223</v>
      </c>
    </row>
    <row r="153" spans="1:392 1352:2024 2600:3063 3080:3946">
      <c r="A153" s="8" t="s">
        <v>1427</v>
      </c>
      <c r="B153" s="10" t="s">
        <v>8120</v>
      </c>
      <c r="C153" s="8">
        <v>137.71166666666977</v>
      </c>
      <c r="D153" s="15">
        <v>12.045000000044803</v>
      </c>
      <c r="FB153" s="8" t="s">
        <v>8120</v>
      </c>
      <c r="AZF153" s="8" t="s">
        <v>6239</v>
      </c>
      <c r="BAK153" s="8" t="s">
        <v>5232</v>
      </c>
      <c r="BCG153" s="8" t="s">
        <v>5232</v>
      </c>
      <c r="BCX153" s="8" t="s">
        <v>5236</v>
      </c>
      <c r="BPP153" s="8" t="s">
        <v>6696</v>
      </c>
      <c r="DUX153" s="8" t="s">
        <v>224</v>
      </c>
      <c r="DWT153" s="8" t="s">
        <v>224</v>
      </c>
    </row>
    <row r="154" spans="1:392 1352:2024 2600:3063 3080:3946">
      <c r="A154" s="8" t="s">
        <v>1427</v>
      </c>
      <c r="B154" s="10" t="s">
        <v>8121</v>
      </c>
      <c r="C154" s="8">
        <v>156.79333333333489</v>
      </c>
      <c r="D154" s="15">
        <v>110.98277777794428</v>
      </c>
      <c r="JP154" s="17" t="s">
        <v>8121</v>
      </c>
      <c r="BAI154" s="8" t="s">
        <v>6240</v>
      </c>
      <c r="BBD154" s="8" t="s">
        <v>5233</v>
      </c>
      <c r="BCZ154" s="8" t="s">
        <v>5233</v>
      </c>
      <c r="BEA154" s="8" t="s">
        <v>5237</v>
      </c>
      <c r="BYV154" s="8" t="s">
        <v>6697</v>
      </c>
      <c r="EAJ154" s="8" t="s">
        <v>225</v>
      </c>
      <c r="ECF154" s="8" t="s">
        <v>225</v>
      </c>
    </row>
    <row r="155" spans="1:392 1352:2024 2600:3063 3080:3946">
      <c r="A155" s="8" t="s">
        <v>1427</v>
      </c>
      <c r="B155" s="10" t="s">
        <v>8122</v>
      </c>
      <c r="C155" s="8">
        <v>268.77611111104488</v>
      </c>
      <c r="D155" s="15">
        <v>12.044999999975914</v>
      </c>
      <c r="KC155" s="8" t="s">
        <v>8122</v>
      </c>
      <c r="AYZ155" s="8" t="s">
        <v>6550</v>
      </c>
      <c r="BAV155" s="8" t="s">
        <v>5911</v>
      </c>
      <c r="BBT155" s="8" t="s">
        <v>5234</v>
      </c>
      <c r="BDP155" s="8" t="s">
        <v>5234</v>
      </c>
      <c r="BEN155" s="8" t="s">
        <v>5238</v>
      </c>
      <c r="BYV155" s="8" t="s">
        <v>6698</v>
      </c>
      <c r="EHV155" s="8" t="s">
        <v>226</v>
      </c>
      <c r="EJR155" s="8" t="s">
        <v>226</v>
      </c>
    </row>
    <row r="156" spans="1:392 1352:2024 2600:3063 3080:3946">
      <c r="A156" s="8" t="s">
        <v>1427</v>
      </c>
      <c r="B156" s="10" t="s">
        <v>8123</v>
      </c>
      <c r="C156" s="8">
        <v>281.82111111120321</v>
      </c>
      <c r="D156" s="15">
        <v>12.045000000133916</v>
      </c>
      <c r="KP156" s="8" t="s">
        <v>8123</v>
      </c>
      <c r="AYZ156" s="8" t="s">
        <v>6551</v>
      </c>
      <c r="BAV156" s="8" t="s">
        <v>5912</v>
      </c>
      <c r="BCN156" s="8" t="s">
        <v>5235</v>
      </c>
      <c r="BEJ156" s="8" t="s">
        <v>5235</v>
      </c>
      <c r="BEN156" s="8" t="s">
        <v>5239</v>
      </c>
      <c r="CUZ156" s="8" t="s">
        <v>6699</v>
      </c>
      <c r="EIJ156" s="8" t="s">
        <v>197</v>
      </c>
      <c r="EKF156" s="8" t="s">
        <v>197</v>
      </c>
    </row>
    <row r="157" spans="1:392 1352:2024 2600:3063 3080:3946">
      <c r="A157" s="8" t="s">
        <v>1427</v>
      </c>
      <c r="B157" s="10" t="s">
        <v>8124</v>
      </c>
      <c r="C157" s="8">
        <v>294.86611111101229</v>
      </c>
      <c r="D157" s="15">
        <v>30.112777777848734</v>
      </c>
      <c r="LU157" s="8" t="s">
        <v>8124</v>
      </c>
      <c r="AZY157" s="8" t="s">
        <v>6295</v>
      </c>
      <c r="BBU157" s="8" t="s">
        <v>5913</v>
      </c>
      <c r="BCX157" s="8" t="s">
        <v>5236</v>
      </c>
      <c r="BET157" s="8" t="s">
        <v>5236</v>
      </c>
      <c r="BFM157" s="8" t="s">
        <v>5240</v>
      </c>
      <c r="DNL157" s="8" t="s">
        <v>6700</v>
      </c>
      <c r="EJB157" s="8" t="s">
        <v>196</v>
      </c>
      <c r="EKX157" s="8" t="s">
        <v>196</v>
      </c>
    </row>
    <row r="158" spans="1:392 1352:2024 2600:3063 3080:3946">
      <c r="A158" s="8" t="s">
        <v>1427</v>
      </c>
      <c r="B158" s="10" t="s">
        <v>8125</v>
      </c>
      <c r="C158" s="8">
        <v>325.97888888872694</v>
      </c>
      <c r="D158" s="15">
        <v>14.754999999842797</v>
      </c>
      <c r="MK158" s="8" t="s">
        <v>8125</v>
      </c>
      <c r="BAZ158" s="8" t="s">
        <v>6686</v>
      </c>
      <c r="BCV158" s="8" t="s">
        <v>6552</v>
      </c>
      <c r="BEA158" s="8" t="s">
        <v>5237</v>
      </c>
      <c r="BER158" s="8" t="s">
        <v>5914</v>
      </c>
      <c r="BFW158" s="8" t="s">
        <v>5237</v>
      </c>
      <c r="BIJ158" s="8" t="s">
        <v>5241</v>
      </c>
      <c r="DUV158" s="8" t="s">
        <v>6701</v>
      </c>
      <c r="EQG158" s="8" t="s">
        <v>227</v>
      </c>
      <c r="ESC158" s="8" t="s">
        <v>227</v>
      </c>
    </row>
    <row r="159" spans="1:392 1352:2024 2600:3063 3080:3946">
      <c r="A159" s="8" t="s">
        <v>1427</v>
      </c>
      <c r="B159" s="10" t="s">
        <v>8126</v>
      </c>
      <c r="C159" s="8">
        <v>341.73388888884801</v>
      </c>
      <c r="D159" s="15">
        <v>12.045000000000964</v>
      </c>
      <c r="MX159" s="8" t="s">
        <v>8126</v>
      </c>
      <c r="AYZ159" s="8" t="s">
        <v>56</v>
      </c>
      <c r="BBS159" s="8" t="s">
        <v>6687</v>
      </c>
      <c r="BDO159" s="8" t="s">
        <v>6296</v>
      </c>
      <c r="BEN159" s="8" t="s">
        <v>5238</v>
      </c>
      <c r="BFK159" s="8" t="s">
        <v>5915</v>
      </c>
      <c r="BGJ159" s="8" t="s">
        <v>5238</v>
      </c>
      <c r="BJC159" s="8" t="s">
        <v>5242</v>
      </c>
      <c r="ESH159" s="8" t="s">
        <v>228</v>
      </c>
      <c r="EUD159" s="8" t="s">
        <v>228</v>
      </c>
    </row>
    <row r="160" spans="1:392 1352:2024 2600:3063 3080:3946">
      <c r="A160" s="8" t="s">
        <v>1427</v>
      </c>
      <c r="B160" s="10" t="s">
        <v>8127</v>
      </c>
      <c r="C160" s="8">
        <v>355.4900000001071</v>
      </c>
      <c r="D160" s="15">
        <v>28.034444444337701</v>
      </c>
      <c r="OB160" s="8" t="s">
        <v>8127</v>
      </c>
      <c r="BAL160" s="8" t="s">
        <v>57</v>
      </c>
      <c r="BAP160" s="8" t="s">
        <v>57</v>
      </c>
      <c r="BAT160" s="8" t="s">
        <v>57</v>
      </c>
      <c r="BEN160" s="8" t="s">
        <v>5239</v>
      </c>
      <c r="BGJ160" s="8" t="s">
        <v>6688</v>
      </c>
      <c r="BIF160" s="8" t="s">
        <v>6553</v>
      </c>
      <c r="BKB160" s="8" t="s">
        <v>5916</v>
      </c>
      <c r="BNT160" s="8" t="s">
        <v>5243</v>
      </c>
      <c r="ESX160" s="8" t="s">
        <v>229</v>
      </c>
      <c r="EUT160" s="8" t="s">
        <v>229</v>
      </c>
    </row>
    <row r="161" spans="1:1016 1064:2024 2072:2840 3080:4088 4234:4328">
      <c r="A161" s="8" t="s">
        <v>1427</v>
      </c>
      <c r="B161" s="10" t="s">
        <v>8128</v>
      </c>
      <c r="C161" s="8">
        <v>384.52444444445428</v>
      </c>
      <c r="D161" s="15">
        <v>28.901666666623527</v>
      </c>
      <c r="PE161" s="8" t="s">
        <v>8128</v>
      </c>
      <c r="BFM161" s="8" t="s">
        <v>5240</v>
      </c>
      <c r="BHI161" s="8" t="s">
        <v>5240</v>
      </c>
      <c r="BHK161" s="8" t="s">
        <v>58</v>
      </c>
      <c r="BHO161" s="8" t="s">
        <v>58</v>
      </c>
      <c r="BHS161" s="8" t="s">
        <v>58</v>
      </c>
      <c r="BIF161" s="8" t="s">
        <v>6689</v>
      </c>
      <c r="BKB161" s="8" t="s">
        <v>6554</v>
      </c>
      <c r="BLX161" s="8" t="s">
        <v>5917</v>
      </c>
      <c r="BPP161" s="8" t="s">
        <v>5244</v>
      </c>
      <c r="EYJ161" s="8" t="s">
        <v>230</v>
      </c>
      <c r="FAF161" s="8" t="s">
        <v>230</v>
      </c>
    </row>
    <row r="162" spans="1:1016 1064:2024 2072:2840 3080:4088 4234:4328">
      <c r="A162" s="8" t="s">
        <v>1427</v>
      </c>
      <c r="B162" s="10" t="s">
        <v>8129</v>
      </c>
      <c r="C162" s="8">
        <v>414.42611111118458</v>
      </c>
      <c r="D162" s="15">
        <v>33.092222222200718</v>
      </c>
      <c r="QN162" s="8" t="s">
        <v>8129</v>
      </c>
      <c r="BHX162" s="8" t="s">
        <v>59</v>
      </c>
      <c r="BIB162" s="8" t="s">
        <v>59</v>
      </c>
      <c r="BIF162" s="8" t="s">
        <v>6690</v>
      </c>
      <c r="BIJ162" s="8" t="s">
        <v>5241</v>
      </c>
      <c r="BKB162" s="8" t="s">
        <v>6555</v>
      </c>
      <c r="BKF162" s="8" t="s">
        <v>5241</v>
      </c>
      <c r="BLX162" s="8" t="s">
        <v>5918</v>
      </c>
      <c r="BPP162" s="8" t="s">
        <v>5245</v>
      </c>
      <c r="FFV162" s="8" t="s">
        <v>1453</v>
      </c>
      <c r="FHR162" s="8" t="s">
        <v>1453</v>
      </c>
    </row>
    <row r="163" spans="1:1016 1064:2024 2072:2840 3080:4088 4234:4328">
      <c r="A163" s="8" t="s">
        <v>1427</v>
      </c>
      <c r="B163" s="10" t="s">
        <v>8130</v>
      </c>
      <c r="C163" s="8">
        <v>448.51833333342802</v>
      </c>
      <c r="D163" s="15">
        <v>28.901666666708792</v>
      </c>
      <c r="RQ163" s="8" t="s">
        <v>8130</v>
      </c>
      <c r="BAI163" s="8" t="s">
        <v>4259</v>
      </c>
      <c r="BIR163" s="8" t="s">
        <v>6691</v>
      </c>
      <c r="BJB163" s="8" t="s">
        <v>60</v>
      </c>
      <c r="BJC163" s="8" t="s">
        <v>5242</v>
      </c>
      <c r="BJF163" s="8" t="s">
        <v>60</v>
      </c>
      <c r="BJJ163" s="8" t="s">
        <v>60</v>
      </c>
      <c r="BKN163" s="8" t="s">
        <v>6556</v>
      </c>
      <c r="BKY163" s="8" t="s">
        <v>5242</v>
      </c>
      <c r="BMJ163" s="8" t="s">
        <v>5919</v>
      </c>
      <c r="BQB163" s="8" t="s">
        <v>5324</v>
      </c>
      <c r="FHP163" s="8" t="s">
        <v>1454</v>
      </c>
      <c r="FJL163" s="8" t="s">
        <v>1454</v>
      </c>
    </row>
    <row r="164" spans="1:1016 1064:2024 2072:2840 3080:4088 4234:4328">
      <c r="A164" s="8" t="s">
        <v>1427</v>
      </c>
      <c r="B164" s="10" t="s">
        <v>8131</v>
      </c>
      <c r="C164" s="8">
        <v>478.42000000015832</v>
      </c>
      <c r="D164" s="15">
        <v>11.560555555666959</v>
      </c>
      <c r="SD164" s="8" t="s">
        <v>8131</v>
      </c>
      <c r="BAM164" s="8" t="s">
        <v>4260</v>
      </c>
      <c r="BJH164" s="8" t="s">
        <v>61</v>
      </c>
      <c r="BJL164" s="8" t="s">
        <v>61</v>
      </c>
      <c r="BJP164" s="8" t="s">
        <v>61</v>
      </c>
      <c r="BJU164" s="8" t="s">
        <v>6692</v>
      </c>
      <c r="BLQ164" s="8" t="s">
        <v>6297</v>
      </c>
      <c r="BNM164" s="8" t="s">
        <v>5920</v>
      </c>
      <c r="BNT164" s="8" t="s">
        <v>5243</v>
      </c>
      <c r="BPP164" s="8" t="s">
        <v>5243</v>
      </c>
      <c r="BRE164" s="8" t="s">
        <v>5246</v>
      </c>
    </row>
    <row r="165" spans="1:1016 1064:2024 2072:2840 3080:4088 4234:4328">
      <c r="A165" s="8" t="s">
        <v>1427</v>
      </c>
      <c r="B165" s="10" t="s">
        <v>8132</v>
      </c>
      <c r="C165" s="8">
        <v>490.98055555543397</v>
      </c>
      <c r="D165" s="15">
        <v>7.5144444445563989</v>
      </c>
      <c r="SL165" s="8" t="s">
        <v>8132</v>
      </c>
      <c r="AYZ165" s="8" t="s">
        <v>4642</v>
      </c>
      <c r="BAV165" s="8" t="s">
        <v>4261</v>
      </c>
      <c r="BJP165" s="8" t="s">
        <v>62</v>
      </c>
      <c r="BJT165" s="8" t="s">
        <v>62</v>
      </c>
      <c r="BJX165" s="8" t="s">
        <v>62</v>
      </c>
      <c r="BLX165" s="8" t="s">
        <v>6693</v>
      </c>
      <c r="BNT165" s="8" t="s">
        <v>6298</v>
      </c>
      <c r="BPP165" s="8" t="s">
        <v>5866</v>
      </c>
      <c r="BRL165" s="8" t="s">
        <v>5244</v>
      </c>
      <c r="BTH165" s="8" t="s">
        <v>5247</v>
      </c>
    </row>
    <row r="166" spans="1:1016 1064:2024 2072:2840 3080:4088 4234:4328">
      <c r="A166" s="8" t="s">
        <v>1427</v>
      </c>
      <c r="B166" s="10" t="s">
        <v>8133</v>
      </c>
      <c r="C166" s="8">
        <v>570.21944444440305</v>
      </c>
      <c r="D166" s="15">
        <v>5.7805555555555195</v>
      </c>
      <c r="VL166" s="8" t="s">
        <v>8133</v>
      </c>
      <c r="AYZ166" s="8" t="s">
        <v>4879</v>
      </c>
      <c r="BAV166" s="8" t="s">
        <v>4262</v>
      </c>
      <c r="BJT166" s="8" t="s">
        <v>63</v>
      </c>
      <c r="BJX166" s="8" t="s">
        <v>63</v>
      </c>
      <c r="BKB166" s="8" t="s">
        <v>63</v>
      </c>
      <c r="BLX166" s="8" t="s">
        <v>6694</v>
      </c>
      <c r="BNT166" s="8" t="s">
        <v>6557</v>
      </c>
      <c r="BPP166" s="8" t="s">
        <v>5921</v>
      </c>
      <c r="BQA166" s="8" t="s">
        <v>5245</v>
      </c>
      <c r="BRW166" s="8" t="s">
        <v>5245</v>
      </c>
      <c r="BTH166" s="8" t="s">
        <v>5248</v>
      </c>
    </row>
    <row r="167" spans="1:1016 1064:2024 2072:2840 3080:4088 4234:4328">
      <c r="A167" s="8" t="s">
        <v>1427</v>
      </c>
      <c r="B167" s="10" t="s">
        <v>8134</v>
      </c>
      <c r="C167" s="8">
        <v>817.00000000011642</v>
      </c>
      <c r="D167" s="15">
        <v>5.7805555557135229</v>
      </c>
      <c r="AEY167" s="8" t="s">
        <v>8134</v>
      </c>
      <c r="AYZ167" s="8" t="s">
        <v>4643</v>
      </c>
      <c r="BAV167" s="8" t="s">
        <v>4263</v>
      </c>
      <c r="BLG167" s="8" t="s">
        <v>64</v>
      </c>
      <c r="BLK167" s="8" t="s">
        <v>64</v>
      </c>
      <c r="BLO167" s="8" t="s">
        <v>64</v>
      </c>
      <c r="BNT167" s="8" t="s">
        <v>6695</v>
      </c>
      <c r="BPP167" s="8" t="s">
        <v>6299</v>
      </c>
      <c r="BRE167" s="8" t="s">
        <v>5246</v>
      </c>
      <c r="BRL167" s="8" t="s">
        <v>5922</v>
      </c>
      <c r="BTA167" s="8" t="s">
        <v>5246</v>
      </c>
      <c r="BVD167" s="8" t="s">
        <v>5249</v>
      </c>
    </row>
    <row r="168" spans="1:1016 1064:2024 2072:2840 3080:4088 4234:4328">
      <c r="A168" s="8" t="s">
        <v>1427</v>
      </c>
      <c r="B168" s="10" t="s">
        <v>8135</v>
      </c>
      <c r="C168" s="8">
        <v>835.09833333338611</v>
      </c>
      <c r="D168" s="15">
        <v>28.901666666666877</v>
      </c>
      <c r="AGN168" s="8" t="s">
        <v>8135</v>
      </c>
      <c r="AYZ168" s="8" t="s">
        <v>4880</v>
      </c>
      <c r="BAV168" s="8" t="s">
        <v>4264</v>
      </c>
      <c r="BLP168" s="8" t="s">
        <v>65</v>
      </c>
      <c r="BLT168" s="8" t="s">
        <v>65</v>
      </c>
      <c r="BLX168" s="8" t="s">
        <v>65</v>
      </c>
      <c r="BPP168" s="8" t="s">
        <v>6696</v>
      </c>
      <c r="BRL168" s="8" t="s">
        <v>6300</v>
      </c>
      <c r="BTH168" s="8" t="s">
        <v>5867</v>
      </c>
      <c r="BVD168" s="8" t="s">
        <v>5247</v>
      </c>
      <c r="BWZ168" s="8" t="s">
        <v>5250</v>
      </c>
    </row>
    <row r="169" spans="1:1016 1064:2024 2072:2840 3080:4088 4234:4328">
      <c r="A169" s="8" t="s">
        <v>1427</v>
      </c>
      <c r="B169" s="10" t="s">
        <v>8136</v>
      </c>
      <c r="C169" s="8">
        <v>858.21944444440305</v>
      </c>
      <c r="D169" s="15">
        <v>5.7805555555555195</v>
      </c>
      <c r="AGN169" s="8" t="s">
        <v>8136</v>
      </c>
      <c r="BAV169" s="8" t="s">
        <v>4644</v>
      </c>
      <c r="BCR169" s="8" t="s">
        <v>4265</v>
      </c>
      <c r="BMY169" s="8" t="s">
        <v>66</v>
      </c>
      <c r="BNC169" s="8" t="s">
        <v>66</v>
      </c>
      <c r="BNG169" s="8" t="s">
        <v>66</v>
      </c>
      <c r="BTH169" s="8" t="s">
        <v>5248</v>
      </c>
      <c r="BVD169" s="8" t="s">
        <v>5248</v>
      </c>
      <c r="BYV169" s="8" t="s">
        <v>6697</v>
      </c>
      <c r="CAR169" s="8" t="s">
        <v>6558</v>
      </c>
      <c r="CCN169" s="8" t="s">
        <v>5923</v>
      </c>
      <c r="CGF169" s="8" t="s">
        <v>5251</v>
      </c>
    </row>
    <row r="170" spans="1:1016 1064:2024 2072:2840 3080:4088 4234:4328">
      <c r="A170" s="8" t="s">
        <v>1427</v>
      </c>
      <c r="B170" s="10" t="s">
        <v>8137</v>
      </c>
      <c r="C170" s="8">
        <v>894</v>
      </c>
      <c r="D170" s="15">
        <v>11.560555555508472</v>
      </c>
      <c r="AID170" s="8" t="s">
        <v>8137</v>
      </c>
      <c r="BCR170" s="8" t="s">
        <v>4645</v>
      </c>
      <c r="BEN170" s="8" t="s">
        <v>4266</v>
      </c>
      <c r="BNC170" s="8" t="s">
        <v>67</v>
      </c>
      <c r="BNG170" s="8" t="s">
        <v>67</v>
      </c>
      <c r="BNK170" s="8" t="s">
        <v>67</v>
      </c>
      <c r="BVD170" s="8" t="s">
        <v>5249</v>
      </c>
      <c r="BWZ170" s="8" t="s">
        <v>5249</v>
      </c>
      <c r="BYV170" s="8" t="s">
        <v>6698</v>
      </c>
      <c r="CAR170" s="8" t="s">
        <v>6559</v>
      </c>
      <c r="CCN170" s="8" t="s">
        <v>5924</v>
      </c>
      <c r="CGF170" s="8" t="s">
        <v>5252</v>
      </c>
    </row>
    <row r="171" spans="1:1016 1064:2024 2072:2840 3080:4088 4234:4328">
      <c r="A171" s="8" t="s">
        <v>1427</v>
      </c>
      <c r="B171" s="10" t="s">
        <v>8138</v>
      </c>
      <c r="C171" s="8">
        <v>895.41611111105885</v>
      </c>
      <c r="D171" s="15">
        <v>28.901666666561866</v>
      </c>
      <c r="AIV171" s="17" t="s">
        <v>8138</v>
      </c>
      <c r="BIF171" s="8" t="s">
        <v>4881</v>
      </c>
      <c r="BKB171" s="8" t="s">
        <v>4267</v>
      </c>
      <c r="BOP171" s="8" t="s">
        <v>68</v>
      </c>
      <c r="BOT171" s="8" t="s">
        <v>68</v>
      </c>
      <c r="BOX171" s="8" t="s">
        <v>68</v>
      </c>
      <c r="BWZ171" s="8" t="s">
        <v>5250</v>
      </c>
      <c r="BYV171" s="8" t="s">
        <v>5250</v>
      </c>
      <c r="CUZ171" s="8" t="s">
        <v>6699</v>
      </c>
      <c r="CWV171" s="8" t="s">
        <v>6560</v>
      </c>
      <c r="CYR171" s="8" t="s">
        <v>5925</v>
      </c>
      <c r="DCJ171" s="8" t="s">
        <v>5253</v>
      </c>
    </row>
    <row r="172" spans="1:1016 1064:2024 2072:2840 3080:4088 4234:4328">
      <c r="A172" s="8" t="s">
        <v>1427</v>
      </c>
      <c r="B172" s="10" t="s">
        <v>8139</v>
      </c>
      <c r="C172" s="8">
        <v>925.31777777778916</v>
      </c>
      <c r="D172" s="15">
        <v>34.682222222222407</v>
      </c>
      <c r="AKF172" s="8" t="s">
        <v>8139</v>
      </c>
      <c r="BLO172" s="8" t="s">
        <v>4646</v>
      </c>
      <c r="BNK172" s="8" t="s">
        <v>4268</v>
      </c>
      <c r="BOX172" s="8" t="s">
        <v>69</v>
      </c>
      <c r="BPB172" s="8" t="s">
        <v>69</v>
      </c>
      <c r="BPF172" s="8" t="s">
        <v>69</v>
      </c>
      <c r="CGF172" s="8" t="s">
        <v>5251</v>
      </c>
      <c r="CIB172" s="8" t="s">
        <v>5251</v>
      </c>
      <c r="DNL172" s="8" t="s">
        <v>6700</v>
      </c>
      <c r="DPH172" s="8" t="s">
        <v>6561</v>
      </c>
      <c r="DRD172" s="8" t="s">
        <v>5926</v>
      </c>
      <c r="DUV172" s="8" t="s">
        <v>5254</v>
      </c>
    </row>
    <row r="173" spans="1:1016 1064:2024 2072:2840 3080:4088 4234:4328">
      <c r="A173" s="8" t="s">
        <v>1427</v>
      </c>
      <c r="B173" s="10" t="s">
        <v>8140</v>
      </c>
      <c r="C173" s="8">
        <v>979.09833333338611</v>
      </c>
      <c r="D173" s="15">
        <v>28.901666666666877</v>
      </c>
      <c r="AMB173" s="8" t="s">
        <v>8140</v>
      </c>
      <c r="BPF173" s="8" t="s">
        <v>70</v>
      </c>
      <c r="BPJ173" s="8" t="s">
        <v>70</v>
      </c>
      <c r="BPN173" s="8" t="s">
        <v>70</v>
      </c>
      <c r="BTH173" s="8" t="s">
        <v>4882</v>
      </c>
      <c r="BVD173" s="8" t="s">
        <v>4269</v>
      </c>
      <c r="CGF173" s="8" t="s">
        <v>5252</v>
      </c>
      <c r="CIB173" s="8" t="s">
        <v>5252</v>
      </c>
      <c r="DUV173" s="8" t="s">
        <v>6701</v>
      </c>
      <c r="DWR173" s="8" t="s">
        <v>6301</v>
      </c>
      <c r="DYN173" s="8" t="s">
        <v>5927</v>
      </c>
      <c r="ECF173" s="8" t="s">
        <v>5255</v>
      </c>
    </row>
    <row r="174" spans="1:1016 1064:2024 2072:2840 3080:4088 4234:4328">
      <c r="A174" s="8" t="s">
        <v>1427</v>
      </c>
      <c r="B174" s="10" t="s">
        <v>8141</v>
      </c>
      <c r="C174" s="8">
        <v>996.43944444449153</v>
      </c>
      <c r="D174" s="15">
        <v>11.560555555555682</v>
      </c>
      <c r="AMB174" s="8" t="s">
        <v>8141</v>
      </c>
      <c r="BPK174" s="8" t="s">
        <v>71</v>
      </c>
      <c r="BPO174" s="8" t="s">
        <v>71</v>
      </c>
      <c r="BPS174" s="8" t="s">
        <v>71</v>
      </c>
      <c r="BWZ174" s="8" t="s">
        <v>4883</v>
      </c>
      <c r="BYV174" s="8" t="s">
        <v>4270</v>
      </c>
      <c r="DCJ174" s="8" t="s">
        <v>5253</v>
      </c>
      <c r="DEF174" s="8" t="s">
        <v>5253</v>
      </c>
    </row>
    <row r="175" spans="1:1016 1064:2024 2072:2840 3080:4088 4234:4328">
      <c r="A175" s="8" t="s">
        <v>1427</v>
      </c>
      <c r="B175" s="10" t="s">
        <v>8142</v>
      </c>
      <c r="C175" s="8">
        <v>1027.0983333333861</v>
      </c>
      <c r="D175" s="15">
        <v>28.901666666666877</v>
      </c>
      <c r="ANX175" s="8" t="s">
        <v>8142</v>
      </c>
      <c r="BVL175" s="8" t="s">
        <v>72</v>
      </c>
      <c r="BVP175" s="8" t="s">
        <v>72</v>
      </c>
      <c r="BVT175" s="8" t="s">
        <v>72</v>
      </c>
      <c r="BYV175" s="8" t="s">
        <v>4647</v>
      </c>
      <c r="CAR175" s="8" t="s">
        <v>4271</v>
      </c>
      <c r="DVV175" s="8" t="s">
        <v>5254</v>
      </c>
      <c r="DXR175" s="8" t="s">
        <v>5254</v>
      </c>
    </row>
    <row r="176" spans="1:1016 1064:2024 2072:2840 3080:4088 4234:4328">
      <c r="A176" s="8" t="s">
        <v>1427</v>
      </c>
      <c r="B176" s="10" t="s">
        <v>8143</v>
      </c>
      <c r="C176" s="8">
        <v>1027.0983333333861</v>
      </c>
      <c r="D176" s="15">
        <v>28.901666666666877</v>
      </c>
      <c r="ANX176" s="8" t="s">
        <v>8143</v>
      </c>
      <c r="BWR176" s="8" t="s">
        <v>73</v>
      </c>
      <c r="BWV176" s="8" t="s">
        <v>73</v>
      </c>
      <c r="BWZ176" s="8" t="s">
        <v>73</v>
      </c>
      <c r="CAR176" s="8" t="s">
        <v>4648</v>
      </c>
      <c r="CCN176" s="8" t="s">
        <v>4272</v>
      </c>
      <c r="ECF176" s="8" t="s">
        <v>5255</v>
      </c>
      <c r="EEB176" s="8" t="s">
        <v>5255</v>
      </c>
    </row>
    <row r="177" spans="1:460 1112:2024 2216:2937 3456:3848">
      <c r="A177" s="8" t="s">
        <v>1427</v>
      </c>
      <c r="B177" s="10" t="s">
        <v>8144</v>
      </c>
      <c r="C177" s="8">
        <v>1098.2194444444031</v>
      </c>
      <c r="D177" s="15">
        <v>5.7805555555555195</v>
      </c>
      <c r="APT177" s="8" t="s">
        <v>8144</v>
      </c>
      <c r="BYN177" s="8" t="s">
        <v>74</v>
      </c>
      <c r="BYR177" s="8" t="s">
        <v>74</v>
      </c>
      <c r="BYV177" s="8" t="s">
        <v>74</v>
      </c>
      <c r="CGF177" s="8" t="s">
        <v>4649</v>
      </c>
      <c r="CIB177" s="8" t="s">
        <v>4273</v>
      </c>
    </row>
    <row r="178" spans="1:460 1112:2024 2216:2937 3456:3848">
      <c r="A178" s="8" t="s">
        <v>1427</v>
      </c>
      <c r="B178" s="10" t="s">
        <v>8145</v>
      </c>
      <c r="C178" s="8">
        <v>1210.5722222223412</v>
      </c>
      <c r="D178" s="15">
        <v>37.427777777777763</v>
      </c>
      <c r="AVH178" s="8" t="s">
        <v>8145</v>
      </c>
      <c r="CIO178" s="8" t="s">
        <v>75</v>
      </c>
      <c r="CIS178" s="8" t="s">
        <v>75</v>
      </c>
      <c r="CIW178" s="8" t="s">
        <v>75</v>
      </c>
      <c r="CJX178" s="8" t="s">
        <v>4650</v>
      </c>
      <c r="CLT178" s="8" t="s">
        <v>4274</v>
      </c>
    </row>
    <row r="179" spans="1:460 1112:2024 2216:2937 3456:3848">
      <c r="A179" s="8" t="s">
        <v>1427</v>
      </c>
      <c r="B179" s="10" t="s">
        <v>8146</v>
      </c>
      <c r="C179" s="8">
        <v>1267.0983333333861</v>
      </c>
      <c r="D179" s="15">
        <v>28.901666666666877</v>
      </c>
      <c r="AXD179" s="8" t="s">
        <v>8146</v>
      </c>
      <c r="CIT179" s="8" t="s">
        <v>76</v>
      </c>
      <c r="CIX179" s="8" t="s">
        <v>76</v>
      </c>
      <c r="CJB179" s="8" t="s">
        <v>76</v>
      </c>
      <c r="CJX179" s="8" t="s">
        <v>4884</v>
      </c>
      <c r="CLT179" s="8" t="s">
        <v>4275</v>
      </c>
    </row>
    <row r="180" spans="1:460 1112:2024 2216:2937 3456:3848">
      <c r="A180" s="8" t="s">
        <v>1427</v>
      </c>
      <c r="B180" s="10" t="s">
        <v>8147</v>
      </c>
      <c r="C180" s="8">
        <v>1386.2194444444031</v>
      </c>
      <c r="D180" s="15">
        <v>5.7805555555555195</v>
      </c>
      <c r="BAV180" s="8" t="s">
        <v>8147</v>
      </c>
      <c r="CPD180" s="8" t="s">
        <v>77</v>
      </c>
      <c r="CPH180" s="8" t="s">
        <v>77</v>
      </c>
      <c r="CPL180" s="8" t="s">
        <v>77</v>
      </c>
      <c r="EFX180" s="8" t="s">
        <v>4651</v>
      </c>
      <c r="EHT180" s="8" t="s">
        <v>4276</v>
      </c>
    </row>
    <row r="181" spans="1:460 1112:2024 2216:2937 3456:3848">
      <c r="A181" s="8" t="s">
        <v>1427</v>
      </c>
      <c r="B181" s="10" t="s">
        <v>8593</v>
      </c>
      <c r="C181" s="8">
        <v>1393.0000000001164</v>
      </c>
      <c r="D181" s="15">
        <v>115.60666666657215</v>
      </c>
      <c r="BFI181" s="8" t="s">
        <v>8593</v>
      </c>
      <c r="CSX181" s="8" t="s">
        <v>78</v>
      </c>
      <c r="CTB181" s="8" t="s">
        <v>78</v>
      </c>
      <c r="CTF181" s="8" t="s">
        <v>78</v>
      </c>
    </row>
    <row r="182" spans="1:460 1112:2024 2216:2937 3456:3848">
      <c r="A182" s="8" t="s">
        <v>1428</v>
      </c>
      <c r="B182" s="10" t="s">
        <v>8148</v>
      </c>
      <c r="C182" s="8">
        <v>0</v>
      </c>
      <c r="D182" s="15">
        <v>14.906666666502133</v>
      </c>
      <c r="W182" s="8" t="s">
        <v>8148</v>
      </c>
      <c r="DHQ182" s="8" t="s">
        <v>79</v>
      </c>
      <c r="DHU182" s="8" t="s">
        <v>79</v>
      </c>
      <c r="DHY182" s="8" t="s">
        <v>79</v>
      </c>
    </row>
    <row r="183" spans="1:460 1112:2024 2216:2937 3456:3848">
      <c r="A183" s="8" t="s">
        <v>1428</v>
      </c>
      <c r="B183" s="10" t="s">
        <v>8149</v>
      </c>
      <c r="C183" s="8">
        <v>49.000000000116415</v>
      </c>
      <c r="D183" s="15">
        <v>49.689999999827869</v>
      </c>
      <c r="DC183" s="8" t="s">
        <v>8149</v>
      </c>
      <c r="EBX183" s="8" t="s">
        <v>80</v>
      </c>
      <c r="ECB183" s="8" t="s">
        <v>80</v>
      </c>
      <c r="ECF183" s="8" t="s">
        <v>80</v>
      </c>
    </row>
    <row r="184" spans="1:460 1112:2024 2216:2937 3456:3848">
      <c r="A184" s="8" t="s">
        <v>1428</v>
      </c>
      <c r="B184" s="10" t="s">
        <v>8150</v>
      </c>
      <c r="C184" s="8">
        <v>99.689999999944121</v>
      </c>
      <c r="D184" s="15">
        <v>50.071666666832755</v>
      </c>
      <c r="FB184" s="8" t="s">
        <v>8150</v>
      </c>
      <c r="EQR184" s="8" t="s">
        <v>81</v>
      </c>
      <c r="EQV184" s="8" t="s">
        <v>81</v>
      </c>
      <c r="EQZ184" s="8" t="s">
        <v>81</v>
      </c>
    </row>
    <row r="185" spans="1:460 1112:2024 2216:2937 3456:3848">
      <c r="A185" s="8" t="s">
        <v>1428</v>
      </c>
      <c r="B185" s="10" t="s">
        <v>8151</v>
      </c>
      <c r="C185" s="8">
        <v>166.73277777771</v>
      </c>
      <c r="D185" s="15">
        <v>5.0072222223291822</v>
      </c>
      <c r="FX185" s="17" t="s">
        <v>8151</v>
      </c>
    </row>
    <row r="186" spans="1:460 1112:2024 2216:2937 3456:3848">
      <c r="A186" s="8" t="s">
        <v>1428</v>
      </c>
      <c r="B186" s="10" t="s">
        <v>8152</v>
      </c>
      <c r="C186" s="8">
        <v>172.73999999987427</v>
      </c>
      <c r="D186" s="15">
        <v>10.014444444319233</v>
      </c>
      <c r="GI186" s="8" t="s">
        <v>8152</v>
      </c>
    </row>
    <row r="187" spans="1:460 1112:2024 2216:2937 3456:3848">
      <c r="A187" s="8" t="s">
        <v>1428</v>
      </c>
      <c r="B187" s="10" t="s">
        <v>8153</v>
      </c>
      <c r="C187" s="8">
        <v>187.99999999988358</v>
      </c>
      <c r="D187" s="15">
        <v>2.3866666667161791</v>
      </c>
      <c r="GP187" s="8" t="s">
        <v>8153</v>
      </c>
    </row>
    <row r="188" spans="1:460 1112:2024 2216:2937 3456:3848">
      <c r="A188" s="8" t="s">
        <v>1428</v>
      </c>
      <c r="B188" s="10" t="s">
        <v>8154</v>
      </c>
      <c r="C188" s="8">
        <v>195.82999999984168</v>
      </c>
      <c r="D188" s="15">
        <v>23.552777777849538</v>
      </c>
      <c r="HS188" s="8" t="s">
        <v>8154</v>
      </c>
    </row>
    <row r="189" spans="1:460 1112:2024 2216:2937 3456:3848">
      <c r="A189" s="8" t="s">
        <v>1428</v>
      </c>
      <c r="B189" s="10" t="s">
        <v>8155</v>
      </c>
      <c r="C189" s="8">
        <v>223.99999999988358</v>
      </c>
      <c r="D189" s="15">
        <v>14.606111111119231</v>
      </c>
      <c r="IM189" s="8" t="s">
        <v>8155</v>
      </c>
    </row>
    <row r="190" spans="1:460 1112:2024 2216:2937 3456:3848">
      <c r="A190" s="8" t="s">
        <v>1428</v>
      </c>
      <c r="B190" s="10" t="s">
        <v>8156</v>
      </c>
      <c r="C190" s="8">
        <v>241.99999999988358</v>
      </c>
      <c r="D190" s="15">
        <v>47.732777777709842</v>
      </c>
      <c r="KL190" s="8" t="s">
        <v>8156</v>
      </c>
    </row>
    <row r="191" spans="1:460 1112:2024 2216:2937 3456:3848">
      <c r="A191" s="8" t="s">
        <v>1428</v>
      </c>
      <c r="B191" s="10" t="s">
        <v>8157</v>
      </c>
      <c r="C191" s="8">
        <v>354</v>
      </c>
      <c r="D191" s="15">
        <v>47.732777777826414</v>
      </c>
      <c r="OT191" s="8" t="s">
        <v>8157</v>
      </c>
      <c r="AYZ191" s="8" t="s">
        <v>241</v>
      </c>
      <c r="BAV191" s="8" t="s">
        <v>241</v>
      </c>
    </row>
    <row r="192" spans="1:460 1112:2024 2216:2937 3456:3848">
      <c r="A192" s="8" t="s">
        <v>1428</v>
      </c>
      <c r="B192" s="10" t="s">
        <v>8158</v>
      </c>
      <c r="C192" s="8">
        <v>403.99999999988358</v>
      </c>
      <c r="D192" s="15">
        <v>47.732777777709835</v>
      </c>
      <c r="QR192" s="8" t="s">
        <v>8158</v>
      </c>
      <c r="AYZ192" s="8" t="s">
        <v>242</v>
      </c>
      <c r="BAV192" s="8" t="s">
        <v>242</v>
      </c>
      <c r="BCR192" s="8" t="s">
        <v>242</v>
      </c>
      <c r="BEN192" s="8" t="s">
        <v>242</v>
      </c>
    </row>
    <row r="193" spans="1:968 1063:2024 2093:3032">
      <c r="A193" s="8" t="s">
        <v>1428</v>
      </c>
      <c r="B193" s="10" t="s">
        <v>8159</v>
      </c>
      <c r="C193" s="8">
        <v>456</v>
      </c>
      <c r="D193" s="15">
        <v>47.732777777826414</v>
      </c>
      <c r="SR193" s="8" t="s">
        <v>8159</v>
      </c>
      <c r="BAF193" s="8" t="s">
        <v>243</v>
      </c>
      <c r="BCB193" s="8" t="s">
        <v>243</v>
      </c>
      <c r="BDX193" s="8" t="s">
        <v>243</v>
      </c>
      <c r="BFT193" s="8" t="s">
        <v>243</v>
      </c>
    </row>
    <row r="194" spans="1:968 1063:2024 2093:3032">
      <c r="A194" s="8" t="s">
        <v>1428</v>
      </c>
      <c r="B194" s="10" t="s">
        <v>8160</v>
      </c>
      <c r="C194" s="8">
        <v>510</v>
      </c>
      <c r="D194" s="15">
        <v>47.732777777826414</v>
      </c>
      <c r="UT194" s="8" t="s">
        <v>8160</v>
      </c>
      <c r="BAV194" s="8" t="s">
        <v>244</v>
      </c>
      <c r="BCR194" s="8" t="s">
        <v>244</v>
      </c>
      <c r="BEN194" s="8" t="s">
        <v>244</v>
      </c>
      <c r="BGJ194" s="8" t="s">
        <v>244</v>
      </c>
    </row>
    <row r="195" spans="1:968 1063:2024 2093:3032">
      <c r="A195" s="8" t="s">
        <v>1428</v>
      </c>
      <c r="B195" s="10" t="s">
        <v>8161</v>
      </c>
      <c r="C195" s="8">
        <v>562.00000000011642</v>
      </c>
      <c r="D195" s="15">
        <v>1.4322222222109975</v>
      </c>
      <c r="UY195" s="8" t="s">
        <v>8161</v>
      </c>
      <c r="AYZ195" s="8" t="s">
        <v>1594</v>
      </c>
      <c r="BCR195" s="8" t="s">
        <v>245</v>
      </c>
      <c r="BEN195" s="8" t="s">
        <v>245</v>
      </c>
      <c r="BGJ195" s="8" t="s">
        <v>245</v>
      </c>
      <c r="BIF195" s="8" t="s">
        <v>245</v>
      </c>
    </row>
    <row r="196" spans="1:968 1063:2024 2093:3032">
      <c r="A196" s="8" t="s">
        <v>1428</v>
      </c>
      <c r="B196" s="10" t="s">
        <v>8162</v>
      </c>
      <c r="C196" s="8">
        <v>830.89499999990221</v>
      </c>
      <c r="D196" s="15">
        <v>47.732777777728629</v>
      </c>
      <c r="AHC196" s="8" t="s">
        <v>8162</v>
      </c>
      <c r="AZR196" s="8" t="s">
        <v>232</v>
      </c>
      <c r="BKB196" s="8" t="s">
        <v>2040</v>
      </c>
      <c r="BLX196" s="8" t="s">
        <v>1595</v>
      </c>
      <c r="BPP196" s="8" t="s">
        <v>246</v>
      </c>
      <c r="BRL196" s="8" t="s">
        <v>246</v>
      </c>
      <c r="BTH196" s="8" t="s">
        <v>246</v>
      </c>
      <c r="BVD196" s="8" t="s">
        <v>246</v>
      </c>
    </row>
    <row r="197" spans="1:968 1063:2024 2093:3032">
      <c r="A197" s="8" t="s">
        <v>1428</v>
      </c>
      <c r="B197" s="10" t="s">
        <v>8163</v>
      </c>
      <c r="C197" s="8">
        <v>879.62777777784504</v>
      </c>
      <c r="D197" s="15">
        <v>47.732777777893851</v>
      </c>
      <c r="AIY197" s="8" t="s">
        <v>8163</v>
      </c>
      <c r="BAV197" s="8" t="s">
        <v>233</v>
      </c>
      <c r="BND197" s="8" t="s">
        <v>2041</v>
      </c>
      <c r="BOZ197" s="8" t="s">
        <v>1596</v>
      </c>
      <c r="BSR197" s="8" t="s">
        <v>248</v>
      </c>
      <c r="BUN197" s="8" t="s">
        <v>248</v>
      </c>
      <c r="BWJ197" s="8" t="s">
        <v>248</v>
      </c>
      <c r="BYF197" s="8" t="s">
        <v>248</v>
      </c>
    </row>
    <row r="198" spans="1:968 1063:2024 2093:3032">
      <c r="A198" s="8" t="s">
        <v>1428</v>
      </c>
      <c r="B198" s="10" t="s">
        <v>8164</v>
      </c>
      <c r="C198" s="8">
        <v>931.36055555543862</v>
      </c>
      <c r="D198" s="15">
        <v>28.639444444444319</v>
      </c>
      <c r="AKF198" s="8" t="s">
        <v>8164</v>
      </c>
      <c r="BCN198" s="8" t="s">
        <v>234</v>
      </c>
      <c r="BNT198" s="8" t="s">
        <v>2042</v>
      </c>
      <c r="BPP198" s="8" t="s">
        <v>1597</v>
      </c>
      <c r="BTH198" s="8" t="s">
        <v>249</v>
      </c>
      <c r="BVD198" s="8" t="s">
        <v>249</v>
      </c>
      <c r="BWZ198" s="8" t="s">
        <v>249</v>
      </c>
      <c r="BYV198" s="8" t="s">
        <v>249</v>
      </c>
    </row>
    <row r="199" spans="1:968 1063:2024 2093:3032">
      <c r="A199" s="8" t="s">
        <v>1428</v>
      </c>
      <c r="B199" s="10" t="s">
        <v>8165</v>
      </c>
      <c r="C199" s="8">
        <v>950.57277777779382</v>
      </c>
      <c r="D199" s="15">
        <v>9.4272222222220794</v>
      </c>
      <c r="AKF199" s="8" t="s">
        <v>8165</v>
      </c>
      <c r="AYZ199" s="8" t="s">
        <v>6702</v>
      </c>
      <c r="BCR199" s="8" t="s">
        <v>235</v>
      </c>
      <c r="CBM199" s="8" t="s">
        <v>2043</v>
      </c>
      <c r="CDI199" s="8" t="s">
        <v>1598</v>
      </c>
      <c r="CHA199" s="8" t="s">
        <v>250</v>
      </c>
      <c r="CIW199" s="8" t="s">
        <v>250</v>
      </c>
      <c r="CKS199" s="8" t="s">
        <v>250</v>
      </c>
      <c r="CMO199" s="8" t="s">
        <v>250</v>
      </c>
    </row>
    <row r="200" spans="1:968 1063:2024 2093:3032">
      <c r="A200" s="8" t="s">
        <v>1428</v>
      </c>
      <c r="B200" s="10" t="s">
        <v>8166</v>
      </c>
      <c r="C200" s="8">
        <v>1006.8011111109518</v>
      </c>
      <c r="D200" s="15">
        <v>47.732777777666961</v>
      </c>
      <c r="ANW200" s="8" t="s">
        <v>8166</v>
      </c>
      <c r="AYZ200" s="8" t="s">
        <v>6703</v>
      </c>
      <c r="BDJ200" s="8" t="s">
        <v>236</v>
      </c>
      <c r="CCS200" s="8" t="s">
        <v>2044</v>
      </c>
      <c r="CEO200" s="8" t="s">
        <v>1599</v>
      </c>
      <c r="CIG200" s="8" t="s">
        <v>251</v>
      </c>
      <c r="CKC200" s="8" t="s">
        <v>251</v>
      </c>
      <c r="CLY200" s="8" t="s">
        <v>251</v>
      </c>
      <c r="CNU200" s="8" t="s">
        <v>251</v>
      </c>
    </row>
    <row r="201" spans="1:968 1063:2024 2093:3032">
      <c r="A201" s="8" t="s">
        <v>1428</v>
      </c>
      <c r="B201" s="10" t="s">
        <v>8167</v>
      </c>
      <c r="C201" s="8">
        <v>1055.5338888888946</v>
      </c>
      <c r="D201" s="15">
        <v>47.732777777832197</v>
      </c>
      <c r="APS201" s="8" t="s">
        <v>8167</v>
      </c>
      <c r="AZR201" s="8" t="s">
        <v>889</v>
      </c>
      <c r="BAV201" s="8" t="s">
        <v>6704</v>
      </c>
      <c r="BEP201" s="8" t="s">
        <v>237</v>
      </c>
      <c r="CHA201" s="8" t="s">
        <v>2045</v>
      </c>
      <c r="CIW201" s="8" t="s">
        <v>1600</v>
      </c>
      <c r="CMO201" s="8" t="s">
        <v>252</v>
      </c>
      <c r="COK201" s="8" t="s">
        <v>252</v>
      </c>
      <c r="CQG201" s="8" t="s">
        <v>252</v>
      </c>
      <c r="CSC201" s="8" t="s">
        <v>252</v>
      </c>
    </row>
    <row r="202" spans="1:968 1063:2024 2093:3032">
      <c r="A202" s="8" t="s">
        <v>1428</v>
      </c>
      <c r="B202" s="10" t="s">
        <v>8168</v>
      </c>
      <c r="C202" s="8">
        <v>1104.2666666668374</v>
      </c>
      <c r="D202" s="15">
        <v>47.732777777647698</v>
      </c>
      <c r="ARP202" s="8" t="s">
        <v>8168</v>
      </c>
      <c r="AYZ202" s="8" t="s">
        <v>890</v>
      </c>
      <c r="AZR202" s="8" t="s">
        <v>233</v>
      </c>
      <c r="BAV202" s="8" t="s">
        <v>6705</v>
      </c>
      <c r="BFW202" s="8" t="s">
        <v>238</v>
      </c>
      <c r="CNP202" s="8" t="s">
        <v>2046</v>
      </c>
      <c r="CPL202" s="8" t="s">
        <v>1601</v>
      </c>
      <c r="CTD202" s="8" t="s">
        <v>253</v>
      </c>
      <c r="CUZ202" s="8" t="s">
        <v>253</v>
      </c>
      <c r="CWV202" s="8" t="s">
        <v>253</v>
      </c>
      <c r="CYR202" s="8" t="s">
        <v>253</v>
      </c>
    </row>
    <row r="203" spans="1:968 1063:2024 2093:3032">
      <c r="A203" s="8" t="s">
        <v>1428</v>
      </c>
      <c r="B203" s="10" t="s">
        <v>8169</v>
      </c>
      <c r="C203" s="8">
        <v>1192.3627777778311</v>
      </c>
      <c r="D203" s="15">
        <v>7.6372222222224018</v>
      </c>
      <c r="ATL203" s="8" t="s">
        <v>8169</v>
      </c>
      <c r="AYZ203" s="8" t="s">
        <v>891</v>
      </c>
      <c r="BAR203" s="19" t="s">
        <v>891</v>
      </c>
      <c r="BAV203" s="8" t="s">
        <v>234</v>
      </c>
      <c r="BCN203" s="8" t="s">
        <v>891</v>
      </c>
      <c r="BCR203" s="8" t="s">
        <v>6706</v>
      </c>
      <c r="BGJ203" s="8" t="s">
        <v>239</v>
      </c>
      <c r="CZT203" s="8" t="s">
        <v>2047</v>
      </c>
      <c r="DBP203" s="8" t="s">
        <v>1602</v>
      </c>
      <c r="DFH203" s="8" t="s">
        <v>231</v>
      </c>
      <c r="DHD203" s="8" t="s">
        <v>231</v>
      </c>
      <c r="DIZ203" s="8" t="s">
        <v>231</v>
      </c>
      <c r="DKV203" s="8" t="s">
        <v>231</v>
      </c>
    </row>
    <row r="204" spans="1:968 1063:2024 2093:3032">
      <c r="A204" s="8" t="s">
        <v>1428</v>
      </c>
      <c r="B204" s="10" t="s">
        <v>8170</v>
      </c>
      <c r="C204" s="8">
        <v>1248.2666666668374</v>
      </c>
      <c r="D204" s="15">
        <v>47.732777777647698</v>
      </c>
      <c r="AXD204" s="8" t="s">
        <v>8170</v>
      </c>
      <c r="BAV204" s="8" t="s">
        <v>892</v>
      </c>
      <c r="BCN204" s="8" t="s">
        <v>892</v>
      </c>
      <c r="BCR204" s="8" t="s">
        <v>6707</v>
      </c>
      <c r="BDP204" s="8" t="s">
        <v>235</v>
      </c>
      <c r="BKB204" s="8" t="s">
        <v>240</v>
      </c>
      <c r="DAN204" s="8" t="s">
        <v>2048</v>
      </c>
      <c r="DCJ204" s="8" t="s">
        <v>1603</v>
      </c>
      <c r="DGB204" s="8" t="s">
        <v>254</v>
      </c>
      <c r="DHX204" s="8" t="s">
        <v>254</v>
      </c>
      <c r="DJT204" s="8" t="s">
        <v>254</v>
      </c>
      <c r="DLP204" s="8" t="s">
        <v>254</v>
      </c>
    </row>
    <row r="205" spans="1:968 1063:2024 2093:3032">
      <c r="A205" s="8" t="s">
        <v>1428</v>
      </c>
      <c r="B205" s="10" t="s">
        <v>8171</v>
      </c>
      <c r="C205" s="8">
        <v>1344.2666666668374</v>
      </c>
      <c r="D205" s="15">
        <v>47.732777777647698</v>
      </c>
      <c r="AZP205" s="8" t="s">
        <v>236</v>
      </c>
      <c r="AZR205" s="8" t="s">
        <v>232</v>
      </c>
      <c r="BAV205" s="8" t="s">
        <v>8171</v>
      </c>
      <c r="BBN205" s="8" t="s">
        <v>893</v>
      </c>
      <c r="BCR205" s="8" t="s">
        <v>236</v>
      </c>
      <c r="BDJ205" s="8" t="s">
        <v>893</v>
      </c>
      <c r="BEN205" s="8" t="s">
        <v>6708</v>
      </c>
      <c r="BNT205" s="8" t="s">
        <v>241</v>
      </c>
    </row>
    <row r="206" spans="1:968 1063:2024 2093:3032">
      <c r="A206" s="8" t="s">
        <v>1429</v>
      </c>
      <c r="B206" s="10" t="s">
        <v>8172</v>
      </c>
      <c r="C206" s="8">
        <v>-352.36833333328832</v>
      </c>
      <c r="D206" s="15">
        <v>150.00000000004479</v>
      </c>
      <c r="H206" s="8" t="s">
        <v>8172</v>
      </c>
      <c r="AYZ206" s="8" t="s">
        <v>5256</v>
      </c>
      <c r="BAV206" s="8" t="s">
        <v>233</v>
      </c>
      <c r="BCT206" s="8" t="s">
        <v>894</v>
      </c>
      <c r="BDJ206" s="8" t="s">
        <v>894</v>
      </c>
      <c r="BDO206" s="8" t="s">
        <v>237</v>
      </c>
      <c r="BEP206" s="8" t="s">
        <v>894</v>
      </c>
      <c r="BGJ206" s="8" t="s">
        <v>6709</v>
      </c>
      <c r="BOZ206" s="8" t="s">
        <v>242</v>
      </c>
    </row>
    <row r="207" spans="1:968 1063:2024 2093:3032">
      <c r="A207" s="8" t="s">
        <v>1429</v>
      </c>
      <c r="B207" s="10" t="s">
        <v>8173</v>
      </c>
      <c r="C207" s="8">
        <v>-86.818888888810761</v>
      </c>
      <c r="D207" s="15">
        <v>27.777777777713531</v>
      </c>
      <c r="H207" s="8" t="s">
        <v>8173</v>
      </c>
      <c r="AYZ207" s="8" t="s">
        <v>5257</v>
      </c>
      <c r="AZB207" s="8" t="s">
        <v>238</v>
      </c>
      <c r="BCD207" s="8" t="s">
        <v>238</v>
      </c>
      <c r="BCN207" s="8" t="s">
        <v>234</v>
      </c>
      <c r="BCT207" s="8" t="s">
        <v>895</v>
      </c>
      <c r="BEA207" s="8" t="s">
        <v>895</v>
      </c>
      <c r="BEP207" s="8" t="s">
        <v>238</v>
      </c>
      <c r="BFW207" s="8" t="s">
        <v>895</v>
      </c>
      <c r="BIF207" s="8" t="s">
        <v>6710</v>
      </c>
      <c r="BPP207" s="8" t="s">
        <v>243</v>
      </c>
    </row>
    <row r="208" spans="1:968 1063:2024 2093:3032">
      <c r="A208" s="8" t="s">
        <v>1429</v>
      </c>
      <c r="B208" s="10" t="s">
        <v>8174</v>
      </c>
      <c r="C208" s="8">
        <v>71.205555555643514</v>
      </c>
      <c r="D208" s="15">
        <v>21.914444444556398</v>
      </c>
      <c r="CW208" s="8" t="s">
        <v>8174</v>
      </c>
      <c r="AYZ208" s="8" t="s">
        <v>5258</v>
      </c>
      <c r="BAI208" s="8" t="s">
        <v>239</v>
      </c>
      <c r="BAV208" s="8" t="s">
        <v>5258</v>
      </c>
      <c r="BCR208" s="8" t="s">
        <v>235</v>
      </c>
      <c r="BEN208" s="8" t="s">
        <v>896</v>
      </c>
      <c r="BFW208" s="8" t="s">
        <v>896</v>
      </c>
      <c r="BGJ208" s="8" t="s">
        <v>896</v>
      </c>
      <c r="BHM208" s="8" t="s">
        <v>239</v>
      </c>
      <c r="BLX208" s="8" t="s">
        <v>6711</v>
      </c>
      <c r="BRL208" s="8" t="s">
        <v>244</v>
      </c>
    </row>
    <row r="209" spans="1:318 1352:2024 2063:2936 3128:3272 6649:6680">
      <c r="A209" s="8" t="s">
        <v>1429</v>
      </c>
      <c r="B209" s="10" t="s">
        <v>8175</v>
      </c>
      <c r="C209" s="8">
        <v>95.219444444286637</v>
      </c>
      <c r="D209" s="15">
        <v>5.9766666666421546</v>
      </c>
      <c r="DE209" s="8" t="s">
        <v>8175</v>
      </c>
      <c r="AYZ209" s="8" t="s">
        <v>5259</v>
      </c>
      <c r="BAV209" s="8" t="s">
        <v>5259</v>
      </c>
      <c r="BCV209" s="8" t="s">
        <v>240</v>
      </c>
      <c r="BDJ209" s="8" t="s">
        <v>236</v>
      </c>
      <c r="BEN209" s="8" t="s">
        <v>897</v>
      </c>
      <c r="BFU209" s="8" t="s">
        <v>897</v>
      </c>
      <c r="BGJ209" s="8" t="s">
        <v>240</v>
      </c>
      <c r="BHQ209" s="8" t="s">
        <v>897</v>
      </c>
      <c r="BRL209" s="8" t="s">
        <v>6712</v>
      </c>
      <c r="CEJ209" s="8" t="s">
        <v>245</v>
      </c>
    </row>
    <row r="210" spans="1:318 1352:2024 2063:2936 3128:3272 6649:6680">
      <c r="A210" s="8" t="s">
        <v>1429</v>
      </c>
      <c r="B210" s="10" t="s">
        <v>8176</v>
      </c>
      <c r="C210" s="8">
        <v>104.0261111111613</v>
      </c>
      <c r="D210" s="15">
        <v>2.4072222223540702</v>
      </c>
      <c r="DJ210" s="8" t="s">
        <v>8176</v>
      </c>
      <c r="AYZ210" s="8" t="s">
        <v>5258</v>
      </c>
      <c r="BAV210" s="8" t="s">
        <v>5260</v>
      </c>
      <c r="BCC210" s="8" t="s">
        <v>825</v>
      </c>
      <c r="BEP210" s="8" t="s">
        <v>237</v>
      </c>
      <c r="BFU210" s="8" t="s">
        <v>898</v>
      </c>
      <c r="BGK210" s="8" t="s">
        <v>825</v>
      </c>
      <c r="BHQ210" s="8" t="s">
        <v>825</v>
      </c>
      <c r="BIF210" s="8" t="s">
        <v>898</v>
      </c>
      <c r="BKB210" s="8" t="s">
        <v>898</v>
      </c>
      <c r="BSY210" s="8" t="s">
        <v>6713</v>
      </c>
      <c r="CGW210" s="8" t="s">
        <v>246</v>
      </c>
    </row>
    <row r="211" spans="1:318 1352:2024 2063:2936 3128:3272 6649:6680">
      <c r="A211" s="8" t="s">
        <v>1429</v>
      </c>
      <c r="B211" s="10" t="s">
        <v>8177</v>
      </c>
      <c r="C211" s="8">
        <v>108</v>
      </c>
      <c r="D211" s="15">
        <v>18.518333333311602</v>
      </c>
      <c r="EE211" s="8" t="s">
        <v>8177</v>
      </c>
      <c r="AYZ211" s="8" t="s">
        <v>5259</v>
      </c>
      <c r="BAV211" s="8" t="s">
        <v>5261</v>
      </c>
      <c r="BCR211" s="8" t="s">
        <v>5261</v>
      </c>
      <c r="BEN211" s="8" t="s">
        <v>241</v>
      </c>
      <c r="BFW211" s="8" t="s">
        <v>238</v>
      </c>
      <c r="BGJ211" s="8" t="s">
        <v>899</v>
      </c>
      <c r="BHK211" s="8" t="s">
        <v>241</v>
      </c>
      <c r="BKB211" s="8" t="s">
        <v>241</v>
      </c>
      <c r="BLX211" s="8" t="s">
        <v>899</v>
      </c>
      <c r="BNT211" s="8" t="s">
        <v>899</v>
      </c>
      <c r="BVD211" s="8" t="s">
        <v>6714</v>
      </c>
      <c r="CHL211" s="8" t="s">
        <v>247</v>
      </c>
    </row>
    <row r="212" spans="1:318 1352:2024 2063:2936 3128:3272 6649:6680">
      <c r="A212" s="8" t="s">
        <v>1429</v>
      </c>
      <c r="B212" s="10" t="s">
        <v>8178</v>
      </c>
      <c r="C212" s="8">
        <v>127.99999999988358</v>
      </c>
      <c r="D212" s="15">
        <v>1.8516666666835828</v>
      </c>
      <c r="EH212" s="8" t="s">
        <v>8178</v>
      </c>
      <c r="AYZ212" s="8" t="s">
        <v>5260</v>
      </c>
      <c r="BAV212" s="8" t="s">
        <v>5262</v>
      </c>
      <c r="BCR212" s="8" t="s">
        <v>5262</v>
      </c>
      <c r="BGJ212" s="8" t="s">
        <v>239</v>
      </c>
      <c r="BIF212" s="8" t="s">
        <v>242</v>
      </c>
      <c r="BLJ212" s="8" t="s">
        <v>242</v>
      </c>
      <c r="BLX212" s="8" t="s">
        <v>900</v>
      </c>
      <c r="BND212" s="8" t="s">
        <v>900</v>
      </c>
      <c r="BNT212" s="8" t="s">
        <v>242</v>
      </c>
      <c r="BOZ212" s="8" t="s">
        <v>900</v>
      </c>
      <c r="BVD212" s="8" t="s">
        <v>6715</v>
      </c>
      <c r="CIB212" s="8" t="s">
        <v>248</v>
      </c>
    </row>
    <row r="213" spans="1:318 1352:2024 2063:2936 3128:3272 6649:6680">
      <c r="A213" s="8" t="s">
        <v>1429</v>
      </c>
      <c r="B213" s="10" t="s">
        <v>8179</v>
      </c>
      <c r="C213" s="8">
        <v>133.32499999995343</v>
      </c>
      <c r="D213" s="15">
        <v>9.9611111111704531</v>
      </c>
      <c r="EU213" s="8" t="s">
        <v>8179</v>
      </c>
      <c r="BAV213" s="8" t="s">
        <v>5261</v>
      </c>
      <c r="BCR213" s="8" t="s">
        <v>5263</v>
      </c>
      <c r="BEN213" s="8" t="s">
        <v>5263</v>
      </c>
      <c r="BJL213" s="8" t="s">
        <v>243</v>
      </c>
      <c r="BKB213" s="8" t="s">
        <v>240</v>
      </c>
      <c r="BNT213" s="8" t="s">
        <v>901</v>
      </c>
      <c r="BOZ213" s="8" t="s">
        <v>901</v>
      </c>
      <c r="BPC213" s="8" t="s">
        <v>243</v>
      </c>
      <c r="BPP213" s="8" t="s">
        <v>901</v>
      </c>
      <c r="BVD213" s="8" t="s">
        <v>6716</v>
      </c>
      <c r="CVU213" s="8" t="s">
        <v>249</v>
      </c>
    </row>
    <row r="214" spans="1:318 1352:2024 2063:2936 3128:3272 6649:6680">
      <c r="A214" s="8" t="s">
        <v>1429</v>
      </c>
      <c r="B214" s="10" t="s">
        <v>8180</v>
      </c>
      <c r="C214" s="8">
        <v>146.03333333332557</v>
      </c>
      <c r="D214" s="15">
        <v>9.961111111209469</v>
      </c>
      <c r="FH214" s="17" t="s">
        <v>8180</v>
      </c>
      <c r="BAV214" s="8" t="s">
        <v>5262</v>
      </c>
      <c r="BCR214" s="8" t="s">
        <v>5264</v>
      </c>
      <c r="BEN214" s="8" t="s">
        <v>5264</v>
      </c>
      <c r="BKB214" s="8" t="s">
        <v>244</v>
      </c>
      <c r="BNT214" s="8" t="s">
        <v>902</v>
      </c>
      <c r="BOG214" s="8" t="s">
        <v>244</v>
      </c>
      <c r="BPP214" s="8" t="s">
        <v>902</v>
      </c>
      <c r="BRL214" s="8" t="s">
        <v>902</v>
      </c>
      <c r="BWZ214" s="8" t="s">
        <v>6717</v>
      </c>
      <c r="CXA214" s="8" t="s">
        <v>250</v>
      </c>
    </row>
    <row r="215" spans="1:318 1352:2024 2063:2936 3128:3272 6649:6680">
      <c r="A215" s="8" t="s">
        <v>1429</v>
      </c>
      <c r="B215" s="10" t="s">
        <v>8181</v>
      </c>
      <c r="C215" s="8">
        <v>156.06222222209908</v>
      </c>
      <c r="D215" s="15">
        <v>9.9611111110938584</v>
      </c>
      <c r="FR215" s="8" t="s">
        <v>8181</v>
      </c>
      <c r="AYZ215" s="8" t="s">
        <v>6241</v>
      </c>
      <c r="BCR215" s="8" t="s">
        <v>5263</v>
      </c>
      <c r="BEN215" s="8" t="s">
        <v>5265</v>
      </c>
      <c r="BGJ215" s="8" t="s">
        <v>5265</v>
      </c>
      <c r="BLX215" s="8" t="s">
        <v>245</v>
      </c>
      <c r="BOZ215" s="8" t="s">
        <v>242</v>
      </c>
      <c r="BRL215" s="8" t="s">
        <v>245</v>
      </c>
      <c r="BWZ215" s="8" t="s">
        <v>6718</v>
      </c>
      <c r="CCN215" s="8" t="s">
        <v>903</v>
      </c>
      <c r="CEJ215" s="8" t="s">
        <v>903</v>
      </c>
      <c r="DBI215" s="8" t="s">
        <v>251</v>
      </c>
    </row>
    <row r="216" spans="1:318 1352:2024 2063:2936 3128:3272 6649:6680">
      <c r="A216" s="8" t="s">
        <v>1429</v>
      </c>
      <c r="B216" s="10" t="s">
        <v>8182</v>
      </c>
      <c r="C216" s="8">
        <v>168.07722222211305</v>
      </c>
      <c r="D216" s="15">
        <v>3.984444444307675</v>
      </c>
      <c r="FX216" s="17" t="s">
        <v>8182</v>
      </c>
      <c r="AYZ216" s="8" t="s">
        <v>6242</v>
      </c>
      <c r="BCR216" s="8" t="s">
        <v>5264</v>
      </c>
      <c r="BEN216" s="8" t="s">
        <v>5266</v>
      </c>
      <c r="BGJ216" s="8" t="s">
        <v>5266</v>
      </c>
      <c r="BPP216" s="8" t="s">
        <v>243</v>
      </c>
      <c r="BWZ216" s="8" t="s">
        <v>6719</v>
      </c>
      <c r="BYV216" s="8" t="s">
        <v>246</v>
      </c>
      <c r="CCB216" s="8" t="s">
        <v>246</v>
      </c>
      <c r="CCN216" s="8" t="s">
        <v>904</v>
      </c>
      <c r="CEJ216" s="8" t="s">
        <v>246</v>
      </c>
      <c r="CFA216" s="8" t="s">
        <v>904</v>
      </c>
      <c r="CGW216" s="8" t="s">
        <v>904</v>
      </c>
      <c r="DHX216" s="8" t="s">
        <v>252</v>
      </c>
    </row>
    <row r="217" spans="1:318 1352:2024 2063:2936 3128:3272 6649:6680">
      <c r="A217" s="8" t="s">
        <v>1429</v>
      </c>
      <c r="B217" s="10" t="s">
        <v>8183</v>
      </c>
      <c r="C217" s="8">
        <v>174.0894444443984</v>
      </c>
      <c r="D217" s="15">
        <v>19.922222222388111</v>
      </c>
      <c r="GT217" s="8" t="s">
        <v>8183</v>
      </c>
      <c r="AYZ217" s="8" t="s">
        <v>6302</v>
      </c>
      <c r="BAV217" s="8" t="s">
        <v>5928</v>
      </c>
      <c r="BEN217" s="8" t="s">
        <v>5265</v>
      </c>
      <c r="BGJ217" s="8" t="s">
        <v>5267</v>
      </c>
      <c r="BIF217" s="8" t="s">
        <v>5267</v>
      </c>
      <c r="BRL217" s="8" t="s">
        <v>244</v>
      </c>
      <c r="CBI217" s="8" t="s">
        <v>247</v>
      </c>
      <c r="CCN217" s="8" t="s">
        <v>6720</v>
      </c>
      <c r="CEJ217" s="8" t="s">
        <v>247</v>
      </c>
      <c r="CFA217" s="8" t="s">
        <v>905</v>
      </c>
      <c r="CFP217" s="8" t="s">
        <v>905</v>
      </c>
      <c r="CGW217" s="8" t="s">
        <v>247</v>
      </c>
      <c r="CHL217" s="8" t="s">
        <v>905</v>
      </c>
      <c r="DUV217" s="8" t="s">
        <v>253</v>
      </c>
    </row>
    <row r="218" spans="1:318 1352:2024 2063:2936 3128:3272 6649:6680">
      <c r="A218" s="8" t="s">
        <v>1429</v>
      </c>
      <c r="B218" s="10" t="s">
        <v>8184</v>
      </c>
      <c r="C218" s="8">
        <v>196.00000000011642</v>
      </c>
      <c r="D218" s="15">
        <v>18.518333333428178</v>
      </c>
      <c r="HO218" s="8" t="s">
        <v>8184</v>
      </c>
      <c r="AYZ218" s="8" t="s">
        <v>6303</v>
      </c>
      <c r="BAV218" s="8" t="s">
        <v>5929</v>
      </c>
      <c r="BEN218" s="8" t="s">
        <v>5266</v>
      </c>
      <c r="BGJ218" s="8" t="s">
        <v>5268</v>
      </c>
      <c r="BIF218" s="8" t="s">
        <v>5268</v>
      </c>
      <c r="CBX218" s="8" t="s">
        <v>248</v>
      </c>
      <c r="CCN218" s="8" t="s">
        <v>6721</v>
      </c>
      <c r="CEJ218" s="8" t="s">
        <v>245</v>
      </c>
      <c r="CGF218" s="8" t="s">
        <v>906</v>
      </c>
      <c r="CHL218" s="8" t="s">
        <v>906</v>
      </c>
      <c r="CIB218" s="8" t="s">
        <v>906</v>
      </c>
      <c r="CII218" s="8" t="s">
        <v>248</v>
      </c>
    </row>
    <row r="219" spans="1:318 1352:2024 2063:2936 3128:3272 6649:6680">
      <c r="A219" s="8" t="s">
        <v>1429</v>
      </c>
      <c r="B219" s="10" t="s">
        <v>8185</v>
      </c>
      <c r="C219" s="8">
        <v>215.47944444429595</v>
      </c>
      <c r="D219" s="15">
        <v>9.96111111106881</v>
      </c>
      <c r="HY219" s="8" t="s">
        <v>8185</v>
      </c>
      <c r="AYZ219" s="8" t="s">
        <v>6702</v>
      </c>
      <c r="BAV219" s="8" t="s">
        <v>6304</v>
      </c>
      <c r="BCR219" s="8" t="s">
        <v>5930</v>
      </c>
      <c r="BGJ219" s="8" t="s">
        <v>5267</v>
      </c>
      <c r="BIF219" s="8" t="s">
        <v>5269</v>
      </c>
      <c r="BKB219" s="8" t="s">
        <v>5269</v>
      </c>
      <c r="BVB219" s="8" t="s">
        <v>249</v>
      </c>
      <c r="BVD219" s="8" t="s">
        <v>907</v>
      </c>
      <c r="CCN219" s="8" t="s">
        <v>6722</v>
      </c>
      <c r="CGW219" s="8" t="s">
        <v>246</v>
      </c>
      <c r="CIB219" s="8" t="s">
        <v>249</v>
      </c>
      <c r="CTY219" s="8" t="s">
        <v>907</v>
      </c>
      <c r="CVU219" s="8" t="s">
        <v>907</v>
      </c>
    </row>
    <row r="220" spans="1:318 1352:2024 2063:2936 3128:3272 6649:6680">
      <c r="A220" s="8" t="s">
        <v>1429</v>
      </c>
      <c r="B220" s="10" t="s">
        <v>8186</v>
      </c>
      <c r="C220" s="8">
        <v>223.99999999988358</v>
      </c>
      <c r="D220" s="15">
        <v>18.518333333195031</v>
      </c>
      <c r="IQ220" s="8" t="s">
        <v>8186</v>
      </c>
      <c r="AYZ220" s="8" t="s">
        <v>6703</v>
      </c>
      <c r="BAV220" s="8" t="s">
        <v>6305</v>
      </c>
      <c r="BCR220" s="8" t="s">
        <v>5931</v>
      </c>
      <c r="BGJ220" s="8" t="s">
        <v>5268</v>
      </c>
      <c r="BIF220" s="8" t="s">
        <v>5270</v>
      </c>
      <c r="BKB220" s="8" t="s">
        <v>5270</v>
      </c>
      <c r="CEJ220" s="8" t="s">
        <v>6723</v>
      </c>
      <c r="CHL220" s="8" t="s">
        <v>247</v>
      </c>
      <c r="CQG220" s="8" t="s">
        <v>250</v>
      </c>
      <c r="CTI220" s="8" t="s">
        <v>250</v>
      </c>
      <c r="CTY220" s="8" t="s">
        <v>908</v>
      </c>
      <c r="CVE220" s="8" t="s">
        <v>908</v>
      </c>
      <c r="CVU220" s="8" t="s">
        <v>250</v>
      </c>
      <c r="CXA220" s="8" t="s">
        <v>908</v>
      </c>
    </row>
    <row r="221" spans="1:318 1352:2024 2063:2936 3128:3272 6649:6680">
      <c r="A221" s="8" t="s">
        <v>1429</v>
      </c>
      <c r="B221" s="10" t="s">
        <v>8187</v>
      </c>
      <c r="C221" s="8">
        <v>243.5183333333116</v>
      </c>
      <c r="D221" s="15">
        <v>1.4816666665503049</v>
      </c>
      <c r="IS221" s="8" t="s">
        <v>8187</v>
      </c>
      <c r="BAV221" s="8" t="s">
        <v>6704</v>
      </c>
      <c r="BCR221" s="8" t="s">
        <v>6306</v>
      </c>
      <c r="BEN221" s="8" t="s">
        <v>5932</v>
      </c>
      <c r="BIF221" s="8" t="s">
        <v>5269</v>
      </c>
      <c r="BKB221" s="8" t="s">
        <v>5271</v>
      </c>
      <c r="BLX221" s="8" t="s">
        <v>5271</v>
      </c>
      <c r="CGF221" s="8" t="s">
        <v>6724</v>
      </c>
      <c r="CIB221" s="8" t="s">
        <v>248</v>
      </c>
      <c r="CQW221" s="8" t="s">
        <v>251</v>
      </c>
      <c r="CRM221" s="8" t="s">
        <v>251</v>
      </c>
      <c r="CXA221" s="8" t="s">
        <v>251</v>
      </c>
      <c r="CZM221" s="8" t="s">
        <v>909</v>
      </c>
      <c r="DBI221" s="8" t="s">
        <v>909</v>
      </c>
    </row>
    <row r="222" spans="1:318 1352:2024 2063:2936 3128:3272 6649:6680">
      <c r="A222" s="8" t="s">
        <v>1429</v>
      </c>
      <c r="B222" s="10" t="s">
        <v>8188</v>
      </c>
      <c r="C222" s="8">
        <v>246</v>
      </c>
      <c r="D222" s="15">
        <v>20.379444444319233</v>
      </c>
      <c r="JN222" s="8" t="s">
        <v>8188</v>
      </c>
      <c r="AZK222" s="8" t="s">
        <v>910</v>
      </c>
      <c r="BAV222" s="8" t="s">
        <v>6705</v>
      </c>
      <c r="BCR222" s="8" t="s">
        <v>6307</v>
      </c>
      <c r="BEN222" s="8" t="s">
        <v>5933</v>
      </c>
      <c r="BIF222" s="8" t="s">
        <v>5270</v>
      </c>
      <c r="BKB222" s="8" t="s">
        <v>5272</v>
      </c>
      <c r="BLX222" s="8" t="s">
        <v>5272</v>
      </c>
      <c r="CGF222" s="8" t="s">
        <v>6725</v>
      </c>
      <c r="CVU222" s="8" t="s">
        <v>252</v>
      </c>
      <c r="CXD222" s="8" t="s">
        <v>252</v>
      </c>
      <c r="DBI222" s="8" t="s">
        <v>252</v>
      </c>
      <c r="DGB222" s="8" t="s">
        <v>910</v>
      </c>
      <c r="DHX222" s="8" t="s">
        <v>910</v>
      </c>
    </row>
    <row r="223" spans="1:318 1352:2024 2063:2936 3128:3272 6649:6680">
      <c r="A223" s="8" t="s">
        <v>1429</v>
      </c>
      <c r="B223" s="10" t="s">
        <v>8189</v>
      </c>
      <c r="C223" s="8">
        <v>289.00000000011642</v>
      </c>
      <c r="D223" s="15">
        <v>9.9611111109845076</v>
      </c>
      <c r="KU223" s="8" t="s">
        <v>8189</v>
      </c>
      <c r="BAV223" s="8" t="s">
        <v>253</v>
      </c>
      <c r="BBT223" s="8" t="s">
        <v>253</v>
      </c>
      <c r="BCR223" s="8" t="s">
        <v>6706</v>
      </c>
      <c r="BEN223" s="8" t="s">
        <v>6308</v>
      </c>
      <c r="BGJ223" s="8" t="s">
        <v>5934</v>
      </c>
      <c r="BKB223" s="8" t="s">
        <v>5271</v>
      </c>
      <c r="BYV223" s="8" t="s">
        <v>5273</v>
      </c>
      <c r="CAR223" s="8" t="s">
        <v>5273</v>
      </c>
      <c r="CGF223" s="8" t="s">
        <v>6726</v>
      </c>
      <c r="CUR223" s="8" t="s">
        <v>253</v>
      </c>
      <c r="CUZ223" s="8" t="s">
        <v>911</v>
      </c>
      <c r="CXA223" s="8" t="s">
        <v>250</v>
      </c>
      <c r="DCJ223" s="8" t="s">
        <v>253</v>
      </c>
      <c r="DHX223" s="8" t="s">
        <v>253</v>
      </c>
      <c r="DSZ223" s="8" t="s">
        <v>911</v>
      </c>
      <c r="DUV223" s="8" t="s">
        <v>911</v>
      </c>
    </row>
    <row r="224" spans="1:318 1352:2024 2063:2936 3128:3272 6649:6680">
      <c r="A224" s="8" t="s">
        <v>1429</v>
      </c>
      <c r="B224" s="10" t="s">
        <v>8190</v>
      </c>
      <c r="C224" s="8">
        <v>299.96111111110076</v>
      </c>
      <c r="D224" s="15">
        <v>9.9611111112070603</v>
      </c>
      <c r="LF224" s="8" t="s">
        <v>8190</v>
      </c>
      <c r="BCR224" s="8" t="s">
        <v>6707</v>
      </c>
      <c r="BEN224" s="8" t="s">
        <v>6309</v>
      </c>
      <c r="BGJ224" s="8" t="s">
        <v>5935</v>
      </c>
      <c r="BHH224" s="8" t="s">
        <v>254</v>
      </c>
      <c r="BIF224" s="8" t="s">
        <v>254</v>
      </c>
      <c r="BJD224" s="8" t="s">
        <v>1393</v>
      </c>
      <c r="BKB224" s="8" t="s">
        <v>5272</v>
      </c>
      <c r="CAI224" s="8" t="s">
        <v>5274</v>
      </c>
      <c r="CCE224" s="8" t="s">
        <v>5274</v>
      </c>
      <c r="DBI224" s="8" t="s">
        <v>251</v>
      </c>
      <c r="DPH224" s="8" t="s">
        <v>254</v>
      </c>
      <c r="DUV224" s="8" t="s">
        <v>254</v>
      </c>
      <c r="IUS224" s="8" t="s">
        <v>254</v>
      </c>
      <c r="IVX224" s="8" t="s">
        <v>1393</v>
      </c>
    </row>
    <row r="225" spans="1:565 1352:2024 2049:2936 3272:3272">
      <c r="A225" s="8" t="s">
        <v>1429</v>
      </c>
      <c r="B225" s="10" t="s">
        <v>8191</v>
      </c>
      <c r="C225" s="8">
        <v>310.92222222208511</v>
      </c>
      <c r="D225" s="15">
        <v>19.922222222297066</v>
      </c>
      <c r="MA225" s="8" t="s">
        <v>8191</v>
      </c>
      <c r="BFM225" s="8" t="s">
        <v>6708</v>
      </c>
      <c r="BHI225" s="8" t="s">
        <v>6310</v>
      </c>
      <c r="BJE225" s="8" t="s">
        <v>5936</v>
      </c>
      <c r="BMW225" s="8" t="s">
        <v>5815</v>
      </c>
      <c r="CCN225" s="8" t="s">
        <v>5275</v>
      </c>
      <c r="CEJ225" s="8" t="s">
        <v>5275</v>
      </c>
      <c r="DHX225" s="8" t="s">
        <v>252</v>
      </c>
    </row>
    <row r="226" spans="1:565 1352:2024 2049:2936 3272:3272">
      <c r="A226" s="8" t="s">
        <v>1429</v>
      </c>
      <c r="B226" s="10" t="s">
        <v>8192</v>
      </c>
      <c r="C226" s="8">
        <v>331.84444444428664</v>
      </c>
      <c r="D226" s="15">
        <v>10.957222222076121</v>
      </c>
      <c r="MM226" s="8" t="s">
        <v>8192</v>
      </c>
      <c r="BGK226" s="8" t="s">
        <v>6709</v>
      </c>
      <c r="BIG226" s="8" t="s">
        <v>6311</v>
      </c>
      <c r="BKC226" s="8" t="s">
        <v>5937</v>
      </c>
      <c r="BNU226" s="8" t="s">
        <v>5816</v>
      </c>
      <c r="CCN226" s="8" t="s">
        <v>5276</v>
      </c>
      <c r="CEJ226" s="8" t="s">
        <v>5276</v>
      </c>
      <c r="DUV226" s="8" t="s">
        <v>253</v>
      </c>
    </row>
    <row r="227" spans="1:565 1352:2024 2049:2936 3272:3272">
      <c r="A227" s="8" t="s">
        <v>1429</v>
      </c>
      <c r="B227" s="10" t="s">
        <v>8193</v>
      </c>
      <c r="C227" s="8">
        <v>343.80166666663717</v>
      </c>
      <c r="D227" s="15">
        <v>9.9611111111877921</v>
      </c>
      <c r="MX227" s="8" t="s">
        <v>8193</v>
      </c>
      <c r="BJD227" s="8" t="s">
        <v>6710</v>
      </c>
      <c r="BKZ227" s="8" t="s">
        <v>6312</v>
      </c>
      <c r="BMV227" s="8" t="s">
        <v>5938</v>
      </c>
      <c r="BQN227" s="8" t="s">
        <v>5817</v>
      </c>
      <c r="CEJ227" s="8" t="s">
        <v>5277</v>
      </c>
      <c r="CGF227" s="8" t="s">
        <v>5277</v>
      </c>
    </row>
    <row r="228" spans="1:565 1352:2024 2049:2936 3272:3272">
      <c r="A228" s="8" t="s">
        <v>1429</v>
      </c>
      <c r="B228" s="10" t="s">
        <v>8194</v>
      </c>
      <c r="C228" s="8">
        <v>354.76277777762152</v>
      </c>
      <c r="D228" s="15">
        <v>18.518333333504771</v>
      </c>
      <c r="NQ228" s="8" t="s">
        <v>8194</v>
      </c>
      <c r="BLX228" s="8" t="s">
        <v>6711</v>
      </c>
      <c r="BNT228" s="8" t="s">
        <v>6313</v>
      </c>
      <c r="BPP228" s="8" t="s">
        <v>5939</v>
      </c>
      <c r="BTH228" s="8" t="s">
        <v>5818</v>
      </c>
      <c r="CEJ228" s="8" t="s">
        <v>5278</v>
      </c>
      <c r="CGF228" s="8" t="s">
        <v>5278</v>
      </c>
    </row>
    <row r="229" spans="1:565 1352:2024 2049:2936 3272:3272">
      <c r="A229" s="8" t="s">
        <v>1429</v>
      </c>
      <c r="B229" s="10" t="s">
        <v>8195</v>
      </c>
      <c r="C229" s="8">
        <v>374.28111111104954</v>
      </c>
      <c r="D229" s="15">
        <v>18.518333333249945</v>
      </c>
      <c r="OK229" s="8" t="s">
        <v>8195</v>
      </c>
      <c r="BRL229" s="8" t="s">
        <v>6712</v>
      </c>
      <c r="BTH229" s="8" t="s">
        <v>6314</v>
      </c>
      <c r="BVD229" s="8" t="s">
        <v>5940</v>
      </c>
      <c r="BYV229" s="8" t="s">
        <v>5273</v>
      </c>
      <c r="CJX229" s="8" t="s">
        <v>5279</v>
      </c>
      <c r="CLT229" s="8" t="s">
        <v>5279</v>
      </c>
    </row>
    <row r="230" spans="1:565 1352:2024 2049:2936 3272:3272">
      <c r="A230" s="8" t="s">
        <v>1429</v>
      </c>
      <c r="B230" s="10" t="s">
        <v>8196</v>
      </c>
      <c r="C230" s="8">
        <v>393.79944444447756</v>
      </c>
      <c r="D230" s="15">
        <v>18.518333333344842</v>
      </c>
      <c r="PD230" s="17" t="s">
        <v>8196</v>
      </c>
      <c r="BCR230" s="8" t="s">
        <v>4652</v>
      </c>
      <c r="BEN230" s="8" t="s">
        <v>4277</v>
      </c>
      <c r="BSY230" s="8" t="s">
        <v>6713</v>
      </c>
      <c r="BUU230" s="8" t="s">
        <v>6315</v>
      </c>
      <c r="BWQ230" s="8" t="s">
        <v>5941</v>
      </c>
      <c r="CAI230" s="8" t="s">
        <v>5274</v>
      </c>
      <c r="CJX230" s="8" t="s">
        <v>5280</v>
      </c>
      <c r="CLT230" s="8" t="s">
        <v>5280</v>
      </c>
    </row>
    <row r="231" spans="1:565 1352:2024 2049:2936 3272:3272">
      <c r="A231" s="8" t="s">
        <v>1429</v>
      </c>
      <c r="B231" s="10" t="s">
        <v>8197</v>
      </c>
      <c r="C231" s="8">
        <v>413.31777777790558</v>
      </c>
      <c r="D231" s="15">
        <v>9.2594444444515478</v>
      </c>
      <c r="PO231" s="8" t="s">
        <v>8197</v>
      </c>
      <c r="BEN231" s="8" t="s">
        <v>4653</v>
      </c>
      <c r="BGJ231" s="8" t="s">
        <v>4278</v>
      </c>
      <c r="BVD231" s="8" t="s">
        <v>6714</v>
      </c>
      <c r="BWZ231" s="8" t="s">
        <v>6316</v>
      </c>
      <c r="BYV231" s="8" t="s">
        <v>5942</v>
      </c>
      <c r="CCN231" s="8" t="s">
        <v>5275</v>
      </c>
      <c r="CJX231" s="8" t="s">
        <v>5281</v>
      </c>
      <c r="CLT231" s="8" t="s">
        <v>5281</v>
      </c>
    </row>
    <row r="232" spans="1:565 1352:2024 2049:2936 3272:3272">
      <c r="A232" s="8" t="s">
        <v>1429</v>
      </c>
      <c r="B232" s="10" t="s">
        <v>8198</v>
      </c>
      <c r="C232" s="8">
        <v>423.57722222234588</v>
      </c>
      <c r="D232" s="15">
        <v>9.2594444444476895</v>
      </c>
      <c r="PY232" s="8" t="s">
        <v>8198</v>
      </c>
      <c r="BGJ232" s="8" t="s">
        <v>4654</v>
      </c>
      <c r="BIF232" s="8" t="s">
        <v>4279</v>
      </c>
      <c r="BVD232" s="8" t="s">
        <v>6715</v>
      </c>
      <c r="BWZ232" s="8" t="s">
        <v>6317</v>
      </c>
      <c r="BYV232" s="8" t="s">
        <v>5943</v>
      </c>
      <c r="CCN232" s="8" t="s">
        <v>5276</v>
      </c>
      <c r="CLT232" s="8" t="s">
        <v>5282</v>
      </c>
      <c r="CNP232" s="8" t="s">
        <v>5282</v>
      </c>
    </row>
    <row r="233" spans="1:565 1352:2024 2049:2936 3272:3272">
      <c r="A233" s="8" t="s">
        <v>1429</v>
      </c>
      <c r="B233" s="10" t="s">
        <v>8199</v>
      </c>
      <c r="C233" s="8">
        <v>434.83666666655336</v>
      </c>
      <c r="D233" s="15">
        <v>2.7777777777551189</v>
      </c>
      <c r="QD233" s="8" t="s">
        <v>8199</v>
      </c>
      <c r="AYZ233" s="8" t="s">
        <v>240</v>
      </c>
      <c r="BIF233" s="8" t="s">
        <v>4655</v>
      </c>
      <c r="BKB233" s="8" t="s">
        <v>4280</v>
      </c>
      <c r="BWZ233" s="8" t="s">
        <v>6716</v>
      </c>
      <c r="BYV233" s="8" t="s">
        <v>6318</v>
      </c>
      <c r="CAR233" s="8" t="s">
        <v>5944</v>
      </c>
      <c r="CEJ233" s="8" t="s">
        <v>5819</v>
      </c>
      <c r="CNP233" s="8" t="s">
        <v>5283</v>
      </c>
      <c r="CPL233" s="8" t="s">
        <v>5283</v>
      </c>
    </row>
    <row r="234" spans="1:565 1352:2024 2049:2936 3272:3272">
      <c r="A234" s="8" t="s">
        <v>1429</v>
      </c>
      <c r="B234" s="10" t="s">
        <v>8200</v>
      </c>
      <c r="C234" s="8">
        <v>441.61444444453809</v>
      </c>
      <c r="D234" s="15">
        <v>1.8516666665443648</v>
      </c>
      <c r="QI234" s="8" t="s">
        <v>8200</v>
      </c>
      <c r="BAG234" s="8" t="s">
        <v>825</v>
      </c>
      <c r="BWZ234" s="8" t="s">
        <v>6717</v>
      </c>
      <c r="BYV234" s="8" t="s">
        <v>6319</v>
      </c>
      <c r="CAR234" s="8" t="s">
        <v>5945</v>
      </c>
      <c r="CCN234" s="8" t="s">
        <v>4656</v>
      </c>
      <c r="CEJ234" s="8" t="s">
        <v>5277</v>
      </c>
      <c r="CNP234" s="8" t="s">
        <v>5284</v>
      </c>
      <c r="CPL234" s="8" t="s">
        <v>5284</v>
      </c>
    </row>
    <row r="235" spans="1:565 1352:2024 2049:2936 3272:3272">
      <c r="A235" s="8" t="s">
        <v>1429</v>
      </c>
      <c r="B235" s="10" t="s">
        <v>8201</v>
      </c>
      <c r="C235" s="8">
        <v>474.4444444446126</v>
      </c>
      <c r="D235" s="15">
        <v>5.5555555555555216</v>
      </c>
      <c r="RT235" s="8" t="s">
        <v>8201</v>
      </c>
      <c r="BAV235" s="8" t="s">
        <v>241</v>
      </c>
      <c r="BCR235" s="8" t="s">
        <v>241</v>
      </c>
      <c r="BWZ235" s="8" t="s">
        <v>6718</v>
      </c>
      <c r="BYV235" s="8" t="s">
        <v>6320</v>
      </c>
      <c r="CAR235" s="8" t="s">
        <v>5946</v>
      </c>
      <c r="CEA235" s="8" t="s">
        <v>4657</v>
      </c>
      <c r="CEJ235" s="8" t="s">
        <v>5278</v>
      </c>
      <c r="CFW235" s="8" t="s">
        <v>4281</v>
      </c>
      <c r="CNP235" s="8" t="s">
        <v>5285</v>
      </c>
      <c r="CPL235" s="8" t="s">
        <v>5285</v>
      </c>
    </row>
    <row r="236" spans="1:565 1352:2024 2049:2936 3272:3272">
      <c r="A236" s="8" t="s">
        <v>1429</v>
      </c>
      <c r="B236" s="10" t="s">
        <v>8202</v>
      </c>
      <c r="C236" s="8">
        <v>532.13111111114267</v>
      </c>
      <c r="D236" s="15">
        <v>1.3888888887913311</v>
      </c>
      <c r="TV236" s="8" t="s">
        <v>8202</v>
      </c>
      <c r="AZC236" s="8" t="s">
        <v>255</v>
      </c>
      <c r="BEN236" s="8" t="s">
        <v>242</v>
      </c>
      <c r="BGJ236" s="8" t="s">
        <v>242</v>
      </c>
      <c r="BXY236" s="8" t="s">
        <v>6719</v>
      </c>
      <c r="BZU236" s="8" t="s">
        <v>6321</v>
      </c>
      <c r="CBQ236" s="8" t="s">
        <v>5947</v>
      </c>
      <c r="CFI236" s="8" t="s">
        <v>5820</v>
      </c>
      <c r="CGF236" s="8" t="s">
        <v>4658</v>
      </c>
      <c r="CIB236" s="8" t="s">
        <v>4282</v>
      </c>
      <c r="CRH236" s="8" t="s">
        <v>5286</v>
      </c>
      <c r="CTD236" s="8" t="s">
        <v>5286</v>
      </c>
    </row>
    <row r="237" spans="1:565 1352:2024 2049:2936 3272:3272">
      <c r="A237" s="8" t="s">
        <v>1429</v>
      </c>
      <c r="B237" s="10" t="s">
        <v>8203</v>
      </c>
      <c r="C237" s="8">
        <v>535.52000000013504</v>
      </c>
      <c r="D237" s="15">
        <v>0.46277777782625318</v>
      </c>
      <c r="TX237" s="8" t="s">
        <v>8203</v>
      </c>
      <c r="AYZ237" s="8" t="s">
        <v>1455</v>
      </c>
      <c r="BAV237" s="8" t="s">
        <v>1455</v>
      </c>
      <c r="BFT237" s="8" t="s">
        <v>243</v>
      </c>
      <c r="BHP237" s="8" t="s">
        <v>243</v>
      </c>
      <c r="CCN237" s="8" t="s">
        <v>6720</v>
      </c>
      <c r="CEJ237" s="8" t="s">
        <v>6322</v>
      </c>
      <c r="CGF237" s="8" t="s">
        <v>5868</v>
      </c>
      <c r="CIB237" s="8" t="s">
        <v>4283</v>
      </c>
      <c r="CJX237" s="8" t="s">
        <v>5279</v>
      </c>
      <c r="CRH237" s="8" t="s">
        <v>5287</v>
      </c>
      <c r="CTD237" s="8" t="s">
        <v>5287</v>
      </c>
    </row>
    <row r="238" spans="1:565 1352:2024 2049:2936 3272:3272">
      <c r="A238" s="8" t="s">
        <v>1429</v>
      </c>
      <c r="B238" s="10" t="s">
        <v>8204</v>
      </c>
      <c r="C238" s="8">
        <v>539.98277777794283</v>
      </c>
      <c r="D238" s="15">
        <v>1.8516666666161394</v>
      </c>
      <c r="UD238" s="8" t="s">
        <v>8204</v>
      </c>
      <c r="BAI238" s="8" t="s">
        <v>2049</v>
      </c>
      <c r="BCE238" s="8" t="s">
        <v>1604</v>
      </c>
      <c r="BFW238" s="8" t="s">
        <v>258</v>
      </c>
      <c r="BGJ238" s="8" t="s">
        <v>244</v>
      </c>
      <c r="BHS238" s="8" t="s">
        <v>258</v>
      </c>
      <c r="BIF238" s="8" t="s">
        <v>244</v>
      </c>
      <c r="BJO238" s="8" t="s">
        <v>258</v>
      </c>
      <c r="BLK238" s="8" t="s">
        <v>258</v>
      </c>
      <c r="CCN238" s="8" t="s">
        <v>6721</v>
      </c>
      <c r="CEJ238" s="8" t="s">
        <v>6323</v>
      </c>
      <c r="CGF238" s="8" t="s">
        <v>5948</v>
      </c>
      <c r="CIB238" s="8" t="s">
        <v>4659</v>
      </c>
      <c r="CJX238" s="8" t="s">
        <v>5280</v>
      </c>
    </row>
    <row r="239" spans="1:565 1352:2024 2049:2936 3272:3272">
      <c r="A239" s="8" t="s">
        <v>1429</v>
      </c>
      <c r="B239" s="10" t="s">
        <v>8594</v>
      </c>
      <c r="C239" s="8">
        <v>556.01944444456603</v>
      </c>
      <c r="D239" s="15">
        <v>0.46277777781276797</v>
      </c>
      <c r="UR239" s="17" t="s">
        <v>8594</v>
      </c>
      <c r="BIF239" s="8" t="s">
        <v>245</v>
      </c>
      <c r="BKB239" s="8" t="s">
        <v>2050</v>
      </c>
      <c r="BLX239" s="8" t="s">
        <v>1605</v>
      </c>
      <c r="BPP239" s="8" t="s">
        <v>259</v>
      </c>
      <c r="BRL239" s="8" t="s">
        <v>259</v>
      </c>
      <c r="BTH239" s="8" t="s">
        <v>259</v>
      </c>
      <c r="BVD239" s="8" t="s">
        <v>259</v>
      </c>
      <c r="CCN239" s="8" t="s">
        <v>6722</v>
      </c>
      <c r="CEJ239" s="8" t="s">
        <v>6324</v>
      </c>
      <c r="CGF239" s="8" t="s">
        <v>5949</v>
      </c>
      <c r="CIB239" s="8" t="s">
        <v>4660</v>
      </c>
      <c r="CJX239" s="8" t="s">
        <v>5281</v>
      </c>
    </row>
    <row r="240" spans="1:565 1352:2024 2049:2936 3272:3272">
      <c r="A240" s="8" t="s">
        <v>1429</v>
      </c>
      <c r="B240" s="10" t="s">
        <v>8595</v>
      </c>
      <c r="C240" s="8">
        <v>557.02666666649748</v>
      </c>
      <c r="D240" s="15">
        <v>0.46277777787153163</v>
      </c>
      <c r="US240" s="8" t="s">
        <v>8595</v>
      </c>
      <c r="BVD240" s="8" t="s">
        <v>246</v>
      </c>
      <c r="BWZ240" s="8" t="s">
        <v>246</v>
      </c>
      <c r="CEJ240" s="8" t="s">
        <v>6723</v>
      </c>
      <c r="CGF240" s="8" t="s">
        <v>6325</v>
      </c>
      <c r="CIB240" s="8" t="s">
        <v>5950</v>
      </c>
      <c r="CJX240" s="8" t="s">
        <v>2051</v>
      </c>
      <c r="CLT240" s="8" t="s">
        <v>5282</v>
      </c>
      <c r="CNP240" s="8" t="s">
        <v>4661</v>
      </c>
      <c r="CPL240" s="8" t="s">
        <v>4284</v>
      </c>
      <c r="CRH240" s="8" t="s">
        <v>1501</v>
      </c>
      <c r="CTD240" s="8" t="s">
        <v>1501</v>
      </c>
      <c r="CUZ240" s="8" t="s">
        <v>1501</v>
      </c>
    </row>
    <row r="241" spans="1:1016 1064:2024 2056:3060 3080:3080">
      <c r="A241" s="8" t="s">
        <v>1429</v>
      </c>
      <c r="B241" s="10" t="s">
        <v>8205</v>
      </c>
      <c r="C241" s="8">
        <v>557.48222222237382</v>
      </c>
      <c r="D241" s="15">
        <v>258.51777777777789</v>
      </c>
      <c r="AER241" s="8" t="s">
        <v>8205</v>
      </c>
      <c r="BYF241" s="8" t="s">
        <v>248</v>
      </c>
      <c r="CAB241" s="8" t="s">
        <v>248</v>
      </c>
      <c r="CGF241" s="8" t="s">
        <v>6724</v>
      </c>
      <c r="CIB241" s="8" t="s">
        <v>6326</v>
      </c>
      <c r="CJX241" s="8" t="s">
        <v>5951</v>
      </c>
      <c r="CNP241" s="8" t="s">
        <v>5283</v>
      </c>
      <c r="CPL241" s="8" t="s">
        <v>4285</v>
      </c>
      <c r="CWV241" s="8" t="s">
        <v>2052</v>
      </c>
      <c r="CYR241" s="8" t="s">
        <v>1606</v>
      </c>
      <c r="DCJ241" s="8" t="s">
        <v>1502</v>
      </c>
      <c r="DEF241" s="8" t="s">
        <v>1502</v>
      </c>
      <c r="DGB241" s="8" t="s">
        <v>1502</v>
      </c>
      <c r="DHX241" s="8" t="s">
        <v>1502</v>
      </c>
    </row>
    <row r="242" spans="1:1016 1064:2024 2056:3060 3080:3080">
      <c r="A242" s="8" t="s">
        <v>1429</v>
      </c>
      <c r="B242" s="10" t="s">
        <v>8206</v>
      </c>
      <c r="C242" s="8">
        <v>817.99999999988358</v>
      </c>
      <c r="D242" s="15">
        <v>9.2594444445565607</v>
      </c>
      <c r="AFC242" s="8" t="s">
        <v>8206</v>
      </c>
      <c r="BYV242" s="8" t="s">
        <v>249</v>
      </c>
      <c r="CAR242" s="8" t="s">
        <v>249</v>
      </c>
      <c r="CGF242" s="8" t="s">
        <v>6725</v>
      </c>
      <c r="CIB242" s="8" t="s">
        <v>6327</v>
      </c>
      <c r="CJX242" s="8" t="s">
        <v>5952</v>
      </c>
      <c r="CNP242" s="8" t="s">
        <v>5284</v>
      </c>
      <c r="CPL242" s="8" t="s">
        <v>4286</v>
      </c>
      <c r="DCJ242" s="8" t="s">
        <v>2053</v>
      </c>
      <c r="DEF242" s="8" t="s">
        <v>1607</v>
      </c>
      <c r="DHX242" s="8" t="s">
        <v>1503</v>
      </c>
      <c r="DJT242" s="8" t="s">
        <v>1503</v>
      </c>
      <c r="DLP242" s="8" t="s">
        <v>1503</v>
      </c>
      <c r="DNL242" s="8" t="s">
        <v>1503</v>
      </c>
    </row>
    <row r="243" spans="1:1016 1064:2024 2056:3060 3080:3080">
      <c r="A243" s="8" t="s">
        <v>1429</v>
      </c>
      <c r="B243" s="10" t="s">
        <v>8207</v>
      </c>
      <c r="C243" s="8">
        <v>854.74055555567611</v>
      </c>
      <c r="D243" s="15">
        <v>9.2594444444443216</v>
      </c>
      <c r="AGN243" s="8" t="s">
        <v>8207</v>
      </c>
      <c r="CGF243" s="8" t="s">
        <v>6726</v>
      </c>
      <c r="CIB243" s="8" t="s">
        <v>6328</v>
      </c>
      <c r="CJX243" s="8" t="s">
        <v>5953</v>
      </c>
      <c r="CMO243" s="8" t="s">
        <v>250</v>
      </c>
      <c r="CNP243" s="8" t="s">
        <v>5285</v>
      </c>
      <c r="COK243" s="8" t="s">
        <v>250</v>
      </c>
      <c r="CPL243" s="8" t="s">
        <v>4662</v>
      </c>
      <c r="CRH243" s="8" t="s">
        <v>4287</v>
      </c>
    </row>
    <row r="244" spans="1:1016 1064:2024 2056:3060 3080:3080">
      <c r="A244" s="8" t="s">
        <v>1429</v>
      </c>
      <c r="B244" s="10" t="s">
        <v>8208</v>
      </c>
      <c r="C244" s="8">
        <v>861.22222222213168</v>
      </c>
      <c r="D244" s="15">
        <v>2.7777777777777608</v>
      </c>
      <c r="AGN244" s="8" t="s">
        <v>8208</v>
      </c>
      <c r="AYZ244" s="8" t="s">
        <v>83</v>
      </c>
      <c r="CNU244" s="8" t="s">
        <v>251</v>
      </c>
      <c r="CPQ244" s="8" t="s">
        <v>251</v>
      </c>
      <c r="CRH244" s="8" t="s">
        <v>4663</v>
      </c>
      <c r="CTD244" s="8" t="s">
        <v>4288</v>
      </c>
    </row>
    <row r="245" spans="1:1016 1064:2024 2056:3060 3080:3080">
      <c r="A245" s="8" t="s">
        <v>1429</v>
      </c>
      <c r="B245" s="10" t="s">
        <v>8209</v>
      </c>
      <c r="C245" s="8">
        <v>862.14833333319984</v>
      </c>
      <c r="D245" s="15">
        <v>1.8516666666667216</v>
      </c>
      <c r="AGN245" s="8" t="s">
        <v>8209</v>
      </c>
      <c r="BCJ245" s="8" t="s">
        <v>84</v>
      </c>
      <c r="BCN245" s="8" t="s">
        <v>84</v>
      </c>
      <c r="BCR245" s="8" t="s">
        <v>84</v>
      </c>
      <c r="CRH245" s="8" t="s">
        <v>4664</v>
      </c>
      <c r="CSC245" s="8" t="s">
        <v>252</v>
      </c>
      <c r="CTD245" s="8" t="s">
        <v>4289</v>
      </c>
      <c r="CTY245" s="8" t="s">
        <v>252</v>
      </c>
    </row>
    <row r="246" spans="1:1016 1064:2024 2056:3060 3080:3080">
      <c r="A246" s="8" t="s">
        <v>1429</v>
      </c>
      <c r="B246" s="10" t="s">
        <v>8210</v>
      </c>
      <c r="C246" s="8">
        <v>906.4444444446126</v>
      </c>
      <c r="D246" s="15">
        <v>5.5555555555555216</v>
      </c>
      <c r="AIJ246" s="8" t="s">
        <v>8210</v>
      </c>
      <c r="BCJ246" s="8" t="s">
        <v>85</v>
      </c>
      <c r="BCN246" s="8" t="s">
        <v>85</v>
      </c>
      <c r="BCR246" s="8" t="s">
        <v>85</v>
      </c>
      <c r="CRH246" s="8" t="s">
        <v>4665</v>
      </c>
      <c r="CTD246" s="8" t="s">
        <v>4290</v>
      </c>
      <c r="CYR246" s="8" t="s">
        <v>253</v>
      </c>
      <c r="DAN246" s="8" t="s">
        <v>253</v>
      </c>
    </row>
    <row r="247" spans="1:1016 1064:2024 2056:3060 3080:3080">
      <c r="A247" s="8" t="s">
        <v>1429</v>
      </c>
      <c r="B247" s="10" t="s">
        <v>8211</v>
      </c>
      <c r="C247" s="8">
        <v>908.29611111106351</v>
      </c>
      <c r="D247" s="15">
        <v>3.7038888888888</v>
      </c>
      <c r="AIJ247" s="8" t="s">
        <v>8211</v>
      </c>
      <c r="BGB247" s="8" t="s">
        <v>86</v>
      </c>
      <c r="BGF247" s="8" t="s">
        <v>86</v>
      </c>
      <c r="BGJ247" s="8" t="s">
        <v>86</v>
      </c>
      <c r="CUZ247" s="8" t="s">
        <v>4666</v>
      </c>
      <c r="CWV247" s="8" t="s">
        <v>4291</v>
      </c>
      <c r="DKV247" s="8" t="s">
        <v>231</v>
      </c>
      <c r="DMR247" s="8" t="s">
        <v>231</v>
      </c>
    </row>
    <row r="248" spans="1:1016 1064:2024 2056:3060 3080:3080">
      <c r="A248" s="8" t="s">
        <v>1429</v>
      </c>
      <c r="B248" s="10" t="s">
        <v>8212</v>
      </c>
      <c r="C248" s="8">
        <v>909.10999999986961</v>
      </c>
      <c r="D248" s="15">
        <v>9.2594444445425896</v>
      </c>
      <c r="AIP248" s="8" t="s">
        <v>8212</v>
      </c>
      <c r="BHX248" s="8" t="s">
        <v>87</v>
      </c>
      <c r="BIB248" s="8" t="s">
        <v>87</v>
      </c>
      <c r="BIF248" s="8" t="s">
        <v>87</v>
      </c>
      <c r="CVY248" s="8" t="s">
        <v>4667</v>
      </c>
      <c r="CXU248" s="8" t="s">
        <v>4292</v>
      </c>
      <c r="DLP248" s="8" t="s">
        <v>254</v>
      </c>
      <c r="DNL248" s="8" t="s">
        <v>254</v>
      </c>
    </row>
    <row r="249" spans="1:1016 1064:2024 2056:3060 3080:3080">
      <c r="A249" s="8" t="s">
        <v>1429</v>
      </c>
      <c r="B249" s="10" t="s">
        <v>8213</v>
      </c>
      <c r="C249" s="8">
        <v>957.10999999986961</v>
      </c>
      <c r="D249" s="15">
        <v>9.2594444445425896</v>
      </c>
      <c r="AKL249" s="8" t="s">
        <v>8213</v>
      </c>
      <c r="BJT249" s="8" t="s">
        <v>88</v>
      </c>
      <c r="BJX249" s="8" t="s">
        <v>88</v>
      </c>
      <c r="BKB249" s="8" t="s">
        <v>88</v>
      </c>
    </row>
    <row r="250" spans="1:1016 1064:2024 2056:3060 3080:3080">
      <c r="A250" s="8" t="s">
        <v>1429</v>
      </c>
      <c r="B250" s="10" t="s">
        <v>8214</v>
      </c>
      <c r="C250" s="8">
        <v>1007.5372222223086</v>
      </c>
      <c r="D250" s="15">
        <v>0.46277777777760143</v>
      </c>
      <c r="AMB250" s="8" t="s">
        <v>8214</v>
      </c>
      <c r="BLP250" s="8" t="s">
        <v>89</v>
      </c>
      <c r="BLT250" s="8" t="s">
        <v>89</v>
      </c>
      <c r="BLX250" s="8" t="s">
        <v>89</v>
      </c>
    </row>
    <row r="251" spans="1:1016 1064:2024 2056:3060 3080:3080">
      <c r="A251" s="8" t="s">
        <v>1429</v>
      </c>
      <c r="B251" s="10" t="s">
        <v>8215</v>
      </c>
      <c r="C251" s="8">
        <v>1050.4444444446126</v>
      </c>
      <c r="D251" s="15">
        <v>5.5555555555555216</v>
      </c>
      <c r="ANX251" s="8" t="s">
        <v>8215</v>
      </c>
      <c r="BNL251" s="8" t="s">
        <v>90</v>
      </c>
      <c r="BNP251" s="8" t="s">
        <v>90</v>
      </c>
      <c r="BNT251" s="8" t="s">
        <v>90</v>
      </c>
    </row>
    <row r="252" spans="1:1016 1064:2024 2056:3060 3080:3080">
      <c r="A252" s="8" t="s">
        <v>1429</v>
      </c>
      <c r="B252" s="10" t="s">
        <v>8216</v>
      </c>
      <c r="C252" s="8">
        <v>1060.0000000001164</v>
      </c>
      <c r="D252" s="15">
        <v>120.37222222238796</v>
      </c>
      <c r="ASR252" s="17" t="s">
        <v>8216</v>
      </c>
      <c r="BST252" s="8" t="s">
        <v>91</v>
      </c>
      <c r="BSX252" s="8" t="s">
        <v>91</v>
      </c>
      <c r="BTB252" s="8" t="s">
        <v>91</v>
      </c>
    </row>
    <row r="253" spans="1:1016 1064:2024 2056:3060 3080:3080">
      <c r="A253" s="8" t="s">
        <v>1429</v>
      </c>
      <c r="B253" s="10" t="s">
        <v>8217</v>
      </c>
      <c r="C253" s="8">
        <v>1246.1483333331998</v>
      </c>
      <c r="D253" s="15">
        <v>1.8516666666667216</v>
      </c>
      <c r="AVH253" s="8" t="s">
        <v>8217</v>
      </c>
      <c r="BTD253" s="8" t="s">
        <v>92</v>
      </c>
      <c r="BTH253" s="8" t="s">
        <v>92</v>
      </c>
      <c r="BTL253" s="8" t="s">
        <v>92</v>
      </c>
    </row>
    <row r="254" spans="1:1016 1064:2024 2056:3060 3080:3080">
      <c r="A254" s="8" t="s">
        <v>1429</v>
      </c>
      <c r="B254" s="10" t="s">
        <v>8596</v>
      </c>
      <c r="C254" s="8">
        <v>1274.1666666667443</v>
      </c>
      <c r="D254" s="15">
        <v>2.3149999999052646</v>
      </c>
      <c r="AWJ254" s="17" t="s">
        <v>8596</v>
      </c>
      <c r="BUM254" s="8" t="s">
        <v>93</v>
      </c>
      <c r="BUQ254" s="8" t="s">
        <v>93</v>
      </c>
      <c r="BUU254" s="8" t="s">
        <v>93</v>
      </c>
    </row>
    <row r="255" spans="1:1016 1064:2024 2056:3060 3080:3080">
      <c r="A255" s="8" t="s">
        <v>1429</v>
      </c>
      <c r="B255" s="10" t="s">
        <v>8218</v>
      </c>
      <c r="C255" s="8">
        <v>1277.4816666666884</v>
      </c>
      <c r="D255" s="15">
        <v>18.518333333333281</v>
      </c>
      <c r="AXD255" s="8" t="s">
        <v>8218</v>
      </c>
      <c r="BEN255" s="8" t="s">
        <v>256</v>
      </c>
      <c r="BUV255" s="8" t="s">
        <v>94</v>
      </c>
      <c r="BUZ255" s="8" t="s">
        <v>94</v>
      </c>
      <c r="BVD255" s="8" t="s">
        <v>94</v>
      </c>
    </row>
    <row r="256" spans="1:1016 1064:2024 2056:3060 3080:3080">
      <c r="A256" s="8" t="s">
        <v>1429</v>
      </c>
      <c r="B256" s="10" t="s">
        <v>8219</v>
      </c>
      <c r="C256" s="8">
        <v>1292.2961111110635</v>
      </c>
      <c r="D256" s="15">
        <v>3.7038888888888</v>
      </c>
      <c r="AXD256" s="8" t="s">
        <v>8219</v>
      </c>
      <c r="BUQ256" s="8" t="s">
        <v>257</v>
      </c>
      <c r="BWM256" s="8" t="s">
        <v>95</v>
      </c>
      <c r="BWQ256" s="8" t="s">
        <v>95</v>
      </c>
      <c r="BWU256" s="8" t="s">
        <v>95</v>
      </c>
    </row>
    <row r="257" spans="1:935 1208:2047 2120:2792 3408:4040 4325:4328">
      <c r="A257" s="8" t="s">
        <v>1429</v>
      </c>
      <c r="B257" s="10" t="s">
        <v>8220</v>
      </c>
      <c r="C257" s="8">
        <v>1294.1483333331998</v>
      </c>
      <c r="D257" s="15">
        <v>1.8516666666667216</v>
      </c>
      <c r="AXD257" s="8" t="s">
        <v>8220</v>
      </c>
      <c r="BYR257" s="8" t="s">
        <v>96</v>
      </c>
      <c r="BYV257" s="8" t="s">
        <v>96</v>
      </c>
      <c r="BYZ257" s="8" t="s">
        <v>96</v>
      </c>
      <c r="CEJ257" s="8" t="s">
        <v>258</v>
      </c>
    </row>
    <row r="258" spans="1:935 1208:2047 2120:2792 3408:4040 4325:4328">
      <c r="A258" s="8" t="s">
        <v>1429</v>
      </c>
      <c r="B258" s="10" t="s">
        <v>8221</v>
      </c>
      <c r="C258" s="8">
        <v>1294.1483333331998</v>
      </c>
      <c r="D258" s="15">
        <v>1.8516666666667216</v>
      </c>
      <c r="AXD258" s="8" t="s">
        <v>8221</v>
      </c>
      <c r="BYV258" s="8" t="s">
        <v>97</v>
      </c>
      <c r="BYZ258" s="8" t="s">
        <v>97</v>
      </c>
      <c r="BZD258" s="8" t="s">
        <v>97</v>
      </c>
    </row>
    <row r="259" spans="1:935 1208:2047 2120:2792 3408:4040 4325:4328">
      <c r="A259" s="8" t="s">
        <v>1429</v>
      </c>
      <c r="B259" s="10" t="s">
        <v>8222</v>
      </c>
      <c r="C259" s="8">
        <v>1306.9627777776914</v>
      </c>
      <c r="D259" s="15">
        <v>37.037222222222397</v>
      </c>
      <c r="AYZ259" s="8" t="s">
        <v>8222</v>
      </c>
      <c r="BYZ259" s="8" t="s">
        <v>98</v>
      </c>
      <c r="BZD259" s="8" t="s">
        <v>98</v>
      </c>
      <c r="BZH259" s="8" t="s">
        <v>98</v>
      </c>
    </row>
    <row r="260" spans="1:935 1208:2047 2120:2792 3408:4040 4325:4328">
      <c r="A260" s="8" t="s">
        <v>1429</v>
      </c>
      <c r="B260" s="10" t="s">
        <v>8223</v>
      </c>
      <c r="C260" s="8">
        <v>1342.1483333331998</v>
      </c>
      <c r="D260" s="15">
        <v>1.8516666666667216</v>
      </c>
      <c r="AYZ260" s="8" t="s">
        <v>8223</v>
      </c>
      <c r="BZC260" s="8" t="s">
        <v>99</v>
      </c>
      <c r="BZG260" s="8" t="s">
        <v>99</v>
      </c>
      <c r="BZK260" s="8" t="s">
        <v>99</v>
      </c>
    </row>
    <row r="261" spans="1:935 1208:2047 2120:2792 3408:4040 4325:4328">
      <c r="A261" s="8" t="s">
        <v>1429</v>
      </c>
      <c r="B261" s="10" t="s">
        <v>8224</v>
      </c>
      <c r="C261" s="8">
        <v>1382.7405555556761</v>
      </c>
      <c r="D261" s="15">
        <v>9.2594444444443216</v>
      </c>
      <c r="BAV261" s="8" t="s">
        <v>8224</v>
      </c>
      <c r="BCR261" s="8" t="s">
        <v>912</v>
      </c>
      <c r="BEN261" s="8" t="s">
        <v>912</v>
      </c>
      <c r="BZG261" s="8" t="s">
        <v>100</v>
      </c>
      <c r="BZK261" s="8" t="s">
        <v>100</v>
      </c>
      <c r="BZO261" s="8" t="s">
        <v>100</v>
      </c>
    </row>
    <row r="262" spans="1:935 1208:2047 2120:2792 3408:4040 4325:4328">
      <c r="A262" s="8" t="s">
        <v>1430</v>
      </c>
      <c r="B262" s="10" t="s">
        <v>8225</v>
      </c>
      <c r="C262" s="8">
        <v>-289.13611111126374</v>
      </c>
      <c r="D262" s="15">
        <v>1.13611111111104</v>
      </c>
      <c r="H262" s="8" t="s">
        <v>8225</v>
      </c>
      <c r="AYZ262" s="8" t="s">
        <v>257</v>
      </c>
      <c r="BEN262" s="8" t="s">
        <v>257</v>
      </c>
      <c r="BSU262" s="8" t="s">
        <v>913</v>
      </c>
      <c r="BUQ262" s="8" t="s">
        <v>913</v>
      </c>
      <c r="BZK262" s="8" t="s">
        <v>101</v>
      </c>
      <c r="BZO262" s="8" t="s">
        <v>101</v>
      </c>
      <c r="BZS262" s="8" t="s">
        <v>101</v>
      </c>
    </row>
    <row r="263" spans="1:935 1208:2047 2120:2792 3408:4040 4325:4328">
      <c r="A263" s="8" t="s">
        <v>1430</v>
      </c>
      <c r="B263" s="10" t="s">
        <v>8226</v>
      </c>
      <c r="C263" s="8">
        <v>-257.80277777777519</v>
      </c>
      <c r="D263" s="15">
        <v>17.8027777777776</v>
      </c>
      <c r="H263" s="8" t="s">
        <v>8226</v>
      </c>
      <c r="BKZ263" s="8" t="s">
        <v>258</v>
      </c>
      <c r="BLK263" s="8" t="s">
        <v>914</v>
      </c>
      <c r="BPC263" s="8" t="s">
        <v>258</v>
      </c>
      <c r="BUQ263" s="8" t="s">
        <v>258</v>
      </c>
      <c r="CCN263" s="8" t="s">
        <v>914</v>
      </c>
      <c r="CEJ263" s="8" t="s">
        <v>914</v>
      </c>
      <c r="CLL263" s="8" t="s">
        <v>102</v>
      </c>
      <c r="CLP263" s="8" t="s">
        <v>102</v>
      </c>
      <c r="CLT263" s="8" t="s">
        <v>102</v>
      </c>
    </row>
    <row r="264" spans="1:935 1208:2047 2120:2792 3408:4040 4325:4328">
      <c r="A264" s="8" t="s">
        <v>1430</v>
      </c>
      <c r="B264" s="10" t="s">
        <v>8227</v>
      </c>
      <c r="C264" s="8">
        <v>-207.64444444456603</v>
      </c>
      <c r="D264" s="15">
        <v>7.5755555556338763</v>
      </c>
      <c r="H264" s="8" t="s">
        <v>8227</v>
      </c>
      <c r="BYV264" s="8" t="s">
        <v>259</v>
      </c>
      <c r="CEJ264" s="8" t="s">
        <v>259</v>
      </c>
      <c r="CNI264" s="8" t="s">
        <v>103</v>
      </c>
      <c r="CNM264" s="8" t="s">
        <v>103</v>
      </c>
      <c r="CNQ264" s="8" t="s">
        <v>103</v>
      </c>
      <c r="FJI264" s="8" t="s">
        <v>259</v>
      </c>
      <c r="FJL264" s="8" t="s">
        <v>1394</v>
      </c>
    </row>
    <row r="265" spans="1:935 1208:2047 2120:2792 3408:4040 4325:4328">
      <c r="A265" s="8" t="s">
        <v>1430</v>
      </c>
      <c r="B265" s="10" t="s">
        <v>8228</v>
      </c>
      <c r="C265" s="8">
        <v>-151.57555555540603</v>
      </c>
      <c r="D265" s="15">
        <v>7.5755555555553578</v>
      </c>
      <c r="H265" s="8" t="s">
        <v>8228</v>
      </c>
      <c r="CUS265" s="8" t="s">
        <v>104</v>
      </c>
      <c r="CUW265" s="8" t="s">
        <v>104</v>
      </c>
      <c r="CVA265" s="8" t="s">
        <v>104</v>
      </c>
    </row>
    <row r="266" spans="1:935 1208:2047 2120:2792 3408:4040 4325:4328">
      <c r="A266" s="8" t="s">
        <v>1430</v>
      </c>
      <c r="B266" s="10" t="s">
        <v>8229</v>
      </c>
      <c r="C266" s="8">
        <v>-96.378888888750225</v>
      </c>
      <c r="D266" s="15">
        <v>0.37888888888896233</v>
      </c>
      <c r="H266" s="8" t="s">
        <v>8229</v>
      </c>
      <c r="BEN266" s="8" t="s">
        <v>256</v>
      </c>
      <c r="DCB266" s="8" t="s">
        <v>105</v>
      </c>
      <c r="DCF266" s="8" t="s">
        <v>105</v>
      </c>
      <c r="DCJ266" s="8" t="s">
        <v>105</v>
      </c>
    </row>
    <row r="267" spans="1:935 1208:2047 2120:2792 3408:4040 4325:4328">
      <c r="A267" s="8" t="s">
        <v>1430</v>
      </c>
      <c r="B267" s="10" t="s">
        <v>8230</v>
      </c>
      <c r="C267" s="8">
        <v>154.00000000011642</v>
      </c>
      <c r="D267" s="15">
        <v>15.15166666661405</v>
      </c>
      <c r="FU267" s="8" t="s">
        <v>8230</v>
      </c>
      <c r="BUQ267" s="8" t="s">
        <v>257</v>
      </c>
      <c r="EAB267" s="8" t="s">
        <v>106</v>
      </c>
      <c r="EAF267" s="8" t="s">
        <v>106</v>
      </c>
      <c r="EAJ267" s="8" t="s">
        <v>106</v>
      </c>
    </row>
    <row r="268" spans="1:935 1208:2047 2120:2792 3408:4040 4325:4328">
      <c r="A268" s="8" t="s">
        <v>1430</v>
      </c>
      <c r="B268" s="10" t="s">
        <v>8597</v>
      </c>
      <c r="C268" s="8">
        <v>311.62111111124977</v>
      </c>
      <c r="D268" s="15">
        <v>0.37888888888895966</v>
      </c>
      <c r="LH268" s="8" t="s">
        <v>8597</v>
      </c>
      <c r="CEJ268" s="8" t="s">
        <v>258</v>
      </c>
      <c r="EHL268" s="8" t="s">
        <v>107</v>
      </c>
      <c r="EHP268" s="8" t="s">
        <v>107</v>
      </c>
      <c r="EHT268" s="8" t="s">
        <v>107</v>
      </c>
    </row>
    <row r="269" spans="1:935 1208:2047 2120:2792 3408:4040 4325:4328">
      <c r="A269" s="8" t="s">
        <v>1430</v>
      </c>
      <c r="B269" s="10" t="s">
        <v>8231</v>
      </c>
      <c r="C269" s="8">
        <v>912</v>
      </c>
      <c r="D269" s="15">
        <v>15.151666666497476</v>
      </c>
      <c r="AIY269" s="8" t="s">
        <v>8231</v>
      </c>
      <c r="EUJ269" s="8" t="s">
        <v>108</v>
      </c>
      <c r="EUN269" s="8" t="s">
        <v>108</v>
      </c>
      <c r="EUR269" s="8" t="s">
        <v>108</v>
      </c>
    </row>
    <row r="270" spans="1:935 1208:2047 2120:2792 3408:4040 4325:4328">
      <c r="A270" s="8" t="s">
        <v>1430</v>
      </c>
      <c r="B270" s="10" t="s">
        <v>8232</v>
      </c>
      <c r="C270" s="8">
        <v>927.27277777763084</v>
      </c>
      <c r="D270" s="15">
        <v>272.72722222222228</v>
      </c>
      <c r="ATL270" s="8" t="s">
        <v>8232</v>
      </c>
      <c r="EYB270" s="8" t="s">
        <v>109</v>
      </c>
      <c r="EYF270" s="8" t="s">
        <v>109</v>
      </c>
      <c r="EYJ270" s="8" t="s">
        <v>109</v>
      </c>
    </row>
    <row r="271" spans="1:935 1208:2047 2120:2792 3408:4040 4325:4328">
      <c r="A271" s="8" t="s">
        <v>1430</v>
      </c>
      <c r="B271" s="10" t="s">
        <v>8233</v>
      </c>
      <c r="C271" s="8">
        <v>1169.6972222223412</v>
      </c>
      <c r="D271" s="15">
        <v>30.302777777777763</v>
      </c>
      <c r="ATL271" s="8" t="s">
        <v>8233</v>
      </c>
    </row>
    <row r="272" spans="1:935 1208:2047 2120:2792 3408:4040 4325:4328">
      <c r="A272" s="8" t="s">
        <v>1431</v>
      </c>
      <c r="B272" s="10" t="s">
        <v>8234</v>
      </c>
      <c r="C272" s="8">
        <v>114.19222222210374</v>
      </c>
      <c r="D272" s="15">
        <v>1.4283333332256962</v>
      </c>
      <c r="DT272" s="8" t="s">
        <v>8234</v>
      </c>
    </row>
    <row r="273" spans="1:584 1352:2044 2195:2504">
      <c r="A273" s="8" t="s">
        <v>1431</v>
      </c>
      <c r="B273" s="10" t="s">
        <v>8235</v>
      </c>
      <c r="C273" s="8">
        <v>117.88222222204786</v>
      </c>
      <c r="D273" s="15">
        <v>7.57000000012364</v>
      </c>
      <c r="EC273" s="8" t="s">
        <v>8235</v>
      </c>
    </row>
    <row r="274" spans="1:584 1352:2044 2195:2504">
      <c r="A274" s="8" t="s">
        <v>1431</v>
      </c>
      <c r="B274" s="10" t="s">
        <v>8236</v>
      </c>
      <c r="C274" s="8">
        <v>125.90222222206648</v>
      </c>
      <c r="D274" s="15">
        <v>15.09555555538547</v>
      </c>
      <c r="ES274" s="8" t="s">
        <v>8236</v>
      </c>
      <c r="AYZ274" s="8" t="s">
        <v>6727</v>
      </c>
    </row>
    <row r="275" spans="1:584 1352:2044 2195:2504">
      <c r="A275" s="8" t="s">
        <v>1431</v>
      </c>
      <c r="B275" s="10" t="s">
        <v>8237</v>
      </c>
      <c r="C275" s="8">
        <v>141.91999999992549</v>
      </c>
      <c r="D275" s="15">
        <v>1.4283333332695332</v>
      </c>
      <c r="EU275" s="8" t="s">
        <v>8237</v>
      </c>
      <c r="BCR275" s="8" t="s">
        <v>6728</v>
      </c>
    </row>
    <row r="276" spans="1:584 1352:2044 2195:2504">
      <c r="A276" s="8" t="s">
        <v>1431</v>
      </c>
      <c r="B276" s="10" t="s">
        <v>8238</v>
      </c>
      <c r="C276" s="8">
        <v>145.93222222232725</v>
      </c>
      <c r="D276" s="15">
        <v>1.4283333334492134</v>
      </c>
      <c r="EY276" s="8" t="s">
        <v>8238</v>
      </c>
      <c r="BIF276" s="8" t="s">
        <v>6729</v>
      </c>
    </row>
    <row r="277" spans="1:584 1352:2044 2195:2504">
      <c r="A277" s="8" t="s">
        <v>1431</v>
      </c>
      <c r="B277" s="10" t="s">
        <v>8239</v>
      </c>
      <c r="C277" s="8">
        <v>149.98888888873626</v>
      </c>
      <c r="D277" s="15">
        <v>45.287222222155926</v>
      </c>
      <c r="GU277" s="8" t="s">
        <v>8239</v>
      </c>
      <c r="BKB277" s="8" t="s">
        <v>6730</v>
      </c>
    </row>
    <row r="278" spans="1:584 1352:2044 2195:2504">
      <c r="A278" s="8" t="s">
        <v>1431</v>
      </c>
      <c r="B278" s="10" t="s">
        <v>8240</v>
      </c>
      <c r="C278" s="8">
        <v>196.00000000011642</v>
      </c>
      <c r="D278" s="15">
        <v>30.191666666534886</v>
      </c>
      <c r="HZ278" s="8" t="s">
        <v>8240</v>
      </c>
      <c r="BKB278" s="8" t="s">
        <v>6732</v>
      </c>
    </row>
    <row r="279" spans="1:584 1352:2044 2195:2504">
      <c r="A279" s="8" t="s">
        <v>1431</v>
      </c>
      <c r="B279" s="10" t="s">
        <v>8241</v>
      </c>
      <c r="C279" s="8">
        <v>241.99999999988358</v>
      </c>
      <c r="D279" s="15">
        <v>75.478333333274179</v>
      </c>
      <c r="LM279" s="8" t="s">
        <v>8241</v>
      </c>
      <c r="BLH279" s="8" t="s">
        <v>6731</v>
      </c>
    </row>
    <row r="280" spans="1:584 1352:2044 2195:2504">
      <c r="A280" s="8" t="s">
        <v>1431</v>
      </c>
      <c r="B280" s="10" t="s">
        <v>8242</v>
      </c>
      <c r="C280" s="8">
        <v>337.99999999988358</v>
      </c>
      <c r="D280" s="15">
        <v>15.095555555424493</v>
      </c>
      <c r="MW280" s="8" t="s">
        <v>8242</v>
      </c>
      <c r="BLX280" s="8" t="s">
        <v>6733</v>
      </c>
    </row>
    <row r="281" spans="1:584 1352:2044 2195:2504">
      <c r="A281" s="8" t="s">
        <v>1431</v>
      </c>
      <c r="B281" s="10" t="s">
        <v>8243</v>
      </c>
      <c r="C281" s="8">
        <v>354.09555555554107</v>
      </c>
      <c r="D281" s="15">
        <v>15.095555555526616</v>
      </c>
      <c r="NM281" s="8" t="s">
        <v>8243</v>
      </c>
      <c r="BNT281" s="8" t="s">
        <v>6734</v>
      </c>
    </row>
    <row r="282" spans="1:584 1352:2044 2195:2504">
      <c r="A282" s="8" t="s">
        <v>1431</v>
      </c>
      <c r="B282" s="10" t="s">
        <v>8244</v>
      </c>
      <c r="C282" s="8">
        <v>370.19111111119855</v>
      </c>
      <c r="D282" s="15">
        <v>30.191666666505988</v>
      </c>
      <c r="OR282" s="8" t="s">
        <v>8244</v>
      </c>
      <c r="BTH282" s="8" t="s">
        <v>6735</v>
      </c>
    </row>
    <row r="283" spans="1:584 1352:2044 2195:2504">
      <c r="A283" s="8" t="s">
        <v>1431</v>
      </c>
      <c r="B283" s="10" t="s">
        <v>8245</v>
      </c>
      <c r="C283" s="8">
        <v>401.57277777779382</v>
      </c>
      <c r="D283" s="15">
        <v>28.571666666671696</v>
      </c>
      <c r="PV283" s="8" t="s">
        <v>8245</v>
      </c>
      <c r="BVD283" s="8" t="s">
        <v>6736</v>
      </c>
    </row>
    <row r="284" spans="1:584 1352:2044 2195:2504">
      <c r="A284" s="8" t="s">
        <v>1431</v>
      </c>
      <c r="B284" s="10" t="s">
        <v>8246</v>
      </c>
      <c r="C284" s="8">
        <v>431.14444444456603</v>
      </c>
      <c r="D284" s="15">
        <v>28.571666666777197</v>
      </c>
      <c r="QZ284" s="17" t="s">
        <v>8246</v>
      </c>
      <c r="BWZ284" s="8" t="s">
        <v>6737</v>
      </c>
    </row>
    <row r="285" spans="1:584 1352:2044 2195:2504">
      <c r="A285" s="8" t="s">
        <v>1431</v>
      </c>
      <c r="B285" s="10" t="s">
        <v>8247</v>
      </c>
      <c r="C285" s="8">
        <v>460.716111110989</v>
      </c>
      <c r="D285" s="15">
        <v>14.285555555712559</v>
      </c>
      <c r="RO285" s="8" t="s">
        <v>8247</v>
      </c>
      <c r="AZC285" s="8" t="s">
        <v>255</v>
      </c>
      <c r="BAY285" s="8" t="s">
        <v>255</v>
      </c>
      <c r="BZP285" s="8" t="s">
        <v>6738</v>
      </c>
    </row>
    <row r="286" spans="1:584 1352:2044 2195:2504">
      <c r="A286" s="8" t="s">
        <v>1431</v>
      </c>
      <c r="B286" s="10" t="s">
        <v>8248</v>
      </c>
      <c r="C286" s="8">
        <v>477.00166666670702</v>
      </c>
      <c r="D286" s="15">
        <v>14.285555555525653</v>
      </c>
      <c r="SE286" s="8" t="s">
        <v>8248</v>
      </c>
      <c r="BAV286" s="8" t="s">
        <v>1455</v>
      </c>
      <c r="BCR286" s="8" t="s">
        <v>1455</v>
      </c>
      <c r="CFK286" s="8" t="s">
        <v>6739</v>
      </c>
    </row>
    <row r="287" spans="1:584 1352:2044 2195:2504">
      <c r="A287" s="8" t="s">
        <v>1431</v>
      </c>
      <c r="B287" s="10" t="s">
        <v>8249</v>
      </c>
      <c r="C287" s="8">
        <v>492.28722222230863</v>
      </c>
      <c r="D287" s="15">
        <v>0.71444444460103806</v>
      </c>
      <c r="SG287" s="8" t="s">
        <v>8249</v>
      </c>
      <c r="BLK287" s="8" t="s">
        <v>258</v>
      </c>
      <c r="BNG287" s="8" t="s">
        <v>258</v>
      </c>
      <c r="CJX287" s="8" t="s">
        <v>6740</v>
      </c>
    </row>
    <row r="288" spans="1:584 1352:2044 2195:2504">
      <c r="A288" s="8" t="s">
        <v>1431</v>
      </c>
      <c r="B288" s="10" t="s">
        <v>8250</v>
      </c>
      <c r="C288" s="8">
        <v>548.14277777785901</v>
      </c>
      <c r="D288" s="15">
        <v>27.857222222222397</v>
      </c>
      <c r="VL288" s="8" t="s">
        <v>8250</v>
      </c>
      <c r="BVD288" s="8" t="s">
        <v>259</v>
      </c>
      <c r="BWZ288" s="8" t="s">
        <v>259</v>
      </c>
      <c r="CRH288" s="8" t="s">
        <v>6741</v>
      </c>
    </row>
    <row r="289" spans="1:1015 1208:1976 2072:2744 3128:3992 4136:4232">
      <c r="A289" s="8" t="s">
        <v>1431</v>
      </c>
      <c r="B289" s="10" t="s">
        <v>8251</v>
      </c>
      <c r="C289" s="8">
        <v>856.85722222225741</v>
      </c>
      <c r="D289" s="15">
        <v>7.142777777777761</v>
      </c>
      <c r="AGN289" s="8" t="s">
        <v>8251</v>
      </c>
      <c r="CRH289" s="8" t="s">
        <v>6742</v>
      </c>
    </row>
    <row r="290" spans="1:1015 1208:1976 2072:2744 3128:3992 4136:4232">
      <c r="A290" s="8" t="s">
        <v>1431</v>
      </c>
      <c r="B290" s="10" t="s">
        <v>8252</v>
      </c>
      <c r="C290" s="8">
        <v>859.71444444428198</v>
      </c>
      <c r="D290" s="15">
        <v>4.2855555555556801</v>
      </c>
      <c r="AGN290" s="8" t="s">
        <v>8252</v>
      </c>
      <c r="CSS290" s="8" t="s">
        <v>6743</v>
      </c>
    </row>
    <row r="291" spans="1:1015 1208:1976 2072:2744 3128:3992 4136:4232">
      <c r="A291" s="8" t="s">
        <v>1431</v>
      </c>
      <c r="B291" s="10" t="s">
        <v>8253</v>
      </c>
      <c r="C291" s="8">
        <v>896.7144444443984</v>
      </c>
      <c r="D291" s="15">
        <v>7.1427777776963488</v>
      </c>
      <c r="AIB291" s="8" t="s">
        <v>8253</v>
      </c>
      <c r="CUZ291" s="8" t="s">
        <v>6744</v>
      </c>
    </row>
    <row r="292" spans="1:1015 1208:1976 2072:2744 3128:3992 4136:4232">
      <c r="A292" s="8" t="s">
        <v>1431</v>
      </c>
      <c r="B292" s="10" t="s">
        <v>8254</v>
      </c>
      <c r="C292" s="8">
        <v>904.85722222225741</v>
      </c>
      <c r="D292" s="15">
        <v>7.142777777777761</v>
      </c>
      <c r="AIJ292" s="8" t="s">
        <v>8254</v>
      </c>
      <c r="AYZ292" s="8" t="s">
        <v>5288</v>
      </c>
      <c r="DAN292" s="8" t="s">
        <v>6745</v>
      </c>
    </row>
    <row r="293" spans="1:1015 1208:1976 2072:2744 3128:3992 4136:4232">
      <c r="A293" s="8" t="s">
        <v>1431</v>
      </c>
      <c r="B293" s="10" t="s">
        <v>8255</v>
      </c>
      <c r="C293" s="8">
        <v>931.4283333333442</v>
      </c>
      <c r="D293" s="15">
        <v>28.571666666666879</v>
      </c>
      <c r="AKF293" s="8" t="s">
        <v>8255</v>
      </c>
      <c r="AZT293" s="8" t="s">
        <v>5289</v>
      </c>
      <c r="DPH293" s="8" t="s">
        <v>6747</v>
      </c>
    </row>
    <row r="294" spans="1:1015 1208:1976 2072:2744 3128:3992 4136:4232">
      <c r="A294" s="8" t="s">
        <v>1431</v>
      </c>
      <c r="B294" s="10" t="s">
        <v>8256</v>
      </c>
      <c r="C294" s="8">
        <v>979.4283333333442</v>
      </c>
      <c r="D294" s="15">
        <v>27.857222222152068</v>
      </c>
      <c r="AMA294" s="8" t="s">
        <v>8256</v>
      </c>
      <c r="AYZ294" s="8" t="s">
        <v>5290</v>
      </c>
      <c r="BAV294" s="8" t="s">
        <v>5290</v>
      </c>
      <c r="EWN294" s="8" t="s">
        <v>6748</v>
      </c>
    </row>
    <row r="295" spans="1:1015 1208:1976 2072:2744 3128:3992 4136:4232">
      <c r="A295" s="8" t="s">
        <v>1431</v>
      </c>
      <c r="B295" s="10" t="s">
        <v>8257</v>
      </c>
      <c r="C295" s="8">
        <v>1128.5716666665394</v>
      </c>
      <c r="D295" s="15">
        <v>71.428333333333441</v>
      </c>
      <c r="ATL295" s="8" t="s">
        <v>8257</v>
      </c>
      <c r="BFN295" s="8" t="s">
        <v>5291</v>
      </c>
      <c r="BHJ295" s="8" t="s">
        <v>5291</v>
      </c>
      <c r="FCB295" s="8" t="s">
        <v>6749</v>
      </c>
    </row>
    <row r="296" spans="1:1015 1208:1976 2072:2744 3128:3992 4136:4232">
      <c r="A296" s="8" t="s">
        <v>1431</v>
      </c>
      <c r="B296" s="10" t="s">
        <v>8258</v>
      </c>
      <c r="C296" s="8">
        <v>1233.7144444445148</v>
      </c>
      <c r="D296" s="15">
        <v>14.285555555555522</v>
      </c>
      <c r="AVH296" s="8" t="s">
        <v>8258</v>
      </c>
      <c r="BGJ296" s="8" t="s">
        <v>5292</v>
      </c>
      <c r="BIF296" s="8" t="s">
        <v>5292</v>
      </c>
      <c r="FFT296" s="8" t="s">
        <v>6750</v>
      </c>
    </row>
    <row r="297" spans="1:1015 1208:1976 2072:2744 3128:3992 4136:4232">
      <c r="A297" s="8" t="s">
        <v>1431</v>
      </c>
      <c r="B297" s="10" t="s">
        <v>8259</v>
      </c>
      <c r="C297" s="8">
        <v>1281.7144444445148</v>
      </c>
      <c r="D297" s="15">
        <v>14.285555555555522</v>
      </c>
      <c r="AXD297" s="8" t="s">
        <v>8259</v>
      </c>
      <c r="BKB297" s="8" t="s">
        <v>5293</v>
      </c>
      <c r="BLX297" s="8" t="s">
        <v>5293</v>
      </c>
    </row>
    <row r="298" spans="1:1015 1208:1976 2072:2744 3128:3992 4136:4232">
      <c r="A298" s="8" t="s">
        <v>1431</v>
      </c>
      <c r="B298" s="10" t="s">
        <v>8260</v>
      </c>
      <c r="C298" s="8">
        <v>1411.4283333333442</v>
      </c>
      <c r="D298" s="15">
        <v>28.571666666666879</v>
      </c>
      <c r="BCR298" s="8" t="s">
        <v>8260</v>
      </c>
      <c r="BRL298" s="8" t="s">
        <v>5294</v>
      </c>
      <c r="BTH298" s="8" t="s">
        <v>5294</v>
      </c>
    </row>
    <row r="299" spans="1:1015 1208:1976 2072:2744 3128:3992 4136:4232">
      <c r="A299" s="8" t="s">
        <v>1431</v>
      </c>
      <c r="B299" s="10" t="s">
        <v>8261</v>
      </c>
      <c r="C299" s="8">
        <v>1411.4283333333442</v>
      </c>
      <c r="D299" s="15">
        <v>28.571666666666879</v>
      </c>
      <c r="BCR299" s="8" t="s">
        <v>8261</v>
      </c>
      <c r="BVD299" s="8" t="s">
        <v>5295</v>
      </c>
      <c r="BWZ299" s="8" t="s">
        <v>5295</v>
      </c>
    </row>
    <row r="300" spans="1:1015 1208:1976 2072:2744 3128:3992 4136:4232">
      <c r="A300" s="8" t="s">
        <v>1432</v>
      </c>
      <c r="B300" s="10" t="s">
        <v>8262</v>
      </c>
      <c r="C300" s="8">
        <v>68.133333333302289</v>
      </c>
      <c r="D300" s="15">
        <v>27.397222222147409</v>
      </c>
      <c r="CZ300" s="8" t="s">
        <v>8262</v>
      </c>
      <c r="AYZ300" s="8" t="s">
        <v>4668</v>
      </c>
      <c r="BAV300" s="8" t="s">
        <v>4293</v>
      </c>
      <c r="CAR300" s="8" t="s">
        <v>5296</v>
      </c>
      <c r="CCN300" s="8" t="s">
        <v>5296</v>
      </c>
    </row>
    <row r="301" spans="1:1015 1208:1976 2072:2744 3128:3992 4136:4232">
      <c r="A301" s="8" t="s">
        <v>1432</v>
      </c>
      <c r="B301" s="10" t="s">
        <v>8263</v>
      </c>
      <c r="C301" s="8">
        <v>88.142777777742594</v>
      </c>
      <c r="D301" s="15">
        <v>28.756111111223923</v>
      </c>
      <c r="DU301" s="8" t="s">
        <v>8263</v>
      </c>
      <c r="AYZ301" s="8" t="s">
        <v>5290</v>
      </c>
      <c r="BAV301" s="8" t="s">
        <v>4294</v>
      </c>
      <c r="CCN301" s="8" t="s">
        <v>5297</v>
      </c>
      <c r="CEJ301" s="8" t="s">
        <v>5297</v>
      </c>
    </row>
    <row r="302" spans="1:1015 1208:1976 2072:2744 3128:3992 4136:4232">
      <c r="A302" s="8" t="s">
        <v>1432</v>
      </c>
      <c r="B302" s="10" t="s">
        <v>8264</v>
      </c>
      <c r="C302" s="8">
        <v>112.16666666662786</v>
      </c>
      <c r="D302" s="15">
        <v>2.0550000001286186</v>
      </c>
      <c r="DR302" s="8" t="s">
        <v>8264</v>
      </c>
      <c r="AZZ302" s="8" t="s">
        <v>6329</v>
      </c>
      <c r="BBV302" s="8" t="s">
        <v>5954</v>
      </c>
      <c r="BCR302" s="8" t="s">
        <v>4669</v>
      </c>
      <c r="BEN302" s="8" t="s">
        <v>4295</v>
      </c>
      <c r="BFN302" s="8" t="s">
        <v>5291</v>
      </c>
      <c r="CEJ302" s="8" t="s">
        <v>5298</v>
      </c>
      <c r="CGF302" s="8" t="s">
        <v>5298</v>
      </c>
    </row>
    <row r="303" spans="1:1015 1208:1976 2072:2744 3128:3992 4136:4232">
      <c r="A303" s="8" t="s">
        <v>1432</v>
      </c>
      <c r="B303" s="10" t="s">
        <v>8265</v>
      </c>
      <c r="C303" s="8">
        <v>116.1783333333442</v>
      </c>
      <c r="D303" s="15">
        <v>2.0549999998294712</v>
      </c>
      <c r="DV303" s="8" t="s">
        <v>8265</v>
      </c>
      <c r="AYZ303" s="8" t="s">
        <v>6727</v>
      </c>
      <c r="BAV303" s="8" t="s">
        <v>6330</v>
      </c>
      <c r="BCR303" s="8" t="s">
        <v>5955</v>
      </c>
      <c r="BGJ303" s="8" t="s">
        <v>5292</v>
      </c>
      <c r="BJF303" s="8" t="s">
        <v>4670</v>
      </c>
      <c r="BLB303" s="8" t="s">
        <v>4296</v>
      </c>
      <c r="CGZ303" s="8" t="s">
        <v>5299</v>
      </c>
      <c r="CIV303" s="8" t="s">
        <v>5299</v>
      </c>
    </row>
    <row r="304" spans="1:1015 1208:1976 2072:2744 3128:3992 4136:4232">
      <c r="A304" s="8" t="s">
        <v>1432</v>
      </c>
      <c r="B304" s="10" t="s">
        <v>8266</v>
      </c>
      <c r="C304" s="8">
        <v>120.19055555539671</v>
      </c>
      <c r="D304" s="15">
        <v>28.756111111100122</v>
      </c>
      <c r="FA304" s="8" t="s">
        <v>8266</v>
      </c>
      <c r="BCR304" s="8" t="s">
        <v>6728</v>
      </c>
      <c r="BEN304" s="8" t="s">
        <v>6331</v>
      </c>
      <c r="BGJ304" s="8" t="s">
        <v>5956</v>
      </c>
      <c r="BKB304" s="8" t="s">
        <v>5293</v>
      </c>
      <c r="BLX304" s="8" t="s">
        <v>4297</v>
      </c>
      <c r="CMU304" s="8" t="s">
        <v>5300</v>
      </c>
      <c r="COQ304" s="8" t="s">
        <v>5300</v>
      </c>
    </row>
    <row r="305" spans="1:463 1352:2044 2072:3032 3080:3752 4184:4472">
      <c r="A305" s="8" t="s">
        <v>1432</v>
      </c>
      <c r="B305" s="10" t="s">
        <v>8267</v>
      </c>
      <c r="C305" s="8">
        <v>150.08722222235519</v>
      </c>
      <c r="D305" s="15">
        <v>14.378333333430588</v>
      </c>
      <c r="FP305" s="8" t="s">
        <v>8267</v>
      </c>
      <c r="BJN305" s="8" t="s">
        <v>6729</v>
      </c>
      <c r="BLJ305" s="8" t="s">
        <v>6332</v>
      </c>
      <c r="BNF305" s="8" t="s">
        <v>5957</v>
      </c>
      <c r="BNT305" s="8" t="s">
        <v>4671</v>
      </c>
      <c r="BPP305" s="8" t="s">
        <v>4298</v>
      </c>
      <c r="BQX305" s="8" t="s">
        <v>5821</v>
      </c>
      <c r="CRH305" s="8" t="s">
        <v>5301</v>
      </c>
      <c r="CTD305" s="8" t="s">
        <v>5301</v>
      </c>
    </row>
    <row r="306" spans="1:463 1352:2044 2072:3032 3080:3752 4184:4472">
      <c r="A306" s="8" t="s">
        <v>1432</v>
      </c>
      <c r="B306" s="10" t="s">
        <v>8268</v>
      </c>
      <c r="C306" s="8">
        <v>174.10444444441237</v>
      </c>
      <c r="D306" s="15">
        <v>14.485000000070173</v>
      </c>
      <c r="GO306" s="8" t="s">
        <v>8268</v>
      </c>
      <c r="BKB306" s="8" t="s">
        <v>6730</v>
      </c>
      <c r="BLX306" s="8" t="s">
        <v>6333</v>
      </c>
      <c r="BNT306" s="8" t="s">
        <v>5958</v>
      </c>
      <c r="BRL306" s="8" t="s">
        <v>5294</v>
      </c>
      <c r="BVD306" s="8" t="s">
        <v>4672</v>
      </c>
      <c r="BWZ306" s="8" t="s">
        <v>4299</v>
      </c>
      <c r="CYR306" s="8" t="s">
        <v>5302</v>
      </c>
      <c r="DAN306" s="8" t="s">
        <v>5302</v>
      </c>
    </row>
    <row r="307" spans="1:463 1352:2044 2072:3032 3080:3752 4184:4472">
      <c r="A307" s="8" t="s">
        <v>1432</v>
      </c>
      <c r="B307" s="10" t="s">
        <v>8269</v>
      </c>
      <c r="C307" s="8">
        <v>187.98666666657664</v>
      </c>
      <c r="D307" s="15">
        <v>2.0550000000775555</v>
      </c>
      <c r="GP307" s="8" t="s">
        <v>8269</v>
      </c>
      <c r="BLH307" s="8" t="s">
        <v>6731</v>
      </c>
      <c r="BND307" s="8" t="s">
        <v>6562</v>
      </c>
      <c r="BOZ307" s="8" t="s">
        <v>5959</v>
      </c>
      <c r="BSR307" s="8" t="s">
        <v>5822</v>
      </c>
      <c r="BYV307" s="8" t="s">
        <v>4673</v>
      </c>
      <c r="CAR307" s="8" t="s">
        <v>4300</v>
      </c>
      <c r="CYX307" s="8" t="s">
        <v>5303</v>
      </c>
      <c r="DAT307" s="8" t="s">
        <v>5303</v>
      </c>
    </row>
    <row r="308" spans="1:463 1352:2044 2072:3032 3080:3752 4184:4472">
      <c r="A308" s="8" t="s">
        <v>1432</v>
      </c>
      <c r="B308" s="10" t="s">
        <v>8270</v>
      </c>
      <c r="C308" s="8">
        <v>193.00000000011642</v>
      </c>
      <c r="D308" s="15">
        <v>37.896111111273214</v>
      </c>
      <c r="IE308" s="8" t="s">
        <v>8270</v>
      </c>
      <c r="BLP308" s="8" t="s">
        <v>6732</v>
      </c>
      <c r="BNL308" s="8" t="s">
        <v>6563</v>
      </c>
      <c r="BPH308" s="8" t="s">
        <v>5960</v>
      </c>
      <c r="BSZ308" s="8" t="s">
        <v>5823</v>
      </c>
      <c r="CEJ308" s="8" t="s">
        <v>4674</v>
      </c>
      <c r="CGF308" s="8" t="s">
        <v>4301</v>
      </c>
      <c r="DAC308" s="8" t="s">
        <v>5304</v>
      </c>
      <c r="DBY308" s="8" t="s">
        <v>5304</v>
      </c>
    </row>
    <row r="309" spans="1:463 1352:2044 2072:3032 3080:3752 4184:4472">
      <c r="A309" s="8" t="s">
        <v>1432</v>
      </c>
      <c r="B309" s="10" t="s">
        <v>8271</v>
      </c>
      <c r="C309" s="8">
        <v>231.89611111104023</v>
      </c>
      <c r="D309" s="15">
        <v>7.2422222223123214</v>
      </c>
      <c r="IM309" s="8" t="s">
        <v>8271</v>
      </c>
      <c r="BLX309" s="8" t="s">
        <v>6733</v>
      </c>
      <c r="BNT309" s="8" t="s">
        <v>6334</v>
      </c>
      <c r="BPP309" s="8" t="s">
        <v>5961</v>
      </c>
      <c r="BTH309" s="8" t="s">
        <v>5824</v>
      </c>
      <c r="CGF309" s="8" t="s">
        <v>4675</v>
      </c>
      <c r="CIB309" s="8" t="s">
        <v>4302</v>
      </c>
      <c r="DCJ309" s="8" t="s">
        <v>5305</v>
      </c>
      <c r="DEF309" s="8" t="s">
        <v>5305</v>
      </c>
    </row>
    <row r="310" spans="1:463 1352:2044 2072:3032 3080:3752 4184:4472">
      <c r="A310" s="8" t="s">
        <v>1432</v>
      </c>
      <c r="B310" s="10" t="s">
        <v>8272</v>
      </c>
      <c r="C310" s="8">
        <v>241.99999999988358</v>
      </c>
      <c r="D310" s="15">
        <v>27.397222222061671</v>
      </c>
      <c r="JQ310" s="8" t="s">
        <v>8272</v>
      </c>
      <c r="BNT310" s="8" t="s">
        <v>6734</v>
      </c>
      <c r="BPP310" s="8" t="s">
        <v>6335</v>
      </c>
      <c r="BRL310" s="8" t="s">
        <v>5962</v>
      </c>
      <c r="BVD310" s="8" t="s">
        <v>5295</v>
      </c>
      <c r="CIB310" s="8" t="s">
        <v>4676</v>
      </c>
      <c r="CJX310" s="8" t="s">
        <v>4303</v>
      </c>
      <c r="DHX310" s="8" t="s">
        <v>5306</v>
      </c>
      <c r="DJT310" s="8" t="s">
        <v>5306</v>
      </c>
    </row>
    <row r="311" spans="1:463 1352:2044 2072:3032 3080:3752 4184:4472">
      <c r="A311" s="8" t="s">
        <v>1432</v>
      </c>
      <c r="B311" s="10" t="s">
        <v>8273</v>
      </c>
      <c r="C311" s="8">
        <v>274.00000000011642</v>
      </c>
      <c r="D311" s="15">
        <v>27.397222222294815</v>
      </c>
      <c r="KW311" s="8" t="s">
        <v>8273</v>
      </c>
      <c r="BTH311" s="8" t="s">
        <v>6735</v>
      </c>
      <c r="BVD311" s="8" t="s">
        <v>6336</v>
      </c>
      <c r="BWZ311" s="8" t="s">
        <v>5963</v>
      </c>
      <c r="CAR311" s="8" t="s">
        <v>5296</v>
      </c>
      <c r="CQM311" s="8" t="s">
        <v>4677</v>
      </c>
      <c r="CSI311" s="8" t="s">
        <v>4304</v>
      </c>
      <c r="DPH311" s="8" t="s">
        <v>5307</v>
      </c>
      <c r="DRD311" s="8" t="s">
        <v>5307</v>
      </c>
    </row>
    <row r="312" spans="1:463 1352:2044 2072:3032 3080:3752 4184:4472">
      <c r="A312" s="8" t="s">
        <v>1432</v>
      </c>
      <c r="B312" s="10" t="s">
        <v>8274</v>
      </c>
      <c r="C312" s="8">
        <v>310.00000000011642</v>
      </c>
      <c r="D312" s="15">
        <v>13.698888889048408</v>
      </c>
      <c r="LT312" s="8" t="s">
        <v>8274</v>
      </c>
      <c r="BVD312" s="8" t="s">
        <v>6736</v>
      </c>
      <c r="BWZ312" s="8" t="s">
        <v>6337</v>
      </c>
      <c r="BYV312" s="8" t="s">
        <v>5964</v>
      </c>
      <c r="CCN312" s="8" t="s">
        <v>5297</v>
      </c>
      <c r="DCJ312" s="8" t="s">
        <v>4678</v>
      </c>
      <c r="DEF312" s="8" t="s">
        <v>4305</v>
      </c>
      <c r="FDX312" s="8" t="s">
        <v>5308</v>
      </c>
      <c r="FFT312" s="8" t="s">
        <v>5308</v>
      </c>
    </row>
    <row r="313" spans="1:463 1352:2044 2072:3032 3080:3752 4184:4472">
      <c r="A313" s="8" t="s">
        <v>1432</v>
      </c>
      <c r="B313" s="10" t="s">
        <v>8275</v>
      </c>
      <c r="C313" s="8">
        <v>324</v>
      </c>
      <c r="D313" s="15">
        <v>6.8494444442912936</v>
      </c>
      <c r="MA313" s="8" t="s">
        <v>8275</v>
      </c>
      <c r="BWZ313" s="8" t="s">
        <v>6737</v>
      </c>
      <c r="BYV313" s="8" t="s">
        <v>6338</v>
      </c>
      <c r="CAR313" s="8" t="s">
        <v>5965</v>
      </c>
      <c r="CEJ313" s="8" t="s">
        <v>5298</v>
      </c>
      <c r="DDU313" s="8" t="s">
        <v>4679</v>
      </c>
      <c r="DFQ313" s="8" t="s">
        <v>4306</v>
      </c>
      <c r="FJL313" s="8" t="s">
        <v>5309</v>
      </c>
      <c r="FLH313" s="8" t="s">
        <v>5309</v>
      </c>
    </row>
    <row r="314" spans="1:463 1352:2044 2072:3032 3080:3752 4184:4472">
      <c r="A314" s="8" t="s">
        <v>1432</v>
      </c>
      <c r="B314" s="10" t="s">
        <v>8276</v>
      </c>
      <c r="C314" s="8">
        <v>334.00000000011642</v>
      </c>
      <c r="D314" s="15">
        <v>27.397222222294815</v>
      </c>
      <c r="NE314" s="8" t="s">
        <v>8276</v>
      </c>
      <c r="BZP314" s="8" t="s">
        <v>6738</v>
      </c>
      <c r="CBL314" s="8" t="s">
        <v>6339</v>
      </c>
      <c r="CDH314" s="8" t="s">
        <v>5966</v>
      </c>
      <c r="CGZ314" s="8" t="s">
        <v>5299</v>
      </c>
      <c r="DGB314" s="8" t="s">
        <v>4680</v>
      </c>
      <c r="DHX314" s="8" t="s">
        <v>4307</v>
      </c>
      <c r="FND314" s="8" t="s">
        <v>5310</v>
      </c>
      <c r="FOZ314" s="8" t="s">
        <v>5310</v>
      </c>
    </row>
    <row r="315" spans="1:463 1352:2044 2072:3032 3080:3752 4184:4472">
      <c r="A315" s="8" t="s">
        <v>1432</v>
      </c>
      <c r="B315" s="10" t="s">
        <v>8277</v>
      </c>
      <c r="C315" s="8">
        <v>364.00000000011642</v>
      </c>
      <c r="D315" s="15">
        <v>17.465555555420153</v>
      </c>
      <c r="NY315" s="8" t="s">
        <v>8277</v>
      </c>
      <c r="CFK315" s="8" t="s">
        <v>6739</v>
      </c>
      <c r="CHG315" s="8" t="s">
        <v>6340</v>
      </c>
      <c r="CJC315" s="8" t="s">
        <v>5967</v>
      </c>
      <c r="CMU315" s="8" t="s">
        <v>5300</v>
      </c>
      <c r="DLP315" s="8" t="s">
        <v>4681</v>
      </c>
      <c r="DNL315" s="8" t="s">
        <v>4308</v>
      </c>
    </row>
    <row r="316" spans="1:463 1352:2044 2072:3032 3080:3752 4184:4472">
      <c r="A316" s="8" t="s">
        <v>1432</v>
      </c>
      <c r="B316" s="10" t="s">
        <v>8278</v>
      </c>
      <c r="C316" s="8">
        <v>385.99999999988358</v>
      </c>
      <c r="D316" s="15">
        <v>6.8494444445239635</v>
      </c>
      <c r="OK316" s="8" t="s">
        <v>8278</v>
      </c>
      <c r="AZO316" s="8" t="s">
        <v>110</v>
      </c>
      <c r="AZS316" s="8" t="s">
        <v>110</v>
      </c>
      <c r="AZW316" s="8" t="s">
        <v>110</v>
      </c>
      <c r="CJX316" s="8" t="s">
        <v>6740</v>
      </c>
      <c r="CLT316" s="8" t="s">
        <v>6341</v>
      </c>
      <c r="CNP316" s="8" t="s">
        <v>5968</v>
      </c>
      <c r="CRH316" s="8" t="s">
        <v>5301</v>
      </c>
      <c r="DSZ316" s="8" t="s">
        <v>4682</v>
      </c>
      <c r="DUV316" s="8" t="s">
        <v>4309</v>
      </c>
    </row>
    <row r="317" spans="1:463 1352:2044 2072:3032 3080:3752 4184:4472">
      <c r="A317" s="8" t="s">
        <v>1432</v>
      </c>
      <c r="B317" s="10" t="s">
        <v>8279</v>
      </c>
      <c r="C317" s="8">
        <v>396</v>
      </c>
      <c r="D317" s="15">
        <v>13.698888888931833</v>
      </c>
      <c r="PB317" s="8" t="s">
        <v>8279</v>
      </c>
      <c r="AZY317" s="8" t="s">
        <v>111</v>
      </c>
      <c r="BAC317" s="8" t="s">
        <v>111</v>
      </c>
      <c r="BAG317" s="8" t="s">
        <v>111</v>
      </c>
      <c r="CRH317" s="8" t="s">
        <v>6741</v>
      </c>
      <c r="CTD317" s="8" t="s">
        <v>6342</v>
      </c>
      <c r="CUZ317" s="8" t="s">
        <v>5969</v>
      </c>
      <c r="CYR317" s="8" t="s">
        <v>5302</v>
      </c>
      <c r="ELL317" s="8" t="s">
        <v>4683</v>
      </c>
      <c r="ENH317" s="8" t="s">
        <v>4310</v>
      </c>
    </row>
    <row r="318" spans="1:463 1352:2044 2072:3032 3080:3752 4184:4472">
      <c r="A318" s="8" t="s">
        <v>1432</v>
      </c>
      <c r="B318" s="10" t="s">
        <v>8280</v>
      </c>
      <c r="C318" s="8">
        <v>412.00000000011642</v>
      </c>
      <c r="D318" s="15">
        <v>1.3700000001119168</v>
      </c>
      <c r="PE318" s="8" t="s">
        <v>8280</v>
      </c>
      <c r="BAN318" s="8" t="s">
        <v>112</v>
      </c>
      <c r="BAR318" s="19" t="s">
        <v>112</v>
      </c>
      <c r="BAV318" s="8" t="s">
        <v>112</v>
      </c>
      <c r="CRH318" s="8" t="s">
        <v>6742</v>
      </c>
      <c r="CTD318" s="8" t="s">
        <v>6343</v>
      </c>
      <c r="CUZ318" s="8" t="s">
        <v>5970</v>
      </c>
      <c r="CYR318" s="8" t="s">
        <v>5303</v>
      </c>
      <c r="FHP318" s="8" t="s">
        <v>4684</v>
      </c>
      <c r="FJL318" s="8" t="s">
        <v>4311</v>
      </c>
    </row>
    <row r="319" spans="1:463 1352:2044 2072:3032 3080:3752 4184:4472">
      <c r="A319" s="8" t="s">
        <v>1432</v>
      </c>
      <c r="B319" s="10" t="s">
        <v>8281</v>
      </c>
      <c r="C319" s="8">
        <v>418.00000000011642</v>
      </c>
      <c r="D319" s="15">
        <v>6.849444444407867</v>
      </c>
      <c r="PQ319" s="8" t="s">
        <v>8281</v>
      </c>
      <c r="BLP319" s="8" t="s">
        <v>113</v>
      </c>
      <c r="BLT319" s="8" t="s">
        <v>113</v>
      </c>
      <c r="BLX319" s="8" t="s">
        <v>113</v>
      </c>
      <c r="CSS319" s="8" t="s">
        <v>6743</v>
      </c>
      <c r="CUO319" s="8" t="s">
        <v>6344</v>
      </c>
      <c r="CWK319" s="8" t="s">
        <v>5971</v>
      </c>
      <c r="DAC319" s="8" t="s">
        <v>5304</v>
      </c>
      <c r="FND319" s="8" t="s">
        <v>4685</v>
      </c>
      <c r="FOZ319" s="8" t="s">
        <v>4312</v>
      </c>
    </row>
    <row r="320" spans="1:463 1352:2044 2072:3032 3080:3752 4184:4472">
      <c r="A320" s="8" t="s">
        <v>1432</v>
      </c>
      <c r="B320" s="10" t="s">
        <v>8282</v>
      </c>
      <c r="C320" s="8">
        <v>427.99999999988358</v>
      </c>
      <c r="D320" s="15">
        <v>27.397222222061671</v>
      </c>
      <c r="QU320" s="8" t="s">
        <v>8282</v>
      </c>
      <c r="AYZ320" s="8" t="s">
        <v>7147</v>
      </c>
      <c r="CUZ320" s="8" t="s">
        <v>6744</v>
      </c>
      <c r="CWV320" s="8" t="s">
        <v>6345</v>
      </c>
      <c r="CYR320" s="8" t="s">
        <v>5972</v>
      </c>
      <c r="DCJ320" s="8" t="s">
        <v>5305</v>
      </c>
    </row>
    <row r="321" spans="1:1016 1112:2024 2072:3032 3128:4088 4136:4424">
      <c r="A321" s="8" t="s">
        <v>1432</v>
      </c>
      <c r="B321" s="10" t="s">
        <v>8283</v>
      </c>
      <c r="C321" s="8">
        <v>460.00000000011642</v>
      </c>
      <c r="D321" s="15">
        <v>6.849444444407867</v>
      </c>
      <c r="RG321" s="8" t="s">
        <v>8283</v>
      </c>
      <c r="BCR321" s="8" t="s">
        <v>7148</v>
      </c>
      <c r="DAN321" s="8" t="s">
        <v>6745</v>
      </c>
      <c r="DCJ321" s="8" t="s">
        <v>6346</v>
      </c>
      <c r="DEF321" s="8" t="s">
        <v>5973</v>
      </c>
      <c r="DHX321" s="8" t="s">
        <v>5306</v>
      </c>
    </row>
    <row r="322" spans="1:1016 1112:2024 2072:3032 3128:4088 4136:4424">
      <c r="A322" s="8" t="s">
        <v>1432</v>
      </c>
      <c r="B322" s="10" t="s">
        <v>8284</v>
      </c>
      <c r="C322" s="8">
        <v>487.99999999988358</v>
      </c>
      <c r="D322" s="15">
        <v>13.69888888881526</v>
      </c>
      <c r="SP322" s="8" t="s">
        <v>8284</v>
      </c>
      <c r="BGJ322" s="8" t="s">
        <v>7149</v>
      </c>
      <c r="DHX322" s="8" t="s">
        <v>6746</v>
      </c>
      <c r="DJT322" s="8" t="s">
        <v>6347</v>
      </c>
      <c r="DLP322" s="8" t="s">
        <v>5974</v>
      </c>
      <c r="DPH322" s="8" t="s">
        <v>5307</v>
      </c>
    </row>
    <row r="323" spans="1:1016 1112:2024 2072:3032 3128:4088 4136:4424">
      <c r="A323" s="8" t="s">
        <v>1432</v>
      </c>
      <c r="B323" s="10" t="s">
        <v>8598</v>
      </c>
      <c r="C323" s="8">
        <v>503.60277777782176</v>
      </c>
      <c r="D323" s="15">
        <v>27.39722222222208</v>
      </c>
      <c r="TS323" s="8" t="s">
        <v>8598</v>
      </c>
      <c r="BIF323" s="8" t="s">
        <v>6751</v>
      </c>
      <c r="DPH323" s="8" t="s">
        <v>6747</v>
      </c>
      <c r="DRD323" s="8" t="s">
        <v>6348</v>
      </c>
      <c r="DSZ323" s="8" t="s">
        <v>5975</v>
      </c>
      <c r="DWR323" s="8" t="s">
        <v>5825</v>
      </c>
    </row>
    <row r="324" spans="1:1016 1112:2024 2072:3032 3128:4088 4136:4424">
      <c r="A324" s="8" t="s">
        <v>1432</v>
      </c>
      <c r="B324" s="10" t="s">
        <v>8285</v>
      </c>
      <c r="C324" s="8">
        <v>532.00000000011642</v>
      </c>
      <c r="D324" s="15">
        <v>13.698888889048408</v>
      </c>
      <c r="UH324" s="8" t="s">
        <v>8285</v>
      </c>
      <c r="BLX324" s="8" t="s">
        <v>7150</v>
      </c>
      <c r="EWN324" s="8" t="s">
        <v>6748</v>
      </c>
      <c r="EYJ324" s="8" t="s">
        <v>6349</v>
      </c>
      <c r="FAF324" s="8" t="s">
        <v>5976</v>
      </c>
      <c r="FDX324" s="8" t="s">
        <v>5308</v>
      </c>
    </row>
    <row r="325" spans="1:1016 1112:2024 2072:3032 3128:4088 4136:4424">
      <c r="A325" s="8" t="s">
        <v>1432</v>
      </c>
      <c r="B325" s="10" t="s">
        <v>8599</v>
      </c>
      <c r="C325" s="8">
        <v>567.80833333334886</v>
      </c>
      <c r="D325" s="15">
        <v>0.34222222225885268</v>
      </c>
      <c r="VD325" s="8" t="s">
        <v>8599</v>
      </c>
      <c r="BNU325" s="8" t="s">
        <v>7151</v>
      </c>
      <c r="FCB325" s="8" t="s">
        <v>6749</v>
      </c>
      <c r="FDX325" s="8" t="s">
        <v>6350</v>
      </c>
      <c r="FFT325" s="8" t="s">
        <v>5977</v>
      </c>
      <c r="FJL325" s="8" t="s">
        <v>5309</v>
      </c>
    </row>
    <row r="326" spans="1:1016 1112:2024 2072:3032 3128:4088 4136:4424">
      <c r="A326" s="8" t="s">
        <v>1432</v>
      </c>
      <c r="B326" s="10" t="s">
        <v>8286</v>
      </c>
      <c r="C326" s="8">
        <v>569.15055555570871</v>
      </c>
      <c r="D326" s="15">
        <v>6.8494444444444778</v>
      </c>
      <c r="VL326" s="8" t="s">
        <v>8286</v>
      </c>
      <c r="BRK326" s="8" t="s">
        <v>7152</v>
      </c>
      <c r="FFT326" s="8" t="s">
        <v>6750</v>
      </c>
      <c r="FHP326" s="8" t="s">
        <v>6351</v>
      </c>
      <c r="FJL326" s="8" t="s">
        <v>5978</v>
      </c>
      <c r="FND326" s="8" t="s">
        <v>5310</v>
      </c>
    </row>
    <row r="327" spans="1:1016 1112:2024 2072:3032 3128:4088 4136:4424">
      <c r="A327" s="8" t="s">
        <v>1432</v>
      </c>
      <c r="B327" s="10" t="s">
        <v>8287</v>
      </c>
      <c r="C327" s="8">
        <v>836.60277777782176</v>
      </c>
      <c r="D327" s="15">
        <v>27.39722222222208</v>
      </c>
      <c r="AGN327" s="8" t="s">
        <v>8287</v>
      </c>
      <c r="CAR327" s="8" t="s">
        <v>7153</v>
      </c>
    </row>
    <row r="328" spans="1:1016 1112:2024 2072:3032 3128:4088 4136:4424">
      <c r="A328" s="8" t="s">
        <v>1432</v>
      </c>
      <c r="B328" s="10" t="s">
        <v>8288</v>
      </c>
      <c r="C328" s="8">
        <v>884.60277777782176</v>
      </c>
      <c r="D328" s="15">
        <v>27.39722222222208</v>
      </c>
      <c r="AIJ328" s="8" t="s">
        <v>8288</v>
      </c>
      <c r="CEJ328" s="8" t="s">
        <v>6752</v>
      </c>
    </row>
    <row r="329" spans="1:1016 1112:2024 2072:3032 3128:4088 4136:4424">
      <c r="A329" s="8" t="s">
        <v>1432</v>
      </c>
      <c r="B329" s="10" t="s">
        <v>8289</v>
      </c>
      <c r="C329" s="8">
        <v>898.30111111106817</v>
      </c>
      <c r="D329" s="15">
        <v>13.698888888888961</v>
      </c>
      <c r="AIJ329" s="8" t="s">
        <v>8289</v>
      </c>
      <c r="CLU329" s="8" t="s">
        <v>7154</v>
      </c>
    </row>
    <row r="330" spans="1:1016 1112:2024 2072:3032 3128:4088 4136:4424">
      <c r="A330" s="8" t="s">
        <v>1432</v>
      </c>
      <c r="B330" s="10" t="s">
        <v>8290</v>
      </c>
      <c r="C330" s="8">
        <v>918</v>
      </c>
      <c r="D330" s="15">
        <v>27.397222222178243</v>
      </c>
      <c r="AJQ330" s="8" t="s">
        <v>8290</v>
      </c>
      <c r="CNQ330" s="8" t="s">
        <v>7155</v>
      </c>
    </row>
    <row r="331" spans="1:1016 1112:2024 2072:3032 3128:4088 4136:4424">
      <c r="A331" s="8" t="s">
        <v>1432</v>
      </c>
      <c r="B331" s="10" t="s">
        <v>8291</v>
      </c>
      <c r="C331" s="8">
        <v>932.60277777782176</v>
      </c>
      <c r="D331" s="15">
        <v>27.39722222222208</v>
      </c>
      <c r="AKF331" s="8" t="s">
        <v>8291</v>
      </c>
      <c r="CTD331" s="8" t="s">
        <v>6753</v>
      </c>
    </row>
    <row r="332" spans="1:1016 1112:2024 2072:3032 3128:4088 4136:4424">
      <c r="A332" s="8" t="s">
        <v>1432</v>
      </c>
      <c r="B332" s="10" t="s">
        <v>8292</v>
      </c>
      <c r="C332" s="8">
        <v>1001.1505555557087</v>
      </c>
      <c r="D332" s="15">
        <v>6.5066666665156188</v>
      </c>
      <c r="AMB332" s="8" t="s">
        <v>8292</v>
      </c>
      <c r="BYV332" s="8" t="s">
        <v>5311</v>
      </c>
      <c r="CAR332" s="8" t="s">
        <v>5311</v>
      </c>
      <c r="CYQ332" s="8" t="s">
        <v>7156</v>
      </c>
    </row>
    <row r="333" spans="1:1016 1112:2024 2072:3032 3128:4088 4136:4424">
      <c r="A333" s="8" t="s">
        <v>1432</v>
      </c>
      <c r="B333" s="10" t="s">
        <v>8293</v>
      </c>
      <c r="C333" s="8">
        <v>1035.5066666667117</v>
      </c>
      <c r="D333" s="15">
        <v>68.493333333333126</v>
      </c>
      <c r="APT333" s="8" t="s">
        <v>8293</v>
      </c>
      <c r="CLT333" s="8" t="s">
        <v>5312</v>
      </c>
      <c r="CNP333" s="8" t="s">
        <v>5312</v>
      </c>
      <c r="DAN333" s="8" t="s">
        <v>7157</v>
      </c>
    </row>
    <row r="334" spans="1:1016 1112:2024 2072:3032 3128:4088 4136:4424">
      <c r="A334" s="8" t="s">
        <v>1432</v>
      </c>
      <c r="B334" s="10" t="s">
        <v>8294</v>
      </c>
      <c r="C334" s="8">
        <v>1124.6027777778218</v>
      </c>
      <c r="D334" s="15">
        <v>27.39722222222208</v>
      </c>
      <c r="ARP334" s="8" t="s">
        <v>8294</v>
      </c>
      <c r="AYZ334" s="8" t="s">
        <v>1456</v>
      </c>
      <c r="DAN334" s="8" t="s">
        <v>5313</v>
      </c>
      <c r="DCJ334" s="8" t="s">
        <v>5313</v>
      </c>
      <c r="DLP334" s="8" t="s">
        <v>6754</v>
      </c>
    </row>
    <row r="335" spans="1:1016 1112:2024 2072:3032 3128:4088 4136:4424">
      <c r="A335" s="8" t="s">
        <v>1432</v>
      </c>
      <c r="B335" s="10" t="s">
        <v>8295</v>
      </c>
      <c r="C335" s="8">
        <v>1138.3011111110682</v>
      </c>
      <c r="D335" s="15">
        <v>13.698888888888961</v>
      </c>
      <c r="ARP335" s="8" t="s">
        <v>8295</v>
      </c>
      <c r="AZA335" s="8" t="s">
        <v>261</v>
      </c>
      <c r="BAW335" s="8" t="s">
        <v>261</v>
      </c>
      <c r="DSZ335" s="8" t="s">
        <v>5314</v>
      </c>
      <c r="DUV335" s="8" t="s">
        <v>5314</v>
      </c>
      <c r="ELL335" s="8" t="s">
        <v>6755</v>
      </c>
    </row>
    <row r="336" spans="1:1016 1112:2024 2072:3032 3128:4088 4136:4424">
      <c r="A336" s="8" t="s">
        <v>1432</v>
      </c>
      <c r="B336" s="10" t="s">
        <v>8296</v>
      </c>
      <c r="C336" s="8">
        <v>1138.3011111110682</v>
      </c>
      <c r="D336" s="15">
        <v>13.698888888888961</v>
      </c>
      <c r="ARP336" s="8" t="s">
        <v>8296</v>
      </c>
      <c r="BAV336" s="8" t="s">
        <v>262</v>
      </c>
      <c r="BCR336" s="8" t="s">
        <v>262</v>
      </c>
      <c r="BEN336" s="8" t="s">
        <v>262</v>
      </c>
      <c r="BGJ336" s="8" t="s">
        <v>262</v>
      </c>
      <c r="ESV336" s="8" t="s">
        <v>5315</v>
      </c>
      <c r="EUR336" s="8" t="s">
        <v>5315</v>
      </c>
      <c r="FJJ336" s="8" t="s">
        <v>7158</v>
      </c>
    </row>
    <row r="337" spans="1:145 1208:2024 2075:3034 3080:4040 4375:4423">
      <c r="A337" s="8" t="s">
        <v>1432</v>
      </c>
      <c r="B337" s="10" t="s">
        <v>8297</v>
      </c>
      <c r="C337" s="8">
        <v>1172.6027777778218</v>
      </c>
      <c r="D337" s="15">
        <v>27.39722222222208</v>
      </c>
      <c r="ATL337" s="8" t="s">
        <v>8297</v>
      </c>
      <c r="BBS337" s="8" t="s">
        <v>76</v>
      </c>
      <c r="BDO337" s="8" t="s">
        <v>76</v>
      </c>
      <c r="BFK337" s="8" t="s">
        <v>76</v>
      </c>
      <c r="BHG337" s="8" t="s">
        <v>76</v>
      </c>
      <c r="FLG337" s="8" t="s">
        <v>7159</v>
      </c>
    </row>
    <row r="338" spans="1:145 1208:2024 2075:3034 3080:4040 4375:4423">
      <c r="A338" s="8" t="s">
        <v>1432</v>
      </c>
      <c r="B338" s="10" t="s">
        <v>8298</v>
      </c>
      <c r="C338" s="8">
        <v>1186.3011111110682</v>
      </c>
      <c r="D338" s="15">
        <v>13.698888888888961</v>
      </c>
      <c r="ATL338" s="8" t="s">
        <v>8298</v>
      </c>
      <c r="AYZ338" s="8" t="s">
        <v>4313</v>
      </c>
      <c r="BBW338" s="8" t="s">
        <v>77</v>
      </c>
      <c r="BDS338" s="8" t="s">
        <v>77</v>
      </c>
      <c r="BFO338" s="8" t="s">
        <v>77</v>
      </c>
      <c r="BHK338" s="8" t="s">
        <v>77</v>
      </c>
      <c r="FNC338" s="8" t="s">
        <v>7160</v>
      </c>
    </row>
    <row r="339" spans="1:145 1208:2024 2075:3034 3080:4040 4375:4423">
      <c r="A339" s="8" t="s">
        <v>1432</v>
      </c>
      <c r="B339" s="10" t="s">
        <v>8299</v>
      </c>
      <c r="C339" s="8">
        <v>1218.0461111110635</v>
      </c>
      <c r="D339" s="15">
        <v>4.109444444602163</v>
      </c>
      <c r="AUH339" s="8" t="s">
        <v>8299</v>
      </c>
      <c r="BAR339" s="19" t="s">
        <v>1608</v>
      </c>
      <c r="BEJ339" s="8" t="s">
        <v>263</v>
      </c>
      <c r="BGF339" s="8" t="s">
        <v>263</v>
      </c>
      <c r="BIB339" s="8" t="s">
        <v>263</v>
      </c>
      <c r="BJX339" s="8" t="s">
        <v>263</v>
      </c>
      <c r="CPL339" s="8" t="s">
        <v>4686</v>
      </c>
      <c r="CRH339" s="8" t="s">
        <v>4314</v>
      </c>
    </row>
    <row r="340" spans="1:145 1208:2024 2075:3034 3080:4040 4375:4423">
      <c r="A340" s="8" t="s">
        <v>1432</v>
      </c>
      <c r="B340" s="10" t="s">
        <v>8300</v>
      </c>
      <c r="C340" s="8">
        <v>1223.1555555554805</v>
      </c>
      <c r="D340" s="15">
        <v>27.397222222103093</v>
      </c>
      <c r="AVK340" s="8" t="s">
        <v>8300</v>
      </c>
      <c r="BBN340" s="8" t="s">
        <v>2054</v>
      </c>
      <c r="BDJ340" s="8" t="s">
        <v>1609</v>
      </c>
      <c r="BHB340" s="8" t="s">
        <v>73</v>
      </c>
      <c r="BIX340" s="8" t="s">
        <v>73</v>
      </c>
      <c r="BKT340" s="8" t="s">
        <v>73</v>
      </c>
      <c r="BMP340" s="8" t="s">
        <v>73</v>
      </c>
      <c r="DEF340" s="8" t="s">
        <v>4687</v>
      </c>
      <c r="DGB340" s="8" t="s">
        <v>4315</v>
      </c>
    </row>
    <row r="341" spans="1:145 1208:2024 2075:3034 3080:4040 4375:4423">
      <c r="A341" s="8" t="s">
        <v>1432</v>
      </c>
      <c r="B341" s="10" t="s">
        <v>8301</v>
      </c>
      <c r="C341" s="8">
        <v>1223.1555555554805</v>
      </c>
      <c r="D341" s="15">
        <v>27.397222222103093</v>
      </c>
      <c r="AVK341" s="8" t="s">
        <v>8301</v>
      </c>
      <c r="BCT341" s="8" t="s">
        <v>2055</v>
      </c>
      <c r="BEP341" s="8" t="s">
        <v>1610</v>
      </c>
      <c r="BIH341" s="8" t="s">
        <v>78</v>
      </c>
      <c r="BKD341" s="8" t="s">
        <v>78</v>
      </c>
      <c r="BLZ341" s="8" t="s">
        <v>78</v>
      </c>
      <c r="BNV341" s="8" t="s">
        <v>78</v>
      </c>
      <c r="DWR341" s="8" t="s">
        <v>4688</v>
      </c>
      <c r="DYN341" s="8" t="s">
        <v>4316</v>
      </c>
    </row>
    <row r="342" spans="1:145 1208:2024 2075:3034 3080:4040 4375:4423">
      <c r="A342" s="8" t="s">
        <v>1432</v>
      </c>
      <c r="B342" s="10" t="s">
        <v>8302</v>
      </c>
      <c r="C342" s="8">
        <v>1275.5066666667117</v>
      </c>
      <c r="D342" s="15">
        <v>68.493333333333126</v>
      </c>
      <c r="AYZ342" s="8" t="s">
        <v>8302</v>
      </c>
      <c r="BGN342" s="8" t="s">
        <v>2056</v>
      </c>
      <c r="BIJ342" s="8" t="s">
        <v>1611</v>
      </c>
      <c r="BMB342" s="8" t="s">
        <v>79</v>
      </c>
      <c r="BNX342" s="8" t="s">
        <v>79</v>
      </c>
      <c r="BPT342" s="8" t="s">
        <v>79</v>
      </c>
      <c r="BRP342" s="8" t="s">
        <v>79</v>
      </c>
      <c r="EWN342" s="8" t="s">
        <v>4689</v>
      </c>
      <c r="EYJ342" s="8" t="s">
        <v>4317</v>
      </c>
    </row>
    <row r="343" spans="1:145 1208:2024 2075:3034 3080:4040 4375:4423">
      <c r="A343" s="8" t="s">
        <v>1432</v>
      </c>
      <c r="B343" s="10" t="s">
        <v>8303</v>
      </c>
      <c r="C343" s="8">
        <v>1283.5777777779149</v>
      </c>
      <c r="D343" s="15">
        <v>13.698888888719875</v>
      </c>
      <c r="AXE343" s="8" t="s">
        <v>8303</v>
      </c>
      <c r="BKC343" s="8" t="s">
        <v>2057</v>
      </c>
      <c r="BLY343" s="8" t="s">
        <v>1612</v>
      </c>
      <c r="BPQ343" s="8" t="s">
        <v>265</v>
      </c>
      <c r="BRM343" s="8" t="s">
        <v>265</v>
      </c>
      <c r="BTI343" s="8" t="s">
        <v>265</v>
      </c>
      <c r="BVE343" s="8" t="s">
        <v>265</v>
      </c>
    </row>
    <row r="344" spans="1:145 1208:2024 2075:3034 3080:4040 4375:4423">
      <c r="A344" s="8" t="s">
        <v>1432</v>
      </c>
      <c r="B344" s="10" t="s">
        <v>8304</v>
      </c>
      <c r="C344" s="8">
        <v>1289.7888888887828</v>
      </c>
      <c r="D344" s="15">
        <v>6.8494444445345604</v>
      </c>
      <c r="AXE344" s="8" t="s">
        <v>8304</v>
      </c>
      <c r="AYZ344" s="8" t="s">
        <v>6243</v>
      </c>
      <c r="BAX344" s="8" t="s">
        <v>71</v>
      </c>
      <c r="BCR344" s="8" t="s">
        <v>5826</v>
      </c>
      <c r="BVG344" s="8" t="s">
        <v>2058</v>
      </c>
      <c r="BXC344" s="8" t="s">
        <v>1613</v>
      </c>
      <c r="CAU344" s="8" t="s">
        <v>80</v>
      </c>
      <c r="CCQ344" s="8" t="s">
        <v>80</v>
      </c>
      <c r="CEM344" s="8" t="s">
        <v>80</v>
      </c>
      <c r="CGI344" s="8" t="s">
        <v>80</v>
      </c>
    </row>
    <row r="345" spans="1:145 1208:2024 2075:3034 3080:4040 4375:4423">
      <c r="A345" s="8" t="s">
        <v>1432</v>
      </c>
      <c r="B345" s="10" t="s">
        <v>8305</v>
      </c>
      <c r="C345" s="8">
        <v>1364.6027777778218</v>
      </c>
      <c r="D345" s="15">
        <v>27.39722222222208</v>
      </c>
      <c r="BAV345" s="8" t="s">
        <v>8305</v>
      </c>
      <c r="BGL345" s="8" t="s">
        <v>260</v>
      </c>
      <c r="BIF345" s="8" t="s">
        <v>6751</v>
      </c>
      <c r="BKB345" s="8" t="s">
        <v>6352</v>
      </c>
      <c r="BLX345" s="8" t="s">
        <v>5979</v>
      </c>
      <c r="BPP345" s="8" t="s">
        <v>5311</v>
      </c>
      <c r="BWT345" s="8" t="s">
        <v>2059</v>
      </c>
      <c r="BYP345" s="8" t="s">
        <v>1614</v>
      </c>
      <c r="CCH345" s="8" t="s">
        <v>1504</v>
      </c>
      <c r="CED345" s="8" t="s">
        <v>1504</v>
      </c>
      <c r="CFZ345" s="8" t="s">
        <v>1504</v>
      </c>
      <c r="CHV345" s="8" t="s">
        <v>1504</v>
      </c>
    </row>
    <row r="346" spans="1:145 1208:2024 2075:3034 3080:4040 4375:4423">
      <c r="A346" s="8" t="s">
        <v>1432</v>
      </c>
      <c r="B346" s="10" t="s">
        <v>8306</v>
      </c>
      <c r="C346" s="8">
        <v>1434.5944444444031</v>
      </c>
      <c r="D346" s="15">
        <v>41.096111111068652</v>
      </c>
      <c r="BEB346" s="8" t="s">
        <v>8306</v>
      </c>
      <c r="BKC346" s="8" t="s">
        <v>75</v>
      </c>
      <c r="BWZ346" s="8" t="s">
        <v>2060</v>
      </c>
      <c r="BYV346" s="8" t="s">
        <v>1615</v>
      </c>
      <c r="CCN346" s="8" t="s">
        <v>1457</v>
      </c>
      <c r="CEJ346" s="8" t="s">
        <v>6752</v>
      </c>
      <c r="CGF346" s="8" t="s">
        <v>6353</v>
      </c>
      <c r="CIB346" s="8" t="s">
        <v>5851</v>
      </c>
      <c r="CLT346" s="8" t="s">
        <v>5312</v>
      </c>
    </row>
    <row r="347" spans="1:145 1208:2024 2075:3034 3080:4040 4375:4423">
      <c r="A347" s="8" t="s">
        <v>1432</v>
      </c>
      <c r="B347" s="10" t="s">
        <v>8307</v>
      </c>
      <c r="C347" s="8">
        <v>1435.8905555556994</v>
      </c>
      <c r="D347" s="15">
        <v>4.109444444444641</v>
      </c>
      <c r="BCR347" s="8" t="s">
        <v>8307</v>
      </c>
      <c r="BPP347" s="8" t="s">
        <v>261</v>
      </c>
      <c r="CPC347" s="8" t="s">
        <v>2061</v>
      </c>
      <c r="CQY347" s="8" t="s">
        <v>1616</v>
      </c>
      <c r="CTD347" s="8" t="s">
        <v>6753</v>
      </c>
      <c r="CUQ347" s="8" t="s">
        <v>266</v>
      </c>
      <c r="CUZ347" s="8" t="s">
        <v>6354</v>
      </c>
      <c r="CWM347" s="8" t="s">
        <v>266</v>
      </c>
      <c r="CWV347" s="8" t="s">
        <v>5980</v>
      </c>
      <c r="CYI347" s="8" t="s">
        <v>266</v>
      </c>
      <c r="DAE347" s="8" t="s">
        <v>266</v>
      </c>
      <c r="DAN347" s="8" t="s">
        <v>5313</v>
      </c>
    </row>
    <row r="348" spans="1:145 1208:2024 2075:3034 3080:4040 4375:4423">
      <c r="A348" s="8" t="s">
        <v>1433</v>
      </c>
      <c r="B348" s="10" t="s">
        <v>8308</v>
      </c>
      <c r="C348" s="8">
        <v>-168.9638888889458</v>
      </c>
      <c r="D348" s="15">
        <v>6.2111111111603359</v>
      </c>
      <c r="H348" s="8" t="s">
        <v>8308</v>
      </c>
      <c r="BQM348" s="8" t="s">
        <v>262</v>
      </c>
      <c r="CPN348" s="8" t="s">
        <v>2062</v>
      </c>
      <c r="CRJ348" s="8" t="s">
        <v>1617</v>
      </c>
      <c r="CVB348" s="8" t="s">
        <v>81</v>
      </c>
      <c r="CWX348" s="8" t="s">
        <v>81</v>
      </c>
      <c r="CYT348" s="8" t="s">
        <v>81</v>
      </c>
      <c r="DAP348" s="8" t="s">
        <v>81</v>
      </c>
      <c r="DLP348" s="8" t="s">
        <v>6754</v>
      </c>
      <c r="DNL348" s="8" t="s">
        <v>6355</v>
      </c>
      <c r="DPH348" s="8" t="s">
        <v>5981</v>
      </c>
      <c r="DSZ348" s="8" t="s">
        <v>5314</v>
      </c>
    </row>
    <row r="349" spans="1:145 1208:2024 2075:3034 3080:4040 4375:4423">
      <c r="A349" s="8" t="s">
        <v>1433</v>
      </c>
      <c r="B349" s="10" t="s">
        <v>8309</v>
      </c>
      <c r="C349" s="8">
        <v>68.437222222331911</v>
      </c>
      <c r="D349" s="15">
        <v>51.980000000091209</v>
      </c>
      <c r="DX349" s="8" t="s">
        <v>8309</v>
      </c>
      <c r="BQQ349" s="8" t="s">
        <v>76</v>
      </c>
      <c r="DCJ349" s="8" t="s">
        <v>2063</v>
      </c>
      <c r="DEF349" s="8" t="s">
        <v>1618</v>
      </c>
      <c r="DHX349" s="8" t="s">
        <v>1505</v>
      </c>
      <c r="DJT349" s="8" t="s">
        <v>1505</v>
      </c>
      <c r="DLP349" s="8" t="s">
        <v>1505</v>
      </c>
      <c r="DNL349" s="8" t="s">
        <v>1505</v>
      </c>
      <c r="ELL349" s="8" t="s">
        <v>6755</v>
      </c>
      <c r="ENH349" s="8" t="s">
        <v>6356</v>
      </c>
      <c r="EPD349" s="8" t="s">
        <v>5982</v>
      </c>
      <c r="ESV349" s="8" t="s">
        <v>5315</v>
      </c>
    </row>
    <row r="350" spans="1:145 1208:2024 2075:3034 3080:4040 4375:4423">
      <c r="A350" s="8" t="s">
        <v>1433</v>
      </c>
      <c r="B350" s="10" t="s">
        <v>8310</v>
      </c>
      <c r="C350" s="8">
        <v>68.542777777765878</v>
      </c>
      <c r="D350" s="15">
        <v>0.31055555549642833</v>
      </c>
      <c r="BY350" s="8" t="s">
        <v>8310</v>
      </c>
      <c r="AZB350" s="8" t="s">
        <v>915</v>
      </c>
      <c r="BAX350" s="8" t="s">
        <v>915</v>
      </c>
      <c r="BTD350" s="8" t="s">
        <v>77</v>
      </c>
      <c r="DEH350" s="8" t="s">
        <v>2064</v>
      </c>
      <c r="DGD350" s="8" t="s">
        <v>1619</v>
      </c>
      <c r="DJV350" s="8" t="s">
        <v>268</v>
      </c>
      <c r="DLR350" s="8" t="s">
        <v>268</v>
      </c>
      <c r="DNN350" s="8" t="s">
        <v>268</v>
      </c>
      <c r="DPJ350" s="8" t="s">
        <v>268</v>
      </c>
    </row>
    <row r="351" spans="1:145 1208:2024 2075:3034 3080:4040 4375:4423">
      <c r="A351" s="8" t="s">
        <v>1433</v>
      </c>
      <c r="B351" s="10" t="s">
        <v>8311</v>
      </c>
      <c r="C351" s="8">
        <v>120.12888888898306</v>
      </c>
      <c r="D351" s="15">
        <v>1.8633333334940136</v>
      </c>
      <c r="DZ351" s="8" t="s">
        <v>8311</v>
      </c>
      <c r="BAX351" s="8" t="s">
        <v>260</v>
      </c>
      <c r="BEP351" s="8" t="s">
        <v>916</v>
      </c>
      <c r="BGL351" s="8" t="s">
        <v>916</v>
      </c>
      <c r="BTH351" s="8" t="s">
        <v>263</v>
      </c>
      <c r="DNL351" s="8" t="s">
        <v>2065</v>
      </c>
      <c r="DPH351" s="8" t="s">
        <v>1620</v>
      </c>
      <c r="DSZ351" s="8" t="s">
        <v>1458</v>
      </c>
      <c r="DUV351" s="8" t="s">
        <v>1458</v>
      </c>
      <c r="DWR351" s="8" t="s">
        <v>1458</v>
      </c>
      <c r="DYN351" s="8" t="s">
        <v>1458</v>
      </c>
    </row>
    <row r="352" spans="1:145 1208:2024 2075:3034 3080:4040 4375:4423">
      <c r="A352" s="8" t="s">
        <v>1433</v>
      </c>
      <c r="B352" s="10" t="s">
        <v>8312</v>
      </c>
      <c r="C352" s="8">
        <v>124.48388888896443</v>
      </c>
      <c r="D352" s="15">
        <v>12.995000000070974</v>
      </c>
      <c r="EO352" s="8" t="s">
        <v>8312</v>
      </c>
      <c r="BAX352" s="8" t="s">
        <v>75</v>
      </c>
      <c r="BCT352" s="8" t="s">
        <v>917</v>
      </c>
      <c r="BCZ352" s="8" t="s">
        <v>75</v>
      </c>
      <c r="BGL352" s="8" t="s">
        <v>75</v>
      </c>
      <c r="BIG352" s="8" t="s">
        <v>917</v>
      </c>
      <c r="BKC352" s="8" t="s">
        <v>917</v>
      </c>
      <c r="BVV352" s="8" t="s">
        <v>264</v>
      </c>
      <c r="ENH352" s="8" t="s">
        <v>2066</v>
      </c>
      <c r="EPD352" s="8" t="s">
        <v>1621</v>
      </c>
      <c r="ESV352" s="8" t="s">
        <v>269</v>
      </c>
      <c r="EUR352" s="8" t="s">
        <v>269</v>
      </c>
      <c r="EWN352" s="8" t="s">
        <v>269</v>
      </c>
      <c r="EYJ352" s="8" t="s">
        <v>269</v>
      </c>
    </row>
    <row r="353" spans="1:393 1402:2028 2072:2983 3226:3370 4136:4280 8521:8552">
      <c r="A353" s="8" t="s">
        <v>1433</v>
      </c>
      <c r="B353" s="10" t="s">
        <v>8313</v>
      </c>
      <c r="C353" s="8">
        <v>138.49777777784038</v>
      </c>
      <c r="D353" s="15">
        <v>6.4977777779030053</v>
      </c>
      <c r="EW353" s="8" t="s">
        <v>8313</v>
      </c>
      <c r="BEI353" s="8" t="s">
        <v>261</v>
      </c>
      <c r="BEO353" s="8" t="s">
        <v>261</v>
      </c>
      <c r="BKC353" s="8" t="s">
        <v>261</v>
      </c>
      <c r="BNT353" s="8" t="s">
        <v>918</v>
      </c>
      <c r="BPP353" s="8" t="s">
        <v>918</v>
      </c>
      <c r="BXB353" s="8" t="s">
        <v>73</v>
      </c>
    </row>
    <row r="354" spans="1:393 1402:2028 2072:2983 3226:3370 4136:4280 8521:8552">
      <c r="A354" s="8" t="s">
        <v>1433</v>
      </c>
      <c r="B354" s="10" t="s">
        <v>8314</v>
      </c>
      <c r="C354" s="8">
        <v>144.5183333333116</v>
      </c>
      <c r="D354" s="15">
        <v>6.4977777778187065</v>
      </c>
      <c r="FC354" s="8" t="s">
        <v>8314</v>
      </c>
      <c r="BKB354" s="8" t="s">
        <v>262</v>
      </c>
      <c r="BMS354" s="8" t="s">
        <v>262</v>
      </c>
      <c r="BNT354" s="8" t="s">
        <v>919</v>
      </c>
      <c r="BOQ354" s="8" t="s">
        <v>919</v>
      </c>
      <c r="BPP354" s="8" t="s">
        <v>262</v>
      </c>
      <c r="BQM354" s="8" t="s">
        <v>919</v>
      </c>
      <c r="CAV354" s="8" t="s">
        <v>78</v>
      </c>
    </row>
    <row r="355" spans="1:393 1402:2028 2072:2983 3226:3370 4136:4280 8521:8552">
      <c r="A355" s="8" t="s">
        <v>1433</v>
      </c>
      <c r="B355" s="10" t="s">
        <v>8315</v>
      </c>
      <c r="C355" s="8">
        <v>152.55166666663717</v>
      </c>
      <c r="D355" s="15">
        <v>77.320555555604813</v>
      </c>
      <c r="ID355" s="8" t="s">
        <v>8315</v>
      </c>
      <c r="BKY355" s="8" t="s">
        <v>76</v>
      </c>
      <c r="BOU355" s="8" t="s">
        <v>920</v>
      </c>
      <c r="BQM355" s="8" t="s">
        <v>920</v>
      </c>
      <c r="BQQ355" s="8" t="s">
        <v>920</v>
      </c>
      <c r="BQV355" s="8" t="s">
        <v>76</v>
      </c>
      <c r="CEK355" s="8" t="s">
        <v>79</v>
      </c>
    </row>
    <row r="356" spans="1:393 1402:2028 2072:2983 3226:3370 4136:4280 8521:8552">
      <c r="A356" s="8" t="s">
        <v>1433</v>
      </c>
      <c r="B356" s="10" t="s">
        <v>8316</v>
      </c>
      <c r="C356" s="8">
        <v>241.00000000011642</v>
      </c>
      <c r="D356" s="15">
        <v>6.5383333332139735</v>
      </c>
      <c r="IV356" s="8" t="s">
        <v>8316</v>
      </c>
      <c r="BLC356" s="8" t="s">
        <v>77</v>
      </c>
      <c r="BOU356" s="8" t="s">
        <v>921</v>
      </c>
      <c r="BPG356" s="8" t="s">
        <v>77</v>
      </c>
      <c r="BQQ356" s="8" t="s">
        <v>77</v>
      </c>
      <c r="BRH356" s="8" t="s">
        <v>921</v>
      </c>
      <c r="BTD356" s="8" t="s">
        <v>921</v>
      </c>
      <c r="CPO356" s="8" t="s">
        <v>265</v>
      </c>
    </row>
    <row r="357" spans="1:393 1402:2028 2072:2983 3226:3370 4136:4280 8521:8552">
      <c r="A357" s="8" t="s">
        <v>1433</v>
      </c>
      <c r="B357" s="10" t="s">
        <v>8317</v>
      </c>
      <c r="C357" s="8">
        <v>248.53833333333023</v>
      </c>
      <c r="D357" s="15">
        <v>6.5427777778794018</v>
      </c>
      <c r="JC357" s="8" t="s">
        <v>8317</v>
      </c>
      <c r="BNP357" s="8" t="s">
        <v>263</v>
      </c>
      <c r="BRL357" s="8" t="s">
        <v>922</v>
      </c>
      <c r="BTD357" s="8" t="s">
        <v>922</v>
      </c>
      <c r="BTH357" s="8" t="s">
        <v>922</v>
      </c>
      <c r="BTO357" s="8" t="s">
        <v>263</v>
      </c>
      <c r="DJK357" s="8" t="s">
        <v>80</v>
      </c>
    </row>
    <row r="358" spans="1:393 1402:2028 2072:2983 3226:3370 4136:4280 8521:8552">
      <c r="A358" s="8" t="s">
        <v>1433</v>
      </c>
      <c r="B358" s="10" t="s">
        <v>8318</v>
      </c>
      <c r="C358" s="8">
        <v>256.08111111097969</v>
      </c>
      <c r="D358" s="15">
        <v>12.994999999863836</v>
      </c>
      <c r="JQ358" s="8" t="s">
        <v>8318</v>
      </c>
      <c r="BNT358" s="8" t="s">
        <v>264</v>
      </c>
      <c r="BOE358" s="8" t="s">
        <v>264</v>
      </c>
      <c r="BPP358" s="8" t="s">
        <v>923</v>
      </c>
      <c r="BTH358" s="8" t="s">
        <v>264</v>
      </c>
      <c r="BTZ358" s="8" t="s">
        <v>923</v>
      </c>
      <c r="BVV358" s="8" t="s">
        <v>923</v>
      </c>
      <c r="DJS358" s="8" t="s">
        <v>266</v>
      </c>
    </row>
    <row r="359" spans="1:393 1402:2028 2072:2983 3226:3370 4136:4280 8521:8552">
      <c r="A359" s="8" t="s">
        <v>1433</v>
      </c>
      <c r="B359" s="10" t="s">
        <v>8319</v>
      </c>
      <c r="C359" s="8">
        <v>270.07611111109145</v>
      </c>
      <c r="D359" s="15">
        <v>25.989999999970937</v>
      </c>
      <c r="KR359" s="8" t="s">
        <v>8319</v>
      </c>
      <c r="BAX359" s="8" t="s">
        <v>71</v>
      </c>
      <c r="BQH359" s="8" t="s">
        <v>73</v>
      </c>
      <c r="BVF359" s="8" t="s">
        <v>924</v>
      </c>
      <c r="BVV359" s="8" t="s">
        <v>924</v>
      </c>
      <c r="BXB359" s="8" t="s">
        <v>924</v>
      </c>
      <c r="DYP359" s="8" t="s">
        <v>267</v>
      </c>
    </row>
    <row r="360" spans="1:393 1402:2028 2072:2983 3226:3370 4136:4280 8521:8552">
      <c r="A360" s="8" t="s">
        <v>1433</v>
      </c>
      <c r="B360" s="10" t="s">
        <v>8320</v>
      </c>
      <c r="C360" s="8">
        <v>298.54277777764946</v>
      </c>
      <c r="D360" s="15">
        <v>12.994999999867206</v>
      </c>
      <c r="LH360" s="8" t="s">
        <v>8320</v>
      </c>
      <c r="BGL360" s="8" t="s">
        <v>260</v>
      </c>
      <c r="BRN360" s="8" t="s">
        <v>78</v>
      </c>
      <c r="BTJ360" s="8" t="s">
        <v>925</v>
      </c>
      <c r="BTL360" s="8" t="s">
        <v>78</v>
      </c>
      <c r="BXB360" s="8" t="s">
        <v>78</v>
      </c>
      <c r="BYZ360" s="8" t="s">
        <v>925</v>
      </c>
      <c r="CAV360" s="8" t="s">
        <v>925</v>
      </c>
      <c r="FHP360" s="8" t="s">
        <v>268</v>
      </c>
    </row>
    <row r="361" spans="1:393 1402:2028 2072:2983 3226:3370 4136:4280 8521:8552">
      <c r="A361" s="8" t="s">
        <v>1433</v>
      </c>
      <c r="B361" s="10" t="s">
        <v>8321</v>
      </c>
      <c r="C361" s="8">
        <v>313.53777777787764</v>
      </c>
      <c r="D361" s="15">
        <v>6.21111111096765</v>
      </c>
      <c r="LP361" s="8" t="s">
        <v>8321</v>
      </c>
      <c r="BKC361" s="8" t="s">
        <v>75</v>
      </c>
      <c r="BVH361" s="8" t="s">
        <v>79</v>
      </c>
      <c r="BXD361" s="8" t="s">
        <v>926</v>
      </c>
      <c r="BXF361" s="8" t="s">
        <v>79</v>
      </c>
      <c r="CAV361" s="8" t="s">
        <v>79</v>
      </c>
      <c r="CCO361" s="8" t="s">
        <v>926</v>
      </c>
      <c r="CEK361" s="8" t="s">
        <v>926</v>
      </c>
    </row>
    <row r="362" spans="1:393 1402:2028 2072:2983 3226:3370 4136:4280 8521:8552">
      <c r="A362" s="8" t="s">
        <v>1433</v>
      </c>
      <c r="B362" s="10" t="s">
        <v>8600</v>
      </c>
      <c r="C362" s="8">
        <v>318</v>
      </c>
      <c r="D362" s="15">
        <v>5.9005555557087064</v>
      </c>
      <c r="LT362" s="8" t="s">
        <v>8600</v>
      </c>
      <c r="BPP362" s="8" t="s">
        <v>261</v>
      </c>
      <c r="BTF362" s="8" t="s">
        <v>265</v>
      </c>
      <c r="BTI362" s="8" t="s">
        <v>927</v>
      </c>
      <c r="BYW362" s="8" t="s">
        <v>265</v>
      </c>
      <c r="CEK362" s="8" t="s">
        <v>265</v>
      </c>
      <c r="CNS362" s="8" t="s">
        <v>927</v>
      </c>
      <c r="CPO362" s="8" t="s">
        <v>927</v>
      </c>
    </row>
    <row r="363" spans="1:393 1402:2028 2072:2983 3226:3370 4136:4280 8521:8552">
      <c r="A363" s="8" t="s">
        <v>1433</v>
      </c>
      <c r="B363" s="10" t="s">
        <v>8322</v>
      </c>
      <c r="C363" s="8">
        <v>331.99999999988358</v>
      </c>
      <c r="D363" s="15">
        <v>24.844444444402896</v>
      </c>
      <c r="NA363" s="8" t="s">
        <v>8322</v>
      </c>
      <c r="BQM363" s="8" t="s">
        <v>262</v>
      </c>
      <c r="BUZ363" s="8" t="s">
        <v>80</v>
      </c>
      <c r="BVG363" s="8" t="s">
        <v>928</v>
      </c>
      <c r="CKA363" s="8" t="s">
        <v>80</v>
      </c>
      <c r="CPO363" s="8" t="s">
        <v>80</v>
      </c>
      <c r="DHO363" s="8" t="s">
        <v>928</v>
      </c>
      <c r="DJK363" s="8" t="s">
        <v>928</v>
      </c>
    </row>
    <row r="364" spans="1:393 1402:2028 2072:2983 3226:3370 4136:4280 8521:8552">
      <c r="A364" s="8" t="s">
        <v>1433</v>
      </c>
      <c r="B364" s="10" t="s">
        <v>8323</v>
      </c>
      <c r="C364" s="8">
        <v>346.59333333349787</v>
      </c>
      <c r="D364" s="15">
        <v>12.422222222249859</v>
      </c>
      <c r="NC364" s="8" t="s">
        <v>8323</v>
      </c>
      <c r="BBP364" s="8" t="s">
        <v>266</v>
      </c>
      <c r="BCN364" s="8" t="s">
        <v>266</v>
      </c>
      <c r="BDL364" s="8" t="s">
        <v>929</v>
      </c>
      <c r="BQQ364" s="8" t="s">
        <v>76</v>
      </c>
      <c r="DDW364" s="8" t="s">
        <v>266</v>
      </c>
      <c r="DHW364" s="8" t="s">
        <v>929</v>
      </c>
      <c r="DJK364" s="8" t="s">
        <v>929</v>
      </c>
      <c r="DJQ364" s="8" t="s">
        <v>266</v>
      </c>
      <c r="DJS364" s="8" t="s">
        <v>929</v>
      </c>
    </row>
    <row r="365" spans="1:393 1402:2028 2072:2983 3226:3370 4136:4280 8521:8552">
      <c r="A365" s="8" t="s">
        <v>1433</v>
      </c>
      <c r="B365" s="10" t="s">
        <v>8324</v>
      </c>
      <c r="C365" s="8">
        <v>360.01555555569939</v>
      </c>
      <c r="D365" s="15">
        <v>1.5527777776863942</v>
      </c>
      <c r="NF365" s="8" t="s">
        <v>8324</v>
      </c>
      <c r="BBS365" s="8" t="s">
        <v>267</v>
      </c>
      <c r="BCQ365" s="8" t="s">
        <v>267</v>
      </c>
      <c r="BDO365" s="8" t="s">
        <v>930</v>
      </c>
      <c r="BTD365" s="8" t="s">
        <v>77</v>
      </c>
      <c r="CUY365" s="8" t="s">
        <v>930</v>
      </c>
      <c r="DEE365" s="8" t="s">
        <v>267</v>
      </c>
      <c r="DJS365" s="8" t="s">
        <v>267</v>
      </c>
      <c r="DWT365" s="8" t="s">
        <v>930</v>
      </c>
      <c r="DYP365" s="8" t="s">
        <v>930</v>
      </c>
    </row>
    <row r="366" spans="1:393 1402:2028 2072:2983 3226:3370 4136:4280 8521:8552">
      <c r="A366" s="8" t="s">
        <v>1433</v>
      </c>
      <c r="B366" s="10" t="s">
        <v>8325</v>
      </c>
      <c r="C366" s="8">
        <v>362.56833333335817</v>
      </c>
      <c r="D366" s="15">
        <v>1.2422222220589347</v>
      </c>
      <c r="NH366" s="17" t="s">
        <v>8325</v>
      </c>
      <c r="BJE366" s="8" t="s">
        <v>268</v>
      </c>
      <c r="BKC366" s="8" t="s">
        <v>268</v>
      </c>
      <c r="BLA366" s="8" t="s">
        <v>931</v>
      </c>
      <c r="BTH366" s="8" t="s">
        <v>263</v>
      </c>
      <c r="CPN366" s="8" t="s">
        <v>931</v>
      </c>
      <c r="DTB366" s="8" t="s">
        <v>268</v>
      </c>
      <c r="DYP366" s="8" t="s">
        <v>268</v>
      </c>
      <c r="FFT366" s="8" t="s">
        <v>931</v>
      </c>
      <c r="FHP366" s="8" t="s">
        <v>931</v>
      </c>
    </row>
    <row r="367" spans="1:393 1402:2028 2072:2983 3226:3370 4136:4280 8521:8552">
      <c r="A367" s="8" t="s">
        <v>1433</v>
      </c>
      <c r="B367" s="10" t="s">
        <v>8326</v>
      </c>
      <c r="C367" s="8">
        <v>364.81055555550847</v>
      </c>
      <c r="D367" s="15">
        <v>6.2111111111699682</v>
      </c>
      <c r="NO367" s="8" t="s">
        <v>8326</v>
      </c>
      <c r="BVV367" s="8" t="s">
        <v>264</v>
      </c>
      <c r="CAR367" s="8" t="s">
        <v>269</v>
      </c>
      <c r="CBP367" s="8" t="s">
        <v>269</v>
      </c>
      <c r="CCN367" s="8" t="s">
        <v>1395</v>
      </c>
      <c r="FCB367" s="8" t="s">
        <v>269</v>
      </c>
      <c r="FHP367" s="8" t="s">
        <v>269</v>
      </c>
      <c r="LOS367" s="8" t="s">
        <v>269</v>
      </c>
      <c r="LPX367" s="8" t="s">
        <v>1395</v>
      </c>
    </row>
    <row r="368" spans="1:393 1402:2028 2072:2983 3226:3370 4136:4280 8521:8552">
      <c r="A368" s="8" t="s">
        <v>1433</v>
      </c>
      <c r="B368" s="10" t="s">
        <v>8327</v>
      </c>
      <c r="C368" s="8">
        <v>373.02166666660924</v>
      </c>
      <c r="D368" s="15">
        <v>12.422222222377032</v>
      </c>
      <c r="OC368" s="8" t="s">
        <v>8327</v>
      </c>
      <c r="BXB368" s="8" t="s">
        <v>73</v>
      </c>
    </row>
    <row r="369" spans="1:872 1352:1400 2076:2983 3370:3370 4280:4280">
      <c r="A369" s="8" t="s">
        <v>1433</v>
      </c>
      <c r="B369" s="10" t="s">
        <v>8328</v>
      </c>
      <c r="C369" s="8">
        <v>386.44388888881076</v>
      </c>
      <c r="D369" s="15">
        <v>12.422222222356318</v>
      </c>
      <c r="OQ369" s="8" t="s">
        <v>8328</v>
      </c>
      <c r="CAV369" s="8" t="s">
        <v>78</v>
      </c>
    </row>
    <row r="370" spans="1:872 1352:1400 2076:2983 3370:3370 4280:4280">
      <c r="A370" s="8" t="s">
        <v>1433</v>
      </c>
      <c r="B370" s="10" t="s">
        <v>8329</v>
      </c>
      <c r="C370" s="8">
        <v>414.28833333333023</v>
      </c>
      <c r="D370" s="15">
        <v>12.422222222082217</v>
      </c>
      <c r="PS370" s="8" t="s">
        <v>8329</v>
      </c>
      <c r="CEK370" s="8" t="s">
        <v>79</v>
      </c>
    </row>
    <row r="371" spans="1:872 1352:1400 2076:2983 3370:3370 4280:4280">
      <c r="A371" s="8" t="s">
        <v>1433</v>
      </c>
      <c r="B371" s="10" t="s">
        <v>8330</v>
      </c>
      <c r="C371" s="8">
        <v>427.71055555553176</v>
      </c>
      <c r="D371" s="15">
        <v>1.2422222223595316</v>
      </c>
      <c r="PU371" s="8" t="s">
        <v>8330</v>
      </c>
      <c r="CPO371" s="8" t="s">
        <v>265</v>
      </c>
    </row>
    <row r="372" spans="1:872 1352:1400 2076:2983 3370:3370 4280:4280">
      <c r="A372" s="8" t="s">
        <v>1433</v>
      </c>
      <c r="B372" s="10" t="s">
        <v>8331</v>
      </c>
      <c r="C372" s="8">
        <v>433.99999999988358</v>
      </c>
      <c r="D372" s="15">
        <v>6.2111111111006023</v>
      </c>
      <c r="QF372" s="8" t="s">
        <v>8331</v>
      </c>
      <c r="DJK372" s="8" t="s">
        <v>80</v>
      </c>
    </row>
    <row r="373" spans="1:872 1352:1400 2076:2983 3370:3370 4280:4280">
      <c r="A373" s="8" t="s">
        <v>1433</v>
      </c>
      <c r="B373" s="10" t="s">
        <v>8332</v>
      </c>
      <c r="C373" s="8">
        <v>442.21111111098435</v>
      </c>
      <c r="D373" s="15">
        <v>12.422222222307663</v>
      </c>
      <c r="QU373" s="8" t="s">
        <v>8332</v>
      </c>
      <c r="DJS373" s="8" t="s">
        <v>266</v>
      </c>
    </row>
    <row r="374" spans="1:872 1352:1400 2076:2983 3370:3370 4280:4280">
      <c r="A374" s="8" t="s">
        <v>1433</v>
      </c>
      <c r="B374" s="10" t="s">
        <v>8333</v>
      </c>
      <c r="C374" s="8">
        <v>457.99999999988358</v>
      </c>
      <c r="D374" s="15">
        <v>12.422222222317783</v>
      </c>
      <c r="RJ374" s="8" t="s">
        <v>8333</v>
      </c>
      <c r="DYP374" s="8" t="s">
        <v>267</v>
      </c>
    </row>
    <row r="375" spans="1:872 1352:1400 2076:2983 3370:3370 4280:4280">
      <c r="A375" s="8" t="s">
        <v>1433</v>
      </c>
      <c r="B375" s="10" t="s">
        <v>8334</v>
      </c>
      <c r="C375" s="8">
        <v>468</v>
      </c>
      <c r="D375" s="15">
        <v>37.267222222290002</v>
      </c>
      <c r="SS375" s="8" t="s">
        <v>8334</v>
      </c>
      <c r="FHP375" s="8" t="s">
        <v>268</v>
      </c>
    </row>
    <row r="376" spans="1:872 1352:1400 2076:2983 3370:3370 4280:4280">
      <c r="A376" s="8" t="s">
        <v>1433</v>
      </c>
      <c r="B376" s="10" t="s">
        <v>8335</v>
      </c>
      <c r="C376" s="8">
        <v>490.00000000011642</v>
      </c>
      <c r="D376" s="15">
        <v>24.844444444286793</v>
      </c>
      <c r="TC376" s="8" t="s">
        <v>8335</v>
      </c>
    </row>
    <row r="377" spans="1:872 1352:1400 2076:2983 3370:3370 4280:4280">
      <c r="A377" s="8" t="s">
        <v>1433</v>
      </c>
      <c r="B377" s="10" t="s">
        <v>8336</v>
      </c>
      <c r="C377" s="8">
        <v>515.57777777791489</v>
      </c>
      <c r="D377" s="15">
        <v>12.422222222222398</v>
      </c>
      <c r="TP377" s="8" t="s">
        <v>8336</v>
      </c>
    </row>
    <row r="378" spans="1:872 1352:1400 2076:2983 3370:3370 4280:4280">
      <c r="A378" s="8" t="s">
        <v>1433</v>
      </c>
      <c r="B378" s="10" t="s">
        <v>8337</v>
      </c>
      <c r="C378" s="8">
        <v>528</v>
      </c>
      <c r="D378" s="15">
        <v>19.875555555685423</v>
      </c>
      <c r="UJ378" s="8" t="s">
        <v>8337</v>
      </c>
    </row>
    <row r="379" spans="1:872 1352:1400 2076:2983 3370:3370 4280:4280">
      <c r="A379" s="8" t="s">
        <v>1433</v>
      </c>
      <c r="B379" s="10" t="s">
        <v>8338</v>
      </c>
      <c r="C379" s="8">
        <v>552</v>
      </c>
      <c r="D379" s="15">
        <v>1.2422222223831341</v>
      </c>
      <c r="UO379" s="8" t="s">
        <v>8338</v>
      </c>
    </row>
    <row r="380" spans="1:872 1352:1400 2076:2983 3370:3370 4280:4280">
      <c r="A380" s="8" t="s">
        <v>1433</v>
      </c>
      <c r="B380" s="10" t="s">
        <v>8339</v>
      </c>
      <c r="C380" s="8">
        <v>559.99999999988358</v>
      </c>
      <c r="D380" s="15">
        <v>1.2422222222665606</v>
      </c>
      <c r="UW380" s="8" t="s">
        <v>8339</v>
      </c>
    </row>
    <row r="381" spans="1:872 1352:1400 2076:2983 3370:3370 4280:4280">
      <c r="A381" s="8" t="s">
        <v>1433</v>
      </c>
      <c r="B381" s="10" t="s">
        <v>8340</v>
      </c>
      <c r="C381" s="8">
        <v>565.13055555545725</v>
      </c>
      <c r="D381" s="15">
        <v>10.869444444444483</v>
      </c>
      <c r="VL381" s="8" t="s">
        <v>8340</v>
      </c>
      <c r="AYZ381" s="8" t="s">
        <v>6756</v>
      </c>
    </row>
    <row r="382" spans="1:872 1352:1400 2076:2983 3370:3370 4280:4280">
      <c r="A382" s="8" t="s">
        <v>1433</v>
      </c>
      <c r="B382" s="10" t="s">
        <v>8341</v>
      </c>
      <c r="C382" s="8">
        <v>817.00000000011642</v>
      </c>
      <c r="D382" s="15">
        <v>7.4533333333676417</v>
      </c>
      <c r="AEZ382" s="8" t="s">
        <v>8341</v>
      </c>
      <c r="BAV382" s="8" t="s">
        <v>6757</v>
      </c>
    </row>
    <row r="383" spans="1:872 1352:1400 2076:2983 3370:3370 4280:4280">
      <c r="A383" s="8" t="s">
        <v>1433</v>
      </c>
      <c r="B383" s="10" t="s">
        <v>8342</v>
      </c>
      <c r="C383" s="8">
        <v>839.15555555548053</v>
      </c>
      <c r="D383" s="15">
        <v>24.844444444444317</v>
      </c>
      <c r="AGN383" s="8" t="s">
        <v>8342</v>
      </c>
      <c r="BAV383" s="8" t="s">
        <v>6758</v>
      </c>
    </row>
    <row r="384" spans="1:872 1352:1400 2076:2983 3370:3370 4280:4280">
      <c r="A384" s="8" t="s">
        <v>1433</v>
      </c>
      <c r="B384" s="10" t="s">
        <v>8343</v>
      </c>
      <c r="C384" s="8">
        <v>857.78888888878282</v>
      </c>
      <c r="D384" s="15">
        <v>6.2111111111111992</v>
      </c>
      <c r="AGN384" s="8" t="s">
        <v>8343</v>
      </c>
      <c r="BAV384" s="8" t="s">
        <v>6759</v>
      </c>
    </row>
    <row r="385" spans="1:1016 1064:1976 2120:3032 3080:3704">
      <c r="A385" s="8" t="s">
        <v>1433</v>
      </c>
      <c r="B385" s="10" t="s">
        <v>8344</v>
      </c>
      <c r="C385" s="8">
        <v>857.78888888878282</v>
      </c>
      <c r="D385" s="15">
        <v>6.2111111111111992</v>
      </c>
      <c r="AGN385" s="8" t="s">
        <v>8344</v>
      </c>
      <c r="BAV385" s="8" t="s">
        <v>6760</v>
      </c>
    </row>
    <row r="386" spans="1:1016 1064:1976 2120:3032 3080:3704">
      <c r="A386" s="8" t="s">
        <v>1433</v>
      </c>
      <c r="B386" s="10" t="s">
        <v>8345</v>
      </c>
      <c r="C386" s="8">
        <v>892.00000000011642</v>
      </c>
      <c r="D386" s="15">
        <v>12.422222222201684</v>
      </c>
      <c r="AIB386" s="8" t="s">
        <v>8345</v>
      </c>
      <c r="BCQ386" s="8" t="s">
        <v>6761</v>
      </c>
    </row>
    <row r="387" spans="1:1016 1064:1976 2120:3032 3080:3704">
      <c r="A387" s="8" t="s">
        <v>1433</v>
      </c>
      <c r="B387" s="10" t="s">
        <v>8346</v>
      </c>
      <c r="C387" s="8">
        <v>899.57777777791489</v>
      </c>
      <c r="D387" s="15">
        <v>12.422222222222398</v>
      </c>
      <c r="AIJ387" s="8" t="s">
        <v>8346</v>
      </c>
      <c r="BCX387" s="8" t="s">
        <v>6762</v>
      </c>
    </row>
    <row r="388" spans="1:1016 1064:1976 2120:3032 3080:3704">
      <c r="A388" s="8" t="s">
        <v>1433</v>
      </c>
      <c r="B388" s="10" t="s">
        <v>8347</v>
      </c>
      <c r="C388" s="8">
        <v>905.78888888878282</v>
      </c>
      <c r="D388" s="15">
        <v>6.2111111111111992</v>
      </c>
      <c r="AIJ388" s="8" t="s">
        <v>8347</v>
      </c>
      <c r="BEN388" s="8" t="s">
        <v>5316</v>
      </c>
      <c r="BGJ388" s="8" t="s">
        <v>5316</v>
      </c>
      <c r="BLX388" s="8" t="s">
        <v>6763</v>
      </c>
    </row>
    <row r="389" spans="1:1016 1064:1976 2120:3032 3080:3704">
      <c r="A389" s="8" t="s">
        <v>1433</v>
      </c>
      <c r="B389" s="10" t="s">
        <v>8348</v>
      </c>
      <c r="C389" s="8">
        <v>924</v>
      </c>
      <c r="D389" s="15">
        <v>7.4533333332510665</v>
      </c>
      <c r="AJC389" s="8" t="s">
        <v>8348</v>
      </c>
      <c r="BGJ389" s="8" t="s">
        <v>5317</v>
      </c>
      <c r="BIF389" s="8" t="s">
        <v>5317</v>
      </c>
      <c r="BNT389" s="8" t="s">
        <v>6764</v>
      </c>
    </row>
    <row r="390" spans="1:1016 1064:1976 2120:3032 3080:3704">
      <c r="A390" s="8" t="s">
        <v>1433</v>
      </c>
      <c r="B390" s="10" t="s">
        <v>8349</v>
      </c>
      <c r="C390" s="8">
        <v>931.99999999988358</v>
      </c>
      <c r="D390" s="15">
        <v>4.6583333332089962</v>
      </c>
      <c r="AJI390" s="8" t="s">
        <v>8349</v>
      </c>
      <c r="BIF390" s="8" t="s">
        <v>5318</v>
      </c>
      <c r="BKB390" s="8" t="s">
        <v>5318</v>
      </c>
      <c r="BVD390" s="8" t="s">
        <v>6765</v>
      </c>
    </row>
    <row r="391" spans="1:1016 1064:1976 2120:3032 3080:3704">
      <c r="A391" s="8" t="s">
        <v>1433</v>
      </c>
      <c r="B391" s="10" t="s">
        <v>8350</v>
      </c>
      <c r="C391" s="8">
        <v>935.15555555548053</v>
      </c>
      <c r="D391" s="15">
        <v>24.844444444444317</v>
      </c>
      <c r="AKF391" s="8" t="s">
        <v>8350</v>
      </c>
      <c r="BIF391" s="8" t="s">
        <v>5319</v>
      </c>
      <c r="BKB391" s="8" t="s">
        <v>5319</v>
      </c>
      <c r="BRL391" s="8" t="s">
        <v>6766</v>
      </c>
    </row>
    <row r="392" spans="1:1016 1064:1976 2120:3032 3080:3704">
      <c r="A392" s="8" t="s">
        <v>1433</v>
      </c>
      <c r="B392" s="10" t="s">
        <v>8351</v>
      </c>
      <c r="C392" s="8">
        <v>947.57777777791489</v>
      </c>
      <c r="D392" s="15">
        <v>12.422222222222398</v>
      </c>
      <c r="AKF392" s="8" t="s">
        <v>8351</v>
      </c>
      <c r="AZB392" s="8" t="s">
        <v>75</v>
      </c>
      <c r="BIF392" s="8" t="s">
        <v>5320</v>
      </c>
      <c r="BKB392" s="8" t="s">
        <v>5320</v>
      </c>
      <c r="CCT392" s="8" t="s">
        <v>6767</v>
      </c>
    </row>
    <row r="393" spans="1:1016 1064:1976 2120:3032 3080:3704">
      <c r="A393" s="8" t="s">
        <v>1433</v>
      </c>
      <c r="B393" s="10" t="s">
        <v>8352</v>
      </c>
      <c r="C393" s="8">
        <v>956.96944444428664</v>
      </c>
      <c r="D393" s="15">
        <v>2.4844444446082665</v>
      </c>
      <c r="AKE393" s="8" t="s">
        <v>8352</v>
      </c>
      <c r="AYZ393" s="8" t="s">
        <v>1456</v>
      </c>
      <c r="BAV393" s="8" t="s">
        <v>1456</v>
      </c>
      <c r="BIF393" s="8" t="s">
        <v>5321</v>
      </c>
      <c r="BKB393" s="8" t="s">
        <v>5321</v>
      </c>
      <c r="CGF393" s="8" t="s">
        <v>6768</v>
      </c>
    </row>
    <row r="394" spans="1:1016 1064:1976 2120:3032 3080:3704">
      <c r="A394" s="8" t="s">
        <v>1433</v>
      </c>
      <c r="B394" s="10" t="s">
        <v>8353</v>
      </c>
      <c r="C394" s="8">
        <v>998.74055555567611</v>
      </c>
      <c r="D394" s="15">
        <v>6.2111111109883641</v>
      </c>
      <c r="ALY394" s="8" t="s">
        <v>8353</v>
      </c>
      <c r="BAW394" s="8" t="s">
        <v>261</v>
      </c>
      <c r="BCS394" s="8" t="s">
        <v>261</v>
      </c>
      <c r="BKA394" s="8" t="s">
        <v>5322</v>
      </c>
      <c r="BLW394" s="8" t="s">
        <v>5322</v>
      </c>
      <c r="CPL394" s="8" t="s">
        <v>6769</v>
      </c>
    </row>
    <row r="395" spans="1:1016 1064:1976 2120:3032 3080:3704">
      <c r="A395" s="8" t="s">
        <v>1433</v>
      </c>
      <c r="B395" s="10" t="s">
        <v>8354</v>
      </c>
      <c r="C395" s="8">
        <v>1001.7888888887828</v>
      </c>
      <c r="D395" s="15">
        <v>6.2111111111111992</v>
      </c>
      <c r="AMB395" s="8" t="s">
        <v>8354</v>
      </c>
      <c r="BGJ395" s="8" t="s">
        <v>262</v>
      </c>
      <c r="BIF395" s="8" t="s">
        <v>262</v>
      </c>
      <c r="BKH395" s="8" t="s">
        <v>5323</v>
      </c>
      <c r="BMD395" s="8" t="s">
        <v>5323</v>
      </c>
      <c r="CWV395" s="8" t="s">
        <v>6770</v>
      </c>
    </row>
    <row r="396" spans="1:1016 1064:1976 2120:3032 3080:3704">
      <c r="A396" s="8" t="s">
        <v>1433</v>
      </c>
      <c r="B396" s="10" t="s">
        <v>8355</v>
      </c>
      <c r="C396" s="8">
        <v>1001.7888888887828</v>
      </c>
      <c r="D396" s="15">
        <v>6.2111111111111992</v>
      </c>
      <c r="AMB396" s="8" t="s">
        <v>8355</v>
      </c>
      <c r="BHG396" s="8" t="s">
        <v>76</v>
      </c>
      <c r="BJC396" s="8" t="s">
        <v>76</v>
      </c>
      <c r="BTH396" s="8" t="s">
        <v>5324</v>
      </c>
      <c r="BVD396" s="8" t="s">
        <v>5324</v>
      </c>
      <c r="DLP396" s="8" t="s">
        <v>6771</v>
      </c>
    </row>
    <row r="397" spans="1:1016 1064:1976 2120:3032 3080:3704">
      <c r="A397" s="8" t="s">
        <v>1433</v>
      </c>
      <c r="B397" s="10" t="s">
        <v>8356</v>
      </c>
      <c r="C397" s="8">
        <v>1003.031111111166</v>
      </c>
      <c r="D397" s="15">
        <v>4.6583333333804884</v>
      </c>
      <c r="AMB397" s="8" t="s">
        <v>8356</v>
      </c>
      <c r="BHK397" s="8" t="s">
        <v>77</v>
      </c>
      <c r="BJG397" s="8" t="s">
        <v>77</v>
      </c>
      <c r="BTH397" s="8" t="s">
        <v>5325</v>
      </c>
      <c r="BVD397" s="8" t="s">
        <v>5325</v>
      </c>
      <c r="DNL397" s="8" t="s">
        <v>6772</v>
      </c>
    </row>
    <row r="398" spans="1:1016 1064:1976 2120:3032 3080:3704">
      <c r="A398" s="8" t="s">
        <v>1433</v>
      </c>
      <c r="B398" s="10" t="s">
        <v>8357</v>
      </c>
      <c r="C398" s="8">
        <v>1031.1555555554805</v>
      </c>
      <c r="D398" s="15">
        <v>24.844444444444317</v>
      </c>
      <c r="ANX398" s="8" t="s">
        <v>8357</v>
      </c>
      <c r="BJX398" s="8" t="s">
        <v>263</v>
      </c>
      <c r="BLT398" s="8" t="s">
        <v>263</v>
      </c>
      <c r="BVD398" s="8" t="s">
        <v>5326</v>
      </c>
      <c r="BWZ398" s="8" t="s">
        <v>5326</v>
      </c>
      <c r="DYN398" s="8" t="s">
        <v>6773</v>
      </c>
    </row>
    <row r="399" spans="1:1016 1064:1976 2120:3032 3080:3704">
      <c r="A399" s="8" t="s">
        <v>1433</v>
      </c>
      <c r="B399" s="10" t="s">
        <v>8358</v>
      </c>
      <c r="C399" s="8">
        <v>1053.515555555583</v>
      </c>
      <c r="D399" s="15">
        <v>2.4844444444444775</v>
      </c>
      <c r="ANX399" s="8" t="s">
        <v>8358</v>
      </c>
      <c r="BBQ399" s="8" t="s">
        <v>271</v>
      </c>
      <c r="BKB399" s="8" t="s">
        <v>264</v>
      </c>
      <c r="BLX399" s="8" t="s">
        <v>264</v>
      </c>
      <c r="CCN399" s="8" t="s">
        <v>5327</v>
      </c>
      <c r="CEJ399" s="8" t="s">
        <v>5327</v>
      </c>
      <c r="EJP399" s="8" t="s">
        <v>6774</v>
      </c>
    </row>
    <row r="400" spans="1:1016 1064:1976 2120:3032 3080:3704">
      <c r="A400" s="8" t="s">
        <v>1433</v>
      </c>
      <c r="B400" s="10" t="s">
        <v>8359</v>
      </c>
      <c r="C400" s="8">
        <v>1076.6027777778218</v>
      </c>
      <c r="D400" s="15">
        <v>24.844444444563305</v>
      </c>
      <c r="APQ400" s="8" t="s">
        <v>8359</v>
      </c>
      <c r="AYZ400" s="8" t="s">
        <v>6564</v>
      </c>
      <c r="BAV400" s="8" t="s">
        <v>5983</v>
      </c>
      <c r="BCA400" s="8" t="s">
        <v>272</v>
      </c>
      <c r="BEN400" s="8" t="s">
        <v>5316</v>
      </c>
      <c r="BMP400" s="8" t="s">
        <v>73</v>
      </c>
      <c r="BOL400" s="8" t="s">
        <v>73</v>
      </c>
      <c r="CKD400" s="8" t="s">
        <v>5328</v>
      </c>
      <c r="CLZ400" s="8" t="s">
        <v>5328</v>
      </c>
      <c r="ELL400" s="8" t="s">
        <v>6775</v>
      </c>
    </row>
    <row r="401" spans="1:174 1112:2030 2078:3032 3080:4088 4376:4376">
      <c r="A401" s="8" t="s">
        <v>1433</v>
      </c>
      <c r="B401" s="10" t="s">
        <v>8360</v>
      </c>
      <c r="C401" s="8">
        <v>1091.5777777779149</v>
      </c>
      <c r="D401" s="15">
        <v>12.422222222222398</v>
      </c>
      <c r="APT401" s="8" t="s">
        <v>8360</v>
      </c>
      <c r="AYZ401" s="8" t="s">
        <v>6756</v>
      </c>
      <c r="BAV401" s="8" t="s">
        <v>6357</v>
      </c>
      <c r="BCR401" s="8" t="s">
        <v>5984</v>
      </c>
      <c r="BDP401" s="8" t="s">
        <v>273</v>
      </c>
      <c r="BGJ401" s="8" t="s">
        <v>5317</v>
      </c>
      <c r="BNV401" s="8" t="s">
        <v>78</v>
      </c>
      <c r="BPR401" s="8" t="s">
        <v>78</v>
      </c>
      <c r="CNP401" s="8" t="s">
        <v>5329</v>
      </c>
      <c r="CPL401" s="8" t="s">
        <v>5329</v>
      </c>
      <c r="FLH401" s="8" t="s">
        <v>7161</v>
      </c>
    </row>
    <row r="402" spans="1:174 1112:2030 2078:3032 3080:4088 4376:4376">
      <c r="A402" s="8" t="s">
        <v>1433</v>
      </c>
      <c r="B402" s="10" t="s">
        <v>8361</v>
      </c>
      <c r="C402" s="8">
        <v>1098.5944444444031</v>
      </c>
      <c r="D402" s="15">
        <v>37.267222222248577</v>
      </c>
      <c r="AQZ402" s="8" t="s">
        <v>8361</v>
      </c>
      <c r="BAV402" s="8" t="s">
        <v>6757</v>
      </c>
      <c r="BCR402" s="8" t="s">
        <v>6565</v>
      </c>
      <c r="BEF402" s="8" t="s">
        <v>274</v>
      </c>
      <c r="BEN402" s="8" t="s">
        <v>5985</v>
      </c>
      <c r="BIF402" s="8" t="s">
        <v>5318</v>
      </c>
      <c r="BRP402" s="8" t="s">
        <v>79</v>
      </c>
      <c r="BTL402" s="8" t="s">
        <v>79</v>
      </c>
      <c r="CWV402" s="8" t="s">
        <v>5330</v>
      </c>
      <c r="CYR402" s="8" t="s">
        <v>5330</v>
      </c>
    </row>
    <row r="403" spans="1:174 1112:2030 2078:3032 3080:4088 4376:4376">
      <c r="A403" s="8" t="s">
        <v>1433</v>
      </c>
      <c r="B403" s="10" t="s">
        <v>8362</v>
      </c>
      <c r="C403" s="8">
        <v>1103.6894444444915</v>
      </c>
      <c r="D403" s="15">
        <v>0.31055555555568226</v>
      </c>
      <c r="APT403" s="8" t="s">
        <v>8362</v>
      </c>
      <c r="BAV403" s="8" t="s">
        <v>6758</v>
      </c>
      <c r="BCR403" s="8" t="s">
        <v>6358</v>
      </c>
      <c r="BEF403" s="8" t="s">
        <v>275</v>
      </c>
      <c r="BEN403" s="8" t="s">
        <v>5986</v>
      </c>
      <c r="BIF403" s="8" t="s">
        <v>5319</v>
      </c>
      <c r="BVE403" s="8" t="s">
        <v>265</v>
      </c>
      <c r="BXA403" s="8" t="s">
        <v>265</v>
      </c>
      <c r="DEF403" s="8" t="s">
        <v>5331</v>
      </c>
      <c r="DGB403" s="8" t="s">
        <v>5331</v>
      </c>
    </row>
    <row r="404" spans="1:174 1112:2030 2078:3032 3080:4088 4376:4376">
      <c r="A404" s="8" t="s">
        <v>1433</v>
      </c>
      <c r="B404" s="10" t="s">
        <v>8363</v>
      </c>
      <c r="C404" s="8">
        <v>1141.3294444443891</v>
      </c>
      <c r="D404" s="15">
        <v>6.2111111111617827</v>
      </c>
      <c r="ARL404" s="19" t="s">
        <v>8363</v>
      </c>
      <c r="BAV404" s="8" t="s">
        <v>6759</v>
      </c>
      <c r="BCR404" s="8" t="s">
        <v>6359</v>
      </c>
      <c r="BEN404" s="8" t="s">
        <v>5852</v>
      </c>
      <c r="BEO404" s="8" t="s">
        <v>276</v>
      </c>
      <c r="BIF404" s="8" t="s">
        <v>5320</v>
      </c>
      <c r="CGI404" s="8" t="s">
        <v>80</v>
      </c>
      <c r="CIE404" s="8" t="s">
        <v>80</v>
      </c>
      <c r="DSZ404" s="8" t="s">
        <v>5332</v>
      </c>
      <c r="DUV404" s="8" t="s">
        <v>5332</v>
      </c>
    </row>
    <row r="405" spans="1:174 1112:2030 2078:3032 3080:4088 4376:4376">
      <c r="A405" s="8" t="s">
        <v>1433</v>
      </c>
      <c r="B405" s="10" t="s">
        <v>8364</v>
      </c>
      <c r="C405" s="8">
        <v>1145.7888888887828</v>
      </c>
      <c r="D405" s="15">
        <v>6.2111111111111992</v>
      </c>
      <c r="ARP405" s="8" t="s">
        <v>8364</v>
      </c>
      <c r="BAV405" s="8" t="s">
        <v>6760</v>
      </c>
      <c r="BCR405" s="8" t="s">
        <v>6360</v>
      </c>
      <c r="BEN405" s="8" t="s">
        <v>5987</v>
      </c>
      <c r="BEZ405" s="8" t="s">
        <v>277</v>
      </c>
      <c r="BIF405" s="8" t="s">
        <v>5321</v>
      </c>
      <c r="CIB405" s="8" t="s">
        <v>1457</v>
      </c>
      <c r="CJX405" s="8" t="s">
        <v>1457</v>
      </c>
      <c r="DUV405" s="8" t="s">
        <v>5333</v>
      </c>
      <c r="DWR405" s="8" t="s">
        <v>5333</v>
      </c>
    </row>
    <row r="406" spans="1:174 1112:2030 2078:3032 3080:4088 4376:4376">
      <c r="A406" s="8" t="s">
        <v>1433</v>
      </c>
      <c r="B406" s="10" t="s">
        <v>8601</v>
      </c>
      <c r="C406" s="8">
        <v>1185.2705555555876</v>
      </c>
      <c r="D406" s="15">
        <v>6.2111111112494513</v>
      </c>
      <c r="ATC406" s="8" t="s">
        <v>8601</v>
      </c>
      <c r="BCQ406" s="8" t="s">
        <v>6761</v>
      </c>
      <c r="BEM406" s="8" t="s">
        <v>6566</v>
      </c>
      <c r="BFP406" s="8" t="s">
        <v>278</v>
      </c>
      <c r="BGI406" s="8" t="s">
        <v>5988</v>
      </c>
      <c r="BGJ406" s="8" t="s">
        <v>4885</v>
      </c>
      <c r="BIF406" s="8" t="s">
        <v>4318</v>
      </c>
      <c r="BKA406" s="8" t="s">
        <v>5322</v>
      </c>
      <c r="DAE406" s="8" t="s">
        <v>266</v>
      </c>
      <c r="DCA406" s="8" t="s">
        <v>266</v>
      </c>
      <c r="EFX406" s="8" t="s">
        <v>5334</v>
      </c>
      <c r="EHT406" s="8" t="s">
        <v>5334</v>
      </c>
    </row>
    <row r="407" spans="1:174 1112:2030 2078:3032 3080:4088 4376:4376">
      <c r="A407" s="8" t="s">
        <v>1433</v>
      </c>
      <c r="B407" s="10" t="s">
        <v>8365</v>
      </c>
      <c r="C407" s="8">
        <v>1192.481666666572</v>
      </c>
      <c r="D407" s="15">
        <v>12.422222222339457</v>
      </c>
      <c r="ATQ407" s="8" t="s">
        <v>8365</v>
      </c>
      <c r="BCX407" s="8" t="s">
        <v>6762</v>
      </c>
      <c r="BET407" s="8" t="s">
        <v>6361</v>
      </c>
      <c r="BGJ407" s="8" t="s">
        <v>279</v>
      </c>
      <c r="BGP407" s="8" t="s">
        <v>5989</v>
      </c>
      <c r="BIF407" s="8" t="s">
        <v>4886</v>
      </c>
      <c r="BKB407" s="8" t="s">
        <v>4319</v>
      </c>
      <c r="BKH407" s="8" t="s">
        <v>5323</v>
      </c>
      <c r="DAP407" s="8" t="s">
        <v>81</v>
      </c>
      <c r="DCL407" s="8" t="s">
        <v>81</v>
      </c>
      <c r="EQZ407" s="8" t="s">
        <v>5335</v>
      </c>
      <c r="ESV407" s="8" t="s">
        <v>5335</v>
      </c>
    </row>
    <row r="408" spans="1:174 1112:2030 2078:3032 3080:4088 4376:4376">
      <c r="A408" s="8" t="s">
        <v>1433</v>
      </c>
      <c r="B408" s="10" t="s">
        <v>8366</v>
      </c>
      <c r="C408" s="8">
        <v>1212.217777777696</v>
      </c>
      <c r="D408" s="15">
        <v>9.9377777779354428</v>
      </c>
      <c r="AUH408" s="8" t="s">
        <v>8366</v>
      </c>
      <c r="BGJ408" s="8" t="s">
        <v>280</v>
      </c>
      <c r="BKB408" s="8" t="s">
        <v>4690</v>
      </c>
      <c r="BLX408" s="8" t="s">
        <v>6763</v>
      </c>
      <c r="BNT408" s="8" t="s">
        <v>6362</v>
      </c>
      <c r="BPP408" s="8" t="s">
        <v>5990</v>
      </c>
      <c r="BTH408" s="8" t="s">
        <v>5325</v>
      </c>
      <c r="DPJ408" s="8" t="s">
        <v>268</v>
      </c>
      <c r="DRF408" s="8" t="s">
        <v>268</v>
      </c>
      <c r="ESV408" s="8" t="s">
        <v>5336</v>
      </c>
      <c r="EUR408" s="8" t="s">
        <v>5336</v>
      </c>
    </row>
    <row r="409" spans="1:174 1112:2030 2078:3032 3080:4088 4376:4376">
      <c r="A409" s="8" t="s">
        <v>1433</v>
      </c>
      <c r="B409" s="10" t="s">
        <v>8367</v>
      </c>
      <c r="C409" s="8">
        <v>1246.7577777776169</v>
      </c>
      <c r="D409" s="15">
        <v>1.2422222222222388</v>
      </c>
      <c r="AVH409" s="8" t="s">
        <v>8367</v>
      </c>
      <c r="BLX409" s="8" t="s">
        <v>4887</v>
      </c>
      <c r="BNT409" s="8" t="s">
        <v>6764</v>
      </c>
      <c r="BOK409" s="8" t="s">
        <v>281</v>
      </c>
      <c r="BPP409" s="8" t="s">
        <v>6363</v>
      </c>
      <c r="BRL409" s="8" t="s">
        <v>5991</v>
      </c>
      <c r="BVD409" s="8" t="s">
        <v>5326</v>
      </c>
      <c r="DYN409" s="8" t="s">
        <v>1458</v>
      </c>
      <c r="EAJ409" s="8" t="s">
        <v>1458</v>
      </c>
    </row>
    <row r="410" spans="1:174 1112:2030 2078:3032 3080:4088 4376:4376">
      <c r="A410" s="8" t="s">
        <v>1433</v>
      </c>
      <c r="B410" s="10" t="s">
        <v>8368</v>
      </c>
      <c r="C410" s="8">
        <v>1285.8372222221224</v>
      </c>
      <c r="D410" s="15">
        <v>1.8633333333003606</v>
      </c>
      <c r="AWV410" s="8" t="s">
        <v>8368</v>
      </c>
      <c r="BLX410" s="8" t="s">
        <v>4691</v>
      </c>
      <c r="BNT410" s="8" t="s">
        <v>4320</v>
      </c>
      <c r="BOU410" s="8" t="s">
        <v>282</v>
      </c>
      <c r="BVD410" s="8" t="s">
        <v>6765</v>
      </c>
      <c r="BWZ410" s="8" t="s">
        <v>6364</v>
      </c>
      <c r="BYV410" s="8" t="s">
        <v>5992</v>
      </c>
      <c r="CCN410" s="8" t="s">
        <v>5327</v>
      </c>
      <c r="EYJ410" s="8" t="s">
        <v>269</v>
      </c>
      <c r="FAF410" s="8" t="s">
        <v>269</v>
      </c>
    </row>
    <row r="411" spans="1:174 1112:2030 2078:3032 3080:4088 4376:4376">
      <c r="A411" s="8" t="s">
        <v>1433</v>
      </c>
      <c r="B411" s="10" t="s">
        <v>8369</v>
      </c>
      <c r="C411" s="8">
        <v>1288.7005555556389</v>
      </c>
      <c r="D411" s="15">
        <v>37.267222222373334</v>
      </c>
      <c r="AYH411" s="8" t="s">
        <v>8369</v>
      </c>
      <c r="BLX411" s="8" t="s">
        <v>4692</v>
      </c>
      <c r="BNT411" s="8" t="s">
        <v>4321</v>
      </c>
      <c r="BPP411" s="8" t="s">
        <v>283</v>
      </c>
      <c r="CCJ411" s="8" t="s">
        <v>6766</v>
      </c>
      <c r="CEF411" s="8" t="s">
        <v>6365</v>
      </c>
      <c r="CGB411" s="8" t="s">
        <v>5993</v>
      </c>
      <c r="CJT411" s="8" t="s">
        <v>5827</v>
      </c>
    </row>
    <row r="412" spans="1:174 1112:2030 2078:3032 3080:4088 4376:4376">
      <c r="A412" s="8" t="s">
        <v>1433</v>
      </c>
      <c r="B412" s="10" t="s">
        <v>8370</v>
      </c>
      <c r="C412" s="8">
        <v>1319.1555555554805</v>
      </c>
      <c r="D412" s="15">
        <v>24.844444444444317</v>
      </c>
      <c r="AYZ412" s="8" t="s">
        <v>8370</v>
      </c>
      <c r="AZU412" s="8" t="s">
        <v>932</v>
      </c>
      <c r="BBQ412" s="8" t="s">
        <v>932</v>
      </c>
      <c r="BLX412" s="8" t="s">
        <v>4693</v>
      </c>
      <c r="BNT412" s="8" t="s">
        <v>4322</v>
      </c>
      <c r="BRO412" s="8" t="s">
        <v>284</v>
      </c>
      <c r="CCT412" s="8" t="s">
        <v>6767</v>
      </c>
      <c r="CEP412" s="8" t="s">
        <v>6567</v>
      </c>
      <c r="CGL412" s="8" t="s">
        <v>5994</v>
      </c>
      <c r="CKD412" s="8" t="s">
        <v>5328</v>
      </c>
    </row>
    <row r="413" spans="1:174 1112:2030 2078:3032 3080:4088 4376:4376">
      <c r="A413" s="8" t="s">
        <v>1433</v>
      </c>
      <c r="B413" s="10" t="s">
        <v>8371</v>
      </c>
      <c r="C413" s="8">
        <v>1385.39222222229</v>
      </c>
      <c r="D413" s="15">
        <v>37.26722222235793</v>
      </c>
      <c r="BAE413" s="8" t="s">
        <v>933</v>
      </c>
      <c r="BBQ413" s="8" t="s">
        <v>933</v>
      </c>
      <c r="BBV413" s="8" t="s">
        <v>272</v>
      </c>
      <c r="BCA413" s="8" t="s">
        <v>8371</v>
      </c>
      <c r="BNS413" s="8" t="s">
        <v>4888</v>
      </c>
      <c r="BPO413" s="8" t="s">
        <v>4323</v>
      </c>
      <c r="BTS413" s="8" t="s">
        <v>285</v>
      </c>
      <c r="CGF413" s="8" t="s">
        <v>6768</v>
      </c>
      <c r="CIB413" s="8" t="s">
        <v>6366</v>
      </c>
      <c r="CJX413" s="8" t="s">
        <v>5995</v>
      </c>
      <c r="CNP413" s="8" t="s">
        <v>5329</v>
      </c>
    </row>
    <row r="414" spans="1:174 1112:2030 2078:3032 3080:4088 4376:4376">
      <c r="A414" s="8" t="s">
        <v>1434</v>
      </c>
      <c r="B414" s="10" t="s">
        <v>8372</v>
      </c>
      <c r="C414" s="8">
        <v>31.840555555536412</v>
      </c>
      <c r="D414" s="15">
        <v>52.71333333324111</v>
      </c>
      <c r="CO414" s="8" t="s">
        <v>8372</v>
      </c>
      <c r="AZX414" s="8" t="s">
        <v>273</v>
      </c>
      <c r="BAE414" s="8" t="s">
        <v>934</v>
      </c>
      <c r="BBT414" s="8" t="s">
        <v>934</v>
      </c>
      <c r="BCA414" s="8" t="s">
        <v>273</v>
      </c>
      <c r="BDP414" s="8" t="s">
        <v>934</v>
      </c>
      <c r="BNZ414" s="8" t="s">
        <v>4694</v>
      </c>
      <c r="BPV414" s="8" t="s">
        <v>4324</v>
      </c>
      <c r="BTY414" s="8" t="s">
        <v>286</v>
      </c>
      <c r="CPL414" s="8" t="s">
        <v>6769</v>
      </c>
      <c r="CRH414" s="8" t="s">
        <v>6367</v>
      </c>
      <c r="CTD414" s="8" t="s">
        <v>5996</v>
      </c>
      <c r="CWV414" s="8" t="s">
        <v>5330</v>
      </c>
    </row>
    <row r="415" spans="1:174 1112:2030 2078:3032 3080:4088 4376:4376">
      <c r="A415" s="8" t="s">
        <v>1434</v>
      </c>
      <c r="B415" s="10" t="s">
        <v>8373</v>
      </c>
      <c r="C415" s="8">
        <v>85.553888888913207</v>
      </c>
      <c r="D415" s="15">
        <v>52.403333333461418</v>
      </c>
      <c r="EP415" s="8" t="s">
        <v>8373</v>
      </c>
      <c r="BBQ415" s="8" t="s">
        <v>271</v>
      </c>
      <c r="BCJ415" s="8" t="s">
        <v>935</v>
      </c>
      <c r="BDP415" s="8" t="s">
        <v>935</v>
      </c>
      <c r="BDV415" s="8" t="s">
        <v>274</v>
      </c>
      <c r="BEF415" s="8" t="s">
        <v>935</v>
      </c>
      <c r="BLX415" s="8" t="s">
        <v>6776</v>
      </c>
      <c r="BUB415" s="8" t="s">
        <v>287</v>
      </c>
      <c r="BWZ415" s="8" t="s">
        <v>4889</v>
      </c>
      <c r="BYV415" s="8" t="s">
        <v>4325</v>
      </c>
      <c r="CWV415" s="8" t="s">
        <v>6770</v>
      </c>
      <c r="CYR415" s="8" t="s">
        <v>6368</v>
      </c>
      <c r="DAN415" s="8" t="s">
        <v>5997</v>
      </c>
      <c r="DEF415" s="8" t="s">
        <v>5331</v>
      </c>
    </row>
    <row r="416" spans="1:174 1112:2030 2078:3032 3080:4088 4376:4376">
      <c r="A416" s="8" t="s">
        <v>1434</v>
      </c>
      <c r="B416" s="10" t="s">
        <v>8374</v>
      </c>
      <c r="C416" s="8">
        <v>139.95722222223412</v>
      </c>
      <c r="D416" s="15">
        <v>26.098333333165321</v>
      </c>
      <c r="FR416" s="8" t="s">
        <v>8374</v>
      </c>
      <c r="BCA416" s="8" t="s">
        <v>272</v>
      </c>
      <c r="BCJ416" s="8" t="s">
        <v>936</v>
      </c>
      <c r="BEF416" s="8" t="s">
        <v>936</v>
      </c>
      <c r="BET416" s="8" t="s">
        <v>275</v>
      </c>
      <c r="BUV416" s="8" t="s">
        <v>288</v>
      </c>
      <c r="BZB416" s="8" t="s">
        <v>4695</v>
      </c>
      <c r="CAX416" s="8" t="s">
        <v>4326</v>
      </c>
      <c r="DLP416" s="8" t="s">
        <v>6771</v>
      </c>
      <c r="DNL416" s="8" t="s">
        <v>6369</v>
      </c>
      <c r="DPH416" s="8" t="s">
        <v>5998</v>
      </c>
      <c r="DSZ416" s="8" t="s">
        <v>5332</v>
      </c>
    </row>
    <row r="417" spans="1:968 1203:2024 2052:2984 3080:4040">
      <c r="A417" s="8" t="s">
        <v>1434</v>
      </c>
      <c r="B417" s="10" t="s">
        <v>8375</v>
      </c>
      <c r="C417" s="8">
        <v>167.05555555550382</v>
      </c>
      <c r="D417" s="15">
        <v>52.196111111268081</v>
      </c>
      <c r="HS417" s="8" t="s">
        <v>8375</v>
      </c>
      <c r="BCS417" s="8" t="s">
        <v>937</v>
      </c>
      <c r="BDP417" s="8" t="s">
        <v>273</v>
      </c>
      <c r="BEF417" s="8" t="s">
        <v>937</v>
      </c>
      <c r="BEK417" s="8" t="s">
        <v>276</v>
      </c>
      <c r="BEO417" s="8" t="s">
        <v>937</v>
      </c>
      <c r="BVE417" s="8" t="s">
        <v>289</v>
      </c>
      <c r="CGF417" s="8" t="s">
        <v>4696</v>
      </c>
      <c r="CIB417" s="8" t="s">
        <v>4327</v>
      </c>
      <c r="DNL417" s="8" t="s">
        <v>6772</v>
      </c>
      <c r="DPH417" s="8" t="s">
        <v>6370</v>
      </c>
      <c r="DRD417" s="8" t="s">
        <v>5999</v>
      </c>
      <c r="DUV417" s="8" t="s">
        <v>5333</v>
      </c>
    </row>
    <row r="418" spans="1:968 1203:2024 2052:2984 3080:4040">
      <c r="A418" s="8" t="s">
        <v>1434</v>
      </c>
      <c r="B418" s="10" t="s">
        <v>8376</v>
      </c>
      <c r="C418" s="8">
        <v>220.25166666659061</v>
      </c>
      <c r="D418" s="15">
        <v>26.356666666728703</v>
      </c>
      <c r="IU418" s="8" t="s">
        <v>8376</v>
      </c>
      <c r="AZA418" s="8" t="s">
        <v>277</v>
      </c>
      <c r="BBH418" s="8" t="s">
        <v>277</v>
      </c>
      <c r="BCS418" s="8" t="s">
        <v>938</v>
      </c>
      <c r="BDD418" s="8" t="s">
        <v>938</v>
      </c>
      <c r="BEF418" s="8" t="s">
        <v>274</v>
      </c>
      <c r="BEO418" s="8" t="s">
        <v>277</v>
      </c>
      <c r="BEZ418" s="8" t="s">
        <v>938</v>
      </c>
      <c r="BZX418" s="8" t="s">
        <v>290</v>
      </c>
      <c r="CNV418" s="8" t="s">
        <v>4890</v>
      </c>
      <c r="CPR418" s="8" t="s">
        <v>4328</v>
      </c>
      <c r="DYN418" s="8" t="s">
        <v>6773</v>
      </c>
      <c r="EAJ418" s="8" t="s">
        <v>6371</v>
      </c>
      <c r="ECF418" s="8" t="s">
        <v>6000</v>
      </c>
      <c r="EFX418" s="8" t="s">
        <v>5334</v>
      </c>
    </row>
    <row r="419" spans="1:968 1203:2024 2052:2984 3080:4040">
      <c r="A419" s="8" t="s">
        <v>1434</v>
      </c>
      <c r="B419" s="10" t="s">
        <v>8377</v>
      </c>
      <c r="C419" s="8">
        <v>247.60833333316259</v>
      </c>
      <c r="D419" s="15">
        <v>52.713333333439095</v>
      </c>
      <c r="KV419" s="17" t="s">
        <v>8377</v>
      </c>
      <c r="AZL419" s="17" t="s">
        <v>278</v>
      </c>
      <c r="BDT419" s="8" t="s">
        <v>939</v>
      </c>
      <c r="BEF419" s="8" t="s">
        <v>275</v>
      </c>
      <c r="BEZ419" s="8" t="s">
        <v>939</v>
      </c>
      <c r="BFG419" s="8" t="s">
        <v>278</v>
      </c>
      <c r="BFP419" s="8" t="s">
        <v>939</v>
      </c>
      <c r="CHE419" s="8" t="s">
        <v>291</v>
      </c>
      <c r="CRH419" s="8" t="s">
        <v>4697</v>
      </c>
      <c r="CTD419" s="8" t="s">
        <v>4329</v>
      </c>
      <c r="EJP419" s="8" t="s">
        <v>6774</v>
      </c>
      <c r="ELL419" s="8" t="s">
        <v>6372</v>
      </c>
      <c r="ENH419" s="8" t="s">
        <v>6001</v>
      </c>
      <c r="EQZ419" s="8" t="s">
        <v>5335</v>
      </c>
    </row>
    <row r="420" spans="1:968 1203:2024 2052:2984 3080:4040">
      <c r="A420" s="8" t="s">
        <v>1434</v>
      </c>
      <c r="B420" s="10" t="s">
        <v>8378</v>
      </c>
      <c r="C420" s="8">
        <v>301.32166666653939</v>
      </c>
      <c r="D420" s="15">
        <v>52.713333333482453</v>
      </c>
      <c r="MX420" s="8" t="s">
        <v>8378</v>
      </c>
      <c r="AZQ420" s="8" t="s">
        <v>282</v>
      </c>
      <c r="BAB420" s="17" t="s">
        <v>279</v>
      </c>
      <c r="BBM420" s="8" t="s">
        <v>282</v>
      </c>
      <c r="BDI420" s="8" t="s">
        <v>282</v>
      </c>
      <c r="BEN420" s="8" t="s">
        <v>940</v>
      </c>
      <c r="BEO420" s="8" t="s">
        <v>276</v>
      </c>
      <c r="BFE420" s="8" t="s">
        <v>282</v>
      </c>
      <c r="BFP420" s="8" t="s">
        <v>940</v>
      </c>
      <c r="BGJ420" s="8" t="s">
        <v>940</v>
      </c>
      <c r="CIZ420" s="8" t="s">
        <v>292</v>
      </c>
      <c r="DAN420" s="8" t="s">
        <v>4698</v>
      </c>
      <c r="DCJ420" s="8" t="s">
        <v>4330</v>
      </c>
      <c r="ELL420" s="8" t="s">
        <v>6775</v>
      </c>
      <c r="ENH420" s="8" t="s">
        <v>6373</v>
      </c>
      <c r="EPD420" s="8" t="s">
        <v>6002</v>
      </c>
      <c r="ESV420" s="8" t="s">
        <v>5336</v>
      </c>
    </row>
    <row r="421" spans="1:968 1203:2024 2052:2984 3080:4040">
      <c r="A421" s="8" t="s">
        <v>1434</v>
      </c>
      <c r="B421" s="10" t="s">
        <v>8379</v>
      </c>
      <c r="C421" s="8">
        <v>355.03499999991618</v>
      </c>
      <c r="D421" s="15">
        <v>51.679444444281984</v>
      </c>
      <c r="OY421" s="8" t="s">
        <v>8379</v>
      </c>
      <c r="BAA421" s="8" t="s">
        <v>283</v>
      </c>
      <c r="BAV421" s="8" t="s">
        <v>280</v>
      </c>
      <c r="BBW421" s="8" t="s">
        <v>283</v>
      </c>
      <c r="BDS421" s="8" t="s">
        <v>283</v>
      </c>
      <c r="BEN421" s="8" t="s">
        <v>941</v>
      </c>
      <c r="BEZ421" s="8" t="s">
        <v>277</v>
      </c>
      <c r="BFO421" s="8" t="s">
        <v>283</v>
      </c>
      <c r="BGJ421" s="8" t="s">
        <v>941</v>
      </c>
      <c r="CJS421" s="8" t="s">
        <v>293</v>
      </c>
      <c r="DHX421" s="8" t="s">
        <v>4699</v>
      </c>
      <c r="DJT421" s="8" t="s">
        <v>4331</v>
      </c>
    </row>
    <row r="422" spans="1:968 1203:2024 2052:2984 3080:4040">
      <c r="A422" s="8" t="s">
        <v>1434</v>
      </c>
      <c r="B422" s="10" t="s">
        <v>8380</v>
      </c>
      <c r="C422" s="8">
        <v>407.7144444443984</v>
      </c>
      <c r="D422" s="15">
        <v>51.679444444319557</v>
      </c>
      <c r="QY422" s="8" t="s">
        <v>8380</v>
      </c>
      <c r="BAV422" s="8" t="s">
        <v>284</v>
      </c>
      <c r="BCR422" s="8" t="s">
        <v>284</v>
      </c>
      <c r="BEN422" s="8" t="s">
        <v>284</v>
      </c>
      <c r="BFP422" s="8" t="s">
        <v>278</v>
      </c>
      <c r="BGJ422" s="8" t="s">
        <v>284</v>
      </c>
      <c r="BMO422" s="8" t="s">
        <v>942</v>
      </c>
      <c r="BOK422" s="8" t="s">
        <v>942</v>
      </c>
      <c r="CJX422" s="8" t="s">
        <v>294</v>
      </c>
      <c r="DWR422" s="8" t="s">
        <v>4700</v>
      </c>
      <c r="DYN422" s="8" t="s">
        <v>4332</v>
      </c>
    </row>
    <row r="423" spans="1:968 1203:2024 2052:2984 3080:4040">
      <c r="A423" s="8" t="s">
        <v>1434</v>
      </c>
      <c r="B423" s="10" t="s">
        <v>8602</v>
      </c>
      <c r="C423" s="8">
        <v>524.3205555556342</v>
      </c>
      <c r="D423" s="15">
        <v>51.679444444444314</v>
      </c>
      <c r="VL423" s="8" t="s">
        <v>8602</v>
      </c>
      <c r="AYZ423" s="8" t="s">
        <v>5337</v>
      </c>
      <c r="BAV423" s="8" t="s">
        <v>5337</v>
      </c>
      <c r="BCR423" s="8" t="s">
        <v>1506</v>
      </c>
      <c r="BEN423" s="8" t="s">
        <v>1506</v>
      </c>
      <c r="BGJ423" s="8" t="s">
        <v>1506</v>
      </c>
      <c r="BIF423" s="8" t="s">
        <v>1506</v>
      </c>
      <c r="BIW423" s="8" t="s">
        <v>282</v>
      </c>
      <c r="BMY423" s="8" t="s">
        <v>943</v>
      </c>
      <c r="BOK423" s="8" t="s">
        <v>943</v>
      </c>
      <c r="BOU423" s="8" t="s">
        <v>943</v>
      </c>
      <c r="CJX423" s="8" t="s">
        <v>295</v>
      </c>
      <c r="DYN423" s="8" t="s">
        <v>4701</v>
      </c>
      <c r="EAJ423" s="8" t="s">
        <v>4333</v>
      </c>
    </row>
    <row r="424" spans="1:968 1203:2024 2052:2984 3080:4040">
      <c r="A424" s="8" t="s">
        <v>1434</v>
      </c>
      <c r="B424" s="10" t="s">
        <v>8381</v>
      </c>
      <c r="C424" s="8">
        <v>874.00000000011642</v>
      </c>
      <c r="D424" s="15">
        <v>11.498888888862144</v>
      </c>
      <c r="AHI424" s="8" t="s">
        <v>8381</v>
      </c>
      <c r="AZC424" s="8" t="s">
        <v>1622</v>
      </c>
      <c r="BCU424" s="8" t="s">
        <v>285</v>
      </c>
      <c r="BEQ424" s="8" t="s">
        <v>285</v>
      </c>
      <c r="BGJ424" s="8" t="s">
        <v>280</v>
      </c>
      <c r="BGM424" s="8" t="s">
        <v>285</v>
      </c>
      <c r="BII424" s="8" t="s">
        <v>285</v>
      </c>
      <c r="BJG424" s="8" t="s">
        <v>283</v>
      </c>
      <c r="BNT424" s="8" t="s">
        <v>944</v>
      </c>
      <c r="BOU424" s="8" t="s">
        <v>944</v>
      </c>
      <c r="BPF424" s="8" t="s">
        <v>283</v>
      </c>
      <c r="BPP424" s="8" t="s">
        <v>944</v>
      </c>
      <c r="CKA424" s="8" t="s">
        <v>296</v>
      </c>
      <c r="EJP424" s="8" t="s">
        <v>4702</v>
      </c>
      <c r="ELL424" s="8" t="s">
        <v>4334</v>
      </c>
    </row>
    <row r="425" spans="1:968 1203:2024 2052:2984 3080:4040">
      <c r="A425" s="8" t="s">
        <v>1434</v>
      </c>
      <c r="B425" s="10" t="s">
        <v>8382</v>
      </c>
      <c r="C425" s="8">
        <v>908.3205555556342</v>
      </c>
      <c r="D425" s="15">
        <v>51.679444444444314</v>
      </c>
      <c r="AKF425" s="8" t="s">
        <v>8382</v>
      </c>
      <c r="AZK425" s="8" t="s">
        <v>2067</v>
      </c>
      <c r="BBG425" s="8" t="s">
        <v>1623</v>
      </c>
      <c r="BCR425" s="8" t="s">
        <v>5338</v>
      </c>
      <c r="BEN425" s="8" t="s">
        <v>5338</v>
      </c>
      <c r="BEY425" s="8" t="s">
        <v>286</v>
      </c>
      <c r="BGU425" s="8" t="s">
        <v>286</v>
      </c>
      <c r="BIQ425" s="8" t="s">
        <v>286</v>
      </c>
      <c r="BKB425" s="8" t="s">
        <v>284</v>
      </c>
      <c r="BKM425" s="8" t="s">
        <v>286</v>
      </c>
      <c r="BNT425" s="8" t="s">
        <v>945</v>
      </c>
      <c r="BNW425" s="8" t="s">
        <v>284</v>
      </c>
      <c r="BOK425" s="8" t="s">
        <v>281</v>
      </c>
      <c r="BPP425" s="8" t="s">
        <v>284</v>
      </c>
      <c r="BPS425" s="8" t="s">
        <v>945</v>
      </c>
      <c r="BRO425" s="8" t="s">
        <v>945</v>
      </c>
      <c r="CQR425" s="8" t="s">
        <v>297</v>
      </c>
      <c r="EUR425" s="8" t="s">
        <v>4703</v>
      </c>
      <c r="EWN425" s="8" t="s">
        <v>4335</v>
      </c>
    </row>
    <row r="426" spans="1:968 1203:2024 2052:2984 3080:4040">
      <c r="A426" s="8" t="s">
        <v>1434</v>
      </c>
      <c r="B426" s="10" t="s">
        <v>8383</v>
      </c>
      <c r="C426" s="8">
        <v>1143.641111111152</v>
      </c>
      <c r="D426" s="15">
        <v>51.679444444406748</v>
      </c>
      <c r="ATG426" s="8" t="s">
        <v>8383</v>
      </c>
      <c r="AZQ426" s="8" t="s">
        <v>2068</v>
      </c>
      <c r="BBM426" s="8" t="s">
        <v>1624</v>
      </c>
      <c r="BFE426" s="8" t="s">
        <v>287</v>
      </c>
      <c r="BHA426" s="8" t="s">
        <v>287</v>
      </c>
      <c r="BIW426" s="8" t="s">
        <v>287</v>
      </c>
      <c r="BKS426" s="8" t="s">
        <v>287</v>
      </c>
      <c r="BMA426" s="8" t="s">
        <v>285</v>
      </c>
      <c r="BMX426" s="8" t="s">
        <v>285</v>
      </c>
      <c r="BNW426" s="8" t="s">
        <v>946</v>
      </c>
      <c r="BOU426" s="8" t="s">
        <v>282</v>
      </c>
      <c r="BRO426" s="8" t="s">
        <v>285</v>
      </c>
      <c r="BRW426" s="8" t="s">
        <v>946</v>
      </c>
      <c r="BTH426" s="8" t="s">
        <v>5339</v>
      </c>
      <c r="BTS426" s="8" t="s">
        <v>946</v>
      </c>
      <c r="BVD426" s="8" t="s">
        <v>5339</v>
      </c>
      <c r="CRH426" s="8" t="s">
        <v>298</v>
      </c>
      <c r="EWN426" s="8" t="s">
        <v>4704</v>
      </c>
      <c r="EYJ426" s="8" t="s">
        <v>4336</v>
      </c>
    </row>
    <row r="427" spans="1:968 1203:2024 2052:2984 3080:4040">
      <c r="A427" s="8" t="s">
        <v>1435</v>
      </c>
      <c r="B427" s="10" t="s">
        <v>8384</v>
      </c>
      <c r="C427" s="8">
        <v>85.796111111179926</v>
      </c>
      <c r="D427" s="15">
        <v>52.672777777722999</v>
      </c>
      <c r="EP427" s="8" t="s">
        <v>8384</v>
      </c>
      <c r="AZT427" s="8" t="s">
        <v>2069</v>
      </c>
      <c r="BBP427" s="8" t="s">
        <v>1625</v>
      </c>
      <c r="BFH427" s="8" t="s">
        <v>288</v>
      </c>
      <c r="BHD427" s="8" t="s">
        <v>288</v>
      </c>
      <c r="BIZ427" s="8" t="s">
        <v>288</v>
      </c>
      <c r="BKV427" s="8" t="s">
        <v>288</v>
      </c>
      <c r="BOE427" s="8" t="s">
        <v>286</v>
      </c>
      <c r="BPP427" s="8" t="s">
        <v>283</v>
      </c>
      <c r="BSC427" s="8" t="s">
        <v>947</v>
      </c>
      <c r="BTS427" s="8" t="s">
        <v>947</v>
      </c>
      <c r="BTY427" s="8" t="s">
        <v>947</v>
      </c>
      <c r="CTG427" s="8" t="s">
        <v>299</v>
      </c>
    </row>
    <row r="428" spans="1:968 1203:2024 2052:2984 3080:4040">
      <c r="A428" s="8" t="s">
        <v>1435</v>
      </c>
      <c r="B428" s="10" t="s">
        <v>8385</v>
      </c>
      <c r="C428" s="8">
        <v>139.46888888895046</v>
      </c>
      <c r="D428" s="15">
        <v>7.9472222220536359</v>
      </c>
      <c r="EY428" s="8" t="s">
        <v>8385</v>
      </c>
      <c r="BAN428" s="8" t="s">
        <v>2070</v>
      </c>
      <c r="BCJ428" s="8" t="s">
        <v>1626</v>
      </c>
      <c r="BGB428" s="8" t="s">
        <v>289</v>
      </c>
      <c r="BHX428" s="8" t="s">
        <v>289</v>
      </c>
      <c r="BJT428" s="8" t="s">
        <v>289</v>
      </c>
      <c r="BLP428" s="8" t="s">
        <v>289</v>
      </c>
      <c r="BOK428" s="8" t="s">
        <v>287</v>
      </c>
      <c r="BRO428" s="8" t="s">
        <v>284</v>
      </c>
      <c r="BSF428" s="8" t="s">
        <v>948</v>
      </c>
      <c r="BTY428" s="8" t="s">
        <v>948</v>
      </c>
      <c r="BUB428" s="8" t="s">
        <v>948</v>
      </c>
      <c r="BUD428" s="8" t="s">
        <v>287</v>
      </c>
      <c r="CWV428" s="8" t="s">
        <v>300</v>
      </c>
    </row>
    <row r="429" spans="1:968 1203:2024 2052:2984 3080:4040">
      <c r="A429" s="8" t="s">
        <v>1435</v>
      </c>
      <c r="B429" s="10" t="s">
        <v>8386</v>
      </c>
      <c r="C429" s="8">
        <v>148.41611111105885</v>
      </c>
      <c r="D429" s="15">
        <v>26.336111111281568</v>
      </c>
      <c r="GA429" s="8" t="s">
        <v>8386</v>
      </c>
      <c r="BAW429" s="8" t="s">
        <v>2071</v>
      </c>
      <c r="BCS429" s="8" t="s">
        <v>1627</v>
      </c>
      <c r="BGK429" s="8" t="s">
        <v>290</v>
      </c>
      <c r="BIG429" s="8" t="s">
        <v>290</v>
      </c>
      <c r="BKC429" s="8" t="s">
        <v>290</v>
      </c>
      <c r="BLY429" s="8" t="s">
        <v>290</v>
      </c>
      <c r="BON429" s="8" t="s">
        <v>288</v>
      </c>
      <c r="BSZ429" s="8" t="s">
        <v>949</v>
      </c>
      <c r="BTS429" s="8" t="s">
        <v>285</v>
      </c>
      <c r="BUB429" s="8" t="s">
        <v>949</v>
      </c>
      <c r="BUE429" s="8" t="s">
        <v>288</v>
      </c>
      <c r="BUV429" s="8" t="s">
        <v>949</v>
      </c>
      <c r="DHY429" s="8" t="s">
        <v>301</v>
      </c>
    </row>
    <row r="430" spans="1:968 1203:2024 2052:2984 3080:4040">
      <c r="A430" s="8" t="s">
        <v>1435</v>
      </c>
      <c r="B430" s="10" t="s">
        <v>8387</v>
      </c>
      <c r="C430" s="8">
        <v>178.75222222215962</v>
      </c>
      <c r="D430" s="15">
        <v>13.29833333327692</v>
      </c>
      <c r="GR430" s="8" t="s">
        <v>8387</v>
      </c>
      <c r="BFP430" s="8" t="s">
        <v>2072</v>
      </c>
      <c r="BHL430" s="8" t="s">
        <v>1628</v>
      </c>
      <c r="BLD430" s="8" t="s">
        <v>291</v>
      </c>
      <c r="BMZ430" s="8" t="s">
        <v>291</v>
      </c>
      <c r="BOV430" s="8" t="s">
        <v>291</v>
      </c>
      <c r="BPH430" s="8" t="s">
        <v>289</v>
      </c>
      <c r="BQR430" s="8" t="s">
        <v>291</v>
      </c>
      <c r="BTI430" s="8" t="s">
        <v>950</v>
      </c>
      <c r="BTY430" s="8" t="s">
        <v>286</v>
      </c>
      <c r="BUV430" s="8" t="s">
        <v>950</v>
      </c>
      <c r="BVE430" s="8" t="s">
        <v>950</v>
      </c>
      <c r="BVO430" s="8" t="s">
        <v>289</v>
      </c>
      <c r="DJT430" s="8" t="s">
        <v>302</v>
      </c>
    </row>
    <row r="431" spans="1:968 1203:2024 2052:2984 3080:4040">
      <c r="A431" s="8" t="s">
        <v>1435</v>
      </c>
      <c r="B431" s="10" t="s">
        <v>8388</v>
      </c>
      <c r="C431" s="8">
        <v>193.05055555561557</v>
      </c>
      <c r="D431" s="15">
        <v>10.617777777779526</v>
      </c>
      <c r="HD431" s="17" t="s">
        <v>8388</v>
      </c>
      <c r="AYZ431" s="8" t="s">
        <v>5337</v>
      </c>
      <c r="BMW431" s="8" t="s">
        <v>2073</v>
      </c>
      <c r="BOM431" s="8" t="s">
        <v>290</v>
      </c>
      <c r="BOS431" s="8" t="s">
        <v>1629</v>
      </c>
      <c r="BPQ431" s="8" t="s">
        <v>290</v>
      </c>
      <c r="BSK431" s="8" t="s">
        <v>292</v>
      </c>
      <c r="BUB431" s="8" t="s">
        <v>287</v>
      </c>
      <c r="BUG431" s="8" t="s">
        <v>292</v>
      </c>
      <c r="BVE431" s="8" t="s">
        <v>290</v>
      </c>
      <c r="BWC431" s="8" t="s">
        <v>292</v>
      </c>
      <c r="BXY431" s="8" t="s">
        <v>292</v>
      </c>
      <c r="BYB431" s="8" t="s">
        <v>951</v>
      </c>
      <c r="BZX431" s="8" t="s">
        <v>951</v>
      </c>
      <c r="DRD431" s="8" t="s">
        <v>303</v>
      </c>
    </row>
    <row r="432" spans="1:968 1203:2024 2052:2984 3080:4040">
      <c r="A432" s="8" t="s">
        <v>1435</v>
      </c>
      <c r="B432" s="10" t="s">
        <v>8389</v>
      </c>
      <c r="C432" s="8">
        <v>204.6683333334513</v>
      </c>
      <c r="D432" s="15">
        <v>52.975000000094738</v>
      </c>
      <c r="JF432" s="8" t="s">
        <v>8389</v>
      </c>
      <c r="BNT432" s="8" t="s">
        <v>2074</v>
      </c>
      <c r="BPP432" s="8" t="s">
        <v>1630</v>
      </c>
      <c r="BSN432" s="8" t="s">
        <v>952</v>
      </c>
      <c r="BSZ432" s="8" t="s">
        <v>291</v>
      </c>
      <c r="BTH432" s="8" t="s">
        <v>270</v>
      </c>
      <c r="BUJ432" s="8" t="s">
        <v>291</v>
      </c>
      <c r="BUV432" s="8" t="s">
        <v>288</v>
      </c>
      <c r="BVD432" s="8" t="s">
        <v>270</v>
      </c>
      <c r="BWZ432" s="8" t="s">
        <v>270</v>
      </c>
      <c r="BYV432" s="8" t="s">
        <v>270</v>
      </c>
      <c r="BZX432" s="8" t="s">
        <v>291</v>
      </c>
      <c r="CFI432" s="8" t="s">
        <v>952</v>
      </c>
      <c r="CHE432" s="8" t="s">
        <v>952</v>
      </c>
      <c r="DRD432" s="8" t="s">
        <v>304</v>
      </c>
    </row>
    <row r="433" spans="1:1004 1058:2048 2052:3032 3080:3939">
      <c r="A433" s="8" t="s">
        <v>1435</v>
      </c>
      <c r="B433" s="10" t="s">
        <v>8390</v>
      </c>
      <c r="C433" s="8">
        <v>258.64333333319519</v>
      </c>
      <c r="D433" s="15">
        <v>52.97499999983846</v>
      </c>
      <c r="LH433" s="8" t="s">
        <v>8390</v>
      </c>
      <c r="AYZ433" s="8" t="s">
        <v>6244</v>
      </c>
      <c r="BCR433" s="8" t="s">
        <v>5338</v>
      </c>
      <c r="BOR433" s="8" t="s">
        <v>2075</v>
      </c>
      <c r="BQN433" s="8" t="s">
        <v>1631</v>
      </c>
      <c r="BUF433" s="8" t="s">
        <v>293</v>
      </c>
      <c r="BVE433" s="8" t="s">
        <v>289</v>
      </c>
      <c r="BWB433" s="8" t="s">
        <v>293</v>
      </c>
      <c r="BXX433" s="8" t="s">
        <v>293</v>
      </c>
      <c r="BZT433" s="8" t="s">
        <v>293</v>
      </c>
      <c r="CBQ433" s="8" t="s">
        <v>292</v>
      </c>
      <c r="CFC433" s="8" t="s">
        <v>292</v>
      </c>
      <c r="CFI433" s="8" t="s">
        <v>953</v>
      </c>
      <c r="CHD433" s="8" t="s">
        <v>953</v>
      </c>
      <c r="CHE433" s="8" t="s">
        <v>292</v>
      </c>
      <c r="CIZ433" s="8" t="s">
        <v>953</v>
      </c>
      <c r="ECF433" s="8" t="s">
        <v>305</v>
      </c>
    </row>
    <row r="434" spans="1:1004 1058:2048 2052:3032 3080:3939">
      <c r="A434" s="8" t="s">
        <v>1435</v>
      </c>
      <c r="B434" s="10" t="s">
        <v>8391</v>
      </c>
      <c r="C434" s="8">
        <v>312.61833333328832</v>
      </c>
      <c r="D434" s="15">
        <v>52.97499999993191</v>
      </c>
      <c r="NJ434" s="8" t="s">
        <v>8391</v>
      </c>
      <c r="BLX434" s="8" t="s">
        <v>6776</v>
      </c>
      <c r="BNT434" s="8" t="s">
        <v>6374</v>
      </c>
      <c r="BPK434" s="8" t="s">
        <v>2076</v>
      </c>
      <c r="BPP434" s="8" t="s">
        <v>6003</v>
      </c>
      <c r="BRG434" s="8" t="s">
        <v>1632</v>
      </c>
      <c r="BTH434" s="8" t="s">
        <v>5339</v>
      </c>
      <c r="BUY434" s="8" t="s">
        <v>294</v>
      </c>
      <c r="BWU434" s="8" t="s">
        <v>294</v>
      </c>
      <c r="BYQ434" s="8" t="s">
        <v>294</v>
      </c>
      <c r="BZX434" s="8" t="s">
        <v>290</v>
      </c>
      <c r="CAM434" s="8" t="s">
        <v>294</v>
      </c>
      <c r="CDL434" s="8" t="s">
        <v>293</v>
      </c>
      <c r="CHW434" s="8" t="s">
        <v>954</v>
      </c>
      <c r="CIZ434" s="8" t="s">
        <v>954</v>
      </c>
      <c r="CJJ434" s="8" t="s">
        <v>293</v>
      </c>
      <c r="CJS434" s="8" t="s">
        <v>954</v>
      </c>
      <c r="EJP434" s="8" t="s">
        <v>306</v>
      </c>
    </row>
    <row r="435" spans="1:1004 1058:2048 2052:3032 3080:3939">
      <c r="A435" s="8" t="s">
        <v>1435</v>
      </c>
      <c r="B435" s="10" t="s">
        <v>8392</v>
      </c>
      <c r="C435" s="8">
        <v>366.59333333338145</v>
      </c>
      <c r="D435" s="15">
        <v>52.975000000024892</v>
      </c>
      <c r="PL435" s="8" t="s">
        <v>8392</v>
      </c>
      <c r="BPP435" s="8" t="s">
        <v>2077</v>
      </c>
      <c r="BRL435" s="8" t="s">
        <v>1633</v>
      </c>
      <c r="BVD435" s="8" t="s">
        <v>295</v>
      </c>
      <c r="BWZ435" s="8" t="s">
        <v>295</v>
      </c>
      <c r="BYV435" s="8" t="s">
        <v>295</v>
      </c>
      <c r="CAR435" s="8" t="s">
        <v>295</v>
      </c>
      <c r="CEE435" s="8" t="s">
        <v>294</v>
      </c>
      <c r="CHE435" s="8" t="s">
        <v>291</v>
      </c>
      <c r="CIB435" s="8" t="s">
        <v>955</v>
      </c>
      <c r="CJS435" s="8" t="s">
        <v>955</v>
      </c>
      <c r="CJX435" s="8" t="s">
        <v>955</v>
      </c>
      <c r="EPE435" s="8" t="s">
        <v>307</v>
      </c>
    </row>
    <row r="436" spans="1:1004 1058:2048 2052:3032 3080:3939">
      <c r="A436" s="8" t="s">
        <v>1435</v>
      </c>
      <c r="B436" s="10" t="s">
        <v>8393</v>
      </c>
      <c r="C436" s="8">
        <v>427.99999999988358</v>
      </c>
      <c r="D436" s="15">
        <v>52.151111111161136</v>
      </c>
      <c r="RT436" s="8" t="s">
        <v>8393</v>
      </c>
      <c r="BPP436" s="8" t="s">
        <v>2078</v>
      </c>
      <c r="BRL436" s="8" t="s">
        <v>1634</v>
      </c>
      <c r="BVD436" s="8" t="s">
        <v>296</v>
      </c>
      <c r="BWZ436" s="8" t="s">
        <v>296</v>
      </c>
      <c r="BYV436" s="8" t="s">
        <v>296</v>
      </c>
      <c r="CAR436" s="8" t="s">
        <v>296</v>
      </c>
      <c r="CEJ436" s="8" t="s">
        <v>295</v>
      </c>
      <c r="CIB436" s="8" t="s">
        <v>956</v>
      </c>
      <c r="CIZ436" s="8" t="s">
        <v>292</v>
      </c>
      <c r="CJX436" s="8" t="s">
        <v>956</v>
      </c>
      <c r="EUM436" s="8" t="s">
        <v>308</v>
      </c>
    </row>
    <row r="437" spans="1:1004 1058:2048 2052:3032 3080:3939">
      <c r="A437" s="8" t="s">
        <v>1435</v>
      </c>
      <c r="B437" s="10" t="s">
        <v>8394</v>
      </c>
      <c r="C437" s="8">
        <v>486</v>
      </c>
      <c r="D437" s="15">
        <v>26.075555555638857</v>
      </c>
      <c r="SZ437" s="8" t="s">
        <v>8394</v>
      </c>
      <c r="BPS437" s="8" t="s">
        <v>2079</v>
      </c>
      <c r="BRO437" s="8" t="s">
        <v>1635</v>
      </c>
      <c r="BVG437" s="8" t="s">
        <v>297</v>
      </c>
      <c r="BXC437" s="8" t="s">
        <v>297</v>
      </c>
      <c r="BYY437" s="8" t="s">
        <v>297</v>
      </c>
      <c r="CAU437" s="8" t="s">
        <v>297</v>
      </c>
      <c r="CEJ437" s="8" t="s">
        <v>296</v>
      </c>
      <c r="CIE437" s="8" t="s">
        <v>957</v>
      </c>
      <c r="CJS437" s="8" t="s">
        <v>293</v>
      </c>
      <c r="CJX437" s="8" t="s">
        <v>957</v>
      </c>
      <c r="CKA437" s="8" t="s">
        <v>957</v>
      </c>
    </row>
    <row r="438" spans="1:1004 1058:2048 2052:3032 3080:3939">
      <c r="A438" s="8" t="s">
        <v>1435</v>
      </c>
      <c r="B438" s="10" t="s">
        <v>8395</v>
      </c>
      <c r="C438" s="8">
        <v>835.9388888888061</v>
      </c>
      <c r="D438" s="15">
        <v>26.075555555556001</v>
      </c>
      <c r="AGL438" s="8" t="s">
        <v>8395</v>
      </c>
      <c r="BWJ438" s="8" t="s">
        <v>2080</v>
      </c>
      <c r="BYF438" s="8" t="s">
        <v>1636</v>
      </c>
      <c r="CBX438" s="8" t="s">
        <v>298</v>
      </c>
      <c r="CCL438" s="8" t="s">
        <v>297</v>
      </c>
      <c r="CCQ438" s="8" t="s">
        <v>958</v>
      </c>
      <c r="CDT438" s="8" t="s">
        <v>298</v>
      </c>
      <c r="CEM438" s="8" t="s">
        <v>297</v>
      </c>
      <c r="CFP438" s="8" t="s">
        <v>298</v>
      </c>
      <c r="CHL438" s="8" t="s">
        <v>298</v>
      </c>
      <c r="CJX438" s="8" t="s">
        <v>294</v>
      </c>
      <c r="CKA438" s="8" t="s">
        <v>297</v>
      </c>
      <c r="COV438" s="8" t="s">
        <v>958</v>
      </c>
      <c r="CQR438" s="8" t="s">
        <v>958</v>
      </c>
    </row>
    <row r="439" spans="1:1004 1058:2048 2052:3032 3080:3939">
      <c r="A439" s="8" t="s">
        <v>1435</v>
      </c>
      <c r="B439" s="10" t="s">
        <v>8396</v>
      </c>
      <c r="C439" s="8">
        <v>863.01444444456138</v>
      </c>
      <c r="D439" s="15">
        <v>26.07555555540667</v>
      </c>
      <c r="AHM439" s="8" t="s">
        <v>8396</v>
      </c>
      <c r="BWZ439" s="8" t="s">
        <v>2081</v>
      </c>
      <c r="BYV439" s="8" t="s">
        <v>1637</v>
      </c>
      <c r="CCN439" s="8" t="s">
        <v>299</v>
      </c>
      <c r="CEJ439" s="8" t="s">
        <v>299</v>
      </c>
      <c r="CGF439" s="8" t="s">
        <v>299</v>
      </c>
      <c r="CIB439" s="8" t="s">
        <v>299</v>
      </c>
      <c r="CJX439" s="8" t="s">
        <v>295</v>
      </c>
      <c r="CLD439" s="8" t="s">
        <v>298</v>
      </c>
      <c r="CPL439" s="8" t="s">
        <v>959</v>
      </c>
      <c r="CQR439" s="8" t="s">
        <v>959</v>
      </c>
      <c r="CRH439" s="8" t="s">
        <v>959</v>
      </c>
    </row>
    <row r="440" spans="1:1004 1058:2048 2052:3032 3080:3939">
      <c r="A440" s="8" t="s">
        <v>1435</v>
      </c>
      <c r="B440" s="10" t="s">
        <v>8397</v>
      </c>
      <c r="C440" s="8">
        <v>890.0899999999674</v>
      </c>
      <c r="D440" s="15">
        <v>26.075555555606101</v>
      </c>
      <c r="AIN440" s="8" t="s">
        <v>8397</v>
      </c>
      <c r="BYY440" s="8" t="s">
        <v>2082</v>
      </c>
      <c r="CAU440" s="8" t="s">
        <v>1638</v>
      </c>
      <c r="CEM440" s="8" t="s">
        <v>300</v>
      </c>
      <c r="CGI440" s="8" t="s">
        <v>300</v>
      </c>
      <c r="CIE440" s="8" t="s">
        <v>300</v>
      </c>
      <c r="CKA440" s="8" t="s">
        <v>300</v>
      </c>
      <c r="CLT440" s="8" t="s">
        <v>299</v>
      </c>
      <c r="CPA440" s="8" t="s">
        <v>299</v>
      </c>
      <c r="CPL440" s="8" t="s">
        <v>960</v>
      </c>
      <c r="CRH440" s="8" t="s">
        <v>299</v>
      </c>
      <c r="CRK440" s="8" t="s">
        <v>960</v>
      </c>
      <c r="CTG440" s="8" t="s">
        <v>960</v>
      </c>
    </row>
    <row r="441" spans="1:1004 1058:2048 2052:3032 3080:3939">
      <c r="A441" s="8" t="s">
        <v>1435</v>
      </c>
      <c r="B441" s="10" t="s">
        <v>8398</v>
      </c>
      <c r="C441" s="8">
        <v>917.16555555572268</v>
      </c>
      <c r="D441" s="15">
        <v>26.075555555456766</v>
      </c>
      <c r="AJO441" s="8" t="s">
        <v>8398</v>
      </c>
      <c r="CCN441" s="8" t="s">
        <v>2083</v>
      </c>
      <c r="CEJ441" s="8" t="s">
        <v>1639</v>
      </c>
      <c r="CIB441" s="8" t="s">
        <v>301</v>
      </c>
      <c r="CJX441" s="8" t="s">
        <v>301</v>
      </c>
      <c r="CLT441" s="8" t="s">
        <v>301</v>
      </c>
      <c r="CNP441" s="8" t="s">
        <v>301</v>
      </c>
      <c r="CNS441" s="8" t="s">
        <v>300</v>
      </c>
      <c r="CPL441" s="8" t="s">
        <v>300</v>
      </c>
      <c r="CPO441" s="8" t="s">
        <v>961</v>
      </c>
      <c r="CQR441" s="8" t="s">
        <v>297</v>
      </c>
      <c r="CTG441" s="8" t="s">
        <v>300</v>
      </c>
      <c r="CUZ441" s="8" t="s">
        <v>961</v>
      </c>
      <c r="CWV441" s="8" t="s">
        <v>961</v>
      </c>
    </row>
    <row r="442" spans="1:1004 1058:2048 2052:3032 3080:3939">
      <c r="A442" s="8" t="s">
        <v>1435</v>
      </c>
      <c r="B442" s="10" t="s">
        <v>8399</v>
      </c>
      <c r="C442" s="8">
        <v>944.2411111111287</v>
      </c>
      <c r="D442" s="15">
        <v>52.151111110946289</v>
      </c>
      <c r="ALP442" s="8" t="s">
        <v>8399</v>
      </c>
      <c r="AYZ442" s="8" t="s">
        <v>6777</v>
      </c>
      <c r="CLT442" s="8" t="s">
        <v>962</v>
      </c>
      <c r="CME442" s="8" t="s">
        <v>301</v>
      </c>
      <c r="CNQ442" s="8" t="s">
        <v>2084</v>
      </c>
      <c r="CPM442" s="8" t="s">
        <v>1640</v>
      </c>
      <c r="CRH442" s="8" t="s">
        <v>301</v>
      </c>
      <c r="CTE442" s="8" t="s">
        <v>302</v>
      </c>
      <c r="CVA442" s="8" t="s">
        <v>302</v>
      </c>
      <c r="CWV442" s="8" t="s">
        <v>301</v>
      </c>
      <c r="CWW442" s="8" t="s">
        <v>302</v>
      </c>
      <c r="CYS442" s="8" t="s">
        <v>302</v>
      </c>
      <c r="DGC442" s="8" t="s">
        <v>962</v>
      </c>
      <c r="DHY442" s="8" t="s">
        <v>962</v>
      </c>
    </row>
    <row r="443" spans="1:1004 1058:2048 2052:3032 3080:3939">
      <c r="A443" s="8" t="s">
        <v>1435</v>
      </c>
      <c r="B443" s="10" t="s">
        <v>8400</v>
      </c>
      <c r="C443" s="8">
        <v>997.39222222217359</v>
      </c>
      <c r="D443" s="15">
        <v>52.151111111229056</v>
      </c>
      <c r="ANR443" s="8" t="s">
        <v>8400</v>
      </c>
      <c r="BAV443" s="8" t="s">
        <v>7162</v>
      </c>
      <c r="BAW443" s="8" t="s">
        <v>302</v>
      </c>
      <c r="BBU443" s="8" t="s">
        <v>302</v>
      </c>
      <c r="BCS443" s="8" t="s">
        <v>963</v>
      </c>
      <c r="CPL443" s="8" t="s">
        <v>2085</v>
      </c>
      <c r="CRH443" s="8" t="s">
        <v>1641</v>
      </c>
      <c r="CTG443" s="8" t="s">
        <v>299</v>
      </c>
      <c r="CUZ443" s="8" t="s">
        <v>303</v>
      </c>
      <c r="CWV443" s="8" t="s">
        <v>303</v>
      </c>
      <c r="CYR443" s="8" t="s">
        <v>303</v>
      </c>
      <c r="DAN443" s="8" t="s">
        <v>303</v>
      </c>
      <c r="DCK443" s="8" t="s">
        <v>302</v>
      </c>
      <c r="DFR443" s="8" t="s">
        <v>302</v>
      </c>
      <c r="DGC443" s="8" t="s">
        <v>963</v>
      </c>
      <c r="DHX443" s="8" t="s">
        <v>963</v>
      </c>
      <c r="DHY443" s="8" t="s">
        <v>302</v>
      </c>
      <c r="DJT443" s="8" t="s">
        <v>963</v>
      </c>
    </row>
    <row r="444" spans="1:1004 1058:2048 2052:3032 3080:3939">
      <c r="A444" s="8" t="s">
        <v>1435</v>
      </c>
      <c r="B444" s="10" t="s">
        <v>8401</v>
      </c>
      <c r="C444" s="8">
        <v>1050.5433333332185</v>
      </c>
      <c r="D444" s="15">
        <v>52.151111111163061</v>
      </c>
      <c r="APS444" s="8" t="s">
        <v>8401</v>
      </c>
      <c r="BBT444" s="8" t="s">
        <v>303</v>
      </c>
      <c r="BCR444" s="8" t="s">
        <v>303</v>
      </c>
      <c r="BDP444" s="8" t="s">
        <v>964</v>
      </c>
      <c r="BGJ444" s="8" t="s">
        <v>6778</v>
      </c>
      <c r="CWV444" s="8" t="s">
        <v>2086</v>
      </c>
      <c r="CYR444" s="8" t="s">
        <v>1642</v>
      </c>
      <c r="DCJ444" s="8" t="s">
        <v>304</v>
      </c>
      <c r="DEF444" s="8" t="s">
        <v>304</v>
      </c>
      <c r="DGB444" s="8" t="s">
        <v>304</v>
      </c>
      <c r="DHX444" s="8" t="s">
        <v>304</v>
      </c>
      <c r="DJT444" s="8" t="s">
        <v>303</v>
      </c>
      <c r="DPH444" s="8" t="s">
        <v>964</v>
      </c>
      <c r="DRD444" s="8" t="s">
        <v>964</v>
      </c>
    </row>
    <row r="445" spans="1:1004 1058:2048 2052:3032 3080:3939">
      <c r="A445" s="8" t="s">
        <v>1435</v>
      </c>
      <c r="B445" s="10" t="s">
        <v>8402</v>
      </c>
      <c r="C445" s="8">
        <v>1104.6944444443798</v>
      </c>
      <c r="D445" s="15">
        <v>52.151111111213169</v>
      </c>
      <c r="ARU445" s="8" t="s">
        <v>8402</v>
      </c>
      <c r="BFL445" s="8" t="s">
        <v>304</v>
      </c>
      <c r="BGJ445" s="8" t="s">
        <v>6779</v>
      </c>
      <c r="BHH445" s="8" t="s">
        <v>965</v>
      </c>
      <c r="CWV445" s="8" t="s">
        <v>2087</v>
      </c>
      <c r="CYR445" s="8" t="s">
        <v>1643</v>
      </c>
      <c r="DCJ445" s="8" t="s">
        <v>305</v>
      </c>
      <c r="DEF445" s="8" t="s">
        <v>305</v>
      </c>
      <c r="DGB445" s="8" t="s">
        <v>305</v>
      </c>
      <c r="DHX445" s="8" t="s">
        <v>305</v>
      </c>
      <c r="DHY445" s="8" t="s">
        <v>301</v>
      </c>
      <c r="DLP445" s="8" t="s">
        <v>304</v>
      </c>
      <c r="DPH445" s="8" t="s">
        <v>965</v>
      </c>
      <c r="DRD445" s="8" t="s">
        <v>965</v>
      </c>
    </row>
    <row r="446" spans="1:1004 1058:2048 2052:3032 3080:3939">
      <c r="A446" s="8" t="s">
        <v>1435</v>
      </c>
      <c r="B446" s="10" t="s">
        <v>8403</v>
      </c>
      <c r="C446" s="8">
        <v>1157.8455555554247</v>
      </c>
      <c r="D446" s="15">
        <v>52.151111111146683</v>
      </c>
      <c r="ATV446" s="8" t="s">
        <v>8403</v>
      </c>
      <c r="BFL446" s="8" t="s">
        <v>305</v>
      </c>
      <c r="BGJ446" s="8" t="s">
        <v>305</v>
      </c>
      <c r="BHH446" s="8" t="s">
        <v>966</v>
      </c>
      <c r="BIF446" s="8" t="s">
        <v>6780</v>
      </c>
      <c r="DGB446" s="8" t="s">
        <v>966</v>
      </c>
      <c r="DHX446" s="8" t="s">
        <v>2088</v>
      </c>
      <c r="DJT446" s="8" t="s">
        <v>1644</v>
      </c>
      <c r="DLP446" s="8" t="s">
        <v>305</v>
      </c>
      <c r="DNL446" s="8" t="s">
        <v>306</v>
      </c>
      <c r="DPH446" s="8" t="s">
        <v>306</v>
      </c>
      <c r="DRD446" s="8" t="s">
        <v>306</v>
      </c>
      <c r="DSZ446" s="8" t="s">
        <v>306</v>
      </c>
      <c r="EAJ446" s="8" t="s">
        <v>966</v>
      </c>
      <c r="ECF446" s="8" t="s">
        <v>966</v>
      </c>
    </row>
    <row r="447" spans="1:1004 1058:2048 2052:3032 3080:3939">
      <c r="A447" s="8" t="s">
        <v>1435</v>
      </c>
      <c r="B447" s="10" t="s">
        <v>8404</v>
      </c>
      <c r="C447" s="8">
        <v>1210.9966666668188</v>
      </c>
      <c r="D447" s="15">
        <v>26.075555555441831</v>
      </c>
      <c r="AUW447" s="8" t="s">
        <v>8404</v>
      </c>
      <c r="BKB447" s="8" t="s">
        <v>6781</v>
      </c>
      <c r="BKZ447" s="8" t="s">
        <v>306</v>
      </c>
      <c r="BLX447" s="8" t="s">
        <v>306</v>
      </c>
      <c r="BMV447" s="8" t="s">
        <v>967</v>
      </c>
      <c r="DRD447" s="8" t="s">
        <v>303</v>
      </c>
      <c r="DUV447" s="8" t="s">
        <v>967</v>
      </c>
      <c r="DUW447" s="8" t="s">
        <v>2089</v>
      </c>
      <c r="DVK447" s="8" t="s">
        <v>306</v>
      </c>
      <c r="DWR447" s="8" t="s">
        <v>306</v>
      </c>
      <c r="DWS447" s="8" t="s">
        <v>1645</v>
      </c>
      <c r="EAK447" s="8" t="s">
        <v>308</v>
      </c>
      <c r="ECF447" s="8" t="s">
        <v>306</v>
      </c>
      <c r="ECG447" s="8" t="s">
        <v>308</v>
      </c>
      <c r="EEC447" s="8" t="s">
        <v>308</v>
      </c>
      <c r="EFY447" s="8" t="s">
        <v>308</v>
      </c>
      <c r="EHT447" s="8" t="s">
        <v>967</v>
      </c>
      <c r="EJP447" s="8" t="s">
        <v>967</v>
      </c>
    </row>
    <row r="448" spans="1:1004 1058:2048 2052:3032 3080:3939">
      <c r="A448" s="8" t="s">
        <v>1435</v>
      </c>
      <c r="B448" s="10" t="s">
        <v>8405</v>
      </c>
      <c r="C448" s="8">
        <v>1330.9622222223552</v>
      </c>
      <c r="D448" s="15">
        <v>13.037777777777761</v>
      </c>
      <c r="AYZ448" s="8" t="s">
        <v>8405</v>
      </c>
      <c r="BNH448" s="8" t="s">
        <v>6782</v>
      </c>
      <c r="BOR448" s="8" t="s">
        <v>307</v>
      </c>
      <c r="BPP448" s="8" t="s">
        <v>307</v>
      </c>
      <c r="BQN448" s="8" t="s">
        <v>968</v>
      </c>
      <c r="DRD448" s="8" t="s">
        <v>304</v>
      </c>
      <c r="EAE448" s="8" t="s">
        <v>2090</v>
      </c>
      <c r="ECA448" s="8" t="s">
        <v>1646</v>
      </c>
      <c r="EDY448" s="8" t="s">
        <v>307</v>
      </c>
      <c r="EEB448" s="8" t="s">
        <v>307</v>
      </c>
      <c r="EFS448" s="8" t="s">
        <v>309</v>
      </c>
      <c r="EHO448" s="8" t="s">
        <v>309</v>
      </c>
      <c r="EJK448" s="8" t="s">
        <v>309</v>
      </c>
      <c r="EJP448" s="8" t="s">
        <v>307</v>
      </c>
      <c r="ELG448" s="8" t="s">
        <v>309</v>
      </c>
      <c r="ENI448" s="8" t="s">
        <v>968</v>
      </c>
      <c r="EPE448" s="8" t="s">
        <v>968</v>
      </c>
    </row>
    <row r="449" spans="1:386 1352:1990 2182:2984 3104:4090 4137:4330 8284:8307">
      <c r="A449" s="8" t="s">
        <v>1435</v>
      </c>
      <c r="B449" s="10" t="s">
        <v>8406</v>
      </c>
      <c r="C449" s="8">
        <v>1330.9622222223552</v>
      </c>
      <c r="D449" s="15">
        <v>13.037777777777761</v>
      </c>
      <c r="AYZ449" s="8" t="s">
        <v>8406</v>
      </c>
      <c r="BNT449" s="8" t="s">
        <v>6783</v>
      </c>
      <c r="BRM449" s="8" t="s">
        <v>308</v>
      </c>
      <c r="BSK449" s="8" t="s">
        <v>308</v>
      </c>
      <c r="BTI449" s="8" t="s">
        <v>969</v>
      </c>
      <c r="ECF449" s="8" t="s">
        <v>305</v>
      </c>
      <c r="EJA449" s="8" t="s">
        <v>308</v>
      </c>
      <c r="EJQ449" s="8" t="s">
        <v>308</v>
      </c>
      <c r="EPE449" s="8" t="s">
        <v>308</v>
      </c>
      <c r="ESQ449" s="8" t="s">
        <v>969</v>
      </c>
      <c r="EUM449" s="8" t="s">
        <v>969</v>
      </c>
      <c r="EUS449" s="8" t="s">
        <v>2091</v>
      </c>
      <c r="EWO449" s="8" t="s">
        <v>1647</v>
      </c>
      <c r="FAG449" s="8" t="s">
        <v>1459</v>
      </c>
      <c r="FCC449" s="8" t="s">
        <v>1459</v>
      </c>
      <c r="FDY449" s="8" t="s">
        <v>1459</v>
      </c>
      <c r="FFU449" s="8" t="s">
        <v>1459</v>
      </c>
    </row>
    <row r="450" spans="1:386 1352:1990 2182:2984 3104:4090 4137:4330 8284:8307">
      <c r="A450" s="8" t="s">
        <v>1435</v>
      </c>
      <c r="B450" s="10" t="s">
        <v>8407</v>
      </c>
      <c r="C450" s="8">
        <v>1339.8488888887223</v>
      </c>
      <c r="D450" s="15">
        <v>52.151111111111042</v>
      </c>
      <c r="BAV450" s="8" t="s">
        <v>8407</v>
      </c>
      <c r="BUC450" s="8" t="s">
        <v>309</v>
      </c>
      <c r="BVA450" s="8" t="s">
        <v>309</v>
      </c>
      <c r="BVY450" s="8" t="s">
        <v>1396</v>
      </c>
      <c r="BXN450" s="8" t="s">
        <v>6784</v>
      </c>
      <c r="EJP450" s="8" t="s">
        <v>306</v>
      </c>
      <c r="EOY450" s="8" t="s">
        <v>309</v>
      </c>
      <c r="EUM450" s="8" t="s">
        <v>309</v>
      </c>
      <c r="EYL450" s="8" t="s">
        <v>2092</v>
      </c>
      <c r="FAH450" s="8" t="s">
        <v>1648</v>
      </c>
      <c r="FDZ450" s="8" t="s">
        <v>1460</v>
      </c>
      <c r="FFV450" s="8" t="s">
        <v>1460</v>
      </c>
      <c r="FHR450" s="8" t="s">
        <v>1460</v>
      </c>
      <c r="FJN450" s="8" t="s">
        <v>1460</v>
      </c>
      <c r="LFP450" s="8" t="s">
        <v>309</v>
      </c>
      <c r="LGM450" s="8" t="s">
        <v>1396</v>
      </c>
    </row>
    <row r="451" spans="1:386 1352:1990 2182:2984 3104:4090 4137:4330 8284:8307">
      <c r="A451" s="8" t="s">
        <v>1435</v>
      </c>
      <c r="B451" s="10" t="s">
        <v>8408</v>
      </c>
      <c r="C451" s="8">
        <v>1400.8866666667163</v>
      </c>
      <c r="D451" s="15">
        <v>39.11333333333328</v>
      </c>
      <c r="BCR451" s="8" t="s">
        <v>8408</v>
      </c>
      <c r="BVD451" s="8" t="s">
        <v>6785</v>
      </c>
      <c r="EPE451" s="8" t="s">
        <v>307</v>
      </c>
    </row>
    <row r="452" spans="1:386 1352:1990 2182:2984 3104:4090 4137:4330 8284:8307">
      <c r="A452" s="8" t="s">
        <v>1435</v>
      </c>
      <c r="B452" s="10" t="s">
        <v>8409</v>
      </c>
      <c r="C452" s="8">
        <v>1435.8488888887223</v>
      </c>
      <c r="D452" s="15">
        <v>52.151111111111042</v>
      </c>
      <c r="BEN452" s="8" t="s">
        <v>8409</v>
      </c>
      <c r="BWZ452" s="8" t="s">
        <v>6786</v>
      </c>
      <c r="EUM452" s="8" t="s">
        <v>308</v>
      </c>
    </row>
    <row r="453" spans="1:386 1352:1990 2182:2984 3104:4090 4137:4330 8284:8307">
      <c r="A453" s="8" t="s">
        <v>1436</v>
      </c>
      <c r="B453" s="10" t="s">
        <v>8410</v>
      </c>
      <c r="C453" s="8">
        <v>-46.999999999883585</v>
      </c>
      <c r="D453" s="15">
        <v>31.991666666814282</v>
      </c>
      <c r="H453" s="8" t="s">
        <v>8410</v>
      </c>
      <c r="CLT453" s="8" t="s">
        <v>6787</v>
      </c>
    </row>
    <row r="454" spans="1:386 1352:1990 2182:2984 3104:4090 4137:4330 8284:8307">
      <c r="A454" s="8" t="s">
        <v>1436</v>
      </c>
      <c r="B454" s="10" t="s">
        <v>8411</v>
      </c>
      <c r="C454" s="8">
        <v>78.440555555513129</v>
      </c>
      <c r="D454" s="15">
        <v>52.672777777611721</v>
      </c>
      <c r="EI454" s="8" t="s">
        <v>8411</v>
      </c>
      <c r="CNP454" s="8" t="s">
        <v>7163</v>
      </c>
    </row>
    <row r="455" spans="1:386 1352:1990 2182:2984 3104:4090 4137:4330 8284:8307">
      <c r="A455" s="8" t="s">
        <v>1436</v>
      </c>
      <c r="B455" s="10" t="s">
        <v>8412</v>
      </c>
      <c r="C455" s="8">
        <v>94.479444444528781</v>
      </c>
      <c r="D455" s="15">
        <v>26.336111111068647</v>
      </c>
      <c r="DY455" s="8" t="s">
        <v>8412</v>
      </c>
      <c r="BFB455" s="8" t="s">
        <v>5340</v>
      </c>
      <c r="BGX455" s="8" t="s">
        <v>5340</v>
      </c>
      <c r="CUZ455" s="8" t="s">
        <v>6788</v>
      </c>
    </row>
    <row r="456" spans="1:386 1352:1990 2182:2984 3104:4090 4137:4330 8284:8307">
      <c r="A456" s="8" t="s">
        <v>1436</v>
      </c>
      <c r="B456" s="10" t="s">
        <v>8413</v>
      </c>
      <c r="C456" s="8">
        <v>96.487777777947485</v>
      </c>
      <c r="D456" s="15">
        <v>52.672777777823683</v>
      </c>
      <c r="FA456" s="8" t="s">
        <v>8413</v>
      </c>
      <c r="BCR456" s="8" t="s">
        <v>4705</v>
      </c>
      <c r="BEN456" s="8" t="s">
        <v>5341</v>
      </c>
      <c r="BGJ456" s="8" t="s">
        <v>5341</v>
      </c>
      <c r="DJT456" s="8" t="s">
        <v>6789</v>
      </c>
    </row>
    <row r="457" spans="1:386 1352:1990 2182:2984 3104:4090 4137:4330 8284:8307">
      <c r="A457" s="8" t="s">
        <v>1436</v>
      </c>
      <c r="B457" s="10" t="s">
        <v>8414</v>
      </c>
      <c r="C457" s="8">
        <v>114.49833333317656</v>
      </c>
      <c r="D457" s="15">
        <v>13.168333333178325</v>
      </c>
      <c r="EF457" s="8" t="s">
        <v>8414</v>
      </c>
      <c r="BGJ457" s="8" t="s">
        <v>5342</v>
      </c>
      <c r="BIF457" s="8" t="s">
        <v>5342</v>
      </c>
      <c r="DOJ457" s="8" t="s">
        <v>6790</v>
      </c>
    </row>
    <row r="458" spans="1:386 1352:1990 2182:2984 3104:4090 4137:4330 8284:8307">
      <c r="A458" s="8" t="s">
        <v>1436</v>
      </c>
      <c r="B458" s="10" t="s">
        <v>8415</v>
      </c>
      <c r="C458" s="8">
        <v>128.38777777785435</v>
      </c>
      <c r="D458" s="15">
        <v>52.672777777730708</v>
      </c>
      <c r="GG458" s="8" t="s">
        <v>8415</v>
      </c>
      <c r="BNT458" s="8" t="s">
        <v>5343</v>
      </c>
      <c r="BPP458" s="8" t="s">
        <v>5343</v>
      </c>
      <c r="CLT458" s="8" t="s">
        <v>4706</v>
      </c>
      <c r="CNP458" s="8" t="s">
        <v>4337</v>
      </c>
    </row>
    <row r="459" spans="1:386 1352:1990 2182:2984 3104:4090 4137:4330 8284:8307">
      <c r="A459" s="8" t="s">
        <v>1436</v>
      </c>
      <c r="B459" s="10" t="s">
        <v>8416</v>
      </c>
      <c r="C459" s="8">
        <v>182.06055555562489</v>
      </c>
      <c r="D459" s="15">
        <v>52.672777777723482</v>
      </c>
      <c r="II459" s="8" t="s">
        <v>8416</v>
      </c>
      <c r="BPH459" s="8" t="s">
        <v>5344</v>
      </c>
      <c r="BRD459" s="8" t="s">
        <v>5344</v>
      </c>
    </row>
    <row r="460" spans="1:386 1352:1990 2182:2984 3104:4090 4137:4330 8284:8307">
      <c r="A460" s="8" t="s">
        <v>1436</v>
      </c>
      <c r="B460" s="10" t="s">
        <v>8417</v>
      </c>
      <c r="C460" s="8">
        <v>235.73333333339542</v>
      </c>
      <c r="D460" s="15">
        <v>52.151111110990605</v>
      </c>
      <c r="KJ460" s="8" t="s">
        <v>8417</v>
      </c>
      <c r="BPP460" s="8" t="s">
        <v>5345</v>
      </c>
      <c r="BRL460" s="8" t="s">
        <v>5345</v>
      </c>
    </row>
    <row r="461" spans="1:386 1352:1990 2182:2984 3104:4090 4137:4330 8284:8307">
      <c r="A461" s="8" t="s">
        <v>1436</v>
      </c>
      <c r="B461" s="10" t="s">
        <v>8418</v>
      </c>
      <c r="C461" s="8">
        <v>288.88444444444031</v>
      </c>
      <c r="D461" s="15">
        <v>26.336111110980013</v>
      </c>
      <c r="LK461" s="8" t="s">
        <v>8418</v>
      </c>
      <c r="BRL461" s="8" t="s">
        <v>5346</v>
      </c>
      <c r="BTH461" s="8" t="s">
        <v>5346</v>
      </c>
    </row>
    <row r="462" spans="1:386 1352:1990 2182:2984 3104:4090 4137:4330 8284:8307">
      <c r="A462" s="8" t="s">
        <v>1436</v>
      </c>
      <c r="B462" s="10" t="s">
        <v>8603</v>
      </c>
      <c r="C462" s="8">
        <v>320.35444444441237</v>
      </c>
      <c r="D462" s="15">
        <v>15.645555555555362</v>
      </c>
      <c r="MF462" s="8" t="s">
        <v>8603</v>
      </c>
      <c r="BUR462" s="8" t="s">
        <v>5347</v>
      </c>
      <c r="BWN462" s="8" t="s">
        <v>5347</v>
      </c>
    </row>
    <row r="463" spans="1:386 1352:1990 2182:2984 3104:4090 4137:4330 8284:8307">
      <c r="A463" s="8" t="s">
        <v>1436</v>
      </c>
      <c r="B463" s="10" t="s">
        <v>8419</v>
      </c>
      <c r="C463" s="8">
        <v>337.00000000011642</v>
      </c>
      <c r="D463" s="15">
        <v>26.336111111100919</v>
      </c>
      <c r="NG463" s="8" t="s">
        <v>8419</v>
      </c>
      <c r="BVD463" s="8" t="s">
        <v>5348</v>
      </c>
      <c r="BWZ463" s="8" t="s">
        <v>5348</v>
      </c>
    </row>
    <row r="464" spans="1:386 1352:1990 2182:2984 3104:4090 4137:4330 8284:8307">
      <c r="A464" s="8" t="s">
        <v>1436</v>
      </c>
      <c r="B464" s="10" t="s">
        <v>8420</v>
      </c>
      <c r="C464" s="8">
        <v>364.33611111121718</v>
      </c>
      <c r="D464" s="15">
        <v>13.195555555390934</v>
      </c>
      <c r="NV464" s="8" t="s">
        <v>8420</v>
      </c>
      <c r="CEX464" s="8" t="s">
        <v>5349</v>
      </c>
      <c r="CGT464" s="8" t="s">
        <v>5349</v>
      </c>
    </row>
    <row r="465" spans="1:1007 1034:2038 2072:3032 3080:3344">
      <c r="A465" s="8" t="s">
        <v>1436</v>
      </c>
      <c r="B465" s="10" t="s">
        <v>8421</v>
      </c>
      <c r="C465" s="8">
        <v>378.53166666661855</v>
      </c>
      <c r="D465" s="15">
        <v>52.15111111122954</v>
      </c>
      <c r="PW465" s="8" t="s">
        <v>8421</v>
      </c>
      <c r="AZN465" s="8" t="s">
        <v>6375</v>
      </c>
      <c r="BBJ465" s="8" t="s">
        <v>6004</v>
      </c>
      <c r="BFB465" s="8" t="s">
        <v>5340</v>
      </c>
      <c r="CCN465" s="8" t="s">
        <v>5350</v>
      </c>
      <c r="CEJ465" s="8" t="s">
        <v>5350</v>
      </c>
    </row>
    <row r="466" spans="1:1007 1034:2038 2072:3032 3080:3344">
      <c r="A466" s="8" t="s">
        <v>1436</v>
      </c>
      <c r="B466" s="10" t="s">
        <v>8422</v>
      </c>
      <c r="C466" s="8">
        <v>431.68277777766343</v>
      </c>
      <c r="D466" s="15">
        <v>52.151111111163544</v>
      </c>
      <c r="RX466" s="8" t="s">
        <v>8422</v>
      </c>
      <c r="AYZ466" s="8" t="s">
        <v>6376</v>
      </c>
      <c r="BAV466" s="8" t="s">
        <v>6005</v>
      </c>
      <c r="BEN466" s="8" t="s">
        <v>5341</v>
      </c>
      <c r="CEJ466" s="8" t="s">
        <v>5351</v>
      </c>
      <c r="CGF466" s="8" t="s">
        <v>5351</v>
      </c>
    </row>
    <row r="467" spans="1:1007 1034:2038 2072:3032 3080:3344">
      <c r="A467" s="8" t="s">
        <v>1436</v>
      </c>
      <c r="B467" s="10" t="s">
        <v>8423</v>
      </c>
      <c r="C467" s="8">
        <v>484.00000000011642</v>
      </c>
      <c r="D467" s="15">
        <v>13.037777777761381</v>
      </c>
      <c r="SK467" s="8" t="s">
        <v>8423</v>
      </c>
      <c r="AYZ467" s="8" t="s">
        <v>6777</v>
      </c>
      <c r="BAV467" s="8" t="s">
        <v>6377</v>
      </c>
      <c r="BCR467" s="8" t="s">
        <v>6006</v>
      </c>
      <c r="BGJ467" s="8" t="s">
        <v>5342</v>
      </c>
      <c r="CTD467" s="8" t="s">
        <v>5352</v>
      </c>
      <c r="CUZ467" s="8" t="s">
        <v>5352</v>
      </c>
    </row>
    <row r="468" spans="1:1007 1034:2038 2072:3032 3080:3344">
      <c r="A468" s="8" t="s">
        <v>1436</v>
      </c>
      <c r="B468" s="10" t="s">
        <v>8424</v>
      </c>
      <c r="C468" s="8">
        <v>498</v>
      </c>
      <c r="D468" s="15">
        <v>13.037777777644806</v>
      </c>
      <c r="SY468" s="8" t="s">
        <v>8424</v>
      </c>
      <c r="BGJ468" s="8" t="s">
        <v>6778</v>
      </c>
      <c r="BIF468" s="8" t="s">
        <v>6378</v>
      </c>
      <c r="BKB468" s="8" t="s">
        <v>6007</v>
      </c>
      <c r="BNT468" s="8" t="s">
        <v>5344</v>
      </c>
      <c r="DCJ468" s="8" t="s">
        <v>5353</v>
      </c>
      <c r="DEF468" s="8" t="s">
        <v>5353</v>
      </c>
    </row>
    <row r="469" spans="1:1007 1034:2038 2072:3032 3080:3344">
      <c r="A469" s="8" t="s">
        <v>1436</v>
      </c>
      <c r="B469" s="10" t="s">
        <v>8425</v>
      </c>
      <c r="C469" s="8">
        <v>514.00000000011642</v>
      </c>
      <c r="D469" s="15">
        <v>52.151111111045047</v>
      </c>
      <c r="VB469" s="8" t="s">
        <v>8425</v>
      </c>
      <c r="BGJ469" s="8" t="s">
        <v>6779</v>
      </c>
      <c r="BIF469" s="8" t="s">
        <v>6568</v>
      </c>
      <c r="BKB469" s="8" t="s">
        <v>6008</v>
      </c>
      <c r="BNT469" s="8" t="s">
        <v>5343</v>
      </c>
      <c r="DRD469" s="8" t="s">
        <v>5354</v>
      </c>
      <c r="DSZ469" s="8" t="s">
        <v>5354</v>
      </c>
    </row>
    <row r="470" spans="1:1007 1034:2038 2072:3032 3080:3344">
      <c r="A470" s="8" t="s">
        <v>1436</v>
      </c>
      <c r="B470" s="10" t="s">
        <v>8426</v>
      </c>
      <c r="C470" s="8">
        <v>835.91777777764946</v>
      </c>
      <c r="D470" s="15">
        <v>7.8227777776656797</v>
      </c>
      <c r="AFT470" s="17" t="s">
        <v>8426</v>
      </c>
      <c r="BIF470" s="8" t="s">
        <v>6780</v>
      </c>
      <c r="BKB470" s="8" t="s">
        <v>6569</v>
      </c>
      <c r="BLX470" s="8" t="s">
        <v>6009</v>
      </c>
      <c r="BPP470" s="8" t="s">
        <v>5345</v>
      </c>
      <c r="DVT470" s="8" t="s">
        <v>5355</v>
      </c>
      <c r="DXP470" s="8" t="s">
        <v>5355</v>
      </c>
    </row>
    <row r="471" spans="1:1007 1034:2038 2072:3032 3080:3344">
      <c r="A471" s="8" t="s">
        <v>1436</v>
      </c>
      <c r="B471" s="10" t="s">
        <v>8427</v>
      </c>
      <c r="C471" s="8">
        <v>844.74055555555969</v>
      </c>
      <c r="D471" s="15">
        <v>25.423888888912884</v>
      </c>
      <c r="AGT471" s="8" t="s">
        <v>8427</v>
      </c>
      <c r="BKB471" s="8" t="s">
        <v>6781</v>
      </c>
      <c r="BLX471" s="8" t="s">
        <v>6379</v>
      </c>
      <c r="BNT471" s="8" t="s">
        <v>6010</v>
      </c>
      <c r="BRL471" s="8" t="s">
        <v>5346</v>
      </c>
    </row>
    <row r="472" spans="1:1007 1034:2038 2072:3032 3080:3344">
      <c r="A472" s="8" t="s">
        <v>1436</v>
      </c>
      <c r="B472" s="10" t="s">
        <v>8428</v>
      </c>
      <c r="C472" s="8">
        <v>938.35333333339076</v>
      </c>
      <c r="D472" s="15">
        <v>7.822777777851142</v>
      </c>
      <c r="AJR472" s="8" t="s">
        <v>8428</v>
      </c>
      <c r="BNH472" s="8" t="s">
        <v>6782</v>
      </c>
      <c r="BPD472" s="8" t="s">
        <v>6380</v>
      </c>
      <c r="BQZ472" s="8" t="s">
        <v>6011</v>
      </c>
      <c r="BUR472" s="8" t="s">
        <v>5347</v>
      </c>
    </row>
    <row r="473" spans="1:1007 1034:2038 2072:3032 3080:3344">
      <c r="A473" s="8" t="s">
        <v>1436</v>
      </c>
      <c r="B473" s="10" t="s">
        <v>8429</v>
      </c>
      <c r="C473" s="8">
        <v>947.17611111095175</v>
      </c>
      <c r="D473" s="15">
        <v>52.151111111118269</v>
      </c>
      <c r="ALS473" s="8" t="s">
        <v>8429</v>
      </c>
      <c r="BNT473" s="8" t="s">
        <v>6783</v>
      </c>
      <c r="BPP473" s="8" t="s">
        <v>6570</v>
      </c>
      <c r="BRL473" s="8" t="s">
        <v>6012</v>
      </c>
      <c r="BVD473" s="8" t="s">
        <v>5348</v>
      </c>
    </row>
    <row r="474" spans="1:1007 1034:2038 2072:3032 3080:3344">
      <c r="A474" s="8" t="s">
        <v>1436</v>
      </c>
      <c r="B474" s="10" t="s">
        <v>8430</v>
      </c>
      <c r="C474" s="8">
        <v>1000.3272222223459</v>
      </c>
      <c r="D474" s="15">
        <v>26.075555555413409</v>
      </c>
      <c r="AMT474" s="8" t="s">
        <v>8430</v>
      </c>
      <c r="BXN474" s="8" t="s">
        <v>6784</v>
      </c>
      <c r="BZJ474" s="8" t="s">
        <v>6381</v>
      </c>
      <c r="CBF474" s="8" t="s">
        <v>6013</v>
      </c>
      <c r="CEX474" s="8" t="s">
        <v>5349</v>
      </c>
    </row>
    <row r="475" spans="1:1007 1034:2038 2072:3032 3080:3344">
      <c r="A475" s="8" t="s">
        <v>1436</v>
      </c>
      <c r="B475" s="10" t="s">
        <v>8431</v>
      </c>
      <c r="C475" s="8">
        <v>1041.4405555555131</v>
      </c>
      <c r="D475" s="15">
        <v>13.037777777951659</v>
      </c>
      <c r="ANV475" s="8" t="s">
        <v>8431</v>
      </c>
      <c r="BVD475" s="8" t="s">
        <v>6785</v>
      </c>
      <c r="BWZ475" s="8" t="s">
        <v>6571</v>
      </c>
      <c r="BYV475" s="8" t="s">
        <v>6014</v>
      </c>
      <c r="CCN475" s="8" t="s">
        <v>5350</v>
      </c>
    </row>
    <row r="476" spans="1:1007 1034:2038 2072:3032 3080:3344">
      <c r="A476" s="8" t="s">
        <v>1436</v>
      </c>
      <c r="B476" s="10" t="s">
        <v>8432</v>
      </c>
      <c r="C476" s="8">
        <v>1055.4783333332743</v>
      </c>
      <c r="D476" s="15">
        <v>13.037777777935283</v>
      </c>
      <c r="AOK476" s="8" t="s">
        <v>8432</v>
      </c>
      <c r="BWZ476" s="8" t="s">
        <v>6786</v>
      </c>
      <c r="BYV476" s="8" t="s">
        <v>6382</v>
      </c>
      <c r="CAR476" s="8" t="s">
        <v>6015</v>
      </c>
      <c r="CEJ476" s="8" t="s">
        <v>5351</v>
      </c>
    </row>
    <row r="477" spans="1:1007 1034:2038 2072:3032 3080:3344">
      <c r="A477" s="8" t="s">
        <v>1436</v>
      </c>
      <c r="B477" s="10" t="s">
        <v>8433</v>
      </c>
      <c r="C477" s="8">
        <v>1069.5161111110356</v>
      </c>
      <c r="D477" s="15">
        <v>7.8227777777181871</v>
      </c>
      <c r="AOS477" s="8" t="s">
        <v>8433</v>
      </c>
      <c r="CLT477" s="8" t="s">
        <v>6787</v>
      </c>
      <c r="CNP477" s="8" t="s">
        <v>6383</v>
      </c>
      <c r="CPL477" s="8" t="s">
        <v>6016</v>
      </c>
      <c r="CTD477" s="8" t="s">
        <v>5352</v>
      </c>
    </row>
    <row r="478" spans="1:1007 1034:2038 2072:3032 3080:3344">
      <c r="A478" s="8" t="s">
        <v>1436</v>
      </c>
      <c r="B478" s="10" t="s">
        <v>8434</v>
      </c>
      <c r="C478" s="8">
        <v>1080.3388888888294</v>
      </c>
      <c r="D478" s="15">
        <v>52.151111111217986</v>
      </c>
      <c r="AQV478" s="17" t="s">
        <v>8434</v>
      </c>
      <c r="CUZ478" s="8" t="s">
        <v>6788</v>
      </c>
      <c r="CWV478" s="8" t="s">
        <v>6384</v>
      </c>
      <c r="CYR478" s="8" t="s">
        <v>6017</v>
      </c>
      <c r="DCJ478" s="8" t="s">
        <v>5353</v>
      </c>
    </row>
    <row r="479" spans="1:1007 1034:2038 2072:3032 3080:3344">
      <c r="A479" s="8" t="s">
        <v>1436</v>
      </c>
      <c r="B479" s="10" t="s">
        <v>8435</v>
      </c>
      <c r="C479" s="8">
        <v>1186.9622222223552</v>
      </c>
      <c r="D479" s="15">
        <v>13.037777777777761</v>
      </c>
      <c r="ATL479" s="8" t="s">
        <v>8435</v>
      </c>
      <c r="DJT479" s="8" t="s">
        <v>6789</v>
      </c>
      <c r="DLP479" s="8" t="s">
        <v>6385</v>
      </c>
      <c r="DNL479" s="8" t="s">
        <v>6018</v>
      </c>
      <c r="DRD479" s="8" t="s">
        <v>5354</v>
      </c>
    </row>
    <row r="480" spans="1:1007 1034:2038 2072:3032 3080:3344">
      <c r="A480" s="8" t="s">
        <v>1436</v>
      </c>
      <c r="B480" s="10" t="s">
        <v>8436</v>
      </c>
      <c r="C480" s="8">
        <v>1223.5322222221876</v>
      </c>
      <c r="D480" s="15">
        <v>13.03777777761012</v>
      </c>
      <c r="AUW480" s="8" t="s">
        <v>8436</v>
      </c>
      <c r="AYZ480" s="8" t="s">
        <v>280</v>
      </c>
      <c r="DOJ480" s="8" t="s">
        <v>6790</v>
      </c>
      <c r="DQF480" s="8" t="s">
        <v>6572</v>
      </c>
      <c r="DSB480" s="8" t="s">
        <v>6019</v>
      </c>
      <c r="DVT480" s="8" t="s">
        <v>5355</v>
      </c>
    </row>
    <row r="481" spans="1:1018 1081:2120">
      <c r="A481" s="8" t="s">
        <v>1436</v>
      </c>
      <c r="B481" s="10" t="s">
        <v>8437</v>
      </c>
      <c r="C481" s="8">
        <v>1237.5699999999488</v>
      </c>
      <c r="D481" s="15">
        <v>10.43000000000016</v>
      </c>
      <c r="AVH481" s="8" t="s">
        <v>8437</v>
      </c>
      <c r="AYZ481" s="8" t="s">
        <v>281</v>
      </c>
    </row>
    <row r="482" spans="1:1018 1081:2120">
      <c r="A482" s="8" t="s">
        <v>1436</v>
      </c>
      <c r="B482" s="10" t="s">
        <v>8438</v>
      </c>
      <c r="C482" s="8">
        <v>1273.875</v>
      </c>
      <c r="D482" s="15">
        <v>52.151111111277714</v>
      </c>
      <c r="AYH482" s="8" t="s">
        <v>8438</v>
      </c>
      <c r="BFE482" s="8" t="s">
        <v>282</v>
      </c>
      <c r="BHA482" s="8" t="s">
        <v>282</v>
      </c>
    </row>
    <row r="483" spans="1:1018 1081:2120">
      <c r="A483" s="8" t="s">
        <v>1436</v>
      </c>
      <c r="B483" s="10" t="s">
        <v>8439</v>
      </c>
      <c r="C483" s="8">
        <v>1339.8488888887223</v>
      </c>
      <c r="D483" s="15">
        <v>52.151111111111042</v>
      </c>
      <c r="BAV483" s="8" t="s">
        <v>8439</v>
      </c>
      <c r="BFO483" s="8" t="s">
        <v>283</v>
      </c>
      <c r="BHK483" s="8" t="s">
        <v>283</v>
      </c>
    </row>
    <row r="484" spans="1:1018 1081:2120">
      <c r="A484" s="8" t="s">
        <v>1436</v>
      </c>
      <c r="B484" s="10" t="s">
        <v>8440</v>
      </c>
      <c r="C484" s="8">
        <v>1393.0000000001164</v>
      </c>
      <c r="D484" s="15">
        <v>52.151111111045047</v>
      </c>
      <c r="BCW484" s="8" t="s">
        <v>8440</v>
      </c>
      <c r="BGJ484" s="8" t="s">
        <v>284</v>
      </c>
      <c r="BIF484" s="8" t="s">
        <v>284</v>
      </c>
    </row>
    <row r="485" spans="1:1018 1081:2120">
      <c r="A485" s="8" t="s">
        <v>1437</v>
      </c>
      <c r="B485" s="10" t="s">
        <v>8441</v>
      </c>
      <c r="C485" s="8">
        <v>815.99944444431458</v>
      </c>
      <c r="D485" s="15">
        <v>24.721666666549023</v>
      </c>
      <c r="AFQ485" s="8" t="s">
        <v>8441</v>
      </c>
      <c r="BII485" s="8" t="s">
        <v>285</v>
      </c>
      <c r="BKE485" s="8" t="s">
        <v>285</v>
      </c>
    </row>
    <row r="486" spans="1:1018 1081:2120">
      <c r="A486" s="8" t="s">
        <v>1437</v>
      </c>
      <c r="B486" s="10" t="s">
        <v>8442</v>
      </c>
      <c r="C486" s="8">
        <v>841.72111111111008</v>
      </c>
      <c r="D486" s="15">
        <v>24.721666666678118</v>
      </c>
      <c r="AGP486" s="8" t="s">
        <v>8442</v>
      </c>
      <c r="BKM486" s="8" t="s">
        <v>286</v>
      </c>
      <c r="BMI486" s="8" t="s">
        <v>286</v>
      </c>
    </row>
    <row r="487" spans="1:1018 1081:2120">
      <c r="A487" s="8" t="s">
        <v>1437</v>
      </c>
      <c r="B487" s="10" t="s">
        <v>8443</v>
      </c>
      <c r="C487" s="8">
        <v>867.44277777790558</v>
      </c>
      <c r="D487" s="15">
        <v>24.72166666680674</v>
      </c>
      <c r="AHP487" s="17" t="s">
        <v>8443</v>
      </c>
      <c r="BKS487" s="8" t="s">
        <v>287</v>
      </c>
      <c r="BMO487" s="8" t="s">
        <v>287</v>
      </c>
    </row>
    <row r="488" spans="1:1018 1081:2120">
      <c r="A488" s="8" t="s">
        <v>1437</v>
      </c>
      <c r="B488" s="10" t="s">
        <v>8444</v>
      </c>
      <c r="C488" s="8">
        <v>893.16444444435183</v>
      </c>
      <c r="D488" s="15">
        <v>29.666111111199193</v>
      </c>
      <c r="AIU488" s="8" t="s">
        <v>8444</v>
      </c>
      <c r="BKV488" s="8" t="s">
        <v>288</v>
      </c>
      <c r="BMR488" s="8" t="s">
        <v>288</v>
      </c>
    </row>
    <row r="489" spans="1:1018 1081:2120">
      <c r="A489" s="8" t="s">
        <v>1437</v>
      </c>
      <c r="B489" s="10" t="s">
        <v>8445</v>
      </c>
      <c r="C489" s="8">
        <v>923.83055555541068</v>
      </c>
      <c r="D489" s="15">
        <v>35.846666666650499</v>
      </c>
      <c r="AKF489" s="8" t="s">
        <v>8445</v>
      </c>
      <c r="BAV489" s="8" t="s">
        <v>4707</v>
      </c>
      <c r="BCR489" s="8" t="s">
        <v>4338</v>
      </c>
      <c r="BLP489" s="8" t="s">
        <v>289</v>
      </c>
      <c r="BNL489" s="8" t="s">
        <v>289</v>
      </c>
    </row>
    <row r="490" spans="1:1018 1081:2120">
      <c r="A490" s="8" t="s">
        <v>1437</v>
      </c>
      <c r="B490" s="10" t="s">
        <v>8446</v>
      </c>
      <c r="C490" s="8">
        <v>960.6772222223226</v>
      </c>
      <c r="D490" s="15">
        <v>49.443888888794547</v>
      </c>
      <c r="AMD490" s="8" t="s">
        <v>8446</v>
      </c>
      <c r="BIT490" s="8" t="s">
        <v>4708</v>
      </c>
      <c r="BKP490" s="8" t="s">
        <v>4339</v>
      </c>
      <c r="BLY490" s="8" t="s">
        <v>290</v>
      </c>
      <c r="BNU490" s="8" t="s">
        <v>290</v>
      </c>
    </row>
    <row r="491" spans="1:1018 1081:2120">
      <c r="A491" s="8" t="s">
        <v>1437</v>
      </c>
      <c r="B491" s="10" t="s">
        <v>8447</v>
      </c>
      <c r="C491" s="8">
        <v>1011.1211111111334</v>
      </c>
      <c r="D491" s="15">
        <v>61.804444444387954</v>
      </c>
      <c r="AOO491" s="8" t="s">
        <v>8447</v>
      </c>
      <c r="BIF491" s="8" t="s">
        <v>4709</v>
      </c>
      <c r="BKB491" s="8" t="s">
        <v>4340</v>
      </c>
      <c r="BQR491" s="8" t="s">
        <v>291</v>
      </c>
      <c r="BSN491" s="8" t="s">
        <v>291</v>
      </c>
    </row>
    <row r="492" spans="1:1018 1081:2120">
      <c r="A492" s="8" t="s">
        <v>1437</v>
      </c>
      <c r="B492" s="10" t="s">
        <v>8448</v>
      </c>
      <c r="C492" s="8">
        <v>1073.9255555556156</v>
      </c>
      <c r="D492" s="15">
        <v>49.443888888754564</v>
      </c>
      <c r="AQM492" s="8" t="s">
        <v>8448</v>
      </c>
      <c r="BKB492" s="8" t="s">
        <v>4710</v>
      </c>
      <c r="BLX492" s="8" t="s">
        <v>4341</v>
      </c>
      <c r="BXY492" s="8" t="s">
        <v>292</v>
      </c>
      <c r="BZU492" s="8" t="s">
        <v>292</v>
      </c>
    </row>
    <row r="493" spans="1:1018 1081:2120">
      <c r="A493" s="8" t="s">
        <v>1437</v>
      </c>
      <c r="B493" s="10" t="s">
        <v>8449</v>
      </c>
      <c r="C493" s="8">
        <v>1124.3694444444263</v>
      </c>
      <c r="D493" s="15">
        <v>49.443888889025281</v>
      </c>
      <c r="ASL493" s="8" t="s">
        <v>8449</v>
      </c>
      <c r="BRL493" s="8" t="s">
        <v>4891</v>
      </c>
      <c r="BTH493" s="8" t="s">
        <v>4342</v>
      </c>
      <c r="BYV493" s="8" t="s">
        <v>270</v>
      </c>
      <c r="CAR493" s="8" t="s">
        <v>270</v>
      </c>
    </row>
    <row r="494" spans="1:1018 1081:2120">
      <c r="A494" s="8" t="s">
        <v>1437</v>
      </c>
      <c r="B494" s="10" t="s">
        <v>8450</v>
      </c>
      <c r="C494" s="8">
        <v>1245.5566666665254</v>
      </c>
      <c r="D494" s="15">
        <v>24.721666666537939</v>
      </c>
      <c r="AWD494" s="8" t="s">
        <v>8450</v>
      </c>
      <c r="BTH494" s="8" t="s">
        <v>4892</v>
      </c>
      <c r="BVD494" s="8" t="s">
        <v>4343</v>
      </c>
      <c r="BZT494" s="8" t="s">
        <v>293</v>
      </c>
      <c r="CBP494" s="8" t="s">
        <v>293</v>
      </c>
    </row>
    <row r="495" spans="1:1018 1081:2120">
      <c r="A495" s="8" t="s">
        <v>1437</v>
      </c>
      <c r="B495" s="10" t="s">
        <v>8451</v>
      </c>
      <c r="C495" s="8">
        <v>1271.2783333333209</v>
      </c>
      <c r="D495" s="15">
        <v>24.721666666666561</v>
      </c>
      <c r="AXD495" s="8" t="s">
        <v>8451</v>
      </c>
      <c r="BYJ495" s="8" t="s">
        <v>4711</v>
      </c>
      <c r="CAF495" s="8" t="s">
        <v>4344</v>
      </c>
      <c r="CAM495" s="8" t="s">
        <v>294</v>
      </c>
      <c r="CCI495" s="8" t="s">
        <v>294</v>
      </c>
    </row>
    <row r="496" spans="1:1018 1081:2120">
      <c r="A496" s="8" t="s">
        <v>1438</v>
      </c>
      <c r="B496" s="10" t="s">
        <v>8452</v>
      </c>
      <c r="C496" s="8">
        <v>-190.89333333342802</v>
      </c>
      <c r="D496" s="15">
        <v>46.893333333333118</v>
      </c>
      <c r="H496" s="8" t="s">
        <v>8452</v>
      </c>
      <c r="BYV496" s="8" t="s">
        <v>4893</v>
      </c>
      <c r="CAR496" s="8" t="s">
        <v>4345</v>
      </c>
      <c r="CCN496" s="8" t="s">
        <v>295</v>
      </c>
    </row>
    <row r="497" spans="1:1011 1036:1640 2072:2984 3224:3747 4233:4378">
      <c r="A497" s="8" t="s">
        <v>1438</v>
      </c>
      <c r="B497" s="10" t="s">
        <v>8453</v>
      </c>
      <c r="C497" s="8">
        <v>46.493333333171904</v>
      </c>
      <c r="D497" s="15">
        <v>23.446666666727257</v>
      </c>
      <c r="BZ497" s="8" t="s">
        <v>8453</v>
      </c>
      <c r="CAR497" s="8" t="s">
        <v>296</v>
      </c>
      <c r="CCN497" s="8" t="s">
        <v>296</v>
      </c>
      <c r="CGF497" s="8" t="s">
        <v>4894</v>
      </c>
      <c r="CIB497" s="8" t="s">
        <v>4346</v>
      </c>
    </row>
    <row r="498" spans="1:1011 1036:1640 2072:2984 3224:3747 4233:4378">
      <c r="A498" s="8" t="s">
        <v>1438</v>
      </c>
      <c r="B498" s="10" t="s">
        <v>8454</v>
      </c>
      <c r="C498" s="8">
        <v>70.939999999827705</v>
      </c>
      <c r="D498" s="15">
        <v>11.723333333446485</v>
      </c>
      <c r="CM498" s="8" t="s">
        <v>8454</v>
      </c>
      <c r="CAU498" s="8" t="s">
        <v>297</v>
      </c>
      <c r="CCQ498" s="8" t="s">
        <v>297</v>
      </c>
      <c r="CIB498" s="8" t="s">
        <v>4712</v>
      </c>
      <c r="CJX498" s="8" t="s">
        <v>4347</v>
      </c>
    </row>
    <row r="499" spans="1:1011 1036:1640 2072:2984 3224:3747 4233:4378">
      <c r="A499" s="8" t="s">
        <v>1438</v>
      </c>
      <c r="B499" s="10" t="s">
        <v>8455</v>
      </c>
      <c r="C499" s="8">
        <v>83.663333333213814</v>
      </c>
      <c r="D499" s="15">
        <v>47.362222222142591</v>
      </c>
      <c r="EI499" s="8" t="s">
        <v>8455</v>
      </c>
      <c r="CHL499" s="8" t="s">
        <v>298</v>
      </c>
      <c r="CJH499" s="8" t="s">
        <v>298</v>
      </c>
      <c r="CWV499" s="8" t="s">
        <v>4713</v>
      </c>
      <c r="CYR499" s="8" t="s">
        <v>4348</v>
      </c>
    </row>
    <row r="500" spans="1:1011 1036:1640 2072:2984 3224:3747 4233:4378">
      <c r="A500" s="8" t="s">
        <v>1438</v>
      </c>
      <c r="B500" s="10" t="s">
        <v>8456</v>
      </c>
      <c r="C500" s="8">
        <v>133.02555555570871</v>
      </c>
      <c r="D500" s="15">
        <v>11.840555555456765</v>
      </c>
      <c r="EW500" s="8" t="s">
        <v>8456</v>
      </c>
      <c r="CIB500" s="8" t="s">
        <v>299</v>
      </c>
      <c r="CJX500" s="8" t="s">
        <v>299</v>
      </c>
      <c r="DGB500" s="8" t="s">
        <v>4714</v>
      </c>
      <c r="DHX500" s="8" t="s">
        <v>4349</v>
      </c>
    </row>
    <row r="501" spans="1:1011 1036:1640 2072:2984 3224:3747 4233:4378">
      <c r="A501" s="8" t="s">
        <v>1438</v>
      </c>
      <c r="B501" s="10" t="s">
        <v>8457</v>
      </c>
      <c r="C501" s="8">
        <v>145.8661111111287</v>
      </c>
      <c r="D501" s="15">
        <v>46.893333333445838</v>
      </c>
      <c r="GS501" s="8" t="s">
        <v>8457</v>
      </c>
      <c r="CKA501" s="8" t="s">
        <v>300</v>
      </c>
      <c r="CLW501" s="8" t="s">
        <v>300</v>
      </c>
      <c r="DUV501" s="8" t="s">
        <v>4715</v>
      </c>
      <c r="DWR501" s="8" t="s">
        <v>4350</v>
      </c>
    </row>
    <row r="502" spans="1:1011 1036:1640 2072:2984 3224:3747 4233:4378">
      <c r="A502" s="8" t="s">
        <v>1438</v>
      </c>
      <c r="B502" s="10" t="s">
        <v>8458</v>
      </c>
      <c r="C502" s="8">
        <v>193.75944444432389</v>
      </c>
      <c r="D502" s="15">
        <v>35.170000000037895</v>
      </c>
      <c r="IC502" s="8" t="s">
        <v>8458</v>
      </c>
      <c r="CNP502" s="8" t="s">
        <v>301</v>
      </c>
      <c r="CPL502" s="8" t="s">
        <v>301</v>
      </c>
      <c r="DZL502" s="8" t="s">
        <v>4895</v>
      </c>
      <c r="EBH502" s="8" t="s">
        <v>4351</v>
      </c>
    </row>
    <row r="503" spans="1:1011 1036:1640 2072:2984 3224:3747 4233:4378">
      <c r="A503" s="8" t="s">
        <v>1438</v>
      </c>
      <c r="B503" s="10" t="s">
        <v>8459</v>
      </c>
      <c r="C503" s="8">
        <v>241.00000000011642</v>
      </c>
      <c r="D503" s="15">
        <v>47.362222222378634</v>
      </c>
      <c r="KJ503" s="8" t="s">
        <v>8459</v>
      </c>
      <c r="CYS503" s="8" t="s">
        <v>302</v>
      </c>
      <c r="DAO503" s="8" t="s">
        <v>302</v>
      </c>
    </row>
    <row r="504" spans="1:1011 1036:1640 2072:2984 3224:3747 4233:4378">
      <c r="A504" s="8" t="s">
        <v>1438</v>
      </c>
      <c r="B504" s="10" t="s">
        <v>8460</v>
      </c>
      <c r="C504" s="8">
        <v>289.36222222214565</v>
      </c>
      <c r="D504" s="15">
        <v>23.779444444498754</v>
      </c>
      <c r="LI504" s="8" t="s">
        <v>8460</v>
      </c>
      <c r="DAN504" s="8" t="s">
        <v>303</v>
      </c>
      <c r="DCJ504" s="8" t="s">
        <v>303</v>
      </c>
    </row>
    <row r="505" spans="1:1011 1036:1640 2072:2984 3224:3747 4233:4378">
      <c r="A505" s="8" t="s">
        <v>1438</v>
      </c>
      <c r="B505" s="10" t="s">
        <v>8461</v>
      </c>
      <c r="C505" s="8">
        <v>836.07111111120321</v>
      </c>
      <c r="D505" s="15">
        <v>46.893333333170787</v>
      </c>
      <c r="AHG505" s="8" t="s">
        <v>8461</v>
      </c>
      <c r="BBE505" s="8" t="s">
        <v>311</v>
      </c>
      <c r="DHX505" s="8" t="s">
        <v>304</v>
      </c>
      <c r="DJT505" s="8" t="s">
        <v>304</v>
      </c>
    </row>
    <row r="506" spans="1:1011 1036:1640 2072:2984 3224:3747 4233:4378">
      <c r="A506" s="8" t="s">
        <v>1438</v>
      </c>
      <c r="B506" s="10" t="s">
        <v>8462</v>
      </c>
      <c r="C506" s="8">
        <v>883.9644444443984</v>
      </c>
      <c r="D506" s="15">
        <v>46.893333333381776</v>
      </c>
      <c r="AJC506" s="8" t="s">
        <v>8462</v>
      </c>
      <c r="BCC506" s="8" t="s">
        <v>312</v>
      </c>
      <c r="DHX506" s="8" t="s">
        <v>305</v>
      </c>
      <c r="DJT506" s="8" t="s">
        <v>305</v>
      </c>
    </row>
    <row r="507" spans="1:1011 1036:1640 2072:2984 3224:3747 4233:4378">
      <c r="A507" s="8" t="s">
        <v>1438</v>
      </c>
      <c r="B507" s="10" t="s">
        <v>8463</v>
      </c>
      <c r="C507" s="8">
        <v>931.85777777794283</v>
      </c>
      <c r="D507" s="15">
        <v>46.893333333244001</v>
      </c>
      <c r="AKY507" s="8" t="s">
        <v>8463</v>
      </c>
      <c r="BDW507" s="8" t="s">
        <v>313</v>
      </c>
      <c r="DSZ507" s="8" t="s">
        <v>306</v>
      </c>
      <c r="DUV507" s="8" t="s">
        <v>306</v>
      </c>
    </row>
    <row r="508" spans="1:1011 1036:1640 2072:2984 3224:3747 4233:4378">
      <c r="A508" s="8" t="s">
        <v>1438</v>
      </c>
      <c r="B508" s="10" t="s">
        <v>8464</v>
      </c>
      <c r="C508" s="8">
        <v>979.75111111113802</v>
      </c>
      <c r="D508" s="15">
        <v>23.446666666566362</v>
      </c>
      <c r="ALW508" s="8" t="s">
        <v>8464</v>
      </c>
      <c r="BEC508" s="8" t="s">
        <v>314</v>
      </c>
      <c r="BHD508" s="8" t="s">
        <v>6791</v>
      </c>
      <c r="EFY508" s="8" t="s">
        <v>308</v>
      </c>
      <c r="EHU508" s="8" t="s">
        <v>308</v>
      </c>
    </row>
    <row r="509" spans="1:1011 1036:1640 2072:2984 3224:3747 4233:4378">
      <c r="A509" s="8" t="s">
        <v>1438</v>
      </c>
      <c r="B509" s="10" t="s">
        <v>8465</v>
      </c>
      <c r="C509" s="8">
        <v>1004.1977777777938</v>
      </c>
      <c r="D509" s="15">
        <v>23.446666666555281</v>
      </c>
      <c r="AMV509" s="8" t="s">
        <v>8465</v>
      </c>
      <c r="BGB509" s="8" t="s">
        <v>315</v>
      </c>
      <c r="BIF509" s="8" t="s">
        <v>6792</v>
      </c>
      <c r="ELG509" s="8" t="s">
        <v>309</v>
      </c>
      <c r="ENC509" s="8" t="s">
        <v>309</v>
      </c>
    </row>
    <row r="510" spans="1:1011 1036:1640 2072:2984 3224:3747 4233:4378">
      <c r="A510" s="8" t="s">
        <v>1438</v>
      </c>
      <c r="B510" s="10" t="s">
        <v>8466</v>
      </c>
      <c r="C510" s="8">
        <v>1028.6444444444496</v>
      </c>
      <c r="D510" s="15">
        <v>23.446666666544687</v>
      </c>
      <c r="ANT510" s="19" t="s">
        <v>8466</v>
      </c>
      <c r="BGE510" s="8" t="s">
        <v>316</v>
      </c>
      <c r="BIF510" s="8" t="s">
        <v>6793</v>
      </c>
      <c r="FFU510" s="8" t="s">
        <v>1459</v>
      </c>
      <c r="FHQ510" s="8" t="s">
        <v>1459</v>
      </c>
    </row>
    <row r="511" spans="1:1011 1036:1640 2072:2984 3224:3747 4233:4378">
      <c r="A511" s="8" t="s">
        <v>1438</v>
      </c>
      <c r="B511" s="10" t="s">
        <v>8467</v>
      </c>
      <c r="C511" s="8">
        <v>1053.0911111111054</v>
      </c>
      <c r="D511" s="15">
        <v>23.446666666533602</v>
      </c>
      <c r="AOS511" s="8" t="s">
        <v>8467</v>
      </c>
      <c r="BIF511" s="8" t="s">
        <v>317</v>
      </c>
      <c r="BKB511" s="8" t="s">
        <v>6794</v>
      </c>
      <c r="FJN511" s="8" t="s">
        <v>1460</v>
      </c>
      <c r="FLJ511" s="8" t="s">
        <v>1460</v>
      </c>
    </row>
    <row r="512" spans="1:1011 1036:1640 2072:2984 3224:3747 4233:4378">
      <c r="A512" s="8" t="s">
        <v>1438</v>
      </c>
      <c r="B512" s="10" t="s">
        <v>8468</v>
      </c>
      <c r="C512" s="8">
        <v>1077.5377777777612</v>
      </c>
      <c r="D512" s="15">
        <v>23.446666666523008</v>
      </c>
      <c r="APQ512" s="8" t="s">
        <v>8468</v>
      </c>
      <c r="BIV512" s="8" t="s">
        <v>318</v>
      </c>
      <c r="BKB512" s="8" t="s">
        <v>6795</v>
      </c>
    </row>
    <row r="513" spans="1:978 1028:2024 2218:3032 3128:4040">
      <c r="A513" s="8" t="s">
        <v>1438</v>
      </c>
      <c r="B513" s="10" t="s">
        <v>8469</v>
      </c>
      <c r="C513" s="8">
        <v>1101.984444444417</v>
      </c>
      <c r="D513" s="15">
        <v>23.446666666511931</v>
      </c>
      <c r="AQO513" s="8" t="s">
        <v>8469</v>
      </c>
      <c r="BJG513" s="8" t="s">
        <v>319</v>
      </c>
      <c r="BLX513" s="8" t="s">
        <v>6796</v>
      </c>
    </row>
    <row r="514" spans="1:978 1028:2024 2218:3032 3128:4040">
      <c r="A514" s="8" t="s">
        <v>1438</v>
      </c>
      <c r="B514" s="10" t="s">
        <v>8470</v>
      </c>
      <c r="C514" s="8">
        <v>1126.4311111110728</v>
      </c>
      <c r="D514" s="15">
        <v>23.446666666501329</v>
      </c>
      <c r="ARN514" s="8" t="s">
        <v>8470</v>
      </c>
      <c r="BJV514" s="8" t="s">
        <v>320</v>
      </c>
      <c r="BNT514" s="8" t="s">
        <v>6797</v>
      </c>
    </row>
    <row r="515" spans="1:978 1028:2024 2218:3032 3128:4040">
      <c r="A515" s="8" t="s">
        <v>1438</v>
      </c>
      <c r="B515" s="10" t="s">
        <v>8471</v>
      </c>
      <c r="C515" s="8">
        <v>1150.8777777777286</v>
      </c>
      <c r="D515" s="15">
        <v>23.446666666839498</v>
      </c>
      <c r="ASL515" s="8" t="s">
        <v>8471</v>
      </c>
      <c r="BKB515" s="8" t="s">
        <v>321</v>
      </c>
      <c r="BYV515" s="8" t="s">
        <v>6798</v>
      </c>
    </row>
    <row r="516" spans="1:978 1028:2024 2218:3032 3128:4040">
      <c r="A516" s="8" t="s">
        <v>1438</v>
      </c>
      <c r="B516" s="10" t="s">
        <v>8472</v>
      </c>
      <c r="C516" s="8">
        <v>1224.7277777778218</v>
      </c>
      <c r="D516" s="15">
        <v>11.72333333331353</v>
      </c>
      <c r="AUV516" s="8" t="s">
        <v>8472</v>
      </c>
      <c r="BPP516" s="8" t="s">
        <v>322</v>
      </c>
      <c r="CLT516" s="8" t="s">
        <v>6799</v>
      </c>
    </row>
    <row r="517" spans="1:978 1028:2024 2218:3032 3128:4040">
      <c r="A517" s="8" t="s">
        <v>1438</v>
      </c>
      <c r="B517" s="10" t="s">
        <v>8473</v>
      </c>
      <c r="C517" s="8">
        <v>1322.1944444443798</v>
      </c>
      <c r="D517" s="15">
        <v>21.805555555555678</v>
      </c>
      <c r="AYZ517" s="8" t="s">
        <v>8473</v>
      </c>
      <c r="BRL517" s="8" t="s">
        <v>323</v>
      </c>
      <c r="DAN517" s="8" t="s">
        <v>6800</v>
      </c>
    </row>
    <row r="518" spans="1:978 1028:2024 2218:3032 3128:4040">
      <c r="A518" s="8" t="s">
        <v>1438</v>
      </c>
      <c r="B518" s="10" t="s">
        <v>8474</v>
      </c>
      <c r="C518" s="8">
        <v>1345.106666666572</v>
      </c>
      <c r="D518" s="15">
        <v>46.893333333333118</v>
      </c>
      <c r="AZI518" s="8" t="s">
        <v>970</v>
      </c>
      <c r="BAV518" s="8" t="s">
        <v>8474</v>
      </c>
      <c r="BBE518" s="8" t="s">
        <v>970</v>
      </c>
      <c r="BUI518" s="8" t="s">
        <v>324</v>
      </c>
      <c r="DCJ518" s="8" t="s">
        <v>6801</v>
      </c>
    </row>
    <row r="519" spans="1:978 1028:2024 2218:3032 3128:4040">
      <c r="A519" s="8" t="s">
        <v>1439</v>
      </c>
      <c r="B519" s="10" t="s">
        <v>8475</v>
      </c>
      <c r="C519" s="8">
        <v>815.99944444431458</v>
      </c>
      <c r="D519" s="15">
        <v>12.319999999935131</v>
      </c>
      <c r="AFD519" s="17" t="s">
        <v>8475</v>
      </c>
      <c r="AYZ519" s="8" t="s">
        <v>318</v>
      </c>
      <c r="AZI519" s="8" t="s">
        <v>971</v>
      </c>
      <c r="BAG519" s="8" t="s">
        <v>971</v>
      </c>
      <c r="BBE519" s="8" t="s">
        <v>312</v>
      </c>
      <c r="BCC519" s="8" t="s">
        <v>971</v>
      </c>
      <c r="BUX519" s="8" t="s">
        <v>325</v>
      </c>
      <c r="DCJ519" s="8" t="s">
        <v>6802</v>
      </c>
    </row>
    <row r="520" spans="1:978 1028:2024 2218:3032 3128:4040">
      <c r="A520" s="8" t="s">
        <v>1439</v>
      </c>
      <c r="B520" s="10" t="s">
        <v>8476</v>
      </c>
      <c r="C520" s="8">
        <v>829.31944444449618</v>
      </c>
      <c r="D520" s="15">
        <v>24.797777777822077</v>
      </c>
      <c r="AGD520" s="8" t="s">
        <v>8476</v>
      </c>
      <c r="AZP520" s="8" t="s">
        <v>319</v>
      </c>
      <c r="BAE520" s="8" t="s">
        <v>313</v>
      </c>
      <c r="BAG520" s="8" t="s">
        <v>972</v>
      </c>
      <c r="BCA520" s="8" t="s">
        <v>972</v>
      </c>
      <c r="BCC520" s="8" t="s">
        <v>313</v>
      </c>
      <c r="BDW520" s="8" t="s">
        <v>972</v>
      </c>
      <c r="BVD520" s="8" t="s">
        <v>326</v>
      </c>
      <c r="DEF520" s="8" t="s">
        <v>6803</v>
      </c>
    </row>
    <row r="521" spans="1:978 1028:2024 2218:3032 3128:4040">
      <c r="A521" s="8" t="s">
        <v>1439</v>
      </c>
      <c r="B521" s="10" t="s">
        <v>8477</v>
      </c>
      <c r="C521" s="8">
        <v>855.11722222238313</v>
      </c>
      <c r="D521" s="15">
        <v>15.997777777884863</v>
      </c>
      <c r="AGU521" s="8" t="s">
        <v>8477</v>
      </c>
      <c r="BAA521" s="8" t="s">
        <v>320</v>
      </c>
      <c r="BBE521" s="8" t="s">
        <v>311</v>
      </c>
      <c r="BCG521" s="8" t="s">
        <v>973</v>
      </c>
      <c r="BDW521" s="8" t="s">
        <v>973</v>
      </c>
      <c r="BEC521" s="8" t="s">
        <v>973</v>
      </c>
      <c r="BEU521" s="8" t="s">
        <v>314</v>
      </c>
      <c r="CGH521" s="8" t="s">
        <v>327</v>
      </c>
      <c r="DEF521" s="8" t="s">
        <v>6804</v>
      </c>
    </row>
    <row r="522" spans="1:978 1028:2024 2218:3032 3128:4040">
      <c r="A522" s="8" t="s">
        <v>1439</v>
      </c>
      <c r="B522" s="10" t="s">
        <v>8478</v>
      </c>
      <c r="C522" s="8">
        <v>872.11499999987427</v>
      </c>
      <c r="D522" s="15">
        <v>48.661666666497482</v>
      </c>
      <c r="AIS522" s="8" t="s">
        <v>8478</v>
      </c>
      <c r="AYZ522" s="8" t="s">
        <v>5356</v>
      </c>
      <c r="BAP522" s="8" t="s">
        <v>321</v>
      </c>
      <c r="BAV522" s="8" t="s">
        <v>5356</v>
      </c>
      <c r="BCC522" s="8" t="s">
        <v>312</v>
      </c>
      <c r="BCG522" s="8" t="s">
        <v>974</v>
      </c>
      <c r="BCJ522" s="8" t="s">
        <v>315</v>
      </c>
      <c r="BEC522" s="8" t="s">
        <v>315</v>
      </c>
      <c r="BEF522" s="8" t="s">
        <v>974</v>
      </c>
      <c r="BGB522" s="8" t="s">
        <v>974</v>
      </c>
      <c r="CHV522" s="8" t="s">
        <v>328</v>
      </c>
      <c r="DLP522" s="8" t="s">
        <v>6805</v>
      </c>
    </row>
    <row r="523" spans="1:978 1028:2024 2218:3032 3128:4040">
      <c r="A523" s="8" t="s">
        <v>1439</v>
      </c>
      <c r="B523" s="10" t="s">
        <v>8479</v>
      </c>
      <c r="C523" s="8">
        <v>921.77666666661389</v>
      </c>
      <c r="D523" s="15">
        <v>48.661666666570213</v>
      </c>
      <c r="AKP523" s="8" t="s">
        <v>8479</v>
      </c>
      <c r="AYZ523" s="8" t="s">
        <v>5357</v>
      </c>
      <c r="BAN523" s="8" t="s">
        <v>316</v>
      </c>
      <c r="BAV523" s="8" t="s">
        <v>5357</v>
      </c>
      <c r="BCR523" s="8" t="s">
        <v>323</v>
      </c>
      <c r="BDW523" s="8" t="s">
        <v>313</v>
      </c>
      <c r="BEI523" s="8" t="s">
        <v>975</v>
      </c>
      <c r="BEN523" s="8" t="s">
        <v>323</v>
      </c>
      <c r="BGB523" s="8" t="s">
        <v>975</v>
      </c>
      <c r="BGE523" s="8" t="s">
        <v>975</v>
      </c>
      <c r="BGH523" s="8" t="s">
        <v>316</v>
      </c>
      <c r="BGJ523" s="8" t="s">
        <v>323</v>
      </c>
      <c r="CIB523" s="8" t="s">
        <v>329</v>
      </c>
      <c r="DPH523" s="8" t="s">
        <v>7164</v>
      </c>
    </row>
    <row r="524" spans="1:978 1028:2024 2218:3032 3128:4040">
      <c r="A524" s="8" t="s">
        <v>1439</v>
      </c>
      <c r="B524" s="10" t="s">
        <v>8480</v>
      </c>
      <c r="C524" s="8">
        <v>971.43833333335351</v>
      </c>
      <c r="D524" s="15">
        <v>48.661666666643434</v>
      </c>
      <c r="AMN524" s="17" t="s">
        <v>8480</v>
      </c>
      <c r="AYZ524" s="8" t="s">
        <v>5358</v>
      </c>
      <c r="BAQ524" s="8" t="s">
        <v>317</v>
      </c>
      <c r="BAV524" s="8" t="s">
        <v>5358</v>
      </c>
      <c r="BCR524" s="8" t="s">
        <v>324</v>
      </c>
      <c r="BEC524" s="8" t="s">
        <v>314</v>
      </c>
      <c r="BEI524" s="8" t="s">
        <v>976</v>
      </c>
      <c r="BEN524" s="8" t="s">
        <v>324</v>
      </c>
      <c r="BGE524" s="8" t="s">
        <v>317</v>
      </c>
      <c r="BGJ524" s="8" t="s">
        <v>324</v>
      </c>
      <c r="BIF524" s="8" t="s">
        <v>324</v>
      </c>
      <c r="CJX524" s="8" t="s">
        <v>330</v>
      </c>
      <c r="DUV524" s="8" t="s">
        <v>6806</v>
      </c>
    </row>
    <row r="525" spans="1:978 1028:2024 2218:3032 3128:4040">
      <c r="A525" s="8" t="s">
        <v>1439</v>
      </c>
      <c r="B525" s="10" t="s">
        <v>8481</v>
      </c>
      <c r="C525" s="8">
        <v>1021.1000000000931</v>
      </c>
      <c r="D525" s="15">
        <v>48.661666666716172</v>
      </c>
      <c r="AOL525" s="8" t="s">
        <v>8481</v>
      </c>
      <c r="BAA525" s="8" t="s">
        <v>2093</v>
      </c>
      <c r="BAV525" s="8" t="s">
        <v>5359</v>
      </c>
      <c r="BBW525" s="8" t="s">
        <v>1649</v>
      </c>
      <c r="BCR525" s="8" t="s">
        <v>5359</v>
      </c>
      <c r="BEW525" s="8" t="s">
        <v>318</v>
      </c>
      <c r="BFO525" s="8" t="s">
        <v>325</v>
      </c>
      <c r="BGB525" s="8" t="s">
        <v>315</v>
      </c>
      <c r="BGJ525" s="8" t="s">
        <v>977</v>
      </c>
      <c r="BGZ525" s="8" t="s">
        <v>977</v>
      </c>
      <c r="BHK525" s="8" t="s">
        <v>325</v>
      </c>
      <c r="BIF525" s="8" t="s">
        <v>318</v>
      </c>
      <c r="BIV525" s="8" t="s">
        <v>977</v>
      </c>
      <c r="BJG525" s="8" t="s">
        <v>325</v>
      </c>
      <c r="BLC525" s="8" t="s">
        <v>325</v>
      </c>
      <c r="CPH525" s="8" t="s">
        <v>331</v>
      </c>
      <c r="EWN525" s="8" t="s">
        <v>6807</v>
      </c>
    </row>
    <row r="526" spans="1:978 1028:2024 2218:3032 3128:4040">
      <c r="A526" s="8" t="s">
        <v>1439</v>
      </c>
      <c r="B526" s="10" t="s">
        <v>8482</v>
      </c>
      <c r="C526" s="8">
        <v>1070.7616666668328</v>
      </c>
      <c r="D526" s="15">
        <v>48.661666666789401</v>
      </c>
      <c r="AQI526" s="8" t="s">
        <v>8482</v>
      </c>
      <c r="BAP526" s="8" t="s">
        <v>2094</v>
      </c>
      <c r="BCL526" s="8" t="s">
        <v>1650</v>
      </c>
      <c r="BCR526" s="8" t="s">
        <v>5360</v>
      </c>
      <c r="BDH526" s="8" t="s">
        <v>319</v>
      </c>
      <c r="BEN526" s="8" t="s">
        <v>5360</v>
      </c>
      <c r="BGD526" s="8" t="s">
        <v>326</v>
      </c>
      <c r="BGE526" s="8" t="s">
        <v>316</v>
      </c>
      <c r="BHK526" s="8" t="s">
        <v>978</v>
      </c>
      <c r="BHZ526" s="8" t="s">
        <v>326</v>
      </c>
      <c r="BIV526" s="8" t="s">
        <v>978</v>
      </c>
      <c r="BJG526" s="8" t="s">
        <v>978</v>
      </c>
      <c r="BJK526" s="8" t="s">
        <v>319</v>
      </c>
      <c r="BJV526" s="8" t="s">
        <v>326</v>
      </c>
      <c r="BLR526" s="8" t="s">
        <v>326</v>
      </c>
      <c r="EAJ526" s="8" t="s">
        <v>332</v>
      </c>
      <c r="EYJ526" s="8" t="s">
        <v>6808</v>
      </c>
    </row>
    <row r="527" spans="1:978 1028:2024 2218:3032 3128:4040">
      <c r="A527" s="8" t="s">
        <v>1439</v>
      </c>
      <c r="B527" s="10" t="s">
        <v>8483</v>
      </c>
      <c r="C527" s="8">
        <v>1120.4233333332231</v>
      </c>
      <c r="D527" s="15">
        <v>48.661666666512893</v>
      </c>
      <c r="ASG527" s="8" t="s">
        <v>8483</v>
      </c>
      <c r="BAV527" s="8" t="s">
        <v>2095</v>
      </c>
      <c r="BCR527" s="8" t="s">
        <v>1651</v>
      </c>
      <c r="BDS527" s="8" t="s">
        <v>320</v>
      </c>
      <c r="BEN527" s="8" t="s">
        <v>5361</v>
      </c>
      <c r="BGJ527" s="8" t="s">
        <v>5361</v>
      </c>
      <c r="BHZ527" s="8" t="s">
        <v>979</v>
      </c>
      <c r="BIF527" s="8" t="s">
        <v>327</v>
      </c>
      <c r="BJG527" s="8" t="s">
        <v>979</v>
      </c>
      <c r="BJQ527" s="8" t="s">
        <v>320</v>
      </c>
      <c r="BJV527" s="8" t="s">
        <v>979</v>
      </c>
      <c r="BKB527" s="8" t="s">
        <v>327</v>
      </c>
      <c r="BLX527" s="8" t="s">
        <v>327</v>
      </c>
      <c r="EEB527" s="8" t="s">
        <v>333</v>
      </c>
    </row>
    <row r="528" spans="1:978 1028:2024 2218:3032 3128:4040">
      <c r="A528" s="8" t="s">
        <v>1439</v>
      </c>
      <c r="B528" s="10" t="s">
        <v>8484</v>
      </c>
      <c r="C528" s="8">
        <v>1170.0849999999627</v>
      </c>
      <c r="D528" s="15">
        <v>48.661666666586115</v>
      </c>
      <c r="AUE528" s="8" t="s">
        <v>8484</v>
      </c>
      <c r="BEH528" s="8" t="s">
        <v>321</v>
      </c>
      <c r="BIF528" s="8" t="s">
        <v>2096</v>
      </c>
      <c r="BIV528" s="8" t="s">
        <v>318</v>
      </c>
      <c r="BJV528" s="8" t="s">
        <v>980</v>
      </c>
      <c r="BKB528" s="8" t="s">
        <v>1652</v>
      </c>
      <c r="BKK528" s="8" t="s">
        <v>321</v>
      </c>
      <c r="BNT528" s="8" t="s">
        <v>310</v>
      </c>
      <c r="BON528" s="8" t="s">
        <v>5362</v>
      </c>
      <c r="BPP528" s="8" t="s">
        <v>310</v>
      </c>
      <c r="BQJ528" s="8" t="s">
        <v>5362</v>
      </c>
      <c r="BRL528" s="8" t="s">
        <v>310</v>
      </c>
      <c r="BTH528" s="8" t="s">
        <v>310</v>
      </c>
    </row>
    <row r="529" spans="1:933 1252:2024 2068:3032 3080:3512 6891:6920">
      <c r="A529" s="8" t="s">
        <v>1439</v>
      </c>
      <c r="B529" s="10" t="s">
        <v>8485</v>
      </c>
      <c r="C529" s="8">
        <v>1219.7466666667024</v>
      </c>
      <c r="D529" s="15">
        <v>24.331111111015339</v>
      </c>
      <c r="AVD529" s="19" t="s">
        <v>8485</v>
      </c>
      <c r="BDV529" s="8" t="s">
        <v>322</v>
      </c>
      <c r="BEN529" s="8" t="s">
        <v>322</v>
      </c>
      <c r="BJG529" s="8" t="s">
        <v>319</v>
      </c>
      <c r="BKB529" s="8" t="s">
        <v>322</v>
      </c>
      <c r="BLT529" s="8" t="s">
        <v>2097</v>
      </c>
      <c r="BNP529" s="8" t="s">
        <v>1653</v>
      </c>
      <c r="BNT529" s="8" t="s">
        <v>981</v>
      </c>
      <c r="BPP529" s="8" t="s">
        <v>5363</v>
      </c>
      <c r="BRH529" s="8" t="s">
        <v>1507</v>
      </c>
      <c r="BRL529" s="8" t="s">
        <v>5363</v>
      </c>
      <c r="BTD529" s="8" t="s">
        <v>1507</v>
      </c>
      <c r="BUZ529" s="8" t="s">
        <v>1507</v>
      </c>
      <c r="BWV529" s="8" t="s">
        <v>1507</v>
      </c>
    </row>
    <row r="530" spans="1:933 1252:2024 2068:3032 3080:3512 6891:6920">
      <c r="A530" s="8" t="s">
        <v>1439</v>
      </c>
      <c r="B530" s="10" t="s">
        <v>8486</v>
      </c>
      <c r="C530" s="8">
        <v>1245.0777777777985</v>
      </c>
      <c r="D530" s="15">
        <v>24.331111111000403</v>
      </c>
      <c r="AWC530" s="8" t="s">
        <v>8486</v>
      </c>
      <c r="BJV530" s="8" t="s">
        <v>320</v>
      </c>
      <c r="BKB530" s="8" t="s">
        <v>323</v>
      </c>
      <c r="BLZ530" s="8" t="s">
        <v>2098</v>
      </c>
      <c r="BNT530" s="8" t="s">
        <v>982</v>
      </c>
      <c r="BNV530" s="8" t="s">
        <v>1654</v>
      </c>
      <c r="BOM530" s="8" t="s">
        <v>323</v>
      </c>
      <c r="BPP530" s="8" t="s">
        <v>982</v>
      </c>
      <c r="BQJ530" s="8" t="s">
        <v>5364</v>
      </c>
      <c r="BRL530" s="8" t="s">
        <v>982</v>
      </c>
      <c r="BRN530" s="8" t="s">
        <v>328</v>
      </c>
      <c r="BSF530" s="8" t="s">
        <v>5364</v>
      </c>
      <c r="BTJ530" s="8" t="s">
        <v>328</v>
      </c>
      <c r="BVF530" s="8" t="s">
        <v>328</v>
      </c>
      <c r="BXB530" s="8" t="s">
        <v>328</v>
      </c>
    </row>
    <row r="531" spans="1:933 1252:2024 2068:3032 3080:3512 6891:6920">
      <c r="A531" s="8" t="s">
        <v>1439</v>
      </c>
      <c r="B531" s="10" t="s">
        <v>8487</v>
      </c>
      <c r="C531" s="8">
        <v>1270.4088888888946</v>
      </c>
      <c r="D531" s="15">
        <v>48.661666666628982</v>
      </c>
      <c r="AYA531" s="8" t="s">
        <v>8487</v>
      </c>
      <c r="BKB531" s="8" t="s">
        <v>321</v>
      </c>
      <c r="BLX531" s="8" t="s">
        <v>324</v>
      </c>
      <c r="BMY531" s="8" t="s">
        <v>324</v>
      </c>
      <c r="BNN531" s="8" t="s">
        <v>2099</v>
      </c>
      <c r="BNT531" s="8" t="s">
        <v>983</v>
      </c>
      <c r="BPJ531" s="8" t="s">
        <v>1655</v>
      </c>
      <c r="BRL531" s="8" t="s">
        <v>5365</v>
      </c>
      <c r="BSM531" s="8" t="s">
        <v>983</v>
      </c>
      <c r="BTB531" s="8" t="s">
        <v>329</v>
      </c>
      <c r="BTH531" s="8" t="s">
        <v>5365</v>
      </c>
      <c r="BUI531" s="8" t="s">
        <v>983</v>
      </c>
      <c r="BUX531" s="8" t="s">
        <v>329</v>
      </c>
      <c r="BWT531" s="8" t="s">
        <v>329</v>
      </c>
      <c r="BYP531" s="8" t="s">
        <v>329</v>
      </c>
    </row>
    <row r="532" spans="1:933 1252:2024 2068:3032 3080:3512 6891:6920">
      <c r="A532" s="8" t="s">
        <v>1439</v>
      </c>
      <c r="B532" s="10" t="s">
        <v>8488</v>
      </c>
      <c r="C532" s="8">
        <v>1320.0705555556342</v>
      </c>
      <c r="D532" s="15">
        <v>24.33111111105821</v>
      </c>
      <c r="AYZ532" s="8" t="s">
        <v>8488</v>
      </c>
      <c r="BNT532" s="8" t="s">
        <v>2100</v>
      </c>
      <c r="BOU532" s="8" t="s">
        <v>325</v>
      </c>
      <c r="BPP532" s="8" t="s">
        <v>1656</v>
      </c>
      <c r="BRL532" s="8" t="s">
        <v>5366</v>
      </c>
      <c r="BTB532" s="8" t="s">
        <v>984</v>
      </c>
      <c r="BTH532" s="8" t="s">
        <v>5366</v>
      </c>
      <c r="BUI532" s="8" t="s">
        <v>984</v>
      </c>
      <c r="BUO532" s="8" t="s">
        <v>325</v>
      </c>
      <c r="BUX532" s="8" t="s">
        <v>984</v>
      </c>
      <c r="BVD532" s="8" t="s">
        <v>330</v>
      </c>
      <c r="BWZ532" s="8" t="s">
        <v>330</v>
      </c>
      <c r="BYV532" s="8" t="s">
        <v>330</v>
      </c>
    </row>
    <row r="533" spans="1:933 1252:2024 2068:3032 3080:3512 6891:6920">
      <c r="A533" s="8" t="s">
        <v>1439</v>
      </c>
      <c r="B533" s="10" t="s">
        <v>8489</v>
      </c>
      <c r="C533" s="8">
        <v>1345.4016666667303</v>
      </c>
      <c r="D533" s="15">
        <v>12.165555555553432</v>
      </c>
      <c r="AZN533" s="8" t="s">
        <v>8489</v>
      </c>
      <c r="BPJ533" s="8" t="s">
        <v>326</v>
      </c>
      <c r="BPP533" s="8" t="s">
        <v>2101</v>
      </c>
      <c r="BRL533" s="8" t="s">
        <v>1657</v>
      </c>
      <c r="BTH533" s="8" t="s">
        <v>5367</v>
      </c>
      <c r="BUX533" s="8" t="s">
        <v>985</v>
      </c>
      <c r="BVD533" s="8" t="s">
        <v>5367</v>
      </c>
      <c r="BVM533" s="8" t="s">
        <v>326</v>
      </c>
      <c r="BWZ533" s="8" t="s">
        <v>331</v>
      </c>
      <c r="BYV533" s="8" t="s">
        <v>331</v>
      </c>
      <c r="CAR533" s="8" t="s">
        <v>331</v>
      </c>
    </row>
    <row r="534" spans="1:933 1252:2024 2068:3032 3080:3512 6891:6920">
      <c r="A534" s="8" t="s">
        <v>1439</v>
      </c>
      <c r="B534" s="10" t="s">
        <v>8490</v>
      </c>
      <c r="C534" s="8">
        <v>1358.5672222223366</v>
      </c>
      <c r="D534" s="15">
        <v>24.331111111093861</v>
      </c>
      <c r="AYZ534" s="8" t="s">
        <v>5356</v>
      </c>
      <c r="BAM534" s="8" t="s">
        <v>8490</v>
      </c>
      <c r="BKB534" s="8" t="s">
        <v>986</v>
      </c>
      <c r="BKD534" s="8" t="s">
        <v>327</v>
      </c>
      <c r="BPP534" s="8" t="s">
        <v>327</v>
      </c>
      <c r="BUI534" s="8" t="s">
        <v>324</v>
      </c>
      <c r="BUZ534" s="8" t="s">
        <v>2102</v>
      </c>
      <c r="BVD534" s="8" t="s">
        <v>5368</v>
      </c>
      <c r="BWV534" s="8" t="s">
        <v>1658</v>
      </c>
      <c r="BWZ534" s="8" t="s">
        <v>5368</v>
      </c>
      <c r="CAN534" s="8" t="s">
        <v>332</v>
      </c>
      <c r="CCJ534" s="8" t="s">
        <v>332</v>
      </c>
      <c r="CEF534" s="8" t="s">
        <v>332</v>
      </c>
      <c r="CEL534" s="8" t="s">
        <v>986</v>
      </c>
      <c r="CGB534" s="8" t="s">
        <v>332</v>
      </c>
      <c r="CGH534" s="8" t="s">
        <v>986</v>
      </c>
    </row>
    <row r="535" spans="1:933 1252:2024 2068:3032 3080:3512 6891:6920">
      <c r="A535" s="8" t="s">
        <v>1439</v>
      </c>
      <c r="B535" s="10" t="s">
        <v>8491</v>
      </c>
      <c r="C535" s="8">
        <v>1383.8983333334327</v>
      </c>
      <c r="D535" s="15">
        <v>36.496111111232594</v>
      </c>
      <c r="AYZ535" s="8" t="s">
        <v>5357</v>
      </c>
      <c r="BBX535" s="8" t="s">
        <v>8491</v>
      </c>
      <c r="BUX535" s="8" t="s">
        <v>325</v>
      </c>
      <c r="CAT535" s="8" t="s">
        <v>328</v>
      </c>
      <c r="CDZ535" s="8" t="s">
        <v>328</v>
      </c>
      <c r="CEJ535" s="8" t="s">
        <v>5369</v>
      </c>
      <c r="CEL535" s="8" t="s">
        <v>987</v>
      </c>
      <c r="CFZ535" s="8" t="s">
        <v>987</v>
      </c>
      <c r="CGF535" s="8" t="s">
        <v>5369</v>
      </c>
      <c r="CGH535" s="8" t="s">
        <v>328</v>
      </c>
      <c r="CHV535" s="8" t="s">
        <v>987</v>
      </c>
      <c r="DGB535" s="8" t="s">
        <v>2103</v>
      </c>
      <c r="DHX535" s="8" t="s">
        <v>1659</v>
      </c>
      <c r="DLP535" s="8" t="s">
        <v>333</v>
      </c>
      <c r="DNL535" s="8" t="s">
        <v>333</v>
      </c>
      <c r="DPH535" s="8" t="s">
        <v>333</v>
      </c>
      <c r="DRD535" s="8" t="s">
        <v>333</v>
      </c>
    </row>
    <row r="536" spans="1:933 1252:2024 2068:3032 3080:3512 6891:6920">
      <c r="A536" s="8" t="s">
        <v>1439</v>
      </c>
      <c r="B536" s="10" t="s">
        <v>8492</v>
      </c>
      <c r="C536" s="8">
        <v>1421.3944444443332</v>
      </c>
      <c r="D536" s="15">
        <v>48.661666666511934</v>
      </c>
      <c r="AYZ536" s="8" t="s">
        <v>5358</v>
      </c>
      <c r="BDV536" s="8" t="s">
        <v>8492</v>
      </c>
      <c r="BVD536" s="8" t="s">
        <v>326</v>
      </c>
      <c r="CCH536" s="8" t="s">
        <v>329</v>
      </c>
      <c r="CGF536" s="8" t="s">
        <v>5370</v>
      </c>
      <c r="CHV536" s="8" t="s">
        <v>988</v>
      </c>
      <c r="CIB536" s="8" t="s">
        <v>5370</v>
      </c>
      <c r="CIG536" s="8" t="s">
        <v>329</v>
      </c>
      <c r="DJT536" s="8" t="s">
        <v>2104</v>
      </c>
      <c r="DLP536" s="8" t="s">
        <v>1660</v>
      </c>
      <c r="DPH536" s="8" t="s">
        <v>334</v>
      </c>
      <c r="DRD536" s="8" t="s">
        <v>334</v>
      </c>
      <c r="DSZ536" s="8" t="s">
        <v>334</v>
      </c>
      <c r="DUV536" s="8" t="s">
        <v>334</v>
      </c>
    </row>
    <row r="537" spans="1:933 1252:2024 2068:3032 3080:3512 6891:6920">
      <c r="A537" s="8" t="s">
        <v>4211</v>
      </c>
      <c r="B537" s="10" t="s">
        <v>8493</v>
      </c>
      <c r="C537" s="8">
        <v>32.708333333255723</v>
      </c>
      <c r="D537" s="15">
        <v>44.493333333210757</v>
      </c>
      <c r="CG537" s="8" t="s">
        <v>8493</v>
      </c>
      <c r="BAV537" s="8" t="s">
        <v>5359</v>
      </c>
      <c r="CCN537" s="8" t="s">
        <v>330</v>
      </c>
      <c r="CGA537" s="8" t="s">
        <v>330</v>
      </c>
      <c r="CGF537" s="8" t="s">
        <v>989</v>
      </c>
      <c r="CGH537" s="8" t="s">
        <v>327</v>
      </c>
      <c r="CIB537" s="8" t="s">
        <v>989</v>
      </c>
      <c r="CJX537" s="8" t="s">
        <v>989</v>
      </c>
      <c r="CTD537" s="8" t="s">
        <v>5371</v>
      </c>
      <c r="CUZ537" s="8" t="s">
        <v>5371</v>
      </c>
    </row>
    <row r="538" spans="1:933 1252:2024 2068:3032 3080:3512 6891:6920">
      <c r="A538" s="8" t="s">
        <v>4211</v>
      </c>
      <c r="B538" s="10" t="s">
        <v>8494</v>
      </c>
      <c r="C538" s="8">
        <v>78.201666666660458</v>
      </c>
      <c r="D538" s="15">
        <v>24.553888888790532</v>
      </c>
      <c r="DG538" s="8" t="s">
        <v>8494</v>
      </c>
      <c r="AYZ538" s="8" t="s">
        <v>6245</v>
      </c>
      <c r="BCR538" s="8" t="s">
        <v>5360</v>
      </c>
      <c r="CEJ538" s="8" t="s">
        <v>331</v>
      </c>
      <c r="CGF538" s="8" t="s">
        <v>990</v>
      </c>
      <c r="CGM538" s="8" t="s">
        <v>331</v>
      </c>
      <c r="CHV538" s="8" t="s">
        <v>328</v>
      </c>
      <c r="CJX538" s="8" t="s">
        <v>331</v>
      </c>
      <c r="CNL538" s="8" t="s">
        <v>990</v>
      </c>
      <c r="CPH538" s="8" t="s">
        <v>990</v>
      </c>
      <c r="DHX538" s="8" t="s">
        <v>5372</v>
      </c>
      <c r="DJT538" s="8" t="s">
        <v>5372</v>
      </c>
    </row>
    <row r="539" spans="1:933 1252:2024 2068:3032 3080:3512 6891:6920">
      <c r="A539" s="8" t="s">
        <v>4211</v>
      </c>
      <c r="B539" s="10" t="s">
        <v>8495</v>
      </c>
      <c r="C539" s="8">
        <v>103.75555555557366</v>
      </c>
      <c r="D539" s="15">
        <v>22.246666666837086</v>
      </c>
      <c r="ED539" s="8" t="s">
        <v>8495</v>
      </c>
      <c r="AYZ539" s="8" t="s">
        <v>6573</v>
      </c>
      <c r="BAV539" s="8" t="s">
        <v>6020</v>
      </c>
      <c r="BCL539" s="8" t="s">
        <v>332</v>
      </c>
      <c r="BCN539" s="8" t="s">
        <v>991</v>
      </c>
      <c r="BEN539" s="8" t="s">
        <v>5361</v>
      </c>
      <c r="CIB539" s="8" t="s">
        <v>329</v>
      </c>
      <c r="CJT539" s="8" t="s">
        <v>332</v>
      </c>
      <c r="CPH539" s="8" t="s">
        <v>332</v>
      </c>
      <c r="DJT539" s="8" t="s">
        <v>5373</v>
      </c>
      <c r="DLP539" s="8" t="s">
        <v>5373</v>
      </c>
      <c r="DYN539" s="8" t="s">
        <v>991</v>
      </c>
      <c r="EAJ539" s="8" t="s">
        <v>991</v>
      </c>
    </row>
    <row r="540" spans="1:933 1252:2024 2068:3032 3080:3512 6891:6920">
      <c r="A540" s="8" t="s">
        <v>4211</v>
      </c>
      <c r="B540" s="10" t="s">
        <v>8604</v>
      </c>
      <c r="C540" s="8">
        <v>127.99999999988358</v>
      </c>
      <c r="D540" s="15">
        <v>11.013333333423203</v>
      </c>
      <c r="EQ540" s="8" t="s">
        <v>8604</v>
      </c>
      <c r="BHD540" s="8" t="s">
        <v>6791</v>
      </c>
      <c r="BIZ540" s="8" t="s">
        <v>6574</v>
      </c>
      <c r="BKB540" s="8" t="s">
        <v>333</v>
      </c>
      <c r="BKV540" s="8" t="s">
        <v>6021</v>
      </c>
      <c r="BKZ540" s="8" t="s">
        <v>333</v>
      </c>
      <c r="BLX540" s="8" t="s">
        <v>992</v>
      </c>
      <c r="BON540" s="8" t="s">
        <v>5362</v>
      </c>
      <c r="CJX540" s="8" t="s">
        <v>330</v>
      </c>
      <c r="DJT540" s="8" t="s">
        <v>5374</v>
      </c>
      <c r="DLP540" s="8" t="s">
        <v>5374</v>
      </c>
      <c r="DUV540" s="8" t="s">
        <v>333</v>
      </c>
      <c r="DWR540" s="8" t="s">
        <v>992</v>
      </c>
      <c r="EAJ540" s="8" t="s">
        <v>333</v>
      </c>
      <c r="ECF540" s="8" t="s">
        <v>992</v>
      </c>
      <c r="EEB540" s="8" t="s">
        <v>992</v>
      </c>
    </row>
    <row r="541" spans="1:933 1252:2024 2068:3032 3080:3512 6891:6920">
      <c r="A541" s="8" t="s">
        <v>4211</v>
      </c>
      <c r="B541" s="10" t="s">
        <v>8496</v>
      </c>
      <c r="C541" s="8">
        <v>141.01555555569939</v>
      </c>
      <c r="D541" s="15">
        <v>44.052777777919225</v>
      </c>
      <c r="GK541" s="8" t="s">
        <v>8496</v>
      </c>
      <c r="BIF541" s="8" t="s">
        <v>6792</v>
      </c>
      <c r="BKB541" s="8" t="s">
        <v>6575</v>
      </c>
      <c r="BLX541" s="8" t="s">
        <v>5869</v>
      </c>
      <c r="BMV541" s="8" t="s">
        <v>334</v>
      </c>
      <c r="BNT541" s="8" t="s">
        <v>1397</v>
      </c>
      <c r="BPP541" s="8" t="s">
        <v>5363</v>
      </c>
      <c r="CPH541" s="8" t="s">
        <v>331</v>
      </c>
      <c r="DLP541" s="8" t="s">
        <v>5375</v>
      </c>
      <c r="DNL541" s="8" t="s">
        <v>5375</v>
      </c>
      <c r="DYN541" s="8" t="s">
        <v>334</v>
      </c>
      <c r="EEB541" s="8" t="s">
        <v>334</v>
      </c>
      <c r="JEA541" s="8" t="s">
        <v>334</v>
      </c>
      <c r="JFD541" s="8" t="s">
        <v>1397</v>
      </c>
    </row>
    <row r="542" spans="1:933 1252:2024 2068:3032 3080:3512 6891:6920">
      <c r="A542" s="8" t="s">
        <v>4211</v>
      </c>
      <c r="B542" s="10" t="s">
        <v>8497</v>
      </c>
      <c r="C542" s="8">
        <v>186.06833333324175</v>
      </c>
      <c r="D542" s="15">
        <v>44.052777777683666</v>
      </c>
      <c r="ID542" s="8" t="s">
        <v>8497</v>
      </c>
      <c r="BIF542" s="8" t="s">
        <v>6793</v>
      </c>
      <c r="BKB542" s="8" t="s">
        <v>6576</v>
      </c>
      <c r="BLX542" s="8" t="s">
        <v>6022</v>
      </c>
      <c r="BPP542" s="8" t="s">
        <v>5364</v>
      </c>
      <c r="DLP542" s="8" t="s">
        <v>5376</v>
      </c>
      <c r="DNL542" s="8" t="s">
        <v>5376</v>
      </c>
      <c r="EAJ542" s="8" t="s">
        <v>332</v>
      </c>
    </row>
    <row r="543" spans="1:933 1252:2024 2068:3032 3080:3512 6891:6920">
      <c r="A543" s="8" t="s">
        <v>4211</v>
      </c>
      <c r="B543" s="10" t="s">
        <v>8498</v>
      </c>
      <c r="C543" s="8">
        <v>836.24611111124977</v>
      </c>
      <c r="D543" s="15">
        <v>44.052777777913931</v>
      </c>
      <c r="AHD543" s="8" t="s">
        <v>8498</v>
      </c>
      <c r="BKB543" s="8" t="s">
        <v>6794</v>
      </c>
      <c r="BLX543" s="8" t="s">
        <v>6577</v>
      </c>
      <c r="BNT543" s="8" t="s">
        <v>6023</v>
      </c>
      <c r="BRL543" s="8" t="s">
        <v>5365</v>
      </c>
      <c r="DSZ543" s="8" t="s">
        <v>5377</v>
      </c>
      <c r="DUV543" s="8" t="s">
        <v>5377</v>
      </c>
      <c r="EEB543" s="8" t="s">
        <v>333</v>
      </c>
    </row>
    <row r="544" spans="1:933 1252:2024 2068:3032 3080:3512 6891:6920">
      <c r="A544" s="8" t="s">
        <v>4211</v>
      </c>
      <c r="B544" s="10" t="s">
        <v>8499</v>
      </c>
      <c r="C544" s="8">
        <v>881.29888888879213</v>
      </c>
      <c r="D544" s="15">
        <v>44.052777777678365</v>
      </c>
      <c r="AIW544" s="8" t="s">
        <v>8499</v>
      </c>
      <c r="BKB544" s="8" t="s">
        <v>6795</v>
      </c>
      <c r="BLX544" s="8" t="s">
        <v>6578</v>
      </c>
      <c r="BNT544" s="8" t="s">
        <v>6024</v>
      </c>
      <c r="BRL544" s="8" t="s">
        <v>5366</v>
      </c>
      <c r="ECF544" s="8" t="s">
        <v>5378</v>
      </c>
      <c r="EEB544" s="8" t="s">
        <v>5378</v>
      </c>
    </row>
    <row r="545" spans="1:1023 1069:2024 2072:3032 3080:4088 4108:4280">
      <c r="A545" s="8" t="s">
        <v>4211</v>
      </c>
      <c r="B545" s="10" t="s">
        <v>8500</v>
      </c>
      <c r="C545" s="8">
        <v>926.35166666668374</v>
      </c>
      <c r="D545" s="15">
        <v>44.052777777792052</v>
      </c>
      <c r="AKP545" s="8" t="s">
        <v>8500</v>
      </c>
      <c r="BLX545" s="8" t="s">
        <v>6796</v>
      </c>
      <c r="BNT545" s="8" t="s">
        <v>6579</v>
      </c>
      <c r="BPP545" s="8" t="s">
        <v>6025</v>
      </c>
      <c r="BTH545" s="8" t="s">
        <v>5367</v>
      </c>
      <c r="FFT545" s="8" t="s">
        <v>5379</v>
      </c>
      <c r="FHP545" s="8" t="s">
        <v>5379</v>
      </c>
    </row>
    <row r="546" spans="1:1023 1069:2024 2072:3032 3080:4088 4108:4280">
      <c r="A546" s="8" t="s">
        <v>4211</v>
      </c>
      <c r="B546" s="10" t="s">
        <v>8501</v>
      </c>
      <c r="C546" s="8">
        <v>971.40444444457535</v>
      </c>
      <c r="D546" s="15">
        <v>44.052777777906215</v>
      </c>
      <c r="AMI546" s="8" t="s">
        <v>8501</v>
      </c>
      <c r="BNT546" s="8" t="s">
        <v>6797</v>
      </c>
      <c r="BPP546" s="8" t="s">
        <v>6580</v>
      </c>
      <c r="BRL546" s="8" t="s">
        <v>6026</v>
      </c>
      <c r="BVD546" s="8" t="s">
        <v>5368</v>
      </c>
    </row>
    <row r="547" spans="1:1023 1069:2024 2072:3032 3080:4088 4108:4280">
      <c r="A547" s="8" t="s">
        <v>4211</v>
      </c>
      <c r="B547" s="10" t="s">
        <v>8502</v>
      </c>
      <c r="C547" s="8">
        <v>1016.4572222221177</v>
      </c>
      <c r="D547" s="15">
        <v>44.052777777670656</v>
      </c>
      <c r="AOC547" s="8" t="s">
        <v>8502</v>
      </c>
      <c r="BYV547" s="8" t="s">
        <v>6798</v>
      </c>
      <c r="CAR547" s="8" t="s">
        <v>6581</v>
      </c>
      <c r="CCN547" s="8" t="s">
        <v>6027</v>
      </c>
      <c r="CGF547" s="8" t="s">
        <v>5370</v>
      </c>
    </row>
    <row r="548" spans="1:1023 1069:2024 2072:3032 3080:4088 4108:4280">
      <c r="A548" s="8" t="s">
        <v>4211</v>
      </c>
      <c r="B548" s="10" t="s">
        <v>8503</v>
      </c>
      <c r="C548" s="8">
        <v>1068.5100000001257</v>
      </c>
      <c r="D548" s="15">
        <v>33.039444444361145</v>
      </c>
      <c r="APR548" s="8" t="s">
        <v>8503</v>
      </c>
      <c r="CLT548" s="8" t="s">
        <v>6799</v>
      </c>
      <c r="CNP548" s="8" t="s">
        <v>6582</v>
      </c>
      <c r="CPL548" s="8" t="s">
        <v>6028</v>
      </c>
      <c r="CTD548" s="8" t="s">
        <v>5371</v>
      </c>
    </row>
    <row r="549" spans="1:1023 1069:2024 2072:3032 3080:4088 4108:4280">
      <c r="A549" s="8" t="s">
        <v>4211</v>
      </c>
      <c r="B549" s="10" t="s">
        <v>8504</v>
      </c>
      <c r="C549" s="8">
        <v>1109.549444444594</v>
      </c>
      <c r="D549" s="15">
        <v>22.026666666530396</v>
      </c>
      <c r="AQV549" s="17" t="s">
        <v>8504</v>
      </c>
      <c r="DAN549" s="8" t="s">
        <v>6800</v>
      </c>
      <c r="DCJ549" s="8" t="s">
        <v>6583</v>
      </c>
      <c r="DEF549" s="8" t="s">
        <v>6029</v>
      </c>
      <c r="DHX549" s="8" t="s">
        <v>5372</v>
      </c>
    </row>
    <row r="550" spans="1:1023 1069:2024 2072:3032 3080:4088 4108:4280">
      <c r="A550" s="8" t="s">
        <v>4211</v>
      </c>
      <c r="B550" s="10" t="s">
        <v>8505</v>
      </c>
      <c r="C550" s="8">
        <v>1132.5761111110914</v>
      </c>
      <c r="D550" s="15">
        <v>22.026666666710558</v>
      </c>
      <c r="ARS550" s="8" t="s">
        <v>8505</v>
      </c>
      <c r="DCJ550" s="8" t="s">
        <v>6801</v>
      </c>
      <c r="DEF550" s="8" t="s">
        <v>6584</v>
      </c>
      <c r="DGB550" s="8" t="s">
        <v>6030</v>
      </c>
      <c r="DJT550" s="8" t="s">
        <v>5373</v>
      </c>
    </row>
    <row r="551" spans="1:1023 1069:2024 2072:3032 3080:4088 4108:4280">
      <c r="A551" s="8" t="s">
        <v>4211</v>
      </c>
      <c r="B551" s="10" t="s">
        <v>8506</v>
      </c>
      <c r="C551" s="8">
        <v>1155.6027777779382</v>
      </c>
      <c r="D551" s="15">
        <v>6.6077777778704112</v>
      </c>
      <c r="ARZ551" s="8" t="s">
        <v>8506</v>
      </c>
      <c r="DCJ551" s="8" t="s">
        <v>6802</v>
      </c>
      <c r="DEF551" s="8" t="s">
        <v>6585</v>
      </c>
      <c r="DGB551" s="8" t="s">
        <v>6031</v>
      </c>
      <c r="DJT551" s="8" t="s">
        <v>5374</v>
      </c>
    </row>
    <row r="552" spans="1:1023 1069:2024 2072:3032 3080:4088 4108:4280">
      <c r="A552" s="8" t="s">
        <v>4211</v>
      </c>
      <c r="B552" s="10" t="s">
        <v>8507</v>
      </c>
      <c r="C552" s="8">
        <v>1163.2105555554153</v>
      </c>
      <c r="D552" s="15">
        <v>44.052777777635008</v>
      </c>
      <c r="ATS552" s="8" t="s">
        <v>8507</v>
      </c>
      <c r="DEF552" s="8" t="s">
        <v>6803</v>
      </c>
      <c r="DGB552" s="8" t="s">
        <v>6586</v>
      </c>
      <c r="DHX552" s="8" t="s">
        <v>6032</v>
      </c>
      <c r="DLP552" s="8" t="s">
        <v>5375</v>
      </c>
    </row>
    <row r="553" spans="1:1023 1069:2024 2072:3032 3080:4088 4108:4280">
      <c r="A553" s="8" t="s">
        <v>4211</v>
      </c>
      <c r="B553" s="10" t="s">
        <v>8508</v>
      </c>
      <c r="C553" s="8">
        <v>1215.2633333334234</v>
      </c>
      <c r="D553" s="15">
        <v>44.052777777865273</v>
      </c>
      <c r="AVS553" s="8" t="s">
        <v>8508</v>
      </c>
      <c r="DEF553" s="8" t="s">
        <v>6804</v>
      </c>
      <c r="DGB553" s="8" t="s">
        <v>6587</v>
      </c>
      <c r="DHX553" s="8" t="s">
        <v>6033</v>
      </c>
      <c r="DLP553" s="8" t="s">
        <v>5376</v>
      </c>
    </row>
    <row r="554" spans="1:1023 1069:2024 2072:3032 3080:4088 4108:4280">
      <c r="A554" s="8" t="s">
        <v>4211</v>
      </c>
      <c r="B554" s="10" t="s">
        <v>8509</v>
      </c>
      <c r="C554" s="8">
        <v>1260.3161111109657</v>
      </c>
      <c r="D554" s="15">
        <v>44.052777777629714</v>
      </c>
      <c r="AXL554" s="8" t="s">
        <v>8509</v>
      </c>
      <c r="BCR554" s="8" t="s">
        <v>4896</v>
      </c>
      <c r="BEN554" s="8" t="s">
        <v>4352</v>
      </c>
      <c r="DLP554" s="8" t="s">
        <v>6805</v>
      </c>
      <c r="DNL554" s="8" t="s">
        <v>6588</v>
      </c>
      <c r="DPH554" s="8" t="s">
        <v>6034</v>
      </c>
      <c r="DSZ554" s="8" t="s">
        <v>5377</v>
      </c>
    </row>
    <row r="555" spans="1:1023 1069:2024 2072:3032 3080:4088 4108:4280">
      <c r="A555" s="8" t="s">
        <v>4211</v>
      </c>
      <c r="B555" s="10" t="s">
        <v>8510</v>
      </c>
      <c r="C555" s="8">
        <v>1305.3688888888573</v>
      </c>
      <c r="D555" s="15">
        <v>44.052777777743401</v>
      </c>
      <c r="AZE555" s="8" t="s">
        <v>8510</v>
      </c>
      <c r="BEN555" s="8" t="s">
        <v>4897</v>
      </c>
      <c r="BGJ555" s="8" t="s">
        <v>4353</v>
      </c>
      <c r="DUV555" s="8" t="s">
        <v>6806</v>
      </c>
      <c r="DWR555" s="8" t="s">
        <v>6386</v>
      </c>
      <c r="DYN555" s="8" t="s">
        <v>6035</v>
      </c>
      <c r="ECF555" s="8" t="s">
        <v>5378</v>
      </c>
    </row>
    <row r="556" spans="1:1023 1069:2024 2072:3032 3080:4088 4108:4280">
      <c r="A556" s="8" t="s">
        <v>4212</v>
      </c>
      <c r="B556" s="10" t="s">
        <v>8511</v>
      </c>
      <c r="C556" s="8">
        <v>70.67666666675359</v>
      </c>
      <c r="D556" s="15">
        <v>25.295555555697625</v>
      </c>
      <c r="CZ556" s="8" t="s">
        <v>8511</v>
      </c>
      <c r="BGJ556" s="8" t="s">
        <v>4898</v>
      </c>
      <c r="BIF556" s="8" t="s">
        <v>4354</v>
      </c>
      <c r="EXH556" s="8" t="s">
        <v>6807</v>
      </c>
      <c r="EZD556" s="8" t="s">
        <v>6589</v>
      </c>
      <c r="FAZ556" s="8" t="s">
        <v>6036</v>
      </c>
      <c r="FER556" s="8" t="s">
        <v>5828</v>
      </c>
    </row>
    <row r="557" spans="1:1023 1069:2024 2072:3032 3080:4088 4108:4280">
      <c r="A557" s="8" t="s">
        <v>4212</v>
      </c>
      <c r="B557" s="10" t="s">
        <v>8512</v>
      </c>
      <c r="C557" s="8">
        <v>96.972222222131677</v>
      </c>
      <c r="D557" s="15">
        <v>10.176111111094018</v>
      </c>
      <c r="DK557" s="8" t="s">
        <v>8512</v>
      </c>
      <c r="BKB557" s="8" t="s">
        <v>4899</v>
      </c>
      <c r="BLX557" s="8" t="s">
        <v>4355</v>
      </c>
      <c r="EYJ557" s="8" t="s">
        <v>6808</v>
      </c>
      <c r="FAF557" s="8" t="s">
        <v>6590</v>
      </c>
      <c r="FCB557" s="8" t="s">
        <v>6037</v>
      </c>
      <c r="FFT557" s="8" t="s">
        <v>5379</v>
      </c>
    </row>
    <row r="558" spans="1:1023 1069:2024 2072:3032 3080:4088 4108:4280">
      <c r="A558" s="8" t="s">
        <v>4212</v>
      </c>
      <c r="B558" s="10" t="s">
        <v>8513</v>
      </c>
      <c r="C558" s="8">
        <v>108.14833333343267</v>
      </c>
      <c r="D558" s="15">
        <v>25.426666666736413</v>
      </c>
      <c r="EL558" s="8" t="s">
        <v>8513</v>
      </c>
      <c r="BLX558" s="8" t="s">
        <v>4900</v>
      </c>
      <c r="BNT558" s="8" t="s">
        <v>4356</v>
      </c>
    </row>
    <row r="559" spans="1:1023 1069:2024 2072:3032 3080:4088 4108:4280">
      <c r="A559" s="8" t="s">
        <v>4212</v>
      </c>
      <c r="B559" s="10" t="s">
        <v>8514</v>
      </c>
      <c r="C559" s="8">
        <v>136.6533333332045</v>
      </c>
      <c r="D559" s="15">
        <v>15.256111111130471</v>
      </c>
      <c r="FD559" s="8" t="s">
        <v>8514</v>
      </c>
      <c r="BNT559" s="8" t="s">
        <v>4901</v>
      </c>
      <c r="BPP559" s="8" t="s">
        <v>4357</v>
      </c>
    </row>
    <row r="560" spans="1:1023 1069:2024 2072:3032 3080:4088 4108:4280">
      <c r="A560" s="8" t="s">
        <v>4212</v>
      </c>
      <c r="B560" s="10" t="s">
        <v>8515</v>
      </c>
      <c r="C560" s="8">
        <v>158.66444444458466</v>
      </c>
      <c r="D560" s="15">
        <v>25.295555555401855</v>
      </c>
      <c r="GJ560" s="8" t="s">
        <v>8515</v>
      </c>
      <c r="BSF560" s="8" t="s">
        <v>4902</v>
      </c>
      <c r="BUB560" s="8" t="s">
        <v>4358</v>
      </c>
    </row>
    <row r="561" spans="1:1005 1880:2024 2072:3032 3080:3608 4328:4376">
      <c r="A561" s="8" t="s">
        <v>4212</v>
      </c>
      <c r="B561" s="10" t="s">
        <v>8516</v>
      </c>
      <c r="C561" s="8">
        <v>188.55166666663717</v>
      </c>
      <c r="D561" s="15">
        <v>12.407222222391002</v>
      </c>
      <c r="HA561" s="8" t="s">
        <v>8516</v>
      </c>
      <c r="BTH561" s="8" t="s">
        <v>4903</v>
      </c>
      <c r="BVD561" s="8" t="s">
        <v>4359</v>
      </c>
    </row>
    <row r="562" spans="1:1005 1880:2024 2072:3032 3080:3608 4328:4376">
      <c r="A562" s="8" t="s">
        <v>4212</v>
      </c>
      <c r="B562" s="10" t="s">
        <v>8517</v>
      </c>
      <c r="C562" s="8">
        <v>204.95888888882473</v>
      </c>
      <c r="D562" s="15">
        <v>49.627777777897393</v>
      </c>
      <c r="JC562" s="8" t="s">
        <v>8517</v>
      </c>
      <c r="BVD562" s="8" t="s">
        <v>4904</v>
      </c>
      <c r="BWZ562" s="8" t="s">
        <v>4360</v>
      </c>
    </row>
    <row r="563" spans="1:1005 1880:2024 2072:3032 3080:3608 4328:4376">
      <c r="A563" s="8" t="s">
        <v>4212</v>
      </c>
      <c r="B563" s="10" t="s">
        <v>8518</v>
      </c>
      <c r="C563" s="8">
        <v>258.58666666655336</v>
      </c>
      <c r="D563" s="15">
        <v>50.248333333179765</v>
      </c>
      <c r="LE563" s="8" t="s">
        <v>8518</v>
      </c>
      <c r="BVD563" s="8" t="s">
        <v>4905</v>
      </c>
      <c r="BWZ563" s="8" t="s">
        <v>4361</v>
      </c>
    </row>
    <row r="564" spans="1:1005 1880:2024 2072:3032 3080:3608 4328:4376">
      <c r="A564" s="8" t="s">
        <v>4212</v>
      </c>
      <c r="B564" s="10" t="s">
        <v>8519</v>
      </c>
      <c r="C564" s="8">
        <v>309.83499999996275</v>
      </c>
      <c r="D564" s="15">
        <v>25.426666666600084</v>
      </c>
      <c r="ME564" s="8" t="s">
        <v>8519</v>
      </c>
      <c r="BWZ564" s="8" t="s">
        <v>4906</v>
      </c>
      <c r="BYV564" s="8" t="s">
        <v>4362</v>
      </c>
    </row>
    <row r="565" spans="1:1005 1880:2024 2072:3032 3080:3608 4328:4376">
      <c r="A565" s="8" t="s">
        <v>4212</v>
      </c>
      <c r="B565" s="10" t="s">
        <v>8520</v>
      </c>
      <c r="C565" s="8">
        <v>336.26166666671634</v>
      </c>
      <c r="D565" s="15">
        <v>50.85333333332396</v>
      </c>
      <c r="OE565" s="8" t="s">
        <v>8520</v>
      </c>
      <c r="BYV565" s="8" t="s">
        <v>4907</v>
      </c>
      <c r="CAR565" s="8" t="s">
        <v>4363</v>
      </c>
    </row>
    <row r="566" spans="1:1005 1880:2024 2072:3032 3080:3608 4328:4376">
      <c r="A566" s="8" t="s">
        <v>4212</v>
      </c>
      <c r="B566" s="10" t="s">
        <v>8521</v>
      </c>
      <c r="C566" s="8">
        <v>388.1150000001071</v>
      </c>
      <c r="D566" s="15">
        <v>49.627777777719153</v>
      </c>
      <c r="QD566" s="8" t="s">
        <v>8521</v>
      </c>
      <c r="CIB566" s="8" t="s">
        <v>4908</v>
      </c>
      <c r="CJX566" s="8" t="s">
        <v>4364</v>
      </c>
    </row>
    <row r="567" spans="1:1005 1880:2024 2072:3032 3080:3608 4328:4376">
      <c r="A567" s="8" t="s">
        <v>4212</v>
      </c>
      <c r="B567" s="10" t="s">
        <v>8522</v>
      </c>
      <c r="C567" s="8">
        <v>438.74277777783573</v>
      </c>
      <c r="D567" s="15">
        <v>12.407222222128947</v>
      </c>
      <c r="QQ567" s="8" t="s">
        <v>8522</v>
      </c>
      <c r="CJX567" s="8" t="s">
        <v>4909</v>
      </c>
      <c r="CLT567" s="8" t="s">
        <v>4365</v>
      </c>
    </row>
    <row r="568" spans="1:1005 1880:2024 2072:3032 3080:3608 4328:4376">
      <c r="A568" s="8" t="s">
        <v>4212</v>
      </c>
      <c r="B568" s="10" t="s">
        <v>8523</v>
      </c>
      <c r="C568" s="8">
        <v>452.15000000002328</v>
      </c>
      <c r="D568" s="15">
        <v>49.627777777635337</v>
      </c>
      <c r="SP568" s="8" t="s">
        <v>8523</v>
      </c>
      <c r="CWV568" s="8" t="s">
        <v>4910</v>
      </c>
      <c r="CYR568" s="8" t="s">
        <v>4366</v>
      </c>
    </row>
    <row r="569" spans="1:1005 1880:2024 2072:3032 3080:3608 4328:4376">
      <c r="A569" s="8" t="s">
        <v>4212</v>
      </c>
      <c r="B569" s="10" t="s">
        <v>8524</v>
      </c>
      <c r="C569" s="8">
        <v>836.32777777779847</v>
      </c>
      <c r="D569" s="15">
        <v>12.15888888903171</v>
      </c>
      <c r="AFX569" s="8" t="s">
        <v>8524</v>
      </c>
      <c r="DLP569" s="8" t="s">
        <v>4911</v>
      </c>
      <c r="DNL569" s="8" t="s">
        <v>4367</v>
      </c>
    </row>
    <row r="570" spans="1:1005 1880:2024 2072:3032 3080:3608 4328:4376">
      <c r="A570" s="8" t="s">
        <v>4212</v>
      </c>
      <c r="B570" s="10" t="s">
        <v>8525</v>
      </c>
      <c r="C570" s="8">
        <v>849.73499999998603</v>
      </c>
      <c r="D570" s="15">
        <v>14.888333333409394</v>
      </c>
      <c r="AGO570" s="8" t="s">
        <v>8525</v>
      </c>
      <c r="DNL570" s="8" t="s">
        <v>4912</v>
      </c>
      <c r="DPH570" s="8" t="s">
        <v>4368</v>
      </c>
    </row>
    <row r="571" spans="1:1005 1880:2024 2072:3032 3080:3608 4328:4376">
      <c r="A571" s="8" t="s">
        <v>4212</v>
      </c>
      <c r="B571" s="10" t="s">
        <v>8526</v>
      </c>
      <c r="C571" s="8">
        <v>866.62333333329298</v>
      </c>
      <c r="D571" s="15">
        <v>24.813888888765639</v>
      </c>
      <c r="AHO571" s="8" t="s">
        <v>8526</v>
      </c>
      <c r="DNL571" s="8" t="s">
        <v>4913</v>
      </c>
      <c r="DPH571" s="8" t="s">
        <v>4369</v>
      </c>
    </row>
    <row r="572" spans="1:1005 1880:2024 2072:3032 3080:3608 4328:4376">
      <c r="A572" s="8" t="s">
        <v>4212</v>
      </c>
      <c r="B572" s="10" t="s">
        <v>8527</v>
      </c>
      <c r="C572" s="8">
        <v>892.4372222222155</v>
      </c>
      <c r="D572" s="15">
        <v>11.166111111052107</v>
      </c>
      <c r="AIB572" s="8" t="s">
        <v>8527</v>
      </c>
      <c r="DPH572" s="8" t="s">
        <v>4914</v>
      </c>
      <c r="DRD572" s="8" t="s">
        <v>4370</v>
      </c>
    </row>
    <row r="573" spans="1:1005 1880:2024 2072:3032 3080:3608 4328:4376">
      <c r="A573" s="8" t="s">
        <v>4212</v>
      </c>
      <c r="B573" s="10" t="s">
        <v>8528</v>
      </c>
      <c r="C573" s="8">
        <v>904.60333333339076</v>
      </c>
      <c r="D573" s="15">
        <v>12.407222222128466</v>
      </c>
      <c r="AIO573" s="8" t="s">
        <v>8528</v>
      </c>
      <c r="DPH573" s="8" t="s">
        <v>4915</v>
      </c>
      <c r="DRD573" s="8" t="s">
        <v>4371</v>
      </c>
    </row>
    <row r="574" spans="1:1005 1880:2024 2072:3032 3080:3608 4328:4376">
      <c r="A574" s="8" t="s">
        <v>4212</v>
      </c>
      <c r="B574" s="10" t="s">
        <v>8529</v>
      </c>
      <c r="C574" s="8">
        <v>918.01055555557832</v>
      </c>
      <c r="D574" s="15">
        <v>27.29555555551714</v>
      </c>
      <c r="AJQ574" s="8" t="s">
        <v>8529</v>
      </c>
      <c r="DWR574" s="8" t="s">
        <v>4916</v>
      </c>
      <c r="DYN574" s="8" t="s">
        <v>4372</v>
      </c>
    </row>
    <row r="575" spans="1:1005 1880:2024 2072:3032 3080:3608 4328:4376">
      <c r="A575" s="8" t="s">
        <v>4212</v>
      </c>
      <c r="B575" s="10" t="s">
        <v>8530</v>
      </c>
      <c r="C575" s="8">
        <v>946.30611111118924</v>
      </c>
      <c r="D575" s="15">
        <v>24.813888888884144</v>
      </c>
      <c r="AKQ575" s="8" t="s">
        <v>8530</v>
      </c>
      <c r="EFX575" s="8" t="s">
        <v>4716</v>
      </c>
      <c r="EHT575" s="8" t="s">
        <v>4373</v>
      </c>
    </row>
    <row r="576" spans="1:1005 1880:2024 2072:3032 3080:3608 4328:4376">
      <c r="A576" s="8" t="s">
        <v>4212</v>
      </c>
      <c r="B576" s="10" t="s">
        <v>8531</v>
      </c>
      <c r="C576" s="8">
        <v>972.12000000011176</v>
      </c>
      <c r="D576" s="15">
        <v>24.813888888917866</v>
      </c>
      <c r="ALQ576" s="8" t="s">
        <v>8531</v>
      </c>
      <c r="FJL576" s="8" t="s">
        <v>4917</v>
      </c>
      <c r="FLH576" s="8" t="s">
        <v>4374</v>
      </c>
    </row>
    <row r="577" spans="1:582 1031:1926 2168:2648">
      <c r="A577" s="8" t="s">
        <v>4212</v>
      </c>
      <c r="B577" s="10" t="s">
        <v>8532</v>
      </c>
      <c r="C577" s="8">
        <v>997.93388888903428</v>
      </c>
      <c r="D577" s="15">
        <v>24.813888888951581</v>
      </c>
      <c r="AMQ577" s="8" t="s">
        <v>8532</v>
      </c>
    </row>
    <row r="578" spans="1:582 1031:1926 2168:2648">
      <c r="A578" s="8" t="s">
        <v>4212</v>
      </c>
      <c r="B578" s="10" t="s">
        <v>8533</v>
      </c>
      <c r="C578" s="8">
        <v>1023.7477777776076</v>
      </c>
      <c r="D578" s="15">
        <v>49.627777777791408</v>
      </c>
      <c r="AOO578" s="8" t="s">
        <v>8533</v>
      </c>
      <c r="BCR578" s="8" t="s">
        <v>336</v>
      </c>
    </row>
    <row r="579" spans="1:582 1031:1926 2168:2648">
      <c r="A579" s="8" t="s">
        <v>4212</v>
      </c>
      <c r="B579" s="10" t="s">
        <v>8534</v>
      </c>
      <c r="C579" s="8">
        <v>1074.3755555556854</v>
      </c>
      <c r="D579" s="15">
        <v>12.407222222201206</v>
      </c>
      <c r="APC579" s="8" t="s">
        <v>8534</v>
      </c>
      <c r="BEH579" s="8" t="s">
        <v>338</v>
      </c>
    </row>
    <row r="580" spans="1:582 1031:1926 2168:2648">
      <c r="A580" s="8" t="s">
        <v>4212</v>
      </c>
      <c r="B580" s="10" t="s">
        <v>8535</v>
      </c>
      <c r="C580" s="8">
        <v>1087.782777777873</v>
      </c>
      <c r="D580" s="15">
        <v>44.665000000016221</v>
      </c>
      <c r="AQV580" s="17" t="s">
        <v>8535</v>
      </c>
      <c r="BEN580" s="8" t="s">
        <v>339</v>
      </c>
    </row>
    <row r="581" spans="1:582 1031:1926 2168:2648">
      <c r="A581" s="8" t="s">
        <v>4212</v>
      </c>
      <c r="B581" s="10" t="s">
        <v>8536</v>
      </c>
      <c r="C581" s="8">
        <v>1133.4477777779102</v>
      </c>
      <c r="D581" s="15">
        <v>24.813888888938575</v>
      </c>
      <c r="ARV581" s="8" t="s">
        <v>8536</v>
      </c>
      <c r="BIF581" s="8" t="s">
        <v>340</v>
      </c>
    </row>
    <row r="582" spans="1:582 1031:1926 2168:2648">
      <c r="A582" s="8" t="s">
        <v>4212</v>
      </c>
      <c r="B582" s="10" t="s">
        <v>8537</v>
      </c>
      <c r="C582" s="8">
        <v>1159.2616666668328</v>
      </c>
      <c r="D582" s="15">
        <v>12.531111111099317</v>
      </c>
      <c r="ASJ582" s="8" t="s">
        <v>8537</v>
      </c>
      <c r="BLX582" s="8" t="s">
        <v>341</v>
      </c>
    </row>
    <row r="583" spans="1:582 1031:1926 2168:2648">
      <c r="A583" s="8" t="s">
        <v>4213</v>
      </c>
      <c r="B583" s="10" t="s">
        <v>8538</v>
      </c>
      <c r="C583" s="8">
        <v>90.710000000079162</v>
      </c>
      <c r="D583" s="15">
        <v>95.097777777896098</v>
      </c>
      <c r="GL583" s="8" t="s">
        <v>8538</v>
      </c>
      <c r="BPP583" s="8" t="s">
        <v>342</v>
      </c>
    </row>
    <row r="584" spans="1:582 1031:1926 2168:2648">
      <c r="A584" s="8" t="s">
        <v>4213</v>
      </c>
      <c r="B584" s="10" t="s">
        <v>8539</v>
      </c>
      <c r="C584" s="8">
        <v>186.80777777766343</v>
      </c>
      <c r="D584" s="15">
        <v>9.5100000000115585</v>
      </c>
      <c r="GV584" s="8" t="s">
        <v>8539</v>
      </c>
      <c r="BRL584" s="8" t="s">
        <v>343</v>
      </c>
    </row>
    <row r="585" spans="1:582 1031:1926 2168:2648">
      <c r="A585" s="8" t="s">
        <v>4213</v>
      </c>
      <c r="B585" s="10" t="s">
        <v>8540</v>
      </c>
      <c r="C585" s="8">
        <v>200.31777777790558</v>
      </c>
      <c r="D585" s="15">
        <v>9.3955555555988752</v>
      </c>
      <c r="HJ585" s="8" t="s">
        <v>8540</v>
      </c>
      <c r="BUD585" s="8" t="s">
        <v>344</v>
      </c>
    </row>
    <row r="586" spans="1:582 1031:1926 2168:2648">
      <c r="A586" s="8" t="s">
        <v>4213</v>
      </c>
      <c r="B586" s="10" t="s">
        <v>8541</v>
      </c>
      <c r="C586" s="8">
        <v>210.71333333349321</v>
      </c>
      <c r="D586" s="15">
        <v>23.488333333327176</v>
      </c>
      <c r="IH586" s="8" t="s">
        <v>8541</v>
      </c>
      <c r="BVB586" s="8" t="s">
        <v>345</v>
      </c>
    </row>
    <row r="587" spans="1:582 1031:1926 2168:2648">
      <c r="A587" s="8" t="s">
        <v>4213</v>
      </c>
      <c r="B587" s="10" t="s">
        <v>8542</v>
      </c>
      <c r="C587" s="8">
        <v>241.00000000011642</v>
      </c>
      <c r="D587" s="15">
        <v>13.072777777910392</v>
      </c>
      <c r="JB587" s="8" t="s">
        <v>8542</v>
      </c>
      <c r="CEJ587" s="8" t="s">
        <v>346</v>
      </c>
    </row>
    <row r="588" spans="1:582 1031:1926 2168:2648">
      <c r="A588" s="8" t="s">
        <v>4213</v>
      </c>
      <c r="B588" s="10" t="s">
        <v>8543</v>
      </c>
      <c r="C588" s="8">
        <v>255.0727777776774</v>
      </c>
      <c r="D588" s="15">
        <v>9.4994444444472101</v>
      </c>
      <c r="JM588" s="8" t="s">
        <v>8543</v>
      </c>
      <c r="CGZ588" s="8" t="s">
        <v>347</v>
      </c>
    </row>
    <row r="589" spans="1:582 1031:1926 2168:2648">
      <c r="A589" s="8" t="s">
        <v>4213</v>
      </c>
      <c r="B589" s="10" t="s">
        <v>8544</v>
      </c>
      <c r="C589" s="8">
        <v>265.57222222234122</v>
      </c>
      <c r="D589" s="15">
        <v>9.4994444443171435</v>
      </c>
      <c r="JW589" s="8" t="s">
        <v>8544</v>
      </c>
      <c r="AYZ589" s="8" t="s">
        <v>341</v>
      </c>
      <c r="CHN589" s="8" t="s">
        <v>348</v>
      </c>
    </row>
    <row r="590" spans="1:582 1031:1926 2168:2648">
      <c r="A590" s="8" t="s">
        <v>4213</v>
      </c>
      <c r="B590" s="10" t="s">
        <v>8545</v>
      </c>
      <c r="C590" s="8">
        <v>291</v>
      </c>
      <c r="D590" s="15">
        <v>86.063333333353512</v>
      </c>
      <c r="NU590" s="8" t="s">
        <v>8545</v>
      </c>
      <c r="AYZ590" s="8" t="s">
        <v>342</v>
      </c>
      <c r="BAV590" s="8" t="s">
        <v>342</v>
      </c>
      <c r="BCR590" s="8" t="s">
        <v>342</v>
      </c>
      <c r="CJY590" s="8" t="s">
        <v>349</v>
      </c>
    </row>
    <row r="591" spans="1:582 1031:1926 2168:2648">
      <c r="A591" s="8" t="s">
        <v>4213</v>
      </c>
      <c r="B591" s="10" t="s">
        <v>8546</v>
      </c>
      <c r="C591" s="8">
        <v>385.00000000011642</v>
      </c>
      <c r="D591" s="15">
        <v>95.097777777933686</v>
      </c>
      <c r="RT591" s="8" t="s">
        <v>8546</v>
      </c>
      <c r="BAV591" s="8" t="s">
        <v>343</v>
      </c>
      <c r="BCR591" s="8" t="s">
        <v>343</v>
      </c>
      <c r="BEN591" s="8" t="s">
        <v>343</v>
      </c>
      <c r="BGJ591" s="8" t="s">
        <v>343</v>
      </c>
      <c r="CWV591" s="8" t="s">
        <v>350</v>
      </c>
    </row>
    <row r="592" spans="1:582 1031:1926 2168:2648">
      <c r="A592" s="8" t="s">
        <v>4213</v>
      </c>
      <c r="B592" s="10" t="s">
        <v>8547</v>
      </c>
      <c r="C592" s="8">
        <v>481.09777777770068</v>
      </c>
      <c r="D592" s="15">
        <v>93.02333333347201</v>
      </c>
      <c r="VJ592" s="8" t="s">
        <v>8547</v>
      </c>
      <c r="AYZ592" s="8" t="s">
        <v>1661</v>
      </c>
      <c r="BAV592" s="8" t="s">
        <v>318</v>
      </c>
      <c r="BCR592" s="8" t="s">
        <v>344</v>
      </c>
      <c r="BEN592" s="8" t="s">
        <v>344</v>
      </c>
      <c r="BGJ592" s="8" t="s">
        <v>344</v>
      </c>
      <c r="BIF592" s="8" t="s">
        <v>344</v>
      </c>
    </row>
    <row r="593" spans="1:968 1070:2041 2055:2648 3176:4088 4184:4328 5328:5336">
      <c r="A593" s="8" t="s">
        <v>4213</v>
      </c>
      <c r="B593" s="10" t="s">
        <v>8548</v>
      </c>
      <c r="C593" s="8">
        <v>816.99944444443099</v>
      </c>
      <c r="D593" s="15">
        <v>9.5350000000191084</v>
      </c>
      <c r="AFC593" s="8" t="s">
        <v>8548</v>
      </c>
      <c r="AZP593" s="8" t="s">
        <v>319</v>
      </c>
      <c r="AZV593" s="8" t="s">
        <v>2105</v>
      </c>
      <c r="BAB593" s="17" t="s">
        <v>338</v>
      </c>
      <c r="BAV593" s="8" t="s">
        <v>993</v>
      </c>
      <c r="BBL593" s="8" t="s">
        <v>319</v>
      </c>
      <c r="BBR593" s="8" t="s">
        <v>1662</v>
      </c>
      <c r="BCL593" s="8" t="s">
        <v>993</v>
      </c>
      <c r="BCR593" s="8" t="s">
        <v>338</v>
      </c>
      <c r="BEH593" s="8" t="s">
        <v>993</v>
      </c>
      <c r="BFJ593" s="8" t="s">
        <v>345</v>
      </c>
      <c r="BHF593" s="8" t="s">
        <v>345</v>
      </c>
      <c r="BJB593" s="8" t="s">
        <v>345</v>
      </c>
      <c r="BKX593" s="8" t="s">
        <v>345</v>
      </c>
    </row>
    <row r="594" spans="1:968 1070:2041 2055:2648 3176:4088 4184:4328 5328:5336">
      <c r="A594" s="8" t="s">
        <v>4213</v>
      </c>
      <c r="B594" s="10" t="s">
        <v>8549</v>
      </c>
      <c r="C594" s="8">
        <v>827.53444444458</v>
      </c>
      <c r="D594" s="15">
        <v>4.6511111109474168</v>
      </c>
      <c r="AFH594" s="8" t="s">
        <v>8549</v>
      </c>
      <c r="BAA594" s="8" t="s">
        <v>320</v>
      </c>
      <c r="BAT594" s="8" t="s">
        <v>2106</v>
      </c>
      <c r="BBW594" s="8" t="s">
        <v>320</v>
      </c>
      <c r="BCP594" s="8" t="s">
        <v>1663</v>
      </c>
      <c r="BCR594" s="8" t="s">
        <v>994</v>
      </c>
      <c r="BEH594" s="8" t="s">
        <v>994</v>
      </c>
      <c r="BEN594" s="8" t="s">
        <v>994</v>
      </c>
      <c r="BFG594" s="8" t="s">
        <v>339</v>
      </c>
      <c r="BGH594" s="8" t="s">
        <v>346</v>
      </c>
      <c r="BID594" s="8" t="s">
        <v>346</v>
      </c>
      <c r="BJZ594" s="8" t="s">
        <v>346</v>
      </c>
      <c r="BLV594" s="8" t="s">
        <v>346</v>
      </c>
    </row>
    <row r="595" spans="1:968 1070:2041 2055:2648 3176:4088 4184:4328 5328:5336">
      <c r="A595" s="8" t="s">
        <v>4213</v>
      </c>
      <c r="B595" s="10" t="s">
        <v>8550</v>
      </c>
      <c r="C595" s="8">
        <v>902.6977777776774</v>
      </c>
      <c r="D595" s="15">
        <v>9.3022222222224009</v>
      </c>
      <c r="AIJ595" s="8" t="s">
        <v>8550</v>
      </c>
      <c r="AYZ595" s="8" t="s">
        <v>6809</v>
      </c>
      <c r="BAP595" s="8" t="s">
        <v>321</v>
      </c>
      <c r="BAQ595" s="8" t="s">
        <v>340</v>
      </c>
      <c r="BAV595" s="8" t="s">
        <v>995</v>
      </c>
      <c r="BCL595" s="8" t="s">
        <v>321</v>
      </c>
      <c r="BEN595" s="8" t="s">
        <v>340</v>
      </c>
      <c r="BGJ595" s="8" t="s">
        <v>995</v>
      </c>
      <c r="BIF595" s="8" t="s">
        <v>995</v>
      </c>
      <c r="BKB595" s="8" t="s">
        <v>2107</v>
      </c>
      <c r="BLX595" s="8" t="s">
        <v>1664</v>
      </c>
      <c r="BPP595" s="8" t="s">
        <v>347</v>
      </c>
      <c r="BRL595" s="8" t="s">
        <v>347</v>
      </c>
      <c r="BTH595" s="8" t="s">
        <v>347</v>
      </c>
      <c r="BVD595" s="8" t="s">
        <v>347</v>
      </c>
    </row>
    <row r="596" spans="1:968 1070:2041 2055:2648 3176:4088 4184:4328 5328:5336">
      <c r="A596" s="8" t="s">
        <v>4213</v>
      </c>
      <c r="B596" s="10" t="s">
        <v>8551</v>
      </c>
      <c r="C596" s="8">
        <v>936.74444444454275</v>
      </c>
      <c r="D596" s="15">
        <v>23.255555555555517</v>
      </c>
      <c r="AKF596" s="8" t="s">
        <v>8551</v>
      </c>
      <c r="BAV596" s="8" t="s">
        <v>6810</v>
      </c>
      <c r="BCR596" s="8" t="s">
        <v>341</v>
      </c>
      <c r="BEN596" s="8" t="s">
        <v>996</v>
      </c>
      <c r="BGJ596" s="8" t="s">
        <v>323</v>
      </c>
      <c r="BIF596" s="8" t="s">
        <v>323</v>
      </c>
      <c r="BKB596" s="8" t="s">
        <v>996</v>
      </c>
      <c r="BLX596" s="8" t="s">
        <v>996</v>
      </c>
      <c r="BMR596" s="8" t="s">
        <v>2108</v>
      </c>
      <c r="BON596" s="8" t="s">
        <v>1665</v>
      </c>
      <c r="BSF596" s="8" t="s">
        <v>348</v>
      </c>
      <c r="BUB596" s="8" t="s">
        <v>348</v>
      </c>
      <c r="BVX596" s="8" t="s">
        <v>348</v>
      </c>
      <c r="BXT596" s="8" t="s">
        <v>348</v>
      </c>
    </row>
    <row r="597" spans="1:968 1070:2041 2055:2648 3176:4088 4184:4328 5328:5336">
      <c r="A597" s="8" t="s">
        <v>4213</v>
      </c>
      <c r="B597" s="10" t="s">
        <v>8552</v>
      </c>
      <c r="C597" s="8">
        <v>978.24666666670237</v>
      </c>
      <c r="D597" s="15">
        <v>83.721111111262132</v>
      </c>
      <c r="AOD597" s="8" t="s">
        <v>8552</v>
      </c>
      <c r="BGJ597" s="8" t="s">
        <v>6811</v>
      </c>
      <c r="BIF597" s="8" t="s">
        <v>324</v>
      </c>
      <c r="BKB597" s="8" t="s">
        <v>324</v>
      </c>
      <c r="BLX597" s="8" t="s">
        <v>342</v>
      </c>
      <c r="BNF597" s="8" t="s">
        <v>2109</v>
      </c>
      <c r="BNT597" s="8" t="s">
        <v>997</v>
      </c>
      <c r="BPB597" s="8" t="s">
        <v>1666</v>
      </c>
      <c r="BPP597" s="8" t="s">
        <v>997</v>
      </c>
      <c r="BST597" s="8" t="s">
        <v>349</v>
      </c>
      <c r="BUP597" s="8" t="s">
        <v>349</v>
      </c>
      <c r="BWL597" s="8" t="s">
        <v>349</v>
      </c>
      <c r="BYH597" s="8" t="s">
        <v>349</v>
      </c>
    </row>
    <row r="598" spans="1:968 1070:2041 2055:2648 3176:4088 4184:4328 5328:5336">
      <c r="A598" s="8" t="s">
        <v>4213</v>
      </c>
      <c r="B598" s="10" t="s">
        <v>8553</v>
      </c>
      <c r="C598" s="8">
        <v>1128.7444444445428</v>
      </c>
      <c r="D598" s="15">
        <v>23.255555555555517</v>
      </c>
      <c r="ARP598" s="8" t="s">
        <v>8553</v>
      </c>
      <c r="AYW598" s="8" t="s">
        <v>336</v>
      </c>
      <c r="BGJ598" s="8" t="s">
        <v>6812</v>
      </c>
      <c r="BKB598" s="8" t="s">
        <v>343</v>
      </c>
      <c r="BLC598" s="8" t="s">
        <v>325</v>
      </c>
      <c r="BMY598" s="8" t="s">
        <v>325</v>
      </c>
      <c r="BNT598" s="8" t="s">
        <v>998</v>
      </c>
      <c r="BPP598" s="8" t="s">
        <v>998</v>
      </c>
      <c r="BPQ598" s="8" t="s">
        <v>2110</v>
      </c>
      <c r="BRL598" s="8" t="s">
        <v>998</v>
      </c>
      <c r="BRM598" s="8" t="s">
        <v>1667</v>
      </c>
      <c r="BVE598" s="8" t="s">
        <v>350</v>
      </c>
      <c r="BXA598" s="8" t="s">
        <v>350</v>
      </c>
      <c r="BYW598" s="8" t="s">
        <v>350</v>
      </c>
      <c r="CAS598" s="8" t="s">
        <v>350</v>
      </c>
    </row>
    <row r="599" spans="1:968 1070:2041 2055:2648 3176:4088 4184:4328 5328:5336">
      <c r="A599" s="8" t="s">
        <v>4213</v>
      </c>
      <c r="B599" s="10" t="s">
        <v>8605</v>
      </c>
      <c r="C599" s="8">
        <v>1293.674444444594</v>
      </c>
      <c r="D599" s="15">
        <v>2.3255555555553578</v>
      </c>
      <c r="AXD599" s="8" t="s">
        <v>8605</v>
      </c>
      <c r="BCR599" s="8" t="s">
        <v>337</v>
      </c>
      <c r="BIE599" s="8" t="s">
        <v>6813</v>
      </c>
      <c r="BLR599" s="8" t="s">
        <v>326</v>
      </c>
      <c r="BLX599" s="8" t="s">
        <v>344</v>
      </c>
      <c r="BMZ599" s="8" t="s">
        <v>344</v>
      </c>
      <c r="BNN599" s="8" t="s">
        <v>326</v>
      </c>
      <c r="BNT599" s="8" t="s">
        <v>999</v>
      </c>
      <c r="BRL599" s="8" t="s">
        <v>344</v>
      </c>
      <c r="BSH599" s="8" t="s">
        <v>999</v>
      </c>
      <c r="BUD599" s="8" t="s">
        <v>999</v>
      </c>
      <c r="BYE599" s="8" t="s">
        <v>2111</v>
      </c>
      <c r="CAA599" s="8" t="s">
        <v>1668</v>
      </c>
      <c r="CDS599" s="8" t="s">
        <v>335</v>
      </c>
      <c r="CFO599" s="8" t="s">
        <v>335</v>
      </c>
      <c r="CHK599" s="8" t="s">
        <v>335</v>
      </c>
      <c r="CJG599" s="8" t="s">
        <v>335</v>
      </c>
    </row>
    <row r="600" spans="1:968 1070:2041 2055:2648 3176:4088 4184:4328 5328:5336">
      <c r="A600" s="8" t="s">
        <v>4213</v>
      </c>
      <c r="B600" s="10" t="s">
        <v>8554</v>
      </c>
      <c r="C600" s="8">
        <v>1334.6977777776774</v>
      </c>
      <c r="D600" s="15">
        <v>9.3022222222224009</v>
      </c>
      <c r="AYZ600" s="8" t="s">
        <v>8554</v>
      </c>
      <c r="BEH600" s="8" t="s">
        <v>338</v>
      </c>
      <c r="BKB600" s="8" t="s">
        <v>6815</v>
      </c>
      <c r="BLX600" s="8" t="s">
        <v>327</v>
      </c>
      <c r="BNT600" s="8" t="s">
        <v>327</v>
      </c>
      <c r="BOP600" s="8" t="s">
        <v>345</v>
      </c>
      <c r="BTF600" s="8" t="s">
        <v>1000</v>
      </c>
      <c r="BUD600" s="8" t="s">
        <v>1000</v>
      </c>
      <c r="BUI600" s="8" t="s">
        <v>345</v>
      </c>
      <c r="BVB600" s="8" t="s">
        <v>1000</v>
      </c>
      <c r="CCN600" s="8" t="s">
        <v>2112</v>
      </c>
      <c r="CEJ600" s="8" t="s">
        <v>1669</v>
      </c>
      <c r="CIB600" s="8" t="s">
        <v>351</v>
      </c>
      <c r="CJX600" s="8" t="s">
        <v>351</v>
      </c>
      <c r="CLT600" s="8" t="s">
        <v>351</v>
      </c>
      <c r="CNP600" s="8" t="s">
        <v>351</v>
      </c>
    </row>
    <row r="601" spans="1:968 1070:2041 2055:2648 3176:4088 4184:4328 5328:5336">
      <c r="A601" s="8" t="s">
        <v>4213</v>
      </c>
      <c r="B601" s="10" t="s">
        <v>8555</v>
      </c>
      <c r="C601" s="8">
        <v>1368.7444444445428</v>
      </c>
      <c r="D601" s="15">
        <v>23.255555555555517</v>
      </c>
      <c r="BAV601" s="8" t="s">
        <v>8555</v>
      </c>
      <c r="BEN601" s="8" t="s">
        <v>339</v>
      </c>
      <c r="BKB601" s="8" t="s">
        <v>6814</v>
      </c>
      <c r="BLV601" s="8" t="s">
        <v>1001</v>
      </c>
      <c r="BMN601" s="8" t="s">
        <v>346</v>
      </c>
      <c r="BPN601" s="8" t="s">
        <v>346</v>
      </c>
      <c r="BTH601" s="8" t="s">
        <v>310</v>
      </c>
      <c r="BVB601" s="8" t="s">
        <v>346</v>
      </c>
      <c r="BVD601" s="8" t="s">
        <v>310</v>
      </c>
      <c r="CCN601" s="8" t="s">
        <v>1001</v>
      </c>
      <c r="CEJ601" s="8" t="s">
        <v>1001</v>
      </c>
      <c r="EYJ601" s="8" t="s">
        <v>2113</v>
      </c>
      <c r="FAF601" s="8" t="s">
        <v>1670</v>
      </c>
      <c r="FDX601" s="8" t="s">
        <v>1461</v>
      </c>
      <c r="FFT601" s="8" t="s">
        <v>1461</v>
      </c>
      <c r="FHP601" s="8" t="s">
        <v>1461</v>
      </c>
      <c r="FJL601" s="8" t="s">
        <v>1461</v>
      </c>
    </row>
    <row r="602" spans="1:968 1070:2041 2055:2648 3176:4088 4184:4328 5328:5336">
      <c r="A602" s="8" t="s">
        <v>4214</v>
      </c>
      <c r="B602" s="10" t="s">
        <v>8556</v>
      </c>
      <c r="C602" s="8">
        <v>-48.976666666567326</v>
      </c>
      <c r="D602" s="15">
        <v>22.988333333382897</v>
      </c>
      <c r="H602" s="8" t="s">
        <v>8556</v>
      </c>
      <c r="BIF602" s="8" t="s">
        <v>340</v>
      </c>
      <c r="BNB602" s="8" t="s">
        <v>6816</v>
      </c>
      <c r="BXB602" s="8" t="s">
        <v>328</v>
      </c>
      <c r="BYV602" s="8" t="s">
        <v>347</v>
      </c>
      <c r="BYX602" s="8" t="s">
        <v>328</v>
      </c>
      <c r="BZM602" s="8" t="s">
        <v>347</v>
      </c>
      <c r="CAR602" s="8" t="s">
        <v>1002</v>
      </c>
      <c r="CEJ602" s="8" t="s">
        <v>347</v>
      </c>
      <c r="CFD602" s="8" t="s">
        <v>1002</v>
      </c>
      <c r="CGZ602" s="8" t="s">
        <v>1002</v>
      </c>
    </row>
    <row r="603" spans="1:968 1070:2041 2055:2648 3176:4088 4184:4328 5328:5336">
      <c r="A603" s="8" t="s">
        <v>4214</v>
      </c>
      <c r="B603" s="10" t="s">
        <v>8557</v>
      </c>
      <c r="C603" s="8">
        <v>59.17388888890855</v>
      </c>
      <c r="D603" s="15">
        <v>14.129444444571813</v>
      </c>
      <c r="CC603" s="8" t="s">
        <v>8557</v>
      </c>
      <c r="BLX603" s="8" t="s">
        <v>6817</v>
      </c>
      <c r="BYP603" s="8" t="s">
        <v>329</v>
      </c>
      <c r="CAL603" s="8" t="s">
        <v>329</v>
      </c>
      <c r="CBL603" s="8" t="s">
        <v>348</v>
      </c>
      <c r="CFR603" s="8" t="s">
        <v>1003</v>
      </c>
      <c r="CGZ603" s="8" t="s">
        <v>1003</v>
      </c>
      <c r="CHE603" s="8" t="s">
        <v>348</v>
      </c>
      <c r="CHN603" s="8" t="s">
        <v>1003</v>
      </c>
    </row>
    <row r="604" spans="1:968 1070:2041 2055:2648 3176:4088 4184:4328 5328:5336">
      <c r="A604" s="8" t="s">
        <v>4214</v>
      </c>
      <c r="B604" s="10" t="s">
        <v>8558</v>
      </c>
      <c r="C604" s="8">
        <v>74.303333333227783</v>
      </c>
      <c r="D604" s="15">
        <v>42.951666666554964</v>
      </c>
      <c r="DU604" s="8" t="s">
        <v>8558</v>
      </c>
      <c r="BNT604" s="8" t="s">
        <v>6818</v>
      </c>
      <c r="BPP604" s="8" t="s">
        <v>342</v>
      </c>
      <c r="BYV604" s="8" t="s">
        <v>330</v>
      </c>
      <c r="CAR604" s="8" t="s">
        <v>330</v>
      </c>
      <c r="CBZ604" s="8" t="s">
        <v>349</v>
      </c>
      <c r="CFR604" s="8" t="s">
        <v>1004</v>
      </c>
      <c r="CGQ604" s="8" t="s">
        <v>349</v>
      </c>
      <c r="CHN604" s="8" t="s">
        <v>349</v>
      </c>
      <c r="CIC604" s="8" t="s">
        <v>1004</v>
      </c>
      <c r="CJY604" s="8" t="s">
        <v>1004</v>
      </c>
    </row>
    <row r="605" spans="1:968 1070:2041 2055:2648 3176:4088 4184:4328 5328:5336">
      <c r="A605" s="8" t="s">
        <v>4214</v>
      </c>
      <c r="B605" s="10" t="s">
        <v>8559</v>
      </c>
      <c r="C605" s="8">
        <v>118.25500000000466</v>
      </c>
      <c r="D605" s="15">
        <v>23.862222222150464</v>
      </c>
      <c r="ET605" s="8" t="s">
        <v>8559</v>
      </c>
      <c r="BRL605" s="8" t="s">
        <v>343</v>
      </c>
      <c r="BWY605" s="8" t="s">
        <v>6819</v>
      </c>
      <c r="BXA605" s="8" t="s">
        <v>1005</v>
      </c>
      <c r="BXE605" s="8" t="s">
        <v>350</v>
      </c>
      <c r="CAR605" s="8" t="s">
        <v>331</v>
      </c>
      <c r="CCN605" s="8" t="s">
        <v>331</v>
      </c>
      <c r="CEK605" s="8" t="s">
        <v>350</v>
      </c>
      <c r="CJY605" s="8" t="s">
        <v>350</v>
      </c>
      <c r="CUZ605" s="8" t="s">
        <v>1005</v>
      </c>
      <c r="CWV605" s="8" t="s">
        <v>1005</v>
      </c>
    </row>
    <row r="606" spans="1:968 1070:2041 2055:2648 3176:4088 4184:4328 5328:5336">
      <c r="A606" s="8" t="s">
        <v>4214</v>
      </c>
      <c r="B606" s="10" t="s">
        <v>8560</v>
      </c>
      <c r="C606" s="8">
        <v>145.00000000011642</v>
      </c>
      <c r="D606" s="15">
        <v>19.08944444428214</v>
      </c>
      <c r="FP606" s="8" t="s">
        <v>8560</v>
      </c>
      <c r="BUD606" s="8" t="s">
        <v>344</v>
      </c>
      <c r="BWZ606" s="8" t="s">
        <v>6820</v>
      </c>
      <c r="CGB606" s="8" t="s">
        <v>332</v>
      </c>
      <c r="CHX606" s="8" t="s">
        <v>332</v>
      </c>
      <c r="CRH606" s="8" t="s">
        <v>351</v>
      </c>
      <c r="CWV606" s="8" t="s">
        <v>351</v>
      </c>
      <c r="GVX606" s="8" t="s">
        <v>351</v>
      </c>
      <c r="GWF606" s="8" t="s">
        <v>1398</v>
      </c>
    </row>
    <row r="607" spans="1:968 1070:2041 2055:2648 3176:4088 4184:4328 5328:5336">
      <c r="A607" s="8" t="s">
        <v>4214</v>
      </c>
      <c r="B607" s="10" t="s">
        <v>8561</v>
      </c>
      <c r="C607" s="8">
        <v>165.0894444443984</v>
      </c>
      <c r="D607" s="15">
        <v>9.5449999998792521</v>
      </c>
      <c r="GA607" s="8" t="s">
        <v>8561</v>
      </c>
      <c r="BVB607" s="8" t="s">
        <v>345</v>
      </c>
      <c r="BYV607" s="8" t="s">
        <v>6821</v>
      </c>
      <c r="DRD607" s="8" t="s">
        <v>333</v>
      </c>
      <c r="DSZ607" s="8" t="s">
        <v>333</v>
      </c>
    </row>
    <row r="608" spans="1:968 1070:2041 2055:2648 3176:4088 4184:4328 5328:5336">
      <c r="A608" s="8" t="s">
        <v>4214</v>
      </c>
      <c r="B608" s="10" t="s">
        <v>8562</v>
      </c>
      <c r="C608" s="8">
        <v>175.63444444444031</v>
      </c>
      <c r="D608" s="15">
        <v>11.873333333405059</v>
      </c>
      <c r="GN608" s="19" t="s">
        <v>8562</v>
      </c>
      <c r="CAR608" s="8" t="s">
        <v>6822</v>
      </c>
      <c r="CEJ608" s="8" t="s">
        <v>346</v>
      </c>
      <c r="DUV608" s="8" t="s">
        <v>334</v>
      </c>
      <c r="DWR608" s="8" t="s">
        <v>334</v>
      </c>
    </row>
    <row r="609" spans="1:870 1352:1831 2120:2984 4328:4328">
      <c r="A609" s="8" t="s">
        <v>4214</v>
      </c>
      <c r="B609" s="10" t="s">
        <v>8563</v>
      </c>
      <c r="C609" s="8">
        <v>188.50777777761687</v>
      </c>
      <c r="D609" s="15">
        <v>4.7677777776981145</v>
      </c>
      <c r="GS609" s="8" t="s">
        <v>8563</v>
      </c>
      <c r="CCN609" s="8" t="s">
        <v>6823</v>
      </c>
      <c r="CGZ609" s="8" t="s">
        <v>347</v>
      </c>
    </row>
    <row r="610" spans="1:870 1352:1831 2120:2984 4328:4328">
      <c r="A610" s="8" t="s">
        <v>4214</v>
      </c>
      <c r="B610" s="10" t="s">
        <v>8564</v>
      </c>
      <c r="C610" s="8">
        <v>194.27555555559229</v>
      </c>
      <c r="D610" s="15">
        <v>57.21388888898241</v>
      </c>
      <c r="IY610" s="8" t="s">
        <v>8564</v>
      </c>
      <c r="CHN610" s="8" t="s">
        <v>348</v>
      </c>
      <c r="CJW610" s="8" t="s">
        <v>6824</v>
      </c>
    </row>
    <row r="611" spans="1:870 1352:1831 2120:2984 4328:4328">
      <c r="A611" s="8" t="s">
        <v>4214</v>
      </c>
      <c r="B611" s="10" t="s">
        <v>8565</v>
      </c>
      <c r="C611" s="8">
        <v>252.48944444430526</v>
      </c>
      <c r="D611" s="15">
        <v>9.4255555557091881</v>
      </c>
      <c r="JJ611" s="8" t="s">
        <v>8565</v>
      </c>
      <c r="CJX611" s="8" t="s">
        <v>6825</v>
      </c>
      <c r="CJY611" s="8" t="s">
        <v>349</v>
      </c>
    </row>
    <row r="612" spans="1:870 1352:1831 2120:2984 4328:4328">
      <c r="A612" s="8" t="s">
        <v>4214</v>
      </c>
      <c r="B612" s="10" t="s">
        <v>8566</v>
      </c>
      <c r="C612" s="8">
        <v>262.91499999992084</v>
      </c>
      <c r="D612" s="15">
        <v>4.7694444444870303</v>
      </c>
      <c r="JP612" s="17" t="s">
        <v>8566</v>
      </c>
      <c r="CUZ612" s="8" t="s">
        <v>6826</v>
      </c>
      <c r="CWV612" s="8" t="s">
        <v>350</v>
      </c>
    </row>
    <row r="613" spans="1:870 1352:1831 2120:2984 4328:4328">
      <c r="A613" s="8" t="s">
        <v>4214</v>
      </c>
      <c r="B613" s="10" t="s">
        <v>8567</v>
      </c>
      <c r="C613" s="8">
        <v>268.68444444460329</v>
      </c>
      <c r="D613" s="15">
        <v>18.798888888951101</v>
      </c>
      <c r="KI613" s="8" t="s">
        <v>8567</v>
      </c>
      <c r="AYZ613" s="8" t="s">
        <v>5380</v>
      </c>
      <c r="CUZ613" s="8" t="s">
        <v>6827</v>
      </c>
    </row>
    <row r="614" spans="1:870 1352:1831 2120:2984 4328:4328">
      <c r="A614" s="8" t="s">
        <v>4214</v>
      </c>
      <c r="B614" s="10" t="s">
        <v>8568</v>
      </c>
      <c r="C614" s="8">
        <v>289.00000000011642</v>
      </c>
      <c r="D614" s="15">
        <v>9.4022222220666443</v>
      </c>
      <c r="KT614" s="8" t="s">
        <v>8568</v>
      </c>
      <c r="AYZ614" s="8" t="s">
        <v>5381</v>
      </c>
      <c r="CUZ614" s="8" t="s">
        <v>6828</v>
      </c>
    </row>
    <row r="615" spans="1:870 1352:1831 2120:2984 4328:4328">
      <c r="A615" s="8" t="s">
        <v>4214</v>
      </c>
      <c r="B615" s="10" t="s">
        <v>8569</v>
      </c>
      <c r="C615" s="8">
        <v>299.4022222221829</v>
      </c>
      <c r="D615" s="15">
        <v>9.1955555554782844</v>
      </c>
      <c r="LE615" s="8" t="s">
        <v>8569</v>
      </c>
      <c r="AYZ615" s="8" t="s">
        <v>5382</v>
      </c>
      <c r="BAV615" s="8" t="s">
        <v>5382</v>
      </c>
      <c r="CWV615" s="8" t="s">
        <v>6829</v>
      </c>
    </row>
    <row r="616" spans="1:870 1352:1831 2120:2984 4328:4328">
      <c r="A616" s="8" t="s">
        <v>4214</v>
      </c>
      <c r="B616" s="10" t="s">
        <v>8570</v>
      </c>
      <c r="C616" s="8">
        <v>310.59777777793352</v>
      </c>
      <c r="D616" s="15">
        <v>9.5861111110235271</v>
      </c>
      <c r="LP616" s="8" t="s">
        <v>8570</v>
      </c>
      <c r="AYZ616" s="8" t="s">
        <v>5383</v>
      </c>
      <c r="BAV616" s="8" t="s">
        <v>5383</v>
      </c>
      <c r="CYR616" s="8" t="s">
        <v>6830</v>
      </c>
    </row>
    <row r="617" spans="1:870 1352:1831 2120:2984 4328:4328">
      <c r="A617" s="8" t="s">
        <v>4214</v>
      </c>
      <c r="B617" s="10" t="s">
        <v>8571</v>
      </c>
      <c r="C617" s="8">
        <v>321.36055555567145</v>
      </c>
      <c r="D617" s="15">
        <v>9.4261111109514299</v>
      </c>
      <c r="MA617" s="8" t="s">
        <v>8571</v>
      </c>
      <c r="BCF617" s="8" t="s">
        <v>5384</v>
      </c>
      <c r="BEB617" s="8" t="s">
        <v>5384</v>
      </c>
      <c r="DAN617" s="8" t="s">
        <v>6831</v>
      </c>
    </row>
    <row r="618" spans="1:870 1352:1831 2120:2984 4328:4328">
      <c r="A618" s="8" t="s">
        <v>4214</v>
      </c>
      <c r="B618" s="10" t="s">
        <v>8572</v>
      </c>
      <c r="C618" s="8">
        <v>337.99999999988358</v>
      </c>
      <c r="D618" s="15">
        <v>47.369999999995187</v>
      </c>
      <c r="OC618" s="8" t="s">
        <v>8572</v>
      </c>
      <c r="BCR618" s="8" t="s">
        <v>5385</v>
      </c>
      <c r="BEN618" s="8" t="s">
        <v>5385</v>
      </c>
      <c r="DHX618" s="8" t="s">
        <v>6832</v>
      </c>
    </row>
    <row r="619" spans="1:870 1352:1831 2120:2984 4328:4328">
      <c r="A619" s="8" t="s">
        <v>4214</v>
      </c>
      <c r="B619" s="10" t="s">
        <v>8573</v>
      </c>
      <c r="C619" s="8">
        <v>389.37000000011176</v>
      </c>
      <c r="D619" s="15">
        <v>22.988333333395421</v>
      </c>
      <c r="PD619" s="17" t="s">
        <v>8573</v>
      </c>
      <c r="BCR619" s="8" t="s">
        <v>5386</v>
      </c>
      <c r="BEN619" s="8" t="s">
        <v>5386</v>
      </c>
      <c r="DJT619" s="8" t="s">
        <v>6833</v>
      </c>
    </row>
    <row r="620" spans="1:870 1352:1831 2120:2984 4328:4328">
      <c r="A620" s="8" t="s">
        <v>4214</v>
      </c>
      <c r="B620" s="10" t="s">
        <v>8574</v>
      </c>
      <c r="C620" s="8">
        <v>454.00000000011642</v>
      </c>
      <c r="D620" s="15">
        <v>9.1955555556343604</v>
      </c>
      <c r="RC620" s="8" t="s">
        <v>8574</v>
      </c>
      <c r="BEN620" s="8" t="s">
        <v>5387</v>
      </c>
      <c r="BGJ620" s="8" t="s">
        <v>5387</v>
      </c>
      <c r="FJL620" s="8" t="s">
        <v>7165</v>
      </c>
    </row>
    <row r="621" spans="1:870 1352:1831 2120:2984 4328:4328">
      <c r="A621" s="8" t="s">
        <v>4214</v>
      </c>
      <c r="B621" s="10" t="s">
        <v>8575</v>
      </c>
      <c r="C621" s="8">
        <v>486</v>
      </c>
      <c r="D621" s="15">
        <v>45.977222222252749</v>
      </c>
      <c r="TT621" s="8" t="s">
        <v>8575</v>
      </c>
      <c r="BIF621" s="8" t="s">
        <v>5388</v>
      </c>
      <c r="BKB621" s="8" t="s">
        <v>5388</v>
      </c>
    </row>
    <row r="622" spans="1:870 1352:1831 2120:2984 4328:4328">
      <c r="A622" s="8" t="s">
        <v>4214</v>
      </c>
      <c r="B622" s="10" t="s">
        <v>8576</v>
      </c>
      <c r="C622" s="8">
        <v>544.69666666653939</v>
      </c>
      <c r="D622" s="15">
        <v>4.5977777778063427</v>
      </c>
      <c r="UK622" s="8" t="s">
        <v>8576</v>
      </c>
      <c r="BNT622" s="8" t="s">
        <v>5389</v>
      </c>
      <c r="BPP622" s="8" t="s">
        <v>5389</v>
      </c>
    </row>
    <row r="623" spans="1:870 1352:1831 2120:2984 4328:4328">
      <c r="A623" s="8" t="s">
        <v>4214</v>
      </c>
      <c r="B623" s="10" t="s">
        <v>8577</v>
      </c>
      <c r="C623" s="8">
        <v>836.41833333321847</v>
      </c>
      <c r="D623" s="15">
        <v>9.5400000000390186</v>
      </c>
      <c r="AFV623" s="8" t="s">
        <v>8577</v>
      </c>
      <c r="BNT623" s="8" t="s">
        <v>5390</v>
      </c>
      <c r="BPP623" s="8" t="s">
        <v>5390</v>
      </c>
    </row>
    <row r="624" spans="1:870 1352:1831 2120:2984 4328:4328">
      <c r="A624" s="8" t="s">
        <v>4214</v>
      </c>
      <c r="B624" s="10" t="s">
        <v>8578</v>
      </c>
      <c r="C624" s="8">
        <v>847.95833333325572</v>
      </c>
      <c r="D624" s="15">
        <v>13.793333333373742</v>
      </c>
      <c r="AGL624" s="8" t="s">
        <v>8578</v>
      </c>
      <c r="BPO624" s="8" t="s">
        <v>5391</v>
      </c>
      <c r="BRK624" s="8" t="s">
        <v>5391</v>
      </c>
    </row>
    <row r="625" spans="1:993 1081:1958 2168:2984 3176:3224">
      <c r="A625" s="8" t="s">
        <v>4214</v>
      </c>
      <c r="B625" s="10" t="s">
        <v>8579</v>
      </c>
      <c r="C625" s="8">
        <v>862.75166666682344</v>
      </c>
      <c r="D625" s="15">
        <v>13.448333333286552</v>
      </c>
      <c r="AGZ625" s="17" t="s">
        <v>8579</v>
      </c>
      <c r="BRL625" s="8" t="s">
        <v>5392</v>
      </c>
      <c r="BTH625" s="8" t="s">
        <v>5392</v>
      </c>
    </row>
    <row r="626" spans="1:993 1081:1958 2168:2984 3176:3224">
      <c r="A626" s="8" t="s">
        <v>4214</v>
      </c>
      <c r="B626" s="10" t="s">
        <v>8580</v>
      </c>
      <c r="C626" s="8">
        <v>877.20000000006985</v>
      </c>
      <c r="D626" s="15">
        <v>14.022777777817099</v>
      </c>
      <c r="AHO626" s="8" t="s">
        <v>8580</v>
      </c>
      <c r="BUL626" s="8" t="s">
        <v>5393</v>
      </c>
      <c r="BWH626" s="8" t="s">
        <v>5393</v>
      </c>
    </row>
    <row r="627" spans="1:993 1081:1958 2168:2984 3176:3224">
      <c r="A627" s="8" t="s">
        <v>4214</v>
      </c>
      <c r="B627" s="10" t="s">
        <v>8581</v>
      </c>
      <c r="C627" s="8">
        <v>892.22277777793352</v>
      </c>
      <c r="D627" s="15">
        <v>9.1955555556733835</v>
      </c>
      <c r="AHY627" s="8" t="s">
        <v>8581</v>
      </c>
      <c r="AYZ627" s="8" t="s">
        <v>5382</v>
      </c>
      <c r="BTH627" s="8" t="s">
        <v>5394</v>
      </c>
      <c r="BVD627" s="8" t="s">
        <v>5394</v>
      </c>
    </row>
    <row r="628" spans="1:993 1081:1958 2168:2984 3176:3224">
      <c r="A628" s="8" t="s">
        <v>4214</v>
      </c>
      <c r="B628" s="10" t="s">
        <v>8582</v>
      </c>
      <c r="C628" s="8">
        <v>905.41833333321847</v>
      </c>
      <c r="D628" s="15">
        <v>45.977222222138096</v>
      </c>
      <c r="AJW628" s="8" t="s">
        <v>8582</v>
      </c>
      <c r="AYZ628" s="8" t="s">
        <v>5383</v>
      </c>
      <c r="CEJ628" s="8" t="s">
        <v>5395</v>
      </c>
      <c r="CGF628" s="8" t="s">
        <v>5395</v>
      </c>
    </row>
    <row r="629" spans="1:993 1081:1958 2168:2984 3176:3224">
      <c r="A629" s="8" t="s">
        <v>4214</v>
      </c>
      <c r="B629" s="10" t="s">
        <v>8583</v>
      </c>
      <c r="C629" s="8">
        <v>976.00000000011642</v>
      </c>
      <c r="D629" s="15">
        <v>9.1955555556343604</v>
      </c>
      <c r="ALE629" s="8" t="s">
        <v>8583</v>
      </c>
      <c r="BCF629" s="8" t="s">
        <v>5384</v>
      </c>
      <c r="CGF629" s="8" t="s">
        <v>5396</v>
      </c>
      <c r="CIB629" s="8" t="s">
        <v>5396</v>
      </c>
    </row>
    <row r="630" spans="1:993 1081:1958 2168:2984 3176:3224">
      <c r="A630" s="8" t="s">
        <v>4214</v>
      </c>
      <c r="B630" s="10" t="s">
        <v>8584</v>
      </c>
      <c r="C630" s="8">
        <v>1050</v>
      </c>
      <c r="D630" s="15">
        <v>22.988333333283663</v>
      </c>
      <c r="AOO630" s="8" t="s">
        <v>8584</v>
      </c>
      <c r="AYZ630" s="8" t="s">
        <v>6246</v>
      </c>
      <c r="BCR630" s="8" t="s">
        <v>5385</v>
      </c>
      <c r="CIB630" s="8" t="s">
        <v>5397</v>
      </c>
      <c r="CJX630" s="8" t="s">
        <v>5397</v>
      </c>
    </row>
    <row r="631" spans="1:993 1081:1958 2168:2984 3176:3224">
      <c r="A631" s="8" t="s">
        <v>4214</v>
      </c>
      <c r="B631" s="10" t="s">
        <v>8585</v>
      </c>
      <c r="C631" s="8">
        <v>1163.218333333265</v>
      </c>
      <c r="D631" s="15">
        <v>36.78166666666656</v>
      </c>
      <c r="ATL631" s="8" t="s">
        <v>8585</v>
      </c>
      <c r="AYZ631" s="8" t="s">
        <v>6247</v>
      </c>
      <c r="BCR631" s="8" t="s">
        <v>5386</v>
      </c>
      <c r="CJX631" s="8" t="s">
        <v>5398</v>
      </c>
      <c r="CLT631" s="8" t="s">
        <v>5398</v>
      </c>
    </row>
    <row r="632" spans="1:993 1081:1958 2168:2984 3176:3224">
      <c r="A632" s="8" t="s">
        <v>4214</v>
      </c>
      <c r="B632" s="10" t="s">
        <v>8586</v>
      </c>
      <c r="C632" s="8">
        <v>1238.8044444444822</v>
      </c>
      <c r="D632" s="15">
        <v>9.1955555555553605</v>
      </c>
      <c r="AVH632" s="8" t="s">
        <v>8586</v>
      </c>
      <c r="AZV632" s="8" t="s">
        <v>6248</v>
      </c>
      <c r="BDN632" s="8" t="s">
        <v>5829</v>
      </c>
      <c r="CRG632" s="8" t="s">
        <v>5399</v>
      </c>
      <c r="CTC632" s="8" t="s">
        <v>5399</v>
      </c>
    </row>
    <row r="633" spans="1:993 1081:1958 2168:2984 3176:3224">
      <c r="A633" s="8" t="s">
        <v>4214</v>
      </c>
      <c r="B633" s="10" t="s">
        <v>8587</v>
      </c>
      <c r="C633" s="8">
        <v>1291.4022222220665</v>
      </c>
      <c r="D633" s="15">
        <v>4.5977777777779174</v>
      </c>
      <c r="AXD633" s="8" t="s">
        <v>8587</v>
      </c>
      <c r="AYZ633" s="8" t="s">
        <v>6591</v>
      </c>
      <c r="BAV633" s="8" t="s">
        <v>6038</v>
      </c>
      <c r="BEN633" s="8" t="s">
        <v>5387</v>
      </c>
      <c r="CRH633" s="8" t="s">
        <v>5400</v>
      </c>
      <c r="CTD633" s="8" t="s">
        <v>5400</v>
      </c>
    </row>
    <row r="634" spans="1:993 1081:1958 2168:2984 3176:3224">
      <c r="A634" s="8" t="s">
        <v>4214</v>
      </c>
      <c r="B634" s="10" t="s">
        <v>8588</v>
      </c>
      <c r="C634" s="8">
        <v>1334.8044444444822</v>
      </c>
      <c r="D634" s="15">
        <v>9.1955555555553605</v>
      </c>
      <c r="AYZ634" s="8" t="s">
        <v>8588</v>
      </c>
      <c r="AZU634" s="8" t="s">
        <v>6809</v>
      </c>
      <c r="BBQ634" s="8" t="s">
        <v>6387</v>
      </c>
      <c r="BDM634" s="8" t="s">
        <v>6039</v>
      </c>
      <c r="BHE634" s="8" t="s">
        <v>5830</v>
      </c>
      <c r="BVF634" s="8" t="s">
        <v>6834</v>
      </c>
      <c r="DCJ634" s="8" t="s">
        <v>5401</v>
      </c>
      <c r="DEF634" s="8" t="s">
        <v>5401</v>
      </c>
    </row>
    <row r="635" spans="1:993 1081:1958 2168:2984 3176:3224">
      <c r="A635" s="8" t="s">
        <v>5843</v>
      </c>
      <c r="B635" s="10" t="s">
        <v>8589</v>
      </c>
      <c r="C635" s="8">
        <v>575.99944444431458</v>
      </c>
      <c r="D635" s="15">
        <v>246.61166666667941</v>
      </c>
      <c r="AEY635" s="8" t="s">
        <v>8589</v>
      </c>
      <c r="BAV635" s="8" t="s">
        <v>6810</v>
      </c>
      <c r="BCR635" s="8" t="s">
        <v>6592</v>
      </c>
      <c r="BEN635" s="8" t="s">
        <v>6040</v>
      </c>
      <c r="BIF635" s="8" t="s">
        <v>5388</v>
      </c>
      <c r="DDR635" s="8" t="s">
        <v>5402</v>
      </c>
      <c r="DFN635" s="8" t="s">
        <v>5402</v>
      </c>
    </row>
    <row r="636" spans="1:993 1081:1958 2168:2984 3176:3224">
      <c r="A636" s="8" t="s">
        <v>8592</v>
      </c>
      <c r="B636" s="10" t="s">
        <v>8590</v>
      </c>
      <c r="C636" s="8">
        <v>29.351111110998318</v>
      </c>
      <c r="D636" s="15">
        <v>28.628333333184912</v>
      </c>
      <c r="BN636" s="8" t="s">
        <v>8590</v>
      </c>
      <c r="BGJ636" s="8" t="s">
        <v>6811</v>
      </c>
      <c r="BIF636" s="8" t="s">
        <v>6593</v>
      </c>
      <c r="BKB636" s="8" t="s">
        <v>6041</v>
      </c>
      <c r="BNT636" s="8" t="s">
        <v>5389</v>
      </c>
      <c r="DEF636" s="8" t="s">
        <v>5403</v>
      </c>
      <c r="DGB636" s="8" t="s">
        <v>5403</v>
      </c>
    </row>
    <row r="637" spans="1:993 1081:1958 2168:2984 3176:3224">
      <c r="A637" s="8" t="s">
        <v>8592</v>
      </c>
      <c r="B637" s="10" t="s">
        <v>8591</v>
      </c>
      <c r="C637" s="8">
        <v>115.37166666670237</v>
      </c>
      <c r="D637" s="15">
        <v>28.628333333333281</v>
      </c>
      <c r="EV637" s="8" t="s">
        <v>8591</v>
      </c>
      <c r="BGJ637" s="8" t="s">
        <v>6812</v>
      </c>
      <c r="BIF637" s="8" t="s">
        <v>6594</v>
      </c>
      <c r="BKB637" s="8" t="s">
        <v>6042</v>
      </c>
      <c r="BNT637" s="8" t="s">
        <v>5390</v>
      </c>
      <c r="DGB637" s="8" t="s">
        <v>5404</v>
      </c>
      <c r="DHX637" s="8" t="s">
        <v>5404</v>
      </c>
    </row>
    <row r="638" spans="1:993 1081:1958 2168:2984 3176:3224">
      <c r="B638" s="10"/>
      <c r="BIE638" s="8" t="s">
        <v>6813</v>
      </c>
      <c r="BKA638" s="8" t="s">
        <v>6388</v>
      </c>
      <c r="BLW638" s="8" t="s">
        <v>6043</v>
      </c>
      <c r="BPO638" s="8" t="s">
        <v>5391</v>
      </c>
      <c r="DHX638" s="8" t="s">
        <v>5405</v>
      </c>
      <c r="DJT638" s="8" t="s">
        <v>5405</v>
      </c>
    </row>
    <row r="639" spans="1:993 1081:1958 2168:2984 3176:3224">
      <c r="B639" s="10"/>
      <c r="AYZ639" s="8" t="s">
        <v>352</v>
      </c>
      <c r="BKB639" s="8" t="s">
        <v>6814</v>
      </c>
      <c r="BLX639" s="8" t="s">
        <v>6595</v>
      </c>
      <c r="BNT639" s="8" t="s">
        <v>6044</v>
      </c>
      <c r="BRL639" s="8" t="s">
        <v>5392</v>
      </c>
      <c r="DRD639" s="8" t="s">
        <v>5406</v>
      </c>
      <c r="DSZ639" s="8" t="s">
        <v>5406</v>
      </c>
    </row>
    <row r="640" spans="1:993 1081:1958 2168:2984 3176:3224">
      <c r="B640" s="10"/>
      <c r="BAP640" s="8" t="s">
        <v>353</v>
      </c>
      <c r="BLP640" s="8" t="s">
        <v>6815</v>
      </c>
      <c r="BNL640" s="8" t="s">
        <v>6389</v>
      </c>
      <c r="BPH640" s="8" t="s">
        <v>6045</v>
      </c>
      <c r="BSZ640" s="8" t="s">
        <v>5831</v>
      </c>
    </row>
    <row r="641" spans="2:2 1352:2024 2071:2936">
      <c r="B641" s="10"/>
      <c r="BAZ641" s="8" t="s">
        <v>92</v>
      </c>
      <c r="BNB641" s="8" t="s">
        <v>6816</v>
      </c>
      <c r="BOX641" s="8" t="s">
        <v>6390</v>
      </c>
      <c r="BQT641" s="8" t="s">
        <v>6046</v>
      </c>
      <c r="BUL641" s="8" t="s">
        <v>5393</v>
      </c>
    </row>
    <row r="642" spans="2:2 1352:2024 2071:2936">
      <c r="B642" s="10"/>
      <c r="BCD642" s="8" t="s">
        <v>93</v>
      </c>
      <c r="BLX642" s="8" t="s">
        <v>6817</v>
      </c>
      <c r="BNT642" s="8" t="s">
        <v>6391</v>
      </c>
      <c r="BPP642" s="8" t="s">
        <v>6047</v>
      </c>
      <c r="BTH642" s="8" t="s">
        <v>5394</v>
      </c>
    </row>
    <row r="643" spans="2:2 1352:2024 2071:2936">
      <c r="B643" s="10"/>
      <c r="BCI643" s="8" t="s">
        <v>354</v>
      </c>
      <c r="BNT643" s="8" t="s">
        <v>6818</v>
      </c>
      <c r="BPP643" s="8" t="s">
        <v>6392</v>
      </c>
      <c r="BRL643" s="8" t="s">
        <v>6048</v>
      </c>
      <c r="BVD643" s="8" t="s">
        <v>5832</v>
      </c>
    </row>
    <row r="644" spans="2:2 1352:2024 2071:2936">
      <c r="B644" s="10"/>
      <c r="AZZ644" s="8" t="s">
        <v>4375</v>
      </c>
      <c r="BCR644" s="8" t="s">
        <v>94</v>
      </c>
      <c r="BWY644" s="8" t="s">
        <v>6819</v>
      </c>
      <c r="BYU644" s="8" t="s">
        <v>6596</v>
      </c>
      <c r="CAQ644" s="8" t="s">
        <v>6049</v>
      </c>
      <c r="CEI644" s="8" t="s">
        <v>5369</v>
      </c>
    </row>
    <row r="645" spans="2:2 1352:2024 2071:2936">
      <c r="B645" s="10"/>
      <c r="BAN645" s="8" t="s">
        <v>4376</v>
      </c>
      <c r="BEI645" s="8" t="s">
        <v>95</v>
      </c>
      <c r="BWZ645" s="8" t="s">
        <v>6820</v>
      </c>
      <c r="BYV645" s="8" t="s">
        <v>6597</v>
      </c>
      <c r="CAR645" s="8" t="s">
        <v>6050</v>
      </c>
      <c r="CEJ645" s="8" t="s">
        <v>5395</v>
      </c>
    </row>
    <row r="646" spans="2:2 1352:2024 2071:2936">
      <c r="B646" s="10"/>
      <c r="AYZ646" s="8" t="s">
        <v>4918</v>
      </c>
      <c r="BAV646" s="8" t="s">
        <v>4377</v>
      </c>
      <c r="BGN646" s="8" t="s">
        <v>96</v>
      </c>
      <c r="BYV646" s="8" t="s">
        <v>6821</v>
      </c>
      <c r="CAR646" s="8" t="s">
        <v>6598</v>
      </c>
      <c r="CCN646" s="8" t="s">
        <v>6051</v>
      </c>
      <c r="CGF646" s="8" t="s">
        <v>5396</v>
      </c>
    </row>
    <row r="647" spans="2:2 1352:2024 2071:2936">
      <c r="B647" s="10"/>
      <c r="AYZ647" s="8" t="s">
        <v>4717</v>
      </c>
      <c r="BAV647" s="8" t="s">
        <v>4378</v>
      </c>
      <c r="BGR647" s="8" t="s">
        <v>97</v>
      </c>
      <c r="CAR647" s="8" t="s">
        <v>6822</v>
      </c>
      <c r="CCN647" s="8" t="s">
        <v>6393</v>
      </c>
      <c r="CEJ647" s="8" t="s">
        <v>6052</v>
      </c>
      <c r="CIB647" s="8" t="s">
        <v>5397</v>
      </c>
    </row>
    <row r="648" spans="2:2 1352:2024 2071:2936">
      <c r="B648" s="10"/>
      <c r="BAV648" s="8" t="s">
        <v>4919</v>
      </c>
      <c r="BCR648" s="8" t="s">
        <v>4379</v>
      </c>
      <c r="BGV648" s="8" t="s">
        <v>98</v>
      </c>
      <c r="CCN648" s="8" t="s">
        <v>6823</v>
      </c>
      <c r="CEJ648" s="8" t="s">
        <v>6394</v>
      </c>
      <c r="CGF648" s="8" t="s">
        <v>6053</v>
      </c>
      <c r="CJX648" s="8" t="s">
        <v>5398</v>
      </c>
    </row>
    <row r="649" spans="2:2 1352:2024 2071:2936">
      <c r="B649" s="10"/>
      <c r="BGJ649" s="8" t="s">
        <v>4718</v>
      </c>
      <c r="BGY649" s="8" t="s">
        <v>99</v>
      </c>
      <c r="BIF649" s="8" t="s">
        <v>4380</v>
      </c>
      <c r="CJW649" s="8" t="s">
        <v>6824</v>
      </c>
      <c r="CLS649" s="8" t="s">
        <v>6395</v>
      </c>
      <c r="CNO649" s="8" t="s">
        <v>6054</v>
      </c>
      <c r="CRG649" s="8" t="s">
        <v>5399</v>
      </c>
    </row>
    <row r="650" spans="2:2 1352:2024 2071:2936">
      <c r="B650" s="10"/>
      <c r="BHC650" s="8" t="s">
        <v>100</v>
      </c>
      <c r="BIF650" s="8" t="s">
        <v>4719</v>
      </c>
      <c r="BKB650" s="8" t="s">
        <v>4381</v>
      </c>
      <c r="CJX650" s="8" t="s">
        <v>6825</v>
      </c>
      <c r="CLT650" s="8" t="s">
        <v>6599</v>
      </c>
      <c r="CNP650" s="8" t="s">
        <v>6055</v>
      </c>
      <c r="CRH650" s="8" t="s">
        <v>5400</v>
      </c>
    </row>
    <row r="651" spans="2:2 1352:2024 2071:2936">
      <c r="B651" s="10"/>
      <c r="BHG651" s="8" t="s">
        <v>101</v>
      </c>
      <c r="BKB651" s="8" t="s">
        <v>4920</v>
      </c>
      <c r="BLX651" s="8" t="s">
        <v>4382</v>
      </c>
      <c r="CUZ651" s="8" t="s">
        <v>6826</v>
      </c>
      <c r="CWV651" s="8" t="s">
        <v>6600</v>
      </c>
      <c r="CYR651" s="8" t="s">
        <v>6056</v>
      </c>
      <c r="DCJ651" s="8" t="s">
        <v>5402</v>
      </c>
    </row>
    <row r="652" spans="2:2 1352:2024 2071:2936">
      <c r="B652" s="10"/>
      <c r="BNS652" s="8" t="s">
        <v>4921</v>
      </c>
      <c r="BPO652" s="8" t="s">
        <v>4383</v>
      </c>
      <c r="BTH652" s="8" t="s">
        <v>102</v>
      </c>
      <c r="CUZ652" s="8" t="s">
        <v>6827</v>
      </c>
      <c r="CWV652" s="8" t="s">
        <v>6396</v>
      </c>
      <c r="CYR652" s="8" t="s">
        <v>6057</v>
      </c>
      <c r="DCJ652" s="8" t="s">
        <v>5401</v>
      </c>
    </row>
    <row r="653" spans="2:2 1352:2024 2071:2936">
      <c r="B653" s="10"/>
      <c r="BNT653" s="8" t="s">
        <v>4922</v>
      </c>
      <c r="BPP653" s="8" t="s">
        <v>4384</v>
      </c>
      <c r="BTG653" s="8" t="s">
        <v>103</v>
      </c>
      <c r="CWI653" s="8" t="s">
        <v>6828</v>
      </c>
      <c r="CYE653" s="8" t="s">
        <v>6397</v>
      </c>
      <c r="DAA653" s="8" t="s">
        <v>6058</v>
      </c>
      <c r="DDS653" s="8" t="s">
        <v>5833</v>
      </c>
    </row>
    <row r="654" spans="2:2 1352:2024 2071:2936">
      <c r="B654" s="10"/>
      <c r="BRL654" s="8" t="s">
        <v>4923</v>
      </c>
      <c r="BTH654" s="8" t="s">
        <v>4385</v>
      </c>
      <c r="BVE654" s="8" t="s">
        <v>82</v>
      </c>
      <c r="CWV654" s="8" t="s">
        <v>6829</v>
      </c>
      <c r="CYR654" s="8" t="s">
        <v>6398</v>
      </c>
      <c r="DAN654" s="8" t="s">
        <v>6059</v>
      </c>
      <c r="DEF654" s="8" t="s">
        <v>5403</v>
      </c>
    </row>
    <row r="655" spans="2:2 1352:2024 2071:2936">
      <c r="B655" s="10"/>
      <c r="BAV655" s="8" t="s">
        <v>6835</v>
      </c>
      <c r="BRL655" s="8" t="s">
        <v>4924</v>
      </c>
      <c r="BTH655" s="8" t="s">
        <v>4386</v>
      </c>
      <c r="CBT655" s="8" t="s">
        <v>104</v>
      </c>
      <c r="CYR655" s="8" t="s">
        <v>6830</v>
      </c>
      <c r="DAN655" s="8" t="s">
        <v>6601</v>
      </c>
      <c r="DCJ655" s="8" t="s">
        <v>6060</v>
      </c>
      <c r="DGB655" s="8" t="s">
        <v>5404</v>
      </c>
    </row>
    <row r="656" spans="2:2 1352:2024 2071:2936">
      <c r="B656" s="10"/>
      <c r="BAL656" s="8" t="s">
        <v>6836</v>
      </c>
      <c r="BTG656" s="8" t="s">
        <v>4720</v>
      </c>
      <c r="BVC656" s="8" t="s">
        <v>4387</v>
      </c>
      <c r="CCO656" s="8" t="s">
        <v>355</v>
      </c>
      <c r="DAN656" s="8" t="s">
        <v>6831</v>
      </c>
      <c r="DCJ656" s="8" t="s">
        <v>6399</v>
      </c>
      <c r="DEF656" s="8" t="s">
        <v>6061</v>
      </c>
      <c r="DHX656" s="8" t="s">
        <v>5405</v>
      </c>
    </row>
    <row r="657" spans="2:2 1352:2024 2122:3067 3080:4088">
      <c r="B657" s="10"/>
      <c r="BAV657" s="8" t="s">
        <v>6837</v>
      </c>
      <c r="BEN657" s="8" t="s">
        <v>5407</v>
      </c>
      <c r="BGJ657" s="8" t="s">
        <v>5407</v>
      </c>
      <c r="BWS657" s="8" t="s">
        <v>4925</v>
      </c>
      <c r="BYO657" s="8" t="s">
        <v>4388</v>
      </c>
      <c r="CGF657" s="8" t="s">
        <v>356</v>
      </c>
      <c r="DJG657" s="8" t="s">
        <v>6832</v>
      </c>
      <c r="DLC657" s="8" t="s">
        <v>6602</v>
      </c>
      <c r="DMY657" s="8" t="s">
        <v>6062</v>
      </c>
      <c r="DQQ657" s="8" t="s">
        <v>5834</v>
      </c>
    </row>
    <row r="658" spans="2:2 1352:2024 2122:3067 3080:4088">
      <c r="B658" s="10"/>
      <c r="AYZ658" s="8" t="s">
        <v>1006</v>
      </c>
      <c r="BCR658" s="8" t="s">
        <v>6838</v>
      </c>
      <c r="BKB658" s="8" t="s">
        <v>5408</v>
      </c>
      <c r="BLX658" s="8" t="s">
        <v>5408</v>
      </c>
      <c r="BWZ658" s="8" t="s">
        <v>4721</v>
      </c>
      <c r="BYV658" s="8" t="s">
        <v>4389</v>
      </c>
      <c r="CJX658" s="8" t="s">
        <v>357</v>
      </c>
      <c r="DJT658" s="8" t="s">
        <v>6833</v>
      </c>
      <c r="DLP658" s="8" t="s">
        <v>6400</v>
      </c>
      <c r="DNL658" s="8" t="s">
        <v>6063</v>
      </c>
      <c r="DRD658" s="8" t="s">
        <v>5406</v>
      </c>
    </row>
    <row r="659" spans="2:2 1352:2024 2122:3067 3080:4088">
      <c r="B659" s="10"/>
      <c r="AYZ659" s="8" t="s">
        <v>353</v>
      </c>
      <c r="BAP659" s="8" t="s">
        <v>1007</v>
      </c>
      <c r="BDB659" s="8" t="s">
        <v>6839</v>
      </c>
      <c r="BNT659" s="8" t="s">
        <v>5409</v>
      </c>
      <c r="BPP659" s="8" t="s">
        <v>5409</v>
      </c>
      <c r="CJX659" s="8" t="s">
        <v>4926</v>
      </c>
      <c r="CLT659" s="8" t="s">
        <v>4390</v>
      </c>
    </row>
    <row r="660" spans="2:2 1352:2024 2122:3067 3080:4088">
      <c r="B660" s="10"/>
      <c r="AZD660" s="8" t="s">
        <v>1008</v>
      </c>
      <c r="BAP660" s="8" t="s">
        <v>92</v>
      </c>
      <c r="BAZ660" s="8" t="s">
        <v>1008</v>
      </c>
      <c r="BEN660" s="8" t="s">
        <v>6840</v>
      </c>
      <c r="CCP660" s="8" t="s">
        <v>5410</v>
      </c>
      <c r="CEL660" s="8" t="s">
        <v>5410</v>
      </c>
      <c r="CNP660" s="8" t="s">
        <v>4722</v>
      </c>
      <c r="CPL660" s="8" t="s">
        <v>4391</v>
      </c>
      <c r="CTD660" s="8" t="s">
        <v>106</v>
      </c>
    </row>
    <row r="661" spans="2:2 1352:2024 2122:3067 3080:4088">
      <c r="B661" s="10"/>
      <c r="BAH661" s="8" t="s">
        <v>1009</v>
      </c>
      <c r="BAZ661" s="8" t="s">
        <v>1009</v>
      </c>
      <c r="BBW661" s="8" t="s">
        <v>93</v>
      </c>
      <c r="BCD661" s="8" t="s">
        <v>1009</v>
      </c>
      <c r="BIF661" s="8" t="s">
        <v>6841</v>
      </c>
      <c r="CUY661" s="8" t="s">
        <v>4723</v>
      </c>
      <c r="CWU661" s="8" t="s">
        <v>4392</v>
      </c>
      <c r="DHQ661" s="8" t="s">
        <v>359</v>
      </c>
    </row>
    <row r="662" spans="2:2 1352:2024 2122:3067 3080:4088">
      <c r="B662" s="10"/>
      <c r="BAM662" s="8" t="s">
        <v>1010</v>
      </c>
      <c r="BCD662" s="8" t="s">
        <v>1010</v>
      </c>
      <c r="BCI662" s="8" t="s">
        <v>1010</v>
      </c>
      <c r="BCQ662" s="8" t="s">
        <v>354</v>
      </c>
      <c r="BKJ662" s="8" t="s">
        <v>6842</v>
      </c>
      <c r="CUZ662" s="8" t="s">
        <v>4927</v>
      </c>
      <c r="CWV662" s="8" t="s">
        <v>4393</v>
      </c>
      <c r="DHX662" s="8" t="s">
        <v>360</v>
      </c>
    </row>
    <row r="663" spans="2:2 1352:2024 2122:3067 3080:4088">
      <c r="B663" s="10"/>
      <c r="AYZ663" s="8" t="s">
        <v>352</v>
      </c>
      <c r="AZI663" s="8" t="s">
        <v>94</v>
      </c>
      <c r="BAM663" s="8" t="s">
        <v>1011</v>
      </c>
      <c r="BCI663" s="8" t="s">
        <v>94</v>
      </c>
      <c r="BCM663" s="8" t="s">
        <v>1011</v>
      </c>
      <c r="BEI663" s="8" t="s">
        <v>1011</v>
      </c>
      <c r="BOB663" s="8" t="s">
        <v>6843</v>
      </c>
      <c r="DGB663" s="8" t="s">
        <v>4724</v>
      </c>
      <c r="DHX663" s="8" t="s">
        <v>4394</v>
      </c>
      <c r="ECF663" s="8" t="s">
        <v>107</v>
      </c>
    </row>
    <row r="664" spans="2:2 1352:2024 2122:3067 3080:4088">
      <c r="B664" s="10"/>
      <c r="BAL664" s="8" t="s">
        <v>96</v>
      </c>
      <c r="BAP664" s="8" t="s">
        <v>353</v>
      </c>
      <c r="BAQ664" s="8" t="s">
        <v>1012</v>
      </c>
      <c r="BEI664" s="8" t="s">
        <v>96</v>
      </c>
      <c r="BER664" s="8" t="s">
        <v>1012</v>
      </c>
      <c r="BGN664" s="8" t="s">
        <v>1012</v>
      </c>
      <c r="BPG664" s="8" t="s">
        <v>6844</v>
      </c>
      <c r="DHX664" s="8" t="s">
        <v>4725</v>
      </c>
      <c r="DJT664" s="8" t="s">
        <v>4395</v>
      </c>
      <c r="EFX664" s="8" t="s">
        <v>109</v>
      </c>
    </row>
    <row r="665" spans="2:2 1352:2024 2122:3067 3080:4088">
      <c r="B665" s="10"/>
      <c r="BAZ665" s="8" t="s">
        <v>97</v>
      </c>
      <c r="BEV665" s="8" t="s">
        <v>1013</v>
      </c>
      <c r="BGN665" s="8" t="s">
        <v>1013</v>
      </c>
      <c r="BGR665" s="8" t="s">
        <v>1013</v>
      </c>
      <c r="BPP665" s="8" t="s">
        <v>6845</v>
      </c>
      <c r="DJT665" s="8" t="s">
        <v>4928</v>
      </c>
      <c r="DLP665" s="8" t="s">
        <v>4396</v>
      </c>
      <c r="EQZ665" s="8" t="s">
        <v>361</v>
      </c>
    </row>
    <row r="666" spans="2:2 1352:2024 2122:3067 3080:4088">
      <c r="B666" s="10"/>
      <c r="BBD666" s="8" t="s">
        <v>98</v>
      </c>
      <c r="BCD666" s="8" t="s">
        <v>93</v>
      </c>
      <c r="BEZ666" s="8" t="s">
        <v>1014</v>
      </c>
      <c r="BGR666" s="8" t="s">
        <v>1014</v>
      </c>
      <c r="BGV666" s="8" t="s">
        <v>1014</v>
      </c>
      <c r="BRL666" s="8" t="s">
        <v>6846</v>
      </c>
      <c r="DLP666" s="8" t="s">
        <v>4726</v>
      </c>
      <c r="DNL666" s="8" t="s">
        <v>4397</v>
      </c>
      <c r="FAF666" s="8" t="s">
        <v>803</v>
      </c>
    </row>
    <row r="667" spans="2:2 1352:2024 2122:3067 3080:4088">
      <c r="B667" s="10"/>
      <c r="BBH667" s="8" t="s">
        <v>99</v>
      </c>
      <c r="BCI667" s="8" t="s">
        <v>354</v>
      </c>
      <c r="BFC667" s="8" t="s">
        <v>1015</v>
      </c>
      <c r="BGV667" s="8" t="s">
        <v>1015</v>
      </c>
      <c r="BGY667" s="8" t="s">
        <v>1015</v>
      </c>
      <c r="BTP667" s="8" t="s">
        <v>6847</v>
      </c>
      <c r="DUV667" s="8" t="s">
        <v>4727</v>
      </c>
      <c r="DWR667" s="8" t="s">
        <v>4398</v>
      </c>
    </row>
    <row r="668" spans="2:2 1352:2024 2122:3067 3080:4088">
      <c r="B668" s="10"/>
      <c r="BBK668" s="8" t="s">
        <v>100</v>
      </c>
      <c r="BCR668" s="8" t="s">
        <v>94</v>
      </c>
      <c r="BFG668" s="8" t="s">
        <v>1016</v>
      </c>
      <c r="BGY668" s="8" t="s">
        <v>1016</v>
      </c>
      <c r="BHC668" s="8" t="s">
        <v>1016</v>
      </c>
      <c r="BVI668" s="8" t="s">
        <v>6848</v>
      </c>
    </row>
    <row r="669" spans="2:2 1352:2024 2122:3067 3080:4088">
      <c r="B669" s="10"/>
      <c r="BBO669" s="8" t="s">
        <v>101</v>
      </c>
      <c r="BEI669" s="8" t="s">
        <v>95</v>
      </c>
      <c r="BFK669" s="8" t="s">
        <v>1017</v>
      </c>
      <c r="BHC669" s="8" t="s">
        <v>1017</v>
      </c>
      <c r="BHG669" s="8" t="s">
        <v>1017</v>
      </c>
      <c r="BUO669" s="8" t="s">
        <v>6849</v>
      </c>
    </row>
    <row r="670" spans="2:2 1352:2024 2122:3067 3080:4088">
      <c r="B670" s="10"/>
      <c r="BBS670" s="8" t="s">
        <v>102</v>
      </c>
      <c r="BGN670" s="8" t="s">
        <v>96</v>
      </c>
      <c r="BHG670" s="8" t="s">
        <v>102</v>
      </c>
      <c r="BRL670" s="8" t="s">
        <v>1018</v>
      </c>
      <c r="BTH670" s="8" t="s">
        <v>1018</v>
      </c>
      <c r="CIB670" s="8" t="s">
        <v>6850</v>
      </c>
    </row>
    <row r="671" spans="2:2 1352:2024 2122:3067 3080:4088">
      <c r="B671" s="10"/>
      <c r="AYZ671" s="8" t="s">
        <v>341</v>
      </c>
      <c r="BAV671" s="8" t="s">
        <v>341</v>
      </c>
      <c r="BGR671" s="8" t="s">
        <v>97</v>
      </c>
      <c r="BNT671" s="8" t="s">
        <v>103</v>
      </c>
      <c r="BRK671" s="8" t="s">
        <v>1019</v>
      </c>
      <c r="BTG671" s="8" t="s">
        <v>1019</v>
      </c>
      <c r="BTH671" s="8" t="s">
        <v>1019</v>
      </c>
      <c r="BUC671" s="8" t="s">
        <v>103</v>
      </c>
      <c r="CIG671" s="8" t="s">
        <v>6851</v>
      </c>
    </row>
    <row r="672" spans="2:2 1352:2024 2122:3067 3080:4088">
      <c r="B672" s="10"/>
      <c r="BCR672" s="8" t="s">
        <v>342</v>
      </c>
      <c r="BEN672" s="8" t="s">
        <v>342</v>
      </c>
      <c r="BGV672" s="8" t="s">
        <v>98</v>
      </c>
      <c r="BNS672" s="8" t="s">
        <v>82</v>
      </c>
      <c r="BRK672" s="8" t="s">
        <v>1020</v>
      </c>
      <c r="BRM672" s="8" t="s">
        <v>82</v>
      </c>
      <c r="BTG672" s="8" t="s">
        <v>82</v>
      </c>
      <c r="BTI672" s="8" t="s">
        <v>1020</v>
      </c>
      <c r="BVE672" s="8" t="s">
        <v>1020</v>
      </c>
      <c r="CIB672" s="8" t="s">
        <v>6852</v>
      </c>
    </row>
    <row r="673" spans="2:2 1351:2044 2052:3032 3080:4088 4188:4376 8147:8168">
      <c r="B673" s="10"/>
      <c r="BGJ673" s="8" t="s">
        <v>343</v>
      </c>
      <c r="BGY673" s="8" t="s">
        <v>99</v>
      </c>
      <c r="BIF673" s="8" t="s">
        <v>343</v>
      </c>
      <c r="BNG673" s="8" t="s">
        <v>104</v>
      </c>
      <c r="BNU673" s="8" t="s">
        <v>1021</v>
      </c>
      <c r="BPQ673" s="8" t="s">
        <v>104</v>
      </c>
      <c r="BVE673" s="8" t="s">
        <v>104</v>
      </c>
      <c r="BZX673" s="8" t="s">
        <v>1021</v>
      </c>
      <c r="CBT673" s="8" t="s">
        <v>1021</v>
      </c>
      <c r="CJX673" s="8" t="s">
        <v>6853</v>
      </c>
    </row>
    <row r="674" spans="2:2 1351:2044 2052:3032 3080:4088 4188:4376 8147:8168">
      <c r="B674" s="10"/>
      <c r="AYZ674" s="8" t="s">
        <v>2114</v>
      </c>
      <c r="BAV674" s="8" t="s">
        <v>1671</v>
      </c>
      <c r="BEN674" s="8" t="s">
        <v>103</v>
      </c>
      <c r="BFF674" s="8" t="s">
        <v>804</v>
      </c>
      <c r="BGJ674" s="8" t="s">
        <v>103</v>
      </c>
      <c r="BHC674" s="8" t="s">
        <v>100</v>
      </c>
      <c r="BIF674" s="8" t="s">
        <v>103</v>
      </c>
      <c r="BKB674" s="8" t="s">
        <v>103</v>
      </c>
      <c r="BWF674" s="8" t="s">
        <v>355</v>
      </c>
      <c r="CAS674" s="8" t="s">
        <v>1022</v>
      </c>
      <c r="CBT674" s="8" t="s">
        <v>1022</v>
      </c>
      <c r="CCG674" s="8" t="s">
        <v>355</v>
      </c>
      <c r="CCO674" s="8" t="s">
        <v>1022</v>
      </c>
      <c r="CKA674" s="8" t="s">
        <v>6854</v>
      </c>
    </row>
    <row r="675" spans="2:2 1351:2044 2052:3032 3080:4088 4188:4376 8147:8168">
      <c r="B675" s="10"/>
      <c r="AYY675" s="8" t="s">
        <v>2115</v>
      </c>
      <c r="BAU675" s="8" t="s">
        <v>1672</v>
      </c>
      <c r="BEM675" s="8" t="s">
        <v>82</v>
      </c>
      <c r="BGI675" s="8" t="s">
        <v>82</v>
      </c>
      <c r="BHG675" s="8" t="s">
        <v>101</v>
      </c>
      <c r="BHQ675" s="8" t="s">
        <v>364</v>
      </c>
      <c r="BIE675" s="8" t="s">
        <v>82</v>
      </c>
      <c r="BKA675" s="8" t="s">
        <v>82</v>
      </c>
      <c r="BKX675" s="8" t="s">
        <v>345</v>
      </c>
      <c r="BMT675" s="8" t="s">
        <v>345</v>
      </c>
      <c r="BXA675" s="8" t="s">
        <v>356</v>
      </c>
      <c r="BXS675" s="8" t="s">
        <v>356</v>
      </c>
      <c r="BYW675" s="8" t="s">
        <v>1023</v>
      </c>
      <c r="CCO675" s="8" t="s">
        <v>356</v>
      </c>
      <c r="CEJ675" s="8" t="s">
        <v>1023</v>
      </c>
      <c r="CGF675" s="8" t="s">
        <v>1023</v>
      </c>
      <c r="CNP675" s="8" t="s">
        <v>6855</v>
      </c>
    </row>
    <row r="676" spans="2:2 1351:2044 2052:3032 3080:4088 4188:4376 8147:8168">
      <c r="B676" s="10"/>
      <c r="AYZ676" s="8" t="s">
        <v>6401</v>
      </c>
      <c r="BAV676" s="8" t="s">
        <v>6064</v>
      </c>
      <c r="BAW676" s="8" t="s">
        <v>2116</v>
      </c>
      <c r="BCS676" s="8" t="s">
        <v>1673</v>
      </c>
      <c r="BEN676" s="8" t="s">
        <v>5407</v>
      </c>
      <c r="BGK676" s="8" t="s">
        <v>104</v>
      </c>
      <c r="BIG676" s="8" t="s">
        <v>104</v>
      </c>
      <c r="BKB676" s="8" t="s">
        <v>805</v>
      </c>
      <c r="BKC676" s="8" t="s">
        <v>104</v>
      </c>
      <c r="BLV676" s="8" t="s">
        <v>346</v>
      </c>
      <c r="BLY676" s="8" t="s">
        <v>104</v>
      </c>
      <c r="BNR676" s="8" t="s">
        <v>346</v>
      </c>
      <c r="BTH676" s="8" t="s">
        <v>102</v>
      </c>
      <c r="CAR676" s="8" t="s">
        <v>357</v>
      </c>
      <c r="CCN676" s="8" t="s">
        <v>1024</v>
      </c>
      <c r="CDQ676" s="8" t="s">
        <v>357</v>
      </c>
      <c r="CGF676" s="8" t="s">
        <v>357</v>
      </c>
      <c r="CIB676" s="8" t="s">
        <v>1024</v>
      </c>
      <c r="CJX676" s="8" t="s">
        <v>1024</v>
      </c>
      <c r="CQS676" s="8" t="s">
        <v>6856</v>
      </c>
    </row>
    <row r="677" spans="2:2 1351:2044 2052:3032 3080:4088 4188:4376 8147:8168">
      <c r="B677" s="10"/>
      <c r="BIF677" s="8" t="s">
        <v>2117</v>
      </c>
      <c r="BKB677" s="8" t="s">
        <v>1674</v>
      </c>
      <c r="BNT677" s="8" t="s">
        <v>355</v>
      </c>
      <c r="BPP677" s="8" t="s">
        <v>355</v>
      </c>
      <c r="BRL677" s="8" t="s">
        <v>355</v>
      </c>
      <c r="BTG677" s="8" t="s">
        <v>103</v>
      </c>
      <c r="BTH677" s="8" t="s">
        <v>355</v>
      </c>
      <c r="BVD677" s="8" t="s">
        <v>347</v>
      </c>
      <c r="BVF677" s="8" t="s">
        <v>6834</v>
      </c>
      <c r="BWZ677" s="8" t="s">
        <v>347</v>
      </c>
      <c r="BXB677" s="8" t="s">
        <v>6402</v>
      </c>
      <c r="BYX677" s="8" t="s">
        <v>6065</v>
      </c>
      <c r="CCP677" s="8" t="s">
        <v>5410</v>
      </c>
      <c r="CEJ677" s="8" t="s">
        <v>358</v>
      </c>
      <c r="CIB677" s="8" t="s">
        <v>1025</v>
      </c>
      <c r="CJX677" s="8" t="s">
        <v>1025</v>
      </c>
      <c r="CKE677" s="8" t="s">
        <v>358</v>
      </c>
      <c r="CWX677" s="8" t="s">
        <v>6857</v>
      </c>
    </row>
    <row r="678" spans="2:2 1351:2044 2052:3032 3080:4088 4188:4376 8147:8168">
      <c r="B678" s="10"/>
      <c r="BLX678" s="8" t="s">
        <v>2118</v>
      </c>
      <c r="BMM678" s="8" t="s">
        <v>367</v>
      </c>
      <c r="BNT678" s="8" t="s">
        <v>1675</v>
      </c>
      <c r="BRL678" s="8" t="s">
        <v>357</v>
      </c>
      <c r="BTH678" s="8" t="s">
        <v>357</v>
      </c>
      <c r="BVD678" s="8" t="s">
        <v>357</v>
      </c>
      <c r="BVE678" s="8" t="s">
        <v>82</v>
      </c>
      <c r="BWZ678" s="8" t="s">
        <v>357</v>
      </c>
      <c r="BXT678" s="8" t="s">
        <v>348</v>
      </c>
      <c r="BZP678" s="8" t="s">
        <v>348</v>
      </c>
      <c r="CAD678" s="8" t="s">
        <v>106</v>
      </c>
      <c r="CAR678" s="8" t="s">
        <v>1026</v>
      </c>
      <c r="CEJ678" s="8" t="s">
        <v>106</v>
      </c>
      <c r="CJX678" s="8" t="s">
        <v>106</v>
      </c>
      <c r="CRH678" s="8" t="s">
        <v>1026</v>
      </c>
      <c r="CTD678" s="8" t="s">
        <v>1026</v>
      </c>
      <c r="DHX678" s="8" t="s">
        <v>6858</v>
      </c>
    </row>
    <row r="679" spans="2:2 1351:2044 2052:3032 3080:4088 4188:4376 8147:8168">
      <c r="B679" s="10"/>
      <c r="BPP679" s="8" t="s">
        <v>2119</v>
      </c>
      <c r="BRL679" s="8" t="s">
        <v>1676</v>
      </c>
      <c r="BVD679" s="8" t="s">
        <v>358</v>
      </c>
      <c r="BWZ679" s="8" t="s">
        <v>358</v>
      </c>
      <c r="BYH679" s="8" t="s">
        <v>349</v>
      </c>
      <c r="BYV679" s="8" t="s">
        <v>358</v>
      </c>
      <c r="CAD679" s="8" t="s">
        <v>349</v>
      </c>
      <c r="CAR679" s="8" t="s">
        <v>358</v>
      </c>
      <c r="CBT679" s="8" t="s">
        <v>104</v>
      </c>
      <c r="CGF679" s="8" t="s">
        <v>1027</v>
      </c>
      <c r="CGV679" s="8" t="s">
        <v>359</v>
      </c>
      <c r="CNP679" s="8" t="s">
        <v>359</v>
      </c>
      <c r="CTD679" s="8" t="s">
        <v>359</v>
      </c>
      <c r="DFG679" s="8" t="s">
        <v>1027</v>
      </c>
      <c r="DHC679" s="8" t="s">
        <v>1027</v>
      </c>
      <c r="DJY679" s="8" t="s">
        <v>6859</v>
      </c>
    </row>
    <row r="680" spans="2:2 1351:2044 2052:3032 3080:4088 4188:4376 8147:8168">
      <c r="B680" s="10"/>
      <c r="BAK680" s="8" t="s">
        <v>827</v>
      </c>
      <c r="BBI680" s="8" t="s">
        <v>827</v>
      </c>
      <c r="BCG680" s="8" t="s">
        <v>1028</v>
      </c>
      <c r="BCH680" s="8" t="s">
        <v>5411</v>
      </c>
      <c r="BED680" s="8" t="s">
        <v>5411</v>
      </c>
      <c r="BVD680" s="8" t="s">
        <v>2120</v>
      </c>
      <c r="BWZ680" s="8" t="s">
        <v>1677</v>
      </c>
      <c r="CAR680" s="8" t="s">
        <v>1508</v>
      </c>
      <c r="CAS680" s="8" t="s">
        <v>350</v>
      </c>
      <c r="CCN680" s="8" t="s">
        <v>1508</v>
      </c>
      <c r="CCO680" s="8" t="s">
        <v>350</v>
      </c>
      <c r="CEJ680" s="8" t="s">
        <v>1508</v>
      </c>
      <c r="CGF680" s="8" t="s">
        <v>1508</v>
      </c>
      <c r="DBO680" s="8" t="s">
        <v>827</v>
      </c>
      <c r="DEQ680" s="8" t="s">
        <v>827</v>
      </c>
      <c r="DFG680" s="8" t="s">
        <v>1028</v>
      </c>
      <c r="DFU680" s="8" t="s">
        <v>1028</v>
      </c>
      <c r="DHC680" s="8" t="s">
        <v>827</v>
      </c>
      <c r="DHQ680" s="8" t="s">
        <v>1028</v>
      </c>
      <c r="DNL680" s="8" t="s">
        <v>6860</v>
      </c>
    </row>
    <row r="681" spans="2:2 1351:2044 2052:3032 3080:4088 4188:4376 8147:8168">
      <c r="B681" s="10"/>
      <c r="BAR681" s="19" t="s">
        <v>360</v>
      </c>
      <c r="BBP681" s="8" t="s">
        <v>360</v>
      </c>
      <c r="BCN681" s="8" t="s">
        <v>1029</v>
      </c>
      <c r="BCR681" s="8" t="s">
        <v>5412</v>
      </c>
      <c r="BEN681" s="8" t="s">
        <v>5412</v>
      </c>
      <c r="BWZ681" s="8" t="s">
        <v>370</v>
      </c>
      <c r="BYV681" s="8" t="s">
        <v>2121</v>
      </c>
      <c r="CAR681" s="8" t="s">
        <v>1678</v>
      </c>
      <c r="CEJ681" s="8" t="s">
        <v>359</v>
      </c>
      <c r="CGF681" s="8" t="s">
        <v>359</v>
      </c>
      <c r="CIB681" s="8" t="s">
        <v>359</v>
      </c>
      <c r="CJG681" s="8" t="s">
        <v>335</v>
      </c>
      <c r="CJX681" s="8" t="s">
        <v>359</v>
      </c>
      <c r="CLC681" s="8" t="s">
        <v>335</v>
      </c>
      <c r="DCC681" s="8" t="s">
        <v>360</v>
      </c>
      <c r="DGB681" s="8" t="s">
        <v>1029</v>
      </c>
      <c r="DHQ681" s="8" t="s">
        <v>1029</v>
      </c>
      <c r="DHX681" s="8" t="s">
        <v>1029</v>
      </c>
      <c r="DIE681" s="8" t="s">
        <v>360</v>
      </c>
      <c r="DPH681" s="8" t="s">
        <v>6861</v>
      </c>
    </row>
    <row r="682" spans="2:2 1351:2044 2052:3032 3080:4088 4188:4376 8147:8168">
      <c r="B682" s="10"/>
      <c r="BAV682" s="8" t="s">
        <v>107</v>
      </c>
      <c r="BBT682" s="8" t="s">
        <v>107</v>
      </c>
      <c r="BCR682" s="8" t="s">
        <v>1030</v>
      </c>
      <c r="BEN682" s="8" t="s">
        <v>5413</v>
      </c>
      <c r="BGJ682" s="8" t="s">
        <v>5413</v>
      </c>
      <c r="BWZ682" s="8" t="s">
        <v>371</v>
      </c>
      <c r="CAS682" s="8" t="s">
        <v>2122</v>
      </c>
      <c r="CCO682" s="8" t="s">
        <v>1679</v>
      </c>
      <c r="CGG682" s="8" t="s">
        <v>356</v>
      </c>
      <c r="CIC682" s="8" t="s">
        <v>356</v>
      </c>
      <c r="CJX682" s="8" t="s">
        <v>357</v>
      </c>
      <c r="CJY682" s="8" t="s">
        <v>356</v>
      </c>
      <c r="CLU682" s="8" t="s">
        <v>356</v>
      </c>
      <c r="CNI682" s="8" t="s">
        <v>107</v>
      </c>
      <c r="CNP682" s="8" t="s">
        <v>351</v>
      </c>
      <c r="CPL682" s="8" t="s">
        <v>351</v>
      </c>
      <c r="DCJ682" s="8" t="s">
        <v>107</v>
      </c>
      <c r="DHX682" s="8" t="s">
        <v>107</v>
      </c>
      <c r="DUV682" s="8" t="s">
        <v>6862</v>
      </c>
      <c r="EAJ682" s="8" t="s">
        <v>1030</v>
      </c>
      <c r="ECF682" s="8" t="s">
        <v>1030</v>
      </c>
    </row>
    <row r="683" spans="2:2 1351:2044 2052:3032 3080:4088 4188:4376 8147:8168">
      <c r="B683" s="10"/>
      <c r="BIF683" s="8" t="s">
        <v>5414</v>
      </c>
      <c r="BKB683" s="8" t="s">
        <v>5414</v>
      </c>
      <c r="BKZ683" s="8" t="s">
        <v>109</v>
      </c>
      <c r="BLX683" s="8" t="s">
        <v>109</v>
      </c>
      <c r="BMV683" s="8" t="s">
        <v>1031</v>
      </c>
      <c r="BWZ683" s="8" t="s">
        <v>372</v>
      </c>
      <c r="CJX683" s="8" t="s">
        <v>2123</v>
      </c>
      <c r="CLT683" s="8" t="s">
        <v>1680</v>
      </c>
      <c r="CPL683" s="8" t="s">
        <v>1509</v>
      </c>
      <c r="CRH683" s="8" t="s">
        <v>1509</v>
      </c>
      <c r="CTD683" s="8" t="s">
        <v>1509</v>
      </c>
      <c r="CUZ683" s="8" t="s">
        <v>1509</v>
      </c>
      <c r="DWR683" s="8" t="s">
        <v>109</v>
      </c>
      <c r="DYJ683" s="8" t="s">
        <v>109</v>
      </c>
      <c r="DYN683" s="8" t="s">
        <v>1031</v>
      </c>
      <c r="ECF683" s="8" t="s">
        <v>109</v>
      </c>
      <c r="EDM683" s="8" t="s">
        <v>6863</v>
      </c>
      <c r="EEB683" s="8" t="s">
        <v>1031</v>
      </c>
      <c r="EFX683" s="8" t="s">
        <v>1031</v>
      </c>
      <c r="FJL683" s="8" t="s">
        <v>1461</v>
      </c>
      <c r="FLH683" s="8" t="s">
        <v>1461</v>
      </c>
    </row>
    <row r="684" spans="2:2 1351:2044 2052:3032 3080:4088 4188:4376 8147:8168">
      <c r="B684" s="10"/>
      <c r="BHV684" s="8" t="s">
        <v>5415</v>
      </c>
      <c r="BJR684" s="8" t="s">
        <v>5415</v>
      </c>
      <c r="BMV684" s="8" t="s">
        <v>361</v>
      </c>
      <c r="BNT684" s="8" t="s">
        <v>361</v>
      </c>
      <c r="BOR684" s="8" t="s">
        <v>1032</v>
      </c>
      <c r="BWZ684" s="8" t="s">
        <v>373</v>
      </c>
      <c r="CMU684" s="8" t="s">
        <v>2124</v>
      </c>
      <c r="COQ684" s="8" t="s">
        <v>1681</v>
      </c>
      <c r="CSI684" s="8" t="s">
        <v>827</v>
      </c>
      <c r="CTD684" s="8" t="s">
        <v>106</v>
      </c>
      <c r="CUE684" s="8" t="s">
        <v>827</v>
      </c>
      <c r="CWA684" s="8" t="s">
        <v>827</v>
      </c>
      <c r="CXW684" s="8" t="s">
        <v>827</v>
      </c>
      <c r="DUV684" s="8" t="s">
        <v>1032</v>
      </c>
      <c r="DVG684" s="8" t="s">
        <v>361</v>
      </c>
      <c r="EAJ684" s="8" t="s">
        <v>361</v>
      </c>
      <c r="EFX684" s="8" t="s">
        <v>361</v>
      </c>
      <c r="EJP684" s="8" t="s">
        <v>6864</v>
      </c>
      <c r="EPD684" s="8" t="s">
        <v>1032</v>
      </c>
      <c r="EQZ684" s="8" t="s">
        <v>1032</v>
      </c>
    </row>
    <row r="685" spans="2:2 1351:2044 2052:3032 3080:4088 4188:4376 8147:8168">
      <c r="B685" s="10"/>
      <c r="BIF685" s="8" t="s">
        <v>5416</v>
      </c>
      <c r="BKB685" s="8" t="s">
        <v>5416</v>
      </c>
      <c r="BSJ685" s="8" t="s">
        <v>803</v>
      </c>
      <c r="BTH685" s="8" t="s">
        <v>803</v>
      </c>
      <c r="BUF685" s="8" t="s">
        <v>1033</v>
      </c>
      <c r="CJX685" s="8" t="s">
        <v>374</v>
      </c>
      <c r="CNI685" s="8" t="s">
        <v>2125</v>
      </c>
      <c r="CPE685" s="8" t="s">
        <v>1682</v>
      </c>
      <c r="CSW685" s="8" t="s">
        <v>360</v>
      </c>
      <c r="CUS685" s="8" t="s">
        <v>360</v>
      </c>
      <c r="CWO685" s="8" t="s">
        <v>360</v>
      </c>
      <c r="CYK685" s="8" t="s">
        <v>360</v>
      </c>
      <c r="DHQ685" s="8" t="s">
        <v>359</v>
      </c>
      <c r="EHT685" s="8" t="s">
        <v>1033</v>
      </c>
      <c r="EHY685" s="8" t="s">
        <v>803</v>
      </c>
      <c r="ELL685" s="8" t="s">
        <v>6865</v>
      </c>
      <c r="EQZ685" s="8" t="s">
        <v>803</v>
      </c>
      <c r="EYJ685" s="8" t="s">
        <v>1033</v>
      </c>
      <c r="FAF685" s="8" t="s">
        <v>1033</v>
      </c>
    </row>
    <row r="686" spans="2:2 1351:2044 2052:3032 3080:4088 4188:4376 8147:8168">
      <c r="B686" s="10"/>
      <c r="BKB686" s="8" t="s">
        <v>5417</v>
      </c>
      <c r="BLX686" s="8" t="s">
        <v>5417</v>
      </c>
      <c r="BWZ686" s="8" t="s">
        <v>362</v>
      </c>
      <c r="BXX686" s="8" t="s">
        <v>362</v>
      </c>
      <c r="BYV686" s="8" t="s">
        <v>1399</v>
      </c>
      <c r="CJX686" s="8" t="s">
        <v>375</v>
      </c>
      <c r="DCJ686" s="8" t="s">
        <v>2126</v>
      </c>
      <c r="DEF686" s="8" t="s">
        <v>1683</v>
      </c>
      <c r="DHX686" s="8" t="s">
        <v>1462</v>
      </c>
      <c r="DJT686" s="8" t="s">
        <v>1462</v>
      </c>
      <c r="DLP686" s="8" t="s">
        <v>1462</v>
      </c>
      <c r="DNL686" s="8" t="s">
        <v>1462</v>
      </c>
      <c r="ESG686" s="8" t="s">
        <v>6866</v>
      </c>
      <c r="EUR686" s="8" t="s">
        <v>362</v>
      </c>
      <c r="FAF686" s="8" t="s">
        <v>362</v>
      </c>
      <c r="LAI686" s="8" t="s">
        <v>362</v>
      </c>
      <c r="LBD686" s="8" t="s">
        <v>1399</v>
      </c>
    </row>
    <row r="687" spans="2:2 1351:2044 2052:3032 3080:4088 4188:4376 8147:8168">
      <c r="B687" s="10"/>
      <c r="BKL687" s="8" t="s">
        <v>5418</v>
      </c>
      <c r="BMH687" s="8" t="s">
        <v>5418</v>
      </c>
      <c r="CJX687" s="8" t="s">
        <v>376</v>
      </c>
      <c r="DHX687" s="8" t="s">
        <v>2127</v>
      </c>
      <c r="DJT687" s="8" t="s">
        <v>1684</v>
      </c>
      <c r="DNL687" s="8" t="s">
        <v>109</v>
      </c>
      <c r="DPH687" s="8" t="s">
        <v>109</v>
      </c>
      <c r="DRD687" s="8" t="s">
        <v>109</v>
      </c>
      <c r="DSZ687" s="8" t="s">
        <v>109</v>
      </c>
      <c r="ECF687" s="8" t="s">
        <v>107</v>
      </c>
      <c r="EYJ687" s="8" t="s">
        <v>6867</v>
      </c>
    </row>
    <row r="688" spans="2:2 1351:2044 2052:3032 3080:4088 4188:4376 8147:8168">
      <c r="B688" s="10"/>
      <c r="BPP688" s="8" t="s">
        <v>5419</v>
      </c>
      <c r="BRL688" s="8" t="s">
        <v>5419</v>
      </c>
      <c r="CJX688" s="8" t="s">
        <v>377</v>
      </c>
      <c r="DLP688" s="8" t="s">
        <v>2128</v>
      </c>
      <c r="DNL688" s="8" t="s">
        <v>1685</v>
      </c>
      <c r="DRD688" s="8" t="s">
        <v>361</v>
      </c>
      <c r="DSZ688" s="8" t="s">
        <v>361</v>
      </c>
      <c r="DUV688" s="8" t="s">
        <v>361</v>
      </c>
      <c r="DWR688" s="8" t="s">
        <v>361</v>
      </c>
      <c r="EFX688" s="8" t="s">
        <v>109</v>
      </c>
      <c r="FEB688" s="8" t="s">
        <v>6868</v>
      </c>
    </row>
    <row r="689" spans="2:2 1352:2024 2072:2890 3176:4088 4328:4328">
      <c r="B689" s="10"/>
      <c r="BRT689" s="8" t="s">
        <v>5420</v>
      </c>
      <c r="BTP689" s="8" t="s">
        <v>5420</v>
      </c>
      <c r="CJX689" s="8" t="s">
        <v>378</v>
      </c>
      <c r="DRD689" s="8" t="s">
        <v>2129</v>
      </c>
      <c r="DSZ689" s="8" t="s">
        <v>1686</v>
      </c>
      <c r="DWR689" s="8" t="s">
        <v>88</v>
      </c>
      <c r="DYN689" s="8" t="s">
        <v>88</v>
      </c>
      <c r="EAJ689" s="8" t="s">
        <v>88</v>
      </c>
      <c r="ECF689" s="8" t="s">
        <v>88</v>
      </c>
      <c r="FAF689" s="8" t="s">
        <v>361</v>
      </c>
      <c r="FJL689" s="8" t="s">
        <v>7166</v>
      </c>
    </row>
    <row r="690" spans="2:2 1352:2024 2072:2890 3176:4088 4328:4328">
      <c r="B690" s="10"/>
      <c r="BVL690" s="8" t="s">
        <v>5421</v>
      </c>
      <c r="BXH690" s="8" t="s">
        <v>5421</v>
      </c>
      <c r="CJX690" s="8" t="s">
        <v>379</v>
      </c>
      <c r="DWR690" s="8" t="s">
        <v>2130</v>
      </c>
      <c r="DYN690" s="8" t="s">
        <v>1687</v>
      </c>
      <c r="ECF690" s="8" t="s">
        <v>803</v>
      </c>
      <c r="EEB690" s="8" t="s">
        <v>803</v>
      </c>
      <c r="EFX690" s="8" t="s">
        <v>803</v>
      </c>
      <c r="EHT690" s="8" t="s">
        <v>803</v>
      </c>
    </row>
    <row r="691" spans="2:2 1352:2024 2072:2890 3176:4088 4328:4328">
      <c r="B691" s="10"/>
      <c r="BWQ691" s="8" t="s">
        <v>5422</v>
      </c>
      <c r="BYM691" s="8" t="s">
        <v>5422</v>
      </c>
      <c r="COW691" s="8" t="s">
        <v>380</v>
      </c>
      <c r="EFX691" s="8" t="s">
        <v>2131</v>
      </c>
      <c r="EHT691" s="8" t="s">
        <v>1688</v>
      </c>
      <c r="ELL691" s="8" t="s">
        <v>362</v>
      </c>
      <c r="ENH691" s="8" t="s">
        <v>362</v>
      </c>
      <c r="EPD691" s="8" t="s">
        <v>362</v>
      </c>
      <c r="EQZ691" s="8" t="s">
        <v>362</v>
      </c>
    </row>
    <row r="692" spans="2:2 1352:2024 2072:2890 3176:4088 4328:4328">
      <c r="B692" s="10"/>
      <c r="AYZ692" s="8" t="s">
        <v>4728</v>
      </c>
      <c r="BAV692" s="8" t="s">
        <v>4399</v>
      </c>
      <c r="BWZ692" s="8" t="s">
        <v>5423</v>
      </c>
      <c r="BYV692" s="8" t="s">
        <v>5423</v>
      </c>
      <c r="CRH692" s="8" t="s">
        <v>381</v>
      </c>
    </row>
    <row r="693" spans="2:2 1352:2024 2072:2890 3176:4088 4328:4328">
      <c r="B693" s="10"/>
      <c r="AYZ693" s="8" t="s">
        <v>4929</v>
      </c>
      <c r="BAV693" s="8" t="s">
        <v>4400</v>
      </c>
      <c r="BDJ693" s="8" t="s">
        <v>1034</v>
      </c>
      <c r="BFF693" s="8" t="s">
        <v>1034</v>
      </c>
      <c r="BYV693" s="8" t="s">
        <v>5424</v>
      </c>
      <c r="CAR693" s="8" t="s">
        <v>5424</v>
      </c>
      <c r="CRH693" s="8" t="s">
        <v>382</v>
      </c>
    </row>
    <row r="694" spans="2:2 1352:2024 2072:2890 3176:4088 4328:4328">
      <c r="B694" s="10"/>
      <c r="AZR694" s="8" t="s">
        <v>364</v>
      </c>
      <c r="BCR694" s="8" t="s">
        <v>4729</v>
      </c>
      <c r="BDJ694" s="8" t="s">
        <v>1035</v>
      </c>
      <c r="BEB694" s="8" t="s">
        <v>364</v>
      </c>
      <c r="BEN694" s="8" t="s">
        <v>4401</v>
      </c>
      <c r="BFF694" s="8" t="s">
        <v>364</v>
      </c>
      <c r="BFU694" s="8" t="s">
        <v>1035</v>
      </c>
      <c r="BHQ694" s="8" t="s">
        <v>1035</v>
      </c>
      <c r="CAZ694" s="8" t="s">
        <v>5425</v>
      </c>
      <c r="CCV694" s="8" t="s">
        <v>5425</v>
      </c>
      <c r="CWV694" s="8" t="s">
        <v>383</v>
      </c>
    </row>
    <row r="695" spans="2:2 1352:2024 2072:2890 3176:4088 4328:4328">
      <c r="B695" s="10"/>
      <c r="BCC695" s="8" t="s">
        <v>805</v>
      </c>
      <c r="BHQ695" s="8" t="s">
        <v>1036</v>
      </c>
      <c r="BHR695" s="8" t="s">
        <v>805</v>
      </c>
      <c r="BIF695" s="8" t="s">
        <v>1036</v>
      </c>
      <c r="BKB695" s="8" t="s">
        <v>1036</v>
      </c>
      <c r="BOJ695" s="8" t="s">
        <v>4730</v>
      </c>
      <c r="BQF695" s="8" t="s">
        <v>4402</v>
      </c>
      <c r="CCS695" s="8" t="s">
        <v>5426</v>
      </c>
      <c r="CEO695" s="8" t="s">
        <v>5426</v>
      </c>
      <c r="CUK695" s="8" t="s">
        <v>384</v>
      </c>
    </row>
    <row r="696" spans="2:2 1352:2024 2072:2890 3176:4088 4328:4328">
      <c r="B696" s="10"/>
      <c r="BEN696" s="8" t="s">
        <v>366</v>
      </c>
      <c r="BIF696" s="8" t="s">
        <v>1037</v>
      </c>
      <c r="BIT696" s="8" t="s">
        <v>366</v>
      </c>
      <c r="BKB696" s="8" t="s">
        <v>1037</v>
      </c>
      <c r="CBY696" s="8" t="s">
        <v>5427</v>
      </c>
      <c r="CDU696" s="8" t="s">
        <v>5427</v>
      </c>
      <c r="CGH696" s="8" t="s">
        <v>4731</v>
      </c>
      <c r="CID696" s="8" t="s">
        <v>4403</v>
      </c>
      <c r="CWV696" s="8" t="s">
        <v>385</v>
      </c>
    </row>
    <row r="697" spans="2:2 1352:2024 2072:2890 3176:4088 4328:4328">
      <c r="B697" s="10"/>
      <c r="BCH697" s="8" t="s">
        <v>5411</v>
      </c>
      <c r="BEN697" s="8" t="s">
        <v>367</v>
      </c>
      <c r="BFC697" s="8" t="s">
        <v>367</v>
      </c>
      <c r="BGJ697" s="8" t="s">
        <v>1038</v>
      </c>
      <c r="BKB697" s="8" t="s">
        <v>367</v>
      </c>
      <c r="BKQ697" s="8" t="s">
        <v>1038</v>
      </c>
      <c r="BMM697" s="8" t="s">
        <v>1038</v>
      </c>
      <c r="CPL697" s="8" t="s">
        <v>5428</v>
      </c>
      <c r="CRH697" s="8" t="s">
        <v>5428</v>
      </c>
      <c r="DEF697" s="8" t="s">
        <v>386</v>
      </c>
    </row>
    <row r="698" spans="2:2 1352:2024 2072:2890 3176:4088 4328:4328">
      <c r="B698" s="10"/>
      <c r="AYZ698" s="8" t="s">
        <v>6249</v>
      </c>
      <c r="BCR698" s="8" t="s">
        <v>5412</v>
      </c>
      <c r="BFC698" s="8" t="s">
        <v>1039</v>
      </c>
      <c r="BFF698" s="8" t="s">
        <v>363</v>
      </c>
      <c r="BFV698" s="8" t="s">
        <v>368</v>
      </c>
      <c r="BGY698" s="8" t="s">
        <v>368</v>
      </c>
      <c r="BMM698" s="8" t="s">
        <v>368</v>
      </c>
      <c r="BVD698" s="8" t="s">
        <v>1039</v>
      </c>
      <c r="BWZ698" s="8" t="s">
        <v>1039</v>
      </c>
      <c r="CPQ698" s="8" t="s">
        <v>5429</v>
      </c>
      <c r="CRM698" s="8" t="s">
        <v>5429</v>
      </c>
      <c r="DEF698" s="8" t="s">
        <v>387</v>
      </c>
    </row>
    <row r="699" spans="2:2 1352:2024 2072:2890 3176:4088 4328:4328">
      <c r="B699" s="10"/>
      <c r="AYZ699" s="8" t="s">
        <v>6403</v>
      </c>
      <c r="BAV699" s="8" t="s">
        <v>6066</v>
      </c>
      <c r="BEN699" s="8" t="s">
        <v>5413</v>
      </c>
      <c r="BHQ699" s="8" t="s">
        <v>364</v>
      </c>
      <c r="BRL699" s="8" t="s">
        <v>369</v>
      </c>
      <c r="BVD699" s="8" t="s">
        <v>1040</v>
      </c>
      <c r="BVR699" s="8" t="s">
        <v>369</v>
      </c>
      <c r="BWZ699" s="8" t="s">
        <v>1040</v>
      </c>
      <c r="CPL699" s="8" t="s">
        <v>5430</v>
      </c>
      <c r="CRH699" s="8" t="s">
        <v>5430</v>
      </c>
      <c r="DRD699" s="8" t="s">
        <v>388</v>
      </c>
    </row>
    <row r="700" spans="2:2 1352:2024 2072:2890 3176:4088 4328:4328">
      <c r="B700" s="10"/>
      <c r="BAV700" s="8" t="s">
        <v>6835</v>
      </c>
      <c r="BCR700" s="8" t="s">
        <v>6603</v>
      </c>
      <c r="BEN700" s="8" t="s">
        <v>6067</v>
      </c>
      <c r="BIF700" s="8" t="s">
        <v>5414</v>
      </c>
      <c r="BKB700" s="8" t="s">
        <v>365</v>
      </c>
      <c r="BRL700" s="8" t="s">
        <v>370</v>
      </c>
      <c r="BVD700" s="8" t="s">
        <v>1041</v>
      </c>
      <c r="BWZ700" s="8" t="s">
        <v>1041</v>
      </c>
      <c r="CRH700" s="8" t="s">
        <v>5431</v>
      </c>
      <c r="CTD700" s="8" t="s">
        <v>5431</v>
      </c>
      <c r="DRD700" s="8" t="s">
        <v>389</v>
      </c>
    </row>
    <row r="701" spans="2:2 1352:2024 2072:2890 3176:4088 4328:4328">
      <c r="B701" s="10"/>
      <c r="AYZ701" s="8" t="s">
        <v>366</v>
      </c>
      <c r="BAL701" s="8" t="s">
        <v>6836</v>
      </c>
      <c r="BAV701" s="8" t="s">
        <v>366</v>
      </c>
      <c r="BCH701" s="8" t="s">
        <v>6604</v>
      </c>
      <c r="BED701" s="8" t="s">
        <v>6068</v>
      </c>
      <c r="BHV701" s="8" t="s">
        <v>5415</v>
      </c>
      <c r="BKB701" s="8" t="s">
        <v>366</v>
      </c>
      <c r="BRL701" s="8" t="s">
        <v>371</v>
      </c>
      <c r="BVD701" s="8" t="s">
        <v>1042</v>
      </c>
      <c r="BWZ701" s="8" t="s">
        <v>1042</v>
      </c>
      <c r="CRK701" s="8" t="s">
        <v>5432</v>
      </c>
      <c r="CTG701" s="8" t="s">
        <v>5432</v>
      </c>
      <c r="DRD701" s="8" t="s">
        <v>390</v>
      </c>
    </row>
    <row r="702" spans="2:2 1352:2024 2072:2890 3176:4088 4328:4328">
      <c r="B702" s="10"/>
      <c r="AYZ702" s="8" t="s">
        <v>367</v>
      </c>
      <c r="BAV702" s="8" t="s">
        <v>6837</v>
      </c>
      <c r="BCR702" s="8" t="s">
        <v>6605</v>
      </c>
      <c r="BEN702" s="8" t="s">
        <v>6069</v>
      </c>
      <c r="BIF702" s="8" t="s">
        <v>5416</v>
      </c>
      <c r="BMM702" s="8" t="s">
        <v>367</v>
      </c>
      <c r="BRL702" s="8" t="s">
        <v>372</v>
      </c>
      <c r="BVD702" s="8" t="s">
        <v>1043</v>
      </c>
      <c r="BWZ702" s="8" t="s">
        <v>1043</v>
      </c>
      <c r="CUZ702" s="8" t="s">
        <v>5433</v>
      </c>
      <c r="CWV702" s="8" t="s">
        <v>5433</v>
      </c>
      <c r="EEB702" s="8" t="s">
        <v>391</v>
      </c>
    </row>
    <row r="703" spans="2:2 1352:2024 2072:2890 3176:4088 4328:4328">
      <c r="B703" s="10"/>
      <c r="AZO703" s="8" t="s">
        <v>368</v>
      </c>
      <c r="BBK703" s="8" t="s">
        <v>368</v>
      </c>
      <c r="BCR703" s="8" t="s">
        <v>6838</v>
      </c>
      <c r="BDG703" s="8" t="s">
        <v>368</v>
      </c>
      <c r="BEN703" s="8" t="s">
        <v>6404</v>
      </c>
      <c r="BGJ703" s="8" t="s">
        <v>6070</v>
      </c>
      <c r="BKB703" s="8" t="s">
        <v>5417</v>
      </c>
      <c r="BRL703" s="8" t="s">
        <v>373</v>
      </c>
      <c r="BVD703" s="8" t="s">
        <v>1044</v>
      </c>
      <c r="BWZ703" s="8" t="s">
        <v>1044</v>
      </c>
      <c r="CYC703" s="8" t="s">
        <v>5434</v>
      </c>
      <c r="CZY703" s="8" t="s">
        <v>5434</v>
      </c>
      <c r="EEB703" s="8" t="s">
        <v>392</v>
      </c>
    </row>
    <row r="704" spans="2:2 1352:2024 2072:2890 3176:4088 4328:4328">
      <c r="B704" s="10"/>
      <c r="BCR704" s="8" t="s">
        <v>2132</v>
      </c>
      <c r="BDB704" s="8" t="s">
        <v>6839</v>
      </c>
      <c r="BEN704" s="8" t="s">
        <v>1689</v>
      </c>
      <c r="BEX704" s="8" t="s">
        <v>6405</v>
      </c>
      <c r="BGT704" s="8" t="s">
        <v>6071</v>
      </c>
      <c r="BIF704" s="8" t="s">
        <v>369</v>
      </c>
      <c r="BKB704" s="8" t="s">
        <v>369</v>
      </c>
      <c r="BKL704" s="8" t="s">
        <v>5418</v>
      </c>
      <c r="BLJ704" s="8" t="s">
        <v>374</v>
      </c>
      <c r="BLX704" s="8" t="s">
        <v>369</v>
      </c>
      <c r="BNT704" s="8" t="s">
        <v>369</v>
      </c>
      <c r="BRL704" s="8" t="s">
        <v>374</v>
      </c>
      <c r="BWZ704" s="8" t="s">
        <v>1045</v>
      </c>
      <c r="CIB704" s="8" t="s">
        <v>1045</v>
      </c>
      <c r="CJX704" s="8" t="s">
        <v>1045</v>
      </c>
      <c r="DEH704" s="8" t="s">
        <v>5435</v>
      </c>
      <c r="DGD704" s="8" t="s">
        <v>5435</v>
      </c>
      <c r="ERM704" s="8" t="s">
        <v>393</v>
      </c>
    </row>
    <row r="705" spans="2:2 1352:2029 2057:3032 3080:4073 4121:4280">
      <c r="B705" s="10"/>
      <c r="BCR705" s="8" t="s">
        <v>2133</v>
      </c>
      <c r="BEN705" s="8" t="s">
        <v>1690</v>
      </c>
      <c r="BGE705" s="8" t="s">
        <v>6840</v>
      </c>
      <c r="BIA705" s="8" t="s">
        <v>6406</v>
      </c>
      <c r="BIF705" s="8" t="s">
        <v>370</v>
      </c>
      <c r="BJW705" s="8" t="s">
        <v>6072</v>
      </c>
      <c r="BKB705" s="8" t="s">
        <v>370</v>
      </c>
      <c r="BLX705" s="8" t="s">
        <v>370</v>
      </c>
      <c r="BNO705" s="8" t="s">
        <v>5835</v>
      </c>
      <c r="BNT705" s="8" t="s">
        <v>370</v>
      </c>
      <c r="BWZ705" s="8" t="s">
        <v>370</v>
      </c>
      <c r="CEJ705" s="8" t="s">
        <v>375</v>
      </c>
      <c r="CIB705" s="8" t="s">
        <v>1046</v>
      </c>
      <c r="CIP705" s="8" t="s">
        <v>375</v>
      </c>
      <c r="CJX705" s="8" t="s">
        <v>1046</v>
      </c>
      <c r="DPH705" s="8" t="s">
        <v>5436</v>
      </c>
      <c r="DRD705" s="8" t="s">
        <v>5436</v>
      </c>
    </row>
    <row r="706" spans="2:2 1352:2029 2057:3032 3080:4073 4121:4280">
      <c r="B706" s="10"/>
      <c r="BCR706" s="8" t="s">
        <v>2134</v>
      </c>
      <c r="BEN706" s="8" t="s">
        <v>1691</v>
      </c>
      <c r="BIF706" s="8" t="s">
        <v>6841</v>
      </c>
      <c r="BKB706" s="8" t="s">
        <v>6407</v>
      </c>
      <c r="BLX706" s="8" t="s">
        <v>5853</v>
      </c>
      <c r="BNT706" s="8" t="s">
        <v>371</v>
      </c>
      <c r="BPP706" s="8" t="s">
        <v>5419</v>
      </c>
      <c r="BWZ706" s="8" t="s">
        <v>371</v>
      </c>
      <c r="CEJ706" s="8" t="s">
        <v>376</v>
      </c>
      <c r="CIB706" s="8" t="s">
        <v>1047</v>
      </c>
      <c r="CJX706" s="8" t="s">
        <v>1047</v>
      </c>
      <c r="DRI706" s="8" t="s">
        <v>5437</v>
      </c>
      <c r="DTE706" s="8" t="s">
        <v>5437</v>
      </c>
    </row>
    <row r="707" spans="2:2 1352:2029 2057:3032 3080:4073 4121:4280">
      <c r="B707" s="10"/>
      <c r="BCR707" s="8" t="s">
        <v>2135</v>
      </c>
      <c r="BEN707" s="8" t="s">
        <v>1692</v>
      </c>
      <c r="BIF707" s="8" t="s">
        <v>372</v>
      </c>
      <c r="BKB707" s="8" t="s">
        <v>372</v>
      </c>
      <c r="BKJ707" s="8" t="s">
        <v>6842</v>
      </c>
      <c r="BLX707" s="8" t="s">
        <v>372</v>
      </c>
      <c r="BMF707" s="8" t="s">
        <v>6408</v>
      </c>
      <c r="BNT707" s="8" t="s">
        <v>372</v>
      </c>
      <c r="BOB707" s="8" t="s">
        <v>6073</v>
      </c>
      <c r="BRT707" s="8" t="s">
        <v>5420</v>
      </c>
      <c r="BWZ707" s="8" t="s">
        <v>372</v>
      </c>
      <c r="CEJ707" s="8" t="s">
        <v>377</v>
      </c>
      <c r="CIB707" s="8" t="s">
        <v>1048</v>
      </c>
      <c r="CJX707" s="8" t="s">
        <v>1048</v>
      </c>
      <c r="DUV707" s="8" t="s">
        <v>5438</v>
      </c>
      <c r="DWR707" s="8" t="s">
        <v>5438</v>
      </c>
    </row>
    <row r="708" spans="2:2 1352:2029 2057:3032 3080:4073 4121:4280">
      <c r="B708" s="10"/>
      <c r="BCR708" s="8" t="s">
        <v>2136</v>
      </c>
      <c r="BEN708" s="8" t="s">
        <v>1693</v>
      </c>
      <c r="BIF708" s="8" t="s">
        <v>373</v>
      </c>
      <c r="BKB708" s="8" t="s">
        <v>373</v>
      </c>
      <c r="BLX708" s="8" t="s">
        <v>373</v>
      </c>
      <c r="BNT708" s="8" t="s">
        <v>373</v>
      </c>
      <c r="BOB708" s="8" t="s">
        <v>6843</v>
      </c>
      <c r="BPX708" s="8" t="s">
        <v>6409</v>
      </c>
      <c r="BRT708" s="8" t="s">
        <v>6074</v>
      </c>
      <c r="BVL708" s="8" t="s">
        <v>5421</v>
      </c>
      <c r="BWZ708" s="8" t="s">
        <v>373</v>
      </c>
      <c r="CEJ708" s="8" t="s">
        <v>378</v>
      </c>
      <c r="CIB708" s="8" t="s">
        <v>1049</v>
      </c>
      <c r="CJX708" s="8" t="s">
        <v>1049</v>
      </c>
      <c r="DWR708" s="8" t="s">
        <v>5439</v>
      </c>
      <c r="DYN708" s="8" t="s">
        <v>5439</v>
      </c>
    </row>
    <row r="709" spans="2:2 1352:2029 2057:3032 3080:4073 4121:4280">
      <c r="B709" s="10"/>
      <c r="BCR709" s="8" t="s">
        <v>2137</v>
      </c>
      <c r="BEN709" s="8" t="s">
        <v>1694</v>
      </c>
      <c r="BIF709" s="8" t="s">
        <v>374</v>
      </c>
      <c r="BKB709" s="8" t="s">
        <v>374</v>
      </c>
      <c r="BLX709" s="8" t="s">
        <v>374</v>
      </c>
      <c r="BNT709" s="8" t="s">
        <v>374</v>
      </c>
      <c r="BPG709" s="8" t="s">
        <v>6844</v>
      </c>
      <c r="BRC709" s="8" t="s">
        <v>6410</v>
      </c>
      <c r="BSY709" s="8" t="s">
        <v>6075</v>
      </c>
      <c r="BWQ709" s="8" t="s">
        <v>5422</v>
      </c>
      <c r="CEJ709" s="8" t="s">
        <v>379</v>
      </c>
      <c r="CIB709" s="8" t="s">
        <v>1050</v>
      </c>
      <c r="CJX709" s="8" t="s">
        <v>1050</v>
      </c>
      <c r="ECF709" s="8" t="s">
        <v>5440</v>
      </c>
      <c r="EEB709" s="8" t="s">
        <v>5440</v>
      </c>
    </row>
    <row r="710" spans="2:2 1352:2029 2057:3032 3080:4073 4121:4280">
      <c r="B710" s="10"/>
      <c r="BPP710" s="8" t="s">
        <v>6845</v>
      </c>
      <c r="BRL710" s="8" t="s">
        <v>6411</v>
      </c>
      <c r="BTH710" s="8" t="s">
        <v>5854</v>
      </c>
      <c r="BVD710" s="8" t="s">
        <v>375</v>
      </c>
      <c r="BWZ710" s="8" t="s">
        <v>5423</v>
      </c>
      <c r="BYV710" s="8" t="s">
        <v>375</v>
      </c>
      <c r="CAR710" s="8" t="s">
        <v>375</v>
      </c>
      <c r="CEJ710" s="8" t="s">
        <v>380</v>
      </c>
      <c r="CGF710" s="8" t="s">
        <v>1051</v>
      </c>
      <c r="CGH710" s="8" t="s">
        <v>380</v>
      </c>
      <c r="CJX710" s="8" t="s">
        <v>1051</v>
      </c>
      <c r="CNA710" s="8" t="s">
        <v>1051</v>
      </c>
      <c r="COW710" s="8" t="s">
        <v>1051</v>
      </c>
      <c r="EKW710" s="8" t="s">
        <v>5441</v>
      </c>
      <c r="EMS710" s="8" t="s">
        <v>5441</v>
      </c>
    </row>
    <row r="711" spans="2:2 1352:2029 2057:3032 3080:4073 4121:4280">
      <c r="B711" s="10"/>
      <c r="BAO711" s="8" t="s">
        <v>7167</v>
      </c>
      <c r="BPP711" s="8" t="s">
        <v>2138</v>
      </c>
      <c r="BRL711" s="8" t="s">
        <v>6846</v>
      </c>
      <c r="BTH711" s="8" t="s">
        <v>6412</v>
      </c>
      <c r="BVD711" s="8" t="s">
        <v>5870</v>
      </c>
      <c r="BWZ711" s="8" t="s">
        <v>376</v>
      </c>
      <c r="BYV711" s="8" t="s">
        <v>5424</v>
      </c>
      <c r="CAR711" s="8" t="s">
        <v>376</v>
      </c>
      <c r="CJI711" s="8" t="s">
        <v>381</v>
      </c>
      <c r="CJX711" s="8" t="s">
        <v>376</v>
      </c>
      <c r="CLC711" s="8" t="s">
        <v>381</v>
      </c>
      <c r="CLE711" s="8" t="s">
        <v>1052</v>
      </c>
      <c r="COW711" s="8" t="s">
        <v>381</v>
      </c>
      <c r="CPL711" s="8" t="s">
        <v>1052</v>
      </c>
      <c r="CRH711" s="8" t="s">
        <v>1052</v>
      </c>
      <c r="EQZ711" s="8" t="s">
        <v>5442</v>
      </c>
      <c r="ESV711" s="8" t="s">
        <v>5442</v>
      </c>
    </row>
    <row r="712" spans="2:2 1352:2029 2057:3032 3080:4073 4121:4280">
      <c r="B712" s="10"/>
      <c r="BCR712" s="8" t="s">
        <v>6869</v>
      </c>
      <c r="BPP712" s="8" t="s">
        <v>2139</v>
      </c>
      <c r="BRL712" s="8" t="s">
        <v>1695</v>
      </c>
      <c r="BTP712" s="8" t="s">
        <v>6847</v>
      </c>
      <c r="BVD712" s="8" t="s">
        <v>377</v>
      </c>
      <c r="BVL712" s="8" t="s">
        <v>6413</v>
      </c>
      <c r="BWZ712" s="8" t="s">
        <v>377</v>
      </c>
      <c r="BXH712" s="8" t="s">
        <v>6076</v>
      </c>
      <c r="BYV712" s="8" t="s">
        <v>377</v>
      </c>
      <c r="CAR712" s="8" t="s">
        <v>377</v>
      </c>
      <c r="CAZ712" s="8" t="s">
        <v>5425</v>
      </c>
      <c r="CJX712" s="8" t="s">
        <v>377</v>
      </c>
      <c r="CLT712" s="8" t="s">
        <v>382</v>
      </c>
      <c r="CPL712" s="8" t="s">
        <v>1053</v>
      </c>
      <c r="CRH712" s="8" t="s">
        <v>1053</v>
      </c>
      <c r="ESV712" s="8" t="s">
        <v>5443</v>
      </c>
      <c r="EUR712" s="8" t="s">
        <v>5443</v>
      </c>
    </row>
    <row r="713" spans="2:2 1352:2029 2057:3032 3080:4073 4121:4280">
      <c r="B713" s="10"/>
      <c r="BIF713" s="8" t="s">
        <v>6871</v>
      </c>
      <c r="BPP713" s="8" t="s">
        <v>2140</v>
      </c>
      <c r="BRL713" s="8" t="s">
        <v>1696</v>
      </c>
      <c r="BVD713" s="8" t="s">
        <v>378</v>
      </c>
      <c r="BVI713" s="8" t="s">
        <v>6848</v>
      </c>
      <c r="BWZ713" s="8" t="s">
        <v>378</v>
      </c>
      <c r="BXE713" s="8" t="s">
        <v>6414</v>
      </c>
      <c r="BYV713" s="8" t="s">
        <v>378</v>
      </c>
      <c r="BZA713" s="8" t="s">
        <v>6077</v>
      </c>
      <c r="CAR713" s="8" t="s">
        <v>378</v>
      </c>
      <c r="CCS713" s="8" t="s">
        <v>5426</v>
      </c>
      <c r="CJX713" s="8" t="s">
        <v>378</v>
      </c>
      <c r="CLT713" s="8" t="s">
        <v>383</v>
      </c>
      <c r="CNB713" s="8" t="s">
        <v>383</v>
      </c>
      <c r="CNP713" s="8" t="s">
        <v>1054</v>
      </c>
      <c r="CRH713" s="8" t="s">
        <v>383</v>
      </c>
      <c r="CUZ713" s="8" t="s">
        <v>1054</v>
      </c>
      <c r="CWV713" s="8" t="s">
        <v>1054</v>
      </c>
      <c r="EZQ713" s="8" t="s">
        <v>5444</v>
      </c>
      <c r="FBM713" s="8" t="s">
        <v>5444</v>
      </c>
    </row>
    <row r="714" spans="2:2 1352:2029 2057:3032 3080:4073 4121:4280">
      <c r="B714" s="10"/>
      <c r="BLX714" s="8" t="s">
        <v>6872</v>
      </c>
      <c r="BPP714" s="8" t="s">
        <v>2141</v>
      </c>
      <c r="BRL714" s="8" t="s">
        <v>1697</v>
      </c>
      <c r="BUO714" s="8" t="s">
        <v>6849</v>
      </c>
      <c r="BVD714" s="8" t="s">
        <v>379</v>
      </c>
      <c r="BWK714" s="8" t="s">
        <v>6415</v>
      </c>
      <c r="BWZ714" s="8" t="s">
        <v>379</v>
      </c>
      <c r="BYG714" s="8" t="s">
        <v>6078</v>
      </c>
      <c r="BYV714" s="8" t="s">
        <v>379</v>
      </c>
      <c r="CAR714" s="8" t="s">
        <v>379</v>
      </c>
      <c r="CBY714" s="8" t="s">
        <v>5427</v>
      </c>
      <c r="CJX714" s="8" t="s">
        <v>379</v>
      </c>
      <c r="CRH714" s="8" t="s">
        <v>384</v>
      </c>
      <c r="CSO714" s="8" t="s">
        <v>1055</v>
      </c>
      <c r="CUH714" s="8" t="s">
        <v>384</v>
      </c>
      <c r="CUK714" s="8" t="s">
        <v>1055</v>
      </c>
      <c r="CUZ714" s="8" t="s">
        <v>1055</v>
      </c>
      <c r="CWV714" s="8" t="s">
        <v>384</v>
      </c>
      <c r="FFT714" s="8" t="s">
        <v>5445</v>
      </c>
      <c r="FHP714" s="8" t="s">
        <v>5445</v>
      </c>
    </row>
    <row r="715" spans="2:2 1352:2029 2057:3032 3080:4073 4121:4280">
      <c r="B715" s="10"/>
      <c r="BNT715" s="8" t="s">
        <v>7168</v>
      </c>
      <c r="BPP715" s="8" t="s">
        <v>2142</v>
      </c>
      <c r="BRL715" s="8" t="s">
        <v>1698</v>
      </c>
      <c r="BVD715" s="8" t="s">
        <v>380</v>
      </c>
      <c r="BWZ715" s="8" t="s">
        <v>380</v>
      </c>
      <c r="BYV715" s="8" t="s">
        <v>380</v>
      </c>
      <c r="CAR715" s="8" t="s">
        <v>380</v>
      </c>
      <c r="CIB715" s="8" t="s">
        <v>6850</v>
      </c>
      <c r="CJX715" s="8" t="s">
        <v>6416</v>
      </c>
      <c r="CLT715" s="8" t="s">
        <v>6079</v>
      </c>
      <c r="COW715" s="8" t="s">
        <v>385</v>
      </c>
      <c r="CPL715" s="8" t="s">
        <v>5428</v>
      </c>
      <c r="CUK715" s="8" t="s">
        <v>1056</v>
      </c>
      <c r="CUZ715" s="8" t="s">
        <v>1056</v>
      </c>
      <c r="CVQ715" s="8" t="s">
        <v>385</v>
      </c>
      <c r="CWV715" s="8" t="s">
        <v>1056</v>
      </c>
    </row>
    <row r="716" spans="2:2 1352:2029 2057:3032 3080:4073 4121:4280">
      <c r="B716" s="10"/>
      <c r="BPP716" s="8" t="s">
        <v>6873</v>
      </c>
      <c r="BUO716" s="8" t="s">
        <v>2143</v>
      </c>
      <c r="BWK716" s="8" t="s">
        <v>1699</v>
      </c>
      <c r="CAC716" s="8" t="s">
        <v>381</v>
      </c>
      <c r="CBY716" s="8" t="s">
        <v>381</v>
      </c>
      <c r="CDU716" s="8" t="s">
        <v>381</v>
      </c>
      <c r="CFQ716" s="8" t="s">
        <v>381</v>
      </c>
      <c r="CIG716" s="8" t="s">
        <v>6851</v>
      </c>
      <c r="CKC716" s="8" t="s">
        <v>6606</v>
      </c>
      <c r="CLY716" s="8" t="s">
        <v>6080</v>
      </c>
      <c r="CPL716" s="8" t="s">
        <v>1057</v>
      </c>
      <c r="CPQ716" s="8" t="s">
        <v>5429</v>
      </c>
      <c r="CRH716" s="8" t="s">
        <v>386</v>
      </c>
      <c r="CWV716" s="8" t="s">
        <v>386</v>
      </c>
      <c r="DCJ716" s="8" t="s">
        <v>1057</v>
      </c>
      <c r="DEF716" s="8" t="s">
        <v>1057</v>
      </c>
    </row>
    <row r="717" spans="2:2 1352:2029 2057:3032 3080:4073 4121:4280">
      <c r="B717" s="10"/>
      <c r="AYZ717" s="8" t="s">
        <v>387</v>
      </c>
      <c r="AZX717" s="8" t="s">
        <v>387</v>
      </c>
      <c r="BAV717" s="8" t="s">
        <v>1058</v>
      </c>
      <c r="BPP717" s="8" t="s">
        <v>6874</v>
      </c>
      <c r="BWZ717" s="8" t="s">
        <v>2144</v>
      </c>
      <c r="BYV717" s="8" t="s">
        <v>1700</v>
      </c>
      <c r="CCN717" s="8" t="s">
        <v>382</v>
      </c>
      <c r="CEJ717" s="8" t="s">
        <v>382</v>
      </c>
      <c r="CGF717" s="8" t="s">
        <v>382</v>
      </c>
      <c r="CIB717" s="8" t="s">
        <v>6852</v>
      </c>
      <c r="CJX717" s="8" t="s">
        <v>6607</v>
      </c>
      <c r="CLT717" s="8" t="s">
        <v>6081</v>
      </c>
      <c r="CPL717" s="8" t="s">
        <v>5430</v>
      </c>
      <c r="CRH717" s="8" t="s">
        <v>382</v>
      </c>
      <c r="CYR717" s="8" t="s">
        <v>387</v>
      </c>
      <c r="DCJ717" s="8" t="s">
        <v>1058</v>
      </c>
      <c r="DEF717" s="8" t="s">
        <v>1058</v>
      </c>
    </row>
    <row r="718" spans="2:2 1352:2029 2057:3032 3080:4073 4121:4280">
      <c r="B718" s="10"/>
      <c r="AYZ718" s="8" t="s">
        <v>388</v>
      </c>
      <c r="AZX718" s="8" t="s">
        <v>388</v>
      </c>
      <c r="BAV718" s="8" t="s">
        <v>1059</v>
      </c>
      <c r="BPQ718" s="8" t="s">
        <v>6875</v>
      </c>
      <c r="BWZ718" s="8" t="s">
        <v>2145</v>
      </c>
      <c r="BYV718" s="8" t="s">
        <v>1701</v>
      </c>
      <c r="CCN718" s="8" t="s">
        <v>383</v>
      </c>
      <c r="CEJ718" s="8" t="s">
        <v>383</v>
      </c>
      <c r="CGF718" s="8" t="s">
        <v>383</v>
      </c>
      <c r="CIB718" s="8" t="s">
        <v>383</v>
      </c>
      <c r="CJX718" s="8" t="s">
        <v>6853</v>
      </c>
      <c r="CLT718" s="8" t="s">
        <v>6417</v>
      </c>
      <c r="CNP718" s="8" t="s">
        <v>6082</v>
      </c>
      <c r="CRH718" s="8" t="s">
        <v>5431</v>
      </c>
      <c r="CWV718" s="8" t="s">
        <v>383</v>
      </c>
      <c r="CYR718" s="8" t="s">
        <v>388</v>
      </c>
      <c r="DEF718" s="8" t="s">
        <v>388</v>
      </c>
      <c r="DPH718" s="8" t="s">
        <v>1059</v>
      </c>
      <c r="DRD718" s="8" t="s">
        <v>1059</v>
      </c>
    </row>
    <row r="719" spans="2:2 1352:2029 2057:3032 3080:4073 4121:4280">
      <c r="B719" s="10"/>
      <c r="BFL719" s="8" t="s">
        <v>389</v>
      </c>
      <c r="BGJ719" s="8" t="s">
        <v>389</v>
      </c>
      <c r="BHH719" s="8" t="s">
        <v>1060</v>
      </c>
      <c r="BYV719" s="8" t="s">
        <v>6876</v>
      </c>
      <c r="CCN719" s="8" t="s">
        <v>2146</v>
      </c>
      <c r="CEJ719" s="8" t="s">
        <v>1702</v>
      </c>
      <c r="CIB719" s="8" t="s">
        <v>384</v>
      </c>
      <c r="CJX719" s="8" t="s">
        <v>384</v>
      </c>
      <c r="CKA719" s="8" t="s">
        <v>6854</v>
      </c>
      <c r="CLT719" s="8" t="s">
        <v>384</v>
      </c>
      <c r="CLW719" s="8" t="s">
        <v>6418</v>
      </c>
      <c r="CNP719" s="8" t="s">
        <v>384</v>
      </c>
      <c r="CNS719" s="8" t="s">
        <v>6083</v>
      </c>
      <c r="CRK719" s="8" t="s">
        <v>5432</v>
      </c>
      <c r="CUK719" s="8" t="s">
        <v>384</v>
      </c>
      <c r="DLP719" s="8" t="s">
        <v>389</v>
      </c>
      <c r="DPH719" s="8" t="s">
        <v>1060</v>
      </c>
      <c r="DRD719" s="8" t="s">
        <v>1060</v>
      </c>
    </row>
    <row r="720" spans="2:2 1352:2029 2057:3032 3080:4073 4121:4280">
      <c r="B720" s="10"/>
      <c r="BFL720" s="8" t="s">
        <v>390</v>
      </c>
      <c r="BGJ720" s="8" t="s">
        <v>390</v>
      </c>
      <c r="BHH720" s="8" t="s">
        <v>1061</v>
      </c>
      <c r="CAC720" s="8" t="s">
        <v>2147</v>
      </c>
      <c r="CBY720" s="8" t="s">
        <v>1703</v>
      </c>
      <c r="CFQ720" s="8" t="s">
        <v>385</v>
      </c>
      <c r="CHM720" s="8" t="s">
        <v>385</v>
      </c>
      <c r="CJI720" s="8" t="s">
        <v>385</v>
      </c>
      <c r="CLE720" s="8" t="s">
        <v>385</v>
      </c>
      <c r="CNP720" s="8" t="s">
        <v>6855</v>
      </c>
      <c r="CPL720" s="8" t="s">
        <v>6419</v>
      </c>
      <c r="CRH720" s="8" t="s">
        <v>6084</v>
      </c>
      <c r="CUZ720" s="8" t="s">
        <v>5433</v>
      </c>
      <c r="CWV720" s="8" t="s">
        <v>385</v>
      </c>
      <c r="DLP720" s="8" t="s">
        <v>390</v>
      </c>
      <c r="DNL720" s="8" t="s">
        <v>6877</v>
      </c>
      <c r="DPH720" s="8" t="s">
        <v>1061</v>
      </c>
      <c r="DRD720" s="8" t="s">
        <v>1061</v>
      </c>
    </row>
    <row r="721" spans="2:2 1352:2032 2063:3037 3080:4088 4136:4380 7453:7461">
      <c r="B721" s="10"/>
      <c r="BFL721" s="8" t="s">
        <v>391</v>
      </c>
      <c r="BGJ721" s="8" t="s">
        <v>391</v>
      </c>
      <c r="BHH721" s="8" t="s">
        <v>1062</v>
      </c>
      <c r="CCN721" s="8" t="s">
        <v>2148</v>
      </c>
      <c r="CEJ721" s="8" t="s">
        <v>1704</v>
      </c>
      <c r="CIB721" s="8" t="s">
        <v>386</v>
      </c>
      <c r="CJX721" s="8" t="s">
        <v>386</v>
      </c>
      <c r="CLT721" s="8" t="s">
        <v>386</v>
      </c>
      <c r="CNP721" s="8" t="s">
        <v>386</v>
      </c>
      <c r="CQS721" s="8" t="s">
        <v>6856</v>
      </c>
      <c r="CSO721" s="8" t="s">
        <v>6420</v>
      </c>
      <c r="CUK721" s="8" t="s">
        <v>6085</v>
      </c>
      <c r="CYC721" s="8" t="s">
        <v>5434</v>
      </c>
      <c r="DEF721" s="8" t="s">
        <v>1062</v>
      </c>
      <c r="DLP721" s="8" t="s">
        <v>391</v>
      </c>
      <c r="DRD721" s="8" t="s">
        <v>391</v>
      </c>
      <c r="DUV721" s="8" t="s">
        <v>6878</v>
      </c>
      <c r="ECF721" s="8" t="s">
        <v>1062</v>
      </c>
      <c r="EEB721" s="8" t="s">
        <v>1062</v>
      </c>
    </row>
    <row r="722" spans="2:2 1352:2032 2063:3037 3080:4088 4136:4380 7453:7461">
      <c r="B722" s="10"/>
      <c r="BLX722" s="8" t="s">
        <v>392</v>
      </c>
      <c r="BMV722" s="8" t="s">
        <v>392</v>
      </c>
      <c r="BNT722" s="8" t="s">
        <v>1063</v>
      </c>
      <c r="CJX722" s="8" t="s">
        <v>2149</v>
      </c>
      <c r="CLT722" s="8" t="s">
        <v>1705</v>
      </c>
      <c r="CPL722" s="8" t="s">
        <v>387</v>
      </c>
      <c r="CRH722" s="8" t="s">
        <v>387</v>
      </c>
      <c r="CTD722" s="8" t="s">
        <v>387</v>
      </c>
      <c r="CUZ722" s="8" t="s">
        <v>387</v>
      </c>
      <c r="CWX722" s="8" t="s">
        <v>6857</v>
      </c>
      <c r="CYT722" s="8" t="s">
        <v>6421</v>
      </c>
      <c r="DAP722" s="8" t="s">
        <v>6086</v>
      </c>
      <c r="DEF722" s="8" t="s">
        <v>387</v>
      </c>
      <c r="DEH722" s="8" t="s">
        <v>5435</v>
      </c>
      <c r="DWS722" s="8" t="s">
        <v>6879</v>
      </c>
      <c r="DYN722" s="8" t="s">
        <v>392</v>
      </c>
      <c r="ECF722" s="8" t="s">
        <v>1063</v>
      </c>
      <c r="EEB722" s="8" t="s">
        <v>1063</v>
      </c>
    </row>
    <row r="723" spans="2:2 1352:2032 2063:3037 3080:4088 4136:4380 7453:7461">
      <c r="B723" s="10"/>
      <c r="AYZ723" s="8" t="s">
        <v>4732</v>
      </c>
      <c r="BAV723" s="8" t="s">
        <v>4404</v>
      </c>
      <c r="BLX723" s="8" t="s">
        <v>393</v>
      </c>
      <c r="BMV723" s="8" t="s">
        <v>393</v>
      </c>
      <c r="BNT723" s="8" t="s">
        <v>1064</v>
      </c>
      <c r="CJX723" s="8" t="s">
        <v>2150</v>
      </c>
      <c r="CLT723" s="8" t="s">
        <v>1706</v>
      </c>
      <c r="CPL723" s="8" t="s">
        <v>388</v>
      </c>
      <c r="CRH723" s="8" t="s">
        <v>388</v>
      </c>
      <c r="CTD723" s="8" t="s">
        <v>388</v>
      </c>
      <c r="CUZ723" s="8" t="s">
        <v>388</v>
      </c>
      <c r="DHX723" s="8" t="s">
        <v>6858</v>
      </c>
      <c r="DJT723" s="8" t="s">
        <v>6422</v>
      </c>
      <c r="DLP723" s="8" t="s">
        <v>6087</v>
      </c>
      <c r="DPH723" s="8" t="s">
        <v>5436</v>
      </c>
      <c r="DQM723" s="8" t="s">
        <v>393</v>
      </c>
      <c r="DRD723" s="8" t="s">
        <v>1064</v>
      </c>
      <c r="DYN723" s="8" t="s">
        <v>393</v>
      </c>
      <c r="EEB723" s="8" t="s">
        <v>393</v>
      </c>
      <c r="EPQ723" s="8" t="s">
        <v>1064</v>
      </c>
      <c r="ERM723" s="8" t="s">
        <v>1064</v>
      </c>
    </row>
    <row r="724" spans="2:2 1352:2032 2063:3037 3080:4088 4136:4380 7453:7461">
      <c r="B724" s="10"/>
      <c r="BGJ724" s="8" t="s">
        <v>4733</v>
      </c>
      <c r="BIF724" s="8" t="s">
        <v>4405</v>
      </c>
      <c r="BSQ724" s="8" t="s">
        <v>394</v>
      </c>
      <c r="BTO724" s="8" t="s">
        <v>394</v>
      </c>
      <c r="BUM724" s="8" t="s">
        <v>1400</v>
      </c>
      <c r="CWV724" s="8" t="s">
        <v>2151</v>
      </c>
      <c r="CYR724" s="8" t="s">
        <v>1707</v>
      </c>
      <c r="DCJ724" s="8" t="s">
        <v>389</v>
      </c>
      <c r="DEF724" s="8" t="s">
        <v>389</v>
      </c>
      <c r="DGB724" s="8" t="s">
        <v>389</v>
      </c>
      <c r="DHX724" s="8" t="s">
        <v>389</v>
      </c>
      <c r="DJY724" s="8" t="s">
        <v>6859</v>
      </c>
      <c r="DLU724" s="8" t="s">
        <v>6423</v>
      </c>
      <c r="DNQ724" s="8" t="s">
        <v>6088</v>
      </c>
      <c r="DRD724" s="8" t="s">
        <v>389</v>
      </c>
      <c r="DRI724" s="8" t="s">
        <v>5437</v>
      </c>
      <c r="ELY724" s="8" t="s">
        <v>394</v>
      </c>
      <c r="ERM724" s="8" t="s">
        <v>394</v>
      </c>
      <c r="JZQ724" s="8" t="s">
        <v>394</v>
      </c>
      <c r="JZY724" s="8" t="s">
        <v>1400</v>
      </c>
    </row>
    <row r="725" spans="2:2 1352:2032 2063:3037 3080:4088 4136:4380 7453:7461">
      <c r="B725" s="10"/>
      <c r="BIF725" s="8" t="s">
        <v>4734</v>
      </c>
      <c r="BKB725" s="8" t="s">
        <v>4406</v>
      </c>
      <c r="CWV725" s="8" t="s">
        <v>2152</v>
      </c>
      <c r="CYR725" s="8" t="s">
        <v>1708</v>
      </c>
      <c r="DCJ725" s="8" t="s">
        <v>390</v>
      </c>
      <c r="DEF725" s="8" t="s">
        <v>390</v>
      </c>
      <c r="DGB725" s="8" t="s">
        <v>390</v>
      </c>
      <c r="DHX725" s="8" t="s">
        <v>390</v>
      </c>
      <c r="DNL725" s="8" t="s">
        <v>6860</v>
      </c>
      <c r="DPH725" s="8" t="s">
        <v>6424</v>
      </c>
      <c r="DRD725" s="8" t="s">
        <v>5871</v>
      </c>
      <c r="DUV725" s="8" t="s">
        <v>5438</v>
      </c>
    </row>
    <row r="726" spans="2:2 1352:2032 2063:3037 3080:4088 4136:4380 7453:7461">
      <c r="B726" s="10"/>
      <c r="BKB726" s="8" t="s">
        <v>4735</v>
      </c>
      <c r="BLX726" s="8" t="s">
        <v>4407</v>
      </c>
      <c r="CWV726" s="8" t="s">
        <v>2153</v>
      </c>
      <c r="CYR726" s="8" t="s">
        <v>1709</v>
      </c>
      <c r="DCJ726" s="8" t="s">
        <v>391</v>
      </c>
      <c r="DEF726" s="8" t="s">
        <v>391</v>
      </c>
      <c r="DGB726" s="8" t="s">
        <v>391</v>
      </c>
      <c r="DHX726" s="8" t="s">
        <v>391</v>
      </c>
      <c r="DPH726" s="8" t="s">
        <v>6861</v>
      </c>
      <c r="DRD726" s="8" t="s">
        <v>6425</v>
      </c>
      <c r="DSZ726" s="8" t="s">
        <v>6089</v>
      </c>
      <c r="DWR726" s="8" t="s">
        <v>5439</v>
      </c>
      <c r="EEB726" s="8" t="s">
        <v>391</v>
      </c>
    </row>
    <row r="727" spans="2:2 1352:2032 2063:3037 3080:4088 4136:4380 7453:7461">
      <c r="B727" s="10"/>
      <c r="BLX727" s="8" t="s">
        <v>4930</v>
      </c>
      <c r="BNT727" s="8" t="s">
        <v>4408</v>
      </c>
      <c r="CGF727" s="8" t="s">
        <v>395</v>
      </c>
      <c r="DJT727" s="8" t="s">
        <v>2154</v>
      </c>
      <c r="DLP727" s="8" t="s">
        <v>1710</v>
      </c>
      <c r="DPH727" s="8" t="s">
        <v>392</v>
      </c>
      <c r="DRD727" s="8" t="s">
        <v>392</v>
      </c>
      <c r="DSZ727" s="8" t="s">
        <v>392</v>
      </c>
      <c r="DUV727" s="8" t="s">
        <v>6862</v>
      </c>
      <c r="DWR727" s="8" t="s">
        <v>6426</v>
      </c>
      <c r="DYN727" s="8" t="s">
        <v>6090</v>
      </c>
      <c r="ECF727" s="8" t="s">
        <v>5440</v>
      </c>
      <c r="EEB727" s="8" t="s">
        <v>392</v>
      </c>
    </row>
    <row r="728" spans="2:2 1352:2032 2063:3037 3080:4088 4136:4380 7453:7461">
      <c r="B728" s="10"/>
      <c r="BLN728" s="8" t="s">
        <v>4931</v>
      </c>
      <c r="BNJ728" s="8" t="s">
        <v>4409</v>
      </c>
      <c r="CVA728" s="8" t="s">
        <v>396</v>
      </c>
      <c r="DJT728" s="8" t="s">
        <v>2155</v>
      </c>
      <c r="DLP728" s="8" t="s">
        <v>1711</v>
      </c>
      <c r="DPH728" s="8" t="s">
        <v>393</v>
      </c>
      <c r="DRD728" s="8" t="s">
        <v>393</v>
      </c>
      <c r="DSZ728" s="8" t="s">
        <v>393</v>
      </c>
      <c r="DUV728" s="8" t="s">
        <v>393</v>
      </c>
      <c r="EDM728" s="8" t="s">
        <v>6863</v>
      </c>
      <c r="EFI728" s="8" t="s">
        <v>6427</v>
      </c>
      <c r="EHE728" s="8" t="s">
        <v>6091</v>
      </c>
      <c r="EKW728" s="8" t="s">
        <v>5441</v>
      </c>
      <c r="ERM728" s="8" t="s">
        <v>393</v>
      </c>
    </row>
    <row r="729" spans="2:2 1352:2032 2063:3037 3080:4088 4136:4380 7453:7461">
      <c r="B729" s="10"/>
      <c r="BLX729" s="8" t="s">
        <v>4932</v>
      </c>
      <c r="BNT729" s="8" t="s">
        <v>4410</v>
      </c>
      <c r="DXE729" s="8" t="s">
        <v>2156</v>
      </c>
      <c r="DZA729" s="8" t="s">
        <v>1712</v>
      </c>
      <c r="ECS729" s="8" t="s">
        <v>394</v>
      </c>
      <c r="EEO729" s="8" t="s">
        <v>394</v>
      </c>
      <c r="EGK729" s="8" t="s">
        <v>394</v>
      </c>
      <c r="EIG729" s="8" t="s">
        <v>394</v>
      </c>
      <c r="EJP729" s="8" t="s">
        <v>6864</v>
      </c>
      <c r="ELL729" s="8" t="s">
        <v>6428</v>
      </c>
      <c r="ENH729" s="8" t="s">
        <v>6092</v>
      </c>
      <c r="EQZ729" s="8" t="s">
        <v>5442</v>
      </c>
    </row>
    <row r="730" spans="2:2 1352:2032 2063:3037 3080:4088 4136:4380 7453:7461">
      <c r="B730" s="10"/>
      <c r="BNT730" s="8" t="s">
        <v>4736</v>
      </c>
      <c r="BPP730" s="8" t="s">
        <v>4411</v>
      </c>
      <c r="ELL730" s="8" t="s">
        <v>6865</v>
      </c>
      <c r="ENH730" s="8" t="s">
        <v>6429</v>
      </c>
      <c r="EPD730" s="8" t="s">
        <v>6093</v>
      </c>
      <c r="ESV730" s="8" t="s">
        <v>5443</v>
      </c>
      <c r="EWN730" s="8" t="s">
        <v>2157</v>
      </c>
      <c r="EYJ730" s="8" t="s">
        <v>1713</v>
      </c>
      <c r="FCB730" s="8" t="s">
        <v>1463</v>
      </c>
      <c r="FDX730" s="8" t="s">
        <v>1463</v>
      </c>
      <c r="FFT730" s="8" t="s">
        <v>1463</v>
      </c>
      <c r="FHP730" s="8" t="s">
        <v>1463</v>
      </c>
    </row>
    <row r="731" spans="2:2 1352:2032 2063:3037 3080:4088 4136:4380 7453:7461">
      <c r="B731" s="10"/>
      <c r="BOD731" s="8" t="s">
        <v>4737</v>
      </c>
      <c r="BPZ731" s="8" t="s">
        <v>4412</v>
      </c>
      <c r="ESG731" s="8" t="s">
        <v>6866</v>
      </c>
      <c r="EUC731" s="8" t="s">
        <v>6430</v>
      </c>
      <c r="EVY731" s="8" t="s">
        <v>6094</v>
      </c>
      <c r="EZQ731" s="8" t="s">
        <v>5444</v>
      </c>
    </row>
    <row r="732" spans="2:2 1352:2032 2063:3037 3080:4088 4136:4380 7453:7461">
      <c r="B732" s="10"/>
      <c r="BTH732" s="8" t="s">
        <v>4738</v>
      </c>
      <c r="BVD732" s="8" t="s">
        <v>4413</v>
      </c>
      <c r="EYJ732" s="8" t="s">
        <v>6867</v>
      </c>
      <c r="FAF732" s="8" t="s">
        <v>6431</v>
      </c>
      <c r="FCB732" s="8" t="s">
        <v>6095</v>
      </c>
      <c r="FFT732" s="8" t="s">
        <v>5445</v>
      </c>
    </row>
    <row r="733" spans="2:2 1352:2032 2063:3037 3080:4088 4136:4380 7453:7461">
      <c r="B733" s="10"/>
      <c r="BVL733" s="8" t="s">
        <v>4739</v>
      </c>
      <c r="BXH733" s="8" t="s">
        <v>4414</v>
      </c>
      <c r="FEB733" s="8" t="s">
        <v>6868</v>
      </c>
      <c r="FFX733" s="8" t="s">
        <v>6432</v>
      </c>
      <c r="FHT733" s="8" t="s">
        <v>6096</v>
      </c>
      <c r="FLL733" s="8" t="s">
        <v>5836</v>
      </c>
    </row>
    <row r="734" spans="2:2 1352:2032 2063:3037 3080:4088 4136:4380 7453:7461">
      <c r="B734" s="10"/>
      <c r="AYZ734" s="8" t="s">
        <v>6880</v>
      </c>
      <c r="BZD734" s="8" t="s">
        <v>4740</v>
      </c>
      <c r="CAZ734" s="8" t="s">
        <v>4415</v>
      </c>
    </row>
    <row r="735" spans="2:2 1352:2032 2063:3037 3080:4088 4136:4380 7453:7461">
      <c r="B735" s="10"/>
      <c r="CAI735" s="8" t="s">
        <v>4741</v>
      </c>
      <c r="CAR735" s="8" t="s">
        <v>6881</v>
      </c>
      <c r="CCE735" s="8" t="s">
        <v>4416</v>
      </c>
    </row>
    <row r="736" spans="2:2 1352:2032 2063:3037 3080:4088 4136:4380 7453:7461">
      <c r="B736" s="10"/>
      <c r="CAR736" s="8" t="s">
        <v>4742</v>
      </c>
      <c r="CCN736" s="8" t="s">
        <v>4417</v>
      </c>
      <c r="CLT736" s="8" t="s">
        <v>6882</v>
      </c>
    </row>
    <row r="737" spans="2:2 1352:2024 2072:2825 3224:3992 4963:5001">
      <c r="B737" s="10"/>
      <c r="CER737" s="8" t="s">
        <v>4743</v>
      </c>
      <c r="CGN737" s="8" t="s">
        <v>4418</v>
      </c>
    </row>
    <row r="738" spans="2:2 1352:2024 2072:2825 3224:3992 4963:5001">
      <c r="B738" s="10"/>
      <c r="CGK738" s="8" t="s">
        <v>4744</v>
      </c>
      <c r="CIG738" s="8" t="s">
        <v>4419</v>
      </c>
    </row>
    <row r="739" spans="2:2 1352:2024 2072:2825 3224:3992 4963:5001">
      <c r="B739" s="10"/>
      <c r="CFQ739" s="8" t="s">
        <v>4745</v>
      </c>
      <c r="CHM739" s="8" t="s">
        <v>4420</v>
      </c>
    </row>
    <row r="740" spans="2:2 1352:2024 2072:2825 3224:3992 4963:5001">
      <c r="B740" s="10"/>
      <c r="CTD740" s="8" t="s">
        <v>4746</v>
      </c>
      <c r="CUZ740" s="8" t="s">
        <v>4421</v>
      </c>
    </row>
    <row r="741" spans="2:2 1352:2024 2072:2825 3224:3992 4963:5001">
      <c r="B741" s="10"/>
      <c r="CTI741" s="8" t="s">
        <v>4933</v>
      </c>
      <c r="CVE741" s="8" t="s">
        <v>4422</v>
      </c>
    </row>
    <row r="742" spans="2:2 1352:2024 2072:2825 3224:3992 4963:5001">
      <c r="B742" s="10"/>
      <c r="CTD742" s="8" t="s">
        <v>4934</v>
      </c>
      <c r="CUZ742" s="8" t="s">
        <v>4423</v>
      </c>
    </row>
    <row r="743" spans="2:2 1352:2024 2072:2825 3224:3992 4963:5001">
      <c r="B743" s="10"/>
      <c r="AYZ743" s="8" t="s">
        <v>5446</v>
      </c>
      <c r="CUZ743" s="8" t="s">
        <v>4747</v>
      </c>
      <c r="CWV743" s="8" t="s">
        <v>4424</v>
      </c>
    </row>
    <row r="744" spans="2:2 1352:2024 2072:2825 3224:3992 4963:5001">
      <c r="B744" s="10"/>
      <c r="AYZ744" s="8" t="s">
        <v>5447</v>
      </c>
      <c r="CYR744" s="8" t="s">
        <v>4748</v>
      </c>
      <c r="DAN744" s="8" t="s">
        <v>4425</v>
      </c>
    </row>
    <row r="745" spans="2:2 1352:2024 2072:2825 3224:3992 4963:5001">
      <c r="B745" s="10"/>
      <c r="BCS745" s="8" t="s">
        <v>5448</v>
      </c>
      <c r="BEO745" s="8" t="s">
        <v>5448</v>
      </c>
      <c r="DBU745" s="8" t="s">
        <v>4749</v>
      </c>
      <c r="DDQ745" s="8" t="s">
        <v>4426</v>
      </c>
    </row>
    <row r="746" spans="2:2 1352:2024 2072:2825 3224:3992 4963:5001">
      <c r="B746" s="10"/>
      <c r="BEO746" s="8" t="s">
        <v>5449</v>
      </c>
      <c r="BGK746" s="8" t="s">
        <v>5449</v>
      </c>
      <c r="CEJ746" s="8" t="s">
        <v>1065</v>
      </c>
      <c r="CGF746" s="8" t="s">
        <v>1065</v>
      </c>
      <c r="DSZ746" s="8" t="s">
        <v>4750</v>
      </c>
      <c r="DUV746" s="8" t="s">
        <v>4427</v>
      </c>
    </row>
    <row r="747" spans="2:2 1352:2024 2072:2825 3224:3992 4963:5001">
      <c r="B747" s="10"/>
      <c r="BKB747" s="8" t="s">
        <v>5450</v>
      </c>
      <c r="BLX747" s="8" t="s">
        <v>5450</v>
      </c>
      <c r="BRL747" s="8" t="s">
        <v>1066</v>
      </c>
      <c r="BRW747" s="8" t="s">
        <v>396</v>
      </c>
      <c r="CAR747" s="8" t="s">
        <v>396</v>
      </c>
      <c r="CGF747" s="8" t="s">
        <v>396</v>
      </c>
      <c r="CTE747" s="8" t="s">
        <v>1066</v>
      </c>
      <c r="CVA747" s="8" t="s">
        <v>1066</v>
      </c>
      <c r="DVA747" s="8" t="s">
        <v>4751</v>
      </c>
      <c r="DWW747" s="8" t="s">
        <v>4428</v>
      </c>
    </row>
    <row r="748" spans="2:2 1352:2024 2072:2825 3224:3992 4963:5001">
      <c r="B748" s="10"/>
      <c r="AZD748" s="8" t="s">
        <v>97</v>
      </c>
      <c r="BNT748" s="8" t="s">
        <v>5451</v>
      </c>
      <c r="BPP748" s="8" t="s">
        <v>5451</v>
      </c>
      <c r="CPM748" s="8" t="s">
        <v>397</v>
      </c>
      <c r="CVA748" s="8" t="s">
        <v>397</v>
      </c>
      <c r="DYN748" s="8" t="s">
        <v>4752</v>
      </c>
      <c r="EAJ748" s="8" t="s">
        <v>4429</v>
      </c>
      <c r="GHW748" s="8" t="s">
        <v>397</v>
      </c>
      <c r="GJI748" s="8" t="s">
        <v>1401</v>
      </c>
    </row>
    <row r="749" spans="2:2 1352:2024 2072:2825 3224:3992 4963:5001">
      <c r="B749" s="10"/>
      <c r="AZH749" s="8" t="s">
        <v>98</v>
      </c>
      <c r="BQT749" s="8" t="s">
        <v>5452</v>
      </c>
      <c r="BSP749" s="8" t="s">
        <v>5452</v>
      </c>
      <c r="EAJ749" s="8" t="s">
        <v>4753</v>
      </c>
      <c r="ECF749" s="8" t="s">
        <v>4430</v>
      </c>
    </row>
    <row r="750" spans="2:2 1352:2024 2072:2825 3224:3992 4963:5001">
      <c r="B750" s="10"/>
      <c r="AZL750" s="17" t="s">
        <v>99</v>
      </c>
      <c r="BTH750" s="8" t="s">
        <v>5453</v>
      </c>
      <c r="BVD750" s="8" t="s">
        <v>5453</v>
      </c>
      <c r="EFX750" s="8" t="s">
        <v>4754</v>
      </c>
      <c r="EHT750" s="8" t="s">
        <v>4431</v>
      </c>
    </row>
    <row r="751" spans="2:2 1352:2024 2072:2825 3224:3992 4963:5001">
      <c r="B751" s="10"/>
      <c r="AZO751" s="8" t="s">
        <v>100</v>
      </c>
      <c r="BWZ751" s="8" t="s">
        <v>5454</v>
      </c>
      <c r="BYV751" s="8" t="s">
        <v>5454</v>
      </c>
      <c r="EOO751" s="8" t="s">
        <v>4755</v>
      </c>
      <c r="EQK751" s="8" t="s">
        <v>4432</v>
      </c>
    </row>
    <row r="752" spans="2:2 1352:2024 2072:2825 3224:3992 4963:5001">
      <c r="B752" s="10"/>
      <c r="AZS752" s="8" t="s">
        <v>101</v>
      </c>
      <c r="BWZ752" s="8" t="s">
        <v>5455</v>
      </c>
      <c r="BYV752" s="8" t="s">
        <v>5455</v>
      </c>
      <c r="CGF752" s="8" t="s">
        <v>395</v>
      </c>
      <c r="EUR752" s="8" t="s">
        <v>4756</v>
      </c>
      <c r="EWN752" s="8" t="s">
        <v>4433</v>
      </c>
    </row>
    <row r="753" spans="2:2 1352:2025 2072:2737 3080:4040 4169:4376">
      <c r="B753" s="10"/>
      <c r="AZW753" s="8" t="s">
        <v>102</v>
      </c>
      <c r="BXA753" s="8" t="s">
        <v>5456</v>
      </c>
      <c r="BYW753" s="8" t="s">
        <v>5456</v>
      </c>
      <c r="CVA753" s="8" t="s">
        <v>396</v>
      </c>
      <c r="EWN753" s="8" t="s">
        <v>4757</v>
      </c>
      <c r="EYJ753" s="8" t="s">
        <v>4434</v>
      </c>
    </row>
    <row r="754" spans="2:2 1352:2025 2072:2737 3080:4040 4169:4376">
      <c r="B754" s="10"/>
      <c r="AZX754" s="8" t="s">
        <v>826</v>
      </c>
      <c r="CGF754" s="8" t="s">
        <v>5457</v>
      </c>
      <c r="CIB754" s="8" t="s">
        <v>5457</v>
      </c>
      <c r="FDI754" s="8" t="s">
        <v>4758</v>
      </c>
      <c r="FFE754" s="8" t="s">
        <v>4435</v>
      </c>
    </row>
    <row r="755" spans="2:2 1352:2025 2072:2737 3080:4040 4169:4376">
      <c r="B755" s="10"/>
      <c r="BKB755" s="8" t="s">
        <v>103</v>
      </c>
      <c r="BLX755" s="8" t="s">
        <v>103</v>
      </c>
      <c r="DVW755" s="8" t="s">
        <v>5458</v>
      </c>
      <c r="DXS755" s="8" t="s">
        <v>5458</v>
      </c>
      <c r="FJL755" s="8" t="s">
        <v>4759</v>
      </c>
      <c r="FLH755" s="8" t="s">
        <v>4436</v>
      </c>
    </row>
    <row r="756" spans="2:2 1352:2025 2072:2737 3080:4040 4169:4376">
      <c r="B756" s="10"/>
      <c r="BKA756" s="8" t="s">
        <v>82</v>
      </c>
      <c r="BLW756" s="8" t="s">
        <v>82</v>
      </c>
      <c r="ECF756" s="8" t="s">
        <v>5459</v>
      </c>
      <c r="EEB756" s="8" t="s">
        <v>5459</v>
      </c>
    </row>
    <row r="757" spans="2:2 1352:2025 2072:2737 3080:4040 4169:4376">
      <c r="B757" s="10"/>
      <c r="AZA757" s="8" t="s">
        <v>6250</v>
      </c>
      <c r="BCS757" s="8" t="s">
        <v>5448</v>
      </c>
      <c r="BLY757" s="8" t="s">
        <v>104</v>
      </c>
      <c r="BNU757" s="8" t="s">
        <v>104</v>
      </c>
      <c r="EEC757" s="8" t="s">
        <v>5460</v>
      </c>
      <c r="EFY757" s="8" t="s">
        <v>5460</v>
      </c>
    </row>
    <row r="758" spans="2:2 1352:2025 2072:2737 3080:4040 4169:4376">
      <c r="B758" s="10"/>
      <c r="AYZ758" s="8" t="s">
        <v>1714</v>
      </c>
      <c r="AZA758" s="8" t="s">
        <v>6608</v>
      </c>
      <c r="BAW758" s="8" t="s">
        <v>6097</v>
      </c>
      <c r="BCR758" s="8" t="s">
        <v>1510</v>
      </c>
      <c r="BEN758" s="8" t="s">
        <v>1510</v>
      </c>
      <c r="BEO758" s="8" t="s">
        <v>5449</v>
      </c>
      <c r="BGJ758" s="8" t="s">
        <v>1510</v>
      </c>
      <c r="BIF758" s="8" t="s">
        <v>1510</v>
      </c>
      <c r="BTH758" s="8" t="s">
        <v>355</v>
      </c>
      <c r="BVD758" s="8" t="s">
        <v>355</v>
      </c>
    </row>
    <row r="759" spans="2:2 1352:2025 2072:2737 3080:4040 4169:4376">
      <c r="B759" s="10"/>
      <c r="BCR759" s="8" t="s">
        <v>6869</v>
      </c>
      <c r="BEN759" s="8" t="s">
        <v>6433</v>
      </c>
      <c r="BGJ759" s="8" t="s">
        <v>5855</v>
      </c>
      <c r="BKB759" s="8" t="s">
        <v>5450</v>
      </c>
      <c r="BLN759" s="8" t="s">
        <v>2158</v>
      </c>
      <c r="BNJ759" s="8" t="s">
        <v>1715</v>
      </c>
      <c r="BRB759" s="8" t="s">
        <v>1464</v>
      </c>
      <c r="BSX759" s="8" t="s">
        <v>1464</v>
      </c>
      <c r="BUT759" s="8" t="s">
        <v>1464</v>
      </c>
      <c r="BWP759" s="8" t="s">
        <v>1464</v>
      </c>
      <c r="BWZ759" s="8" t="s">
        <v>357</v>
      </c>
      <c r="BYV759" s="8" t="s">
        <v>357</v>
      </c>
    </row>
    <row r="760" spans="2:2 1352:2025 2072:2737 3080:4040 4169:4376">
      <c r="B760" s="10"/>
      <c r="BEN760" s="8" t="s">
        <v>401</v>
      </c>
      <c r="BGJ760" s="8" t="s">
        <v>6870</v>
      </c>
      <c r="BIF760" s="8" t="s">
        <v>6434</v>
      </c>
      <c r="BKB760" s="8" t="s">
        <v>6098</v>
      </c>
      <c r="BNT760" s="8" t="s">
        <v>5451</v>
      </c>
      <c r="CAR760" s="8" t="s">
        <v>358</v>
      </c>
      <c r="CAS760" s="8" t="s">
        <v>2159</v>
      </c>
      <c r="CCN760" s="8" t="s">
        <v>358</v>
      </c>
      <c r="CCO760" s="8" t="s">
        <v>1716</v>
      </c>
      <c r="CGG760" s="8" t="s">
        <v>397</v>
      </c>
      <c r="CIC760" s="8" t="s">
        <v>397</v>
      </c>
      <c r="CJY760" s="8" t="s">
        <v>397</v>
      </c>
      <c r="CLU760" s="8" t="s">
        <v>397</v>
      </c>
    </row>
    <row r="761" spans="2:2 1352:2025 2072:2737 3080:4040 4169:4376">
      <c r="B761" s="10"/>
      <c r="BCR761" s="8" t="s">
        <v>6883</v>
      </c>
      <c r="BIF761" s="8" t="s">
        <v>6871</v>
      </c>
      <c r="BKB761" s="8" t="s">
        <v>6435</v>
      </c>
      <c r="BLX761" s="8" t="s">
        <v>5856</v>
      </c>
      <c r="BPP761" s="8" t="s">
        <v>5452</v>
      </c>
      <c r="CAR761" s="8" t="s">
        <v>106</v>
      </c>
      <c r="CCN761" s="8" t="s">
        <v>106</v>
      </c>
    </row>
    <row r="762" spans="2:2 1352:2025 2072:2737 3080:4040 4169:4376">
      <c r="B762" s="10"/>
      <c r="BGJ762" s="8" t="s">
        <v>7169</v>
      </c>
      <c r="BLX762" s="8" t="s">
        <v>6872</v>
      </c>
      <c r="BNT762" s="8" t="s">
        <v>6609</v>
      </c>
      <c r="BPP762" s="8" t="s">
        <v>6099</v>
      </c>
      <c r="BRL762" s="8" t="s">
        <v>403</v>
      </c>
      <c r="BTH762" s="8" t="s">
        <v>5453</v>
      </c>
      <c r="CJX762" s="8" t="s">
        <v>359</v>
      </c>
      <c r="CLT762" s="8" t="s">
        <v>359</v>
      </c>
    </row>
    <row r="763" spans="2:2 1352:2025 2072:2737 3080:4040 4169:4376">
      <c r="B763" s="10"/>
      <c r="BIF763" s="8" t="s">
        <v>6884</v>
      </c>
      <c r="BPP763" s="8" t="s">
        <v>6873</v>
      </c>
      <c r="BRL763" s="8" t="s">
        <v>6436</v>
      </c>
      <c r="BTH763" s="8" t="s">
        <v>6100</v>
      </c>
      <c r="BWZ763" s="8" t="s">
        <v>5454</v>
      </c>
      <c r="BYV763" s="8" t="s">
        <v>404</v>
      </c>
      <c r="CLU763" s="8" t="s">
        <v>356</v>
      </c>
      <c r="CNQ763" s="8" t="s">
        <v>356</v>
      </c>
    </row>
    <row r="764" spans="2:2 1352:2025 2072:2737 3080:4040 4169:4376">
      <c r="B764" s="10"/>
      <c r="BKA764" s="8" t="s">
        <v>6885</v>
      </c>
      <c r="BPP764" s="8" t="s">
        <v>6874</v>
      </c>
      <c r="BRL764" s="8" t="s">
        <v>6437</v>
      </c>
      <c r="BTH764" s="8" t="s">
        <v>6101</v>
      </c>
      <c r="BWZ764" s="8" t="s">
        <v>5455</v>
      </c>
      <c r="CMW764" s="8" t="s">
        <v>405</v>
      </c>
      <c r="CXW764" s="8" t="s">
        <v>827</v>
      </c>
      <c r="CZS764" s="8" t="s">
        <v>827</v>
      </c>
    </row>
    <row r="765" spans="2:2 1352:2025 2072:2737 3080:4040 4169:4376">
      <c r="B765" s="10"/>
      <c r="BLX765" s="8" t="s">
        <v>6886</v>
      </c>
      <c r="BPQ765" s="8" t="s">
        <v>6875</v>
      </c>
      <c r="BRM765" s="8" t="s">
        <v>6438</v>
      </c>
      <c r="BTI765" s="8" t="s">
        <v>6102</v>
      </c>
      <c r="BXA765" s="8" t="s">
        <v>5456</v>
      </c>
      <c r="CRV765" s="8" t="s">
        <v>406</v>
      </c>
      <c r="CYK765" s="8" t="s">
        <v>360</v>
      </c>
      <c r="DAG765" s="8" t="s">
        <v>360</v>
      </c>
    </row>
    <row r="766" spans="2:2 1352:2025 2072:2737 3080:4040 4169:4376">
      <c r="B766" s="10"/>
      <c r="BNT766" s="8" t="s">
        <v>7170</v>
      </c>
      <c r="BYV766" s="8" t="s">
        <v>6876</v>
      </c>
      <c r="CAR766" s="8" t="s">
        <v>6439</v>
      </c>
      <c r="CCN766" s="8" t="s">
        <v>6103</v>
      </c>
      <c r="CGF766" s="8" t="s">
        <v>5457</v>
      </c>
      <c r="DNL766" s="8" t="s">
        <v>1462</v>
      </c>
      <c r="DPH766" s="8" t="s">
        <v>1462</v>
      </c>
      <c r="EUR766" s="8" t="s">
        <v>407</v>
      </c>
    </row>
    <row r="767" spans="2:2 1352:2025 2072:2737 3080:4040 4169:4376">
      <c r="B767" s="10"/>
      <c r="AYZ767" s="8" t="s">
        <v>5461</v>
      </c>
      <c r="BAV767" s="8" t="s">
        <v>5461</v>
      </c>
      <c r="BPP767" s="8" t="s">
        <v>6887</v>
      </c>
      <c r="DNL767" s="8" t="s">
        <v>6877</v>
      </c>
      <c r="DPH767" s="8" t="s">
        <v>6440</v>
      </c>
      <c r="DRD767" s="8" t="s">
        <v>6104</v>
      </c>
      <c r="DSZ767" s="8" t="s">
        <v>109</v>
      </c>
      <c r="DUV767" s="8" t="s">
        <v>5458</v>
      </c>
    </row>
    <row r="768" spans="2:2 1352:2025 2072:2737 3080:4040 4169:4376">
      <c r="B768" s="10"/>
      <c r="BAV768" s="8" t="s">
        <v>5462</v>
      </c>
      <c r="BCR768" s="8" t="s">
        <v>5462</v>
      </c>
      <c r="BVD768" s="8" t="s">
        <v>6888</v>
      </c>
      <c r="DUV768" s="8" t="s">
        <v>6878</v>
      </c>
      <c r="DWR768" s="8" t="s">
        <v>6610</v>
      </c>
      <c r="DYN768" s="8" t="s">
        <v>5857</v>
      </c>
      <c r="ECF768" s="8" t="s">
        <v>5459</v>
      </c>
    </row>
    <row r="769" spans="2:2 1352:2035 2072:2647 3272:3896 4135:5083">
      <c r="B769" s="10"/>
      <c r="BCR769" s="8" t="s">
        <v>5463</v>
      </c>
      <c r="BEN769" s="8" t="s">
        <v>5463</v>
      </c>
      <c r="BWZ769" s="8" t="s">
        <v>6889</v>
      </c>
      <c r="DWS769" s="8" t="s">
        <v>6879</v>
      </c>
      <c r="DYO769" s="8" t="s">
        <v>6441</v>
      </c>
      <c r="EAK769" s="8" t="s">
        <v>6105</v>
      </c>
      <c r="ECF769" s="8" t="s">
        <v>88</v>
      </c>
      <c r="EEB769" s="8" t="s">
        <v>88</v>
      </c>
      <c r="EEC769" s="8" t="s">
        <v>5460</v>
      </c>
    </row>
    <row r="770" spans="2:2 1352:2035 2072:2647 3272:3896 4135:5083">
      <c r="B770" s="10"/>
      <c r="BEN770" s="8" t="s">
        <v>5464</v>
      </c>
      <c r="BGJ770" s="8" t="s">
        <v>5464</v>
      </c>
      <c r="BZG770" s="8" t="s">
        <v>6890</v>
      </c>
      <c r="EHT770" s="8" t="s">
        <v>803</v>
      </c>
      <c r="EJP770" s="8" t="s">
        <v>803</v>
      </c>
    </row>
    <row r="771" spans="2:2 1352:2035 2072:2647 3272:3896 4135:5083">
      <c r="B771" s="10"/>
      <c r="BGJ771" s="8" t="s">
        <v>5465</v>
      </c>
      <c r="BIF771" s="8" t="s">
        <v>5465</v>
      </c>
      <c r="CAR771" s="8" t="s">
        <v>6891</v>
      </c>
      <c r="EQZ771" s="8" t="s">
        <v>362</v>
      </c>
      <c r="ESV771" s="8" t="s">
        <v>362</v>
      </c>
    </row>
    <row r="772" spans="2:2 1352:2035 2072:2647 3272:3896 4135:5083">
      <c r="B772" s="10"/>
      <c r="CAW772" s="8" t="s">
        <v>6892</v>
      </c>
      <c r="CIB772" s="8" t="s">
        <v>5466</v>
      </c>
      <c r="CJX772" s="8" t="s">
        <v>5466</v>
      </c>
    </row>
    <row r="773" spans="2:2 1352:2035 2072:2647 3272:3896 4135:5083">
      <c r="B773" s="10"/>
      <c r="CBD773" s="8" t="s">
        <v>6893</v>
      </c>
    </row>
    <row r="774" spans="2:2 1352:2035 2072:2647 3272:3896 4135:5083">
      <c r="B774" s="10"/>
      <c r="CNP774" s="8" t="s">
        <v>6894</v>
      </c>
    </row>
    <row r="775" spans="2:2 1352:2035 2072:2647 3272:3896 4135:5083">
      <c r="B775" s="10"/>
      <c r="CTD775" s="8" t="s">
        <v>6895</v>
      </c>
    </row>
    <row r="776" spans="2:2 1352:2035 2072:2647 3272:3896 4135:5083">
      <c r="B776" s="10"/>
      <c r="CUZ776" s="8" t="s">
        <v>6896</v>
      </c>
    </row>
    <row r="777" spans="2:2 1352:2035 2072:2647 3272:3896 4135:5083">
      <c r="B777" s="10"/>
      <c r="CWU777" s="8" t="s">
        <v>6897</v>
      </c>
    </row>
    <row r="778" spans="2:2 1352:2035 2072:2647 3272:3896 4135:5083">
      <c r="B778" s="10"/>
      <c r="DUV778" s="8" t="s">
        <v>6898</v>
      </c>
    </row>
    <row r="779" spans="2:2 1352:2035 2072:2647 3272:3896 4135:5083">
      <c r="B779" s="10"/>
      <c r="BCR779" s="8" t="s">
        <v>1067</v>
      </c>
      <c r="BEN779" s="8" t="s">
        <v>1067</v>
      </c>
      <c r="EIE779" s="8" t="s">
        <v>6899</v>
      </c>
    </row>
    <row r="780" spans="2:2 1352:2035 2072:2647 3272:3896 4135:5083">
      <c r="B780" s="10"/>
      <c r="AYZ780" s="8" t="s">
        <v>5461</v>
      </c>
      <c r="BAG780" s="8" t="s">
        <v>805</v>
      </c>
      <c r="BEN780" s="8" t="s">
        <v>402</v>
      </c>
      <c r="BIF780" s="8" t="s">
        <v>1068</v>
      </c>
      <c r="BKB780" s="8" t="s">
        <v>1068</v>
      </c>
      <c r="EJO780" s="8" t="s">
        <v>6900</v>
      </c>
    </row>
    <row r="781" spans="2:2 1352:2035 2072:2647 3272:3896 4135:5083">
      <c r="B781" s="10"/>
      <c r="BAV781" s="8" t="s">
        <v>5462</v>
      </c>
      <c r="BCR781" s="8" t="s">
        <v>366</v>
      </c>
      <c r="BEN781" s="8" t="s">
        <v>403</v>
      </c>
      <c r="BKB781" s="8" t="s">
        <v>403</v>
      </c>
      <c r="BPP781" s="8" t="s">
        <v>1069</v>
      </c>
      <c r="BRL781" s="8" t="s">
        <v>1069</v>
      </c>
      <c r="EJU781" s="8" t="s">
        <v>6902</v>
      </c>
    </row>
    <row r="782" spans="2:2 1352:2035 2072:2647 3272:3896 4135:5083">
      <c r="B782" s="10"/>
      <c r="AYZ782" s="8" t="s">
        <v>6251</v>
      </c>
      <c r="BAV782" s="8" t="s">
        <v>367</v>
      </c>
      <c r="BCR782" s="8" t="s">
        <v>5463</v>
      </c>
      <c r="BKB782" s="8" t="s">
        <v>1070</v>
      </c>
      <c r="BKV782" s="8" t="s">
        <v>404</v>
      </c>
      <c r="BLX782" s="8" t="s">
        <v>404</v>
      </c>
      <c r="BRL782" s="8" t="s">
        <v>404</v>
      </c>
      <c r="BWZ782" s="8" t="s">
        <v>1070</v>
      </c>
      <c r="BYV782" s="8" t="s">
        <v>1070</v>
      </c>
      <c r="FCA782" s="8" t="s">
        <v>6903</v>
      </c>
    </row>
    <row r="783" spans="2:2 1352:2035 2072:2647 3272:3896 4135:5083">
      <c r="B783" s="10"/>
      <c r="AYZ783" s="8" t="s">
        <v>6442</v>
      </c>
      <c r="AZC783" s="8" t="s">
        <v>4437</v>
      </c>
      <c r="BAV783" s="8" t="s">
        <v>6106</v>
      </c>
      <c r="BDG783" s="8" t="s">
        <v>368</v>
      </c>
      <c r="BDQ783" s="8" t="s">
        <v>405</v>
      </c>
      <c r="BEN783" s="8" t="s">
        <v>5464</v>
      </c>
      <c r="BFC783" s="8" t="s">
        <v>368</v>
      </c>
      <c r="BTH783" s="8" t="s">
        <v>405</v>
      </c>
      <c r="BYV783" s="8" t="s">
        <v>405</v>
      </c>
      <c r="CPZ783" s="8" t="s">
        <v>1071</v>
      </c>
      <c r="CRV783" s="8" t="s">
        <v>1071</v>
      </c>
      <c r="FJL783" s="8" t="s">
        <v>7171</v>
      </c>
    </row>
    <row r="784" spans="2:2 1352:2035 2072:2647 3272:3896 4135:5083">
      <c r="B784" s="10"/>
      <c r="AYZ784" s="8" t="s">
        <v>6880</v>
      </c>
      <c r="BAV784" s="8" t="s">
        <v>6443</v>
      </c>
      <c r="BCR784" s="8" t="s">
        <v>5858</v>
      </c>
      <c r="BGJ784" s="8" t="s">
        <v>5465</v>
      </c>
      <c r="BNT784" s="8" t="s">
        <v>369</v>
      </c>
      <c r="BPP784" s="8" t="s">
        <v>369</v>
      </c>
      <c r="CMH784" s="8" t="s">
        <v>407</v>
      </c>
      <c r="CRV784" s="8" t="s">
        <v>407</v>
      </c>
      <c r="FLH784" s="8" t="s">
        <v>7172</v>
      </c>
      <c r="GLR784" s="8" t="s">
        <v>1402</v>
      </c>
      <c r="GMM784" s="8" t="s">
        <v>407</v>
      </c>
    </row>
    <row r="785" spans="2:26 1352:2024 2072:2552 3560:3944 4424:4424">
      <c r="B785" s="10"/>
      <c r="BGK785" s="8" t="s">
        <v>4935</v>
      </c>
      <c r="BIG785" s="8" t="s">
        <v>4438</v>
      </c>
      <c r="BNT785" s="8" t="s">
        <v>370</v>
      </c>
      <c r="BPP785" s="8" t="s">
        <v>370</v>
      </c>
      <c r="CAR785" s="8" t="s">
        <v>6881</v>
      </c>
      <c r="CCN785" s="8" t="s">
        <v>6444</v>
      </c>
      <c r="CEJ785" s="8" t="s">
        <v>6107</v>
      </c>
      <c r="CIB785" s="8" t="s">
        <v>5466</v>
      </c>
      <c r="FND785" s="8" t="s">
        <v>7173</v>
      </c>
    </row>
    <row r="786" spans="2:26 1352:2024 2072:2552 3560:3944 4424:4424">
      <c r="B786" s="10"/>
      <c r="BIG786" s="8" t="s">
        <v>4936</v>
      </c>
      <c r="BKC786" s="8" t="s">
        <v>4439</v>
      </c>
      <c r="BNT786" s="8" t="s">
        <v>371</v>
      </c>
      <c r="BPP786" s="8" t="s">
        <v>371</v>
      </c>
      <c r="CLT786" s="8" t="s">
        <v>6882</v>
      </c>
      <c r="CNP786" s="8" t="s">
        <v>6445</v>
      </c>
      <c r="CPL786" s="8" t="s">
        <v>6108</v>
      </c>
      <c r="CTD786" s="8" t="s">
        <v>5837</v>
      </c>
      <c r="FND786" s="8" t="s">
        <v>7174</v>
      </c>
    </row>
    <row r="787" spans="2:26 1352:2024 2072:2552 3560:3944 4424:4424">
      <c r="B787" s="10"/>
      <c r="BNT787" s="8" t="s">
        <v>4760</v>
      </c>
      <c r="BPP787" s="8" t="s">
        <v>4440</v>
      </c>
    </row>
    <row r="788" spans="2:26 1352:2024 2072:2552 3560:3944 4424:4424">
      <c r="B788" s="10"/>
      <c r="BEN788" s="8" t="s">
        <v>400</v>
      </c>
      <c r="BNT788" s="8" t="s">
        <v>373</v>
      </c>
      <c r="BPP788" s="8" t="s">
        <v>373</v>
      </c>
      <c r="BWZ788" s="8" t="s">
        <v>4937</v>
      </c>
      <c r="BYV788" s="8" t="s">
        <v>4441</v>
      </c>
    </row>
    <row r="789" spans="2:26 1352:2024 2072:2552 3560:3944 4424:4424">
      <c r="B789" s="10"/>
      <c r="BEN789" s="8" t="s">
        <v>401</v>
      </c>
      <c r="BNT789" s="8" t="s">
        <v>374</v>
      </c>
      <c r="BPP789" s="8" t="s">
        <v>374</v>
      </c>
      <c r="CAR789" s="8" t="s">
        <v>4761</v>
      </c>
      <c r="CCN789" s="8" t="s">
        <v>4442</v>
      </c>
    </row>
    <row r="790" spans="2:26 1352:2024 2072:2552 3560:3944 4424:4424">
      <c r="B790" s="10"/>
      <c r="BKB790" s="8" t="s">
        <v>402</v>
      </c>
      <c r="CAR790" s="8" t="s">
        <v>4762</v>
      </c>
      <c r="CCN790" s="8" t="s">
        <v>4443</v>
      </c>
    </row>
    <row r="791" spans="2:26 1352:2024 2072:2552 3560:3944 4424:4424">
      <c r="B791" s="10"/>
      <c r="BRL791" s="8" t="s">
        <v>403</v>
      </c>
      <c r="CAR791" s="8" t="s">
        <v>376</v>
      </c>
      <c r="CAS791" s="8" t="s">
        <v>4763</v>
      </c>
      <c r="CCN791" s="8" t="s">
        <v>376</v>
      </c>
      <c r="CCO791" s="8" t="s">
        <v>4444</v>
      </c>
    </row>
    <row r="792" spans="2:26 1352:2024 2072:2552 3560:3944 4424:4424">
      <c r="B792" s="10"/>
      <c r="BYV792" s="8" t="s">
        <v>404</v>
      </c>
      <c r="CAR792" s="8" t="s">
        <v>377</v>
      </c>
      <c r="CCN792" s="8" t="s">
        <v>377</v>
      </c>
      <c r="CEJ792" s="8" t="s">
        <v>4764</v>
      </c>
      <c r="CGF792" s="8" t="s">
        <v>4445</v>
      </c>
    </row>
    <row r="793" spans="2:26 1352:2024 2072:2552 3560:3944 4424:4424">
      <c r="B793" s="10"/>
      <c r="CAR793" s="8" t="s">
        <v>378</v>
      </c>
      <c r="CCN793" s="8" t="s">
        <v>378</v>
      </c>
      <c r="CJX793" s="8" t="s">
        <v>4765</v>
      </c>
      <c r="CLT793" s="8" t="s">
        <v>4446</v>
      </c>
      <c r="CMW793" s="8" t="s">
        <v>405</v>
      </c>
    </row>
    <row r="794" spans="2:26 1352:2024 2072:2552 3560:3944 4424:4424">
      <c r="B794" s="10"/>
      <c r="CAR794" s="8" t="s">
        <v>379</v>
      </c>
      <c r="CCN794" s="8" t="s">
        <v>379</v>
      </c>
      <c r="CJX794" s="8" t="s">
        <v>4766</v>
      </c>
      <c r="CLT794" s="8" t="s">
        <v>4447</v>
      </c>
      <c r="CRV794" s="8" t="s">
        <v>406</v>
      </c>
    </row>
    <row r="795" spans="2:26 1352:2024 2072:2552 3560:3944 4424:4424">
      <c r="B795" s="10"/>
      <c r="CAR795" s="8" t="s">
        <v>380</v>
      </c>
      <c r="CCN795" s="8" t="s">
        <v>380</v>
      </c>
      <c r="EFX795" s="8" t="s">
        <v>4938</v>
      </c>
      <c r="EHT795" s="8" t="s">
        <v>4448</v>
      </c>
      <c r="EUR795" s="8" t="s">
        <v>407</v>
      </c>
    </row>
    <row r="796" spans="2:26 1352:2024 2072:2552 3560:3944 4424:4424">
      <c r="B796" s="10"/>
      <c r="Z796" s="13"/>
      <c r="CFQ796" s="8" t="s">
        <v>381</v>
      </c>
      <c r="CHM796" s="8" t="s">
        <v>381</v>
      </c>
      <c r="EHU796" s="8" t="s">
        <v>4767</v>
      </c>
      <c r="EJQ796" s="8" t="s">
        <v>4449</v>
      </c>
    </row>
    <row r="797" spans="2:26 1352:2024 2072:2552 3560:3944 4424:4424">
      <c r="B797" s="10"/>
      <c r="CIB797" s="8" t="s">
        <v>382</v>
      </c>
      <c r="CJX797" s="8" t="s">
        <v>382</v>
      </c>
    </row>
    <row r="798" spans="2:26 1352:2024 2072:2552 3560:3944 4424:4424">
      <c r="B798" s="10"/>
      <c r="AYZ798" s="8" t="s">
        <v>6904</v>
      </c>
      <c r="CIB798" s="8" t="s">
        <v>383</v>
      </c>
      <c r="CJX798" s="8" t="s">
        <v>383</v>
      </c>
    </row>
    <row r="799" spans="2:26 1352:2024 2072:2552 3560:3944 4424:4424">
      <c r="B799" s="10"/>
      <c r="AZK799" s="8" t="s">
        <v>7175</v>
      </c>
      <c r="BAA799" s="8" t="s">
        <v>399</v>
      </c>
      <c r="CNP799" s="8" t="s">
        <v>384</v>
      </c>
      <c r="CPL799" s="8" t="s">
        <v>384</v>
      </c>
    </row>
    <row r="800" spans="2:26 1352:2024 2072:2552 3560:3944 4424:4424">
      <c r="B800" s="10"/>
      <c r="AZO800" s="8" t="s">
        <v>5467</v>
      </c>
      <c r="AZT800" s="8" t="s">
        <v>402</v>
      </c>
      <c r="BAV800" s="8" t="s">
        <v>6905</v>
      </c>
      <c r="BBP800" s="8" t="s">
        <v>402</v>
      </c>
      <c r="CLE800" s="8" t="s">
        <v>385</v>
      </c>
      <c r="CNA800" s="8" t="s">
        <v>385</v>
      </c>
    </row>
    <row r="801" spans="2:2 1352:2040 2072:3053 3272:3669 4280:4328">
      <c r="B801" s="10"/>
      <c r="AYZ801" s="8" t="s">
        <v>5468</v>
      </c>
      <c r="AZL801" s="17" t="s">
        <v>403</v>
      </c>
      <c r="BAV801" s="8" t="s">
        <v>5468</v>
      </c>
      <c r="BBH801" s="8" t="s">
        <v>403</v>
      </c>
      <c r="BDD801" s="8" t="s">
        <v>403</v>
      </c>
      <c r="BIF801" s="8" t="s">
        <v>6906</v>
      </c>
      <c r="CNP801" s="8" t="s">
        <v>386</v>
      </c>
      <c r="CPL801" s="8" t="s">
        <v>386</v>
      </c>
    </row>
    <row r="802" spans="2:2 1352:2040 2072:3053 3272:3669 4280:4328">
      <c r="B802" s="10"/>
      <c r="AYZ802" s="8" t="s">
        <v>4450</v>
      </c>
      <c r="AZO802" s="8" t="s">
        <v>5469</v>
      </c>
      <c r="BBK802" s="8" t="s">
        <v>5469</v>
      </c>
      <c r="BCR802" s="8" t="s">
        <v>404</v>
      </c>
      <c r="BEN802" s="8" t="s">
        <v>404</v>
      </c>
      <c r="BGJ802" s="8" t="s">
        <v>404</v>
      </c>
      <c r="BIF802" s="8" t="s">
        <v>6907</v>
      </c>
      <c r="CUZ802" s="8" t="s">
        <v>387</v>
      </c>
      <c r="CWV802" s="8" t="s">
        <v>387</v>
      </c>
    </row>
    <row r="803" spans="2:2 1352:2040 2072:3053 3272:3669 4280:4328">
      <c r="B803" s="10"/>
      <c r="AYZ803" s="8" t="s">
        <v>4768</v>
      </c>
      <c r="BAV803" s="8" t="s">
        <v>4451</v>
      </c>
      <c r="BEN803" s="8" t="s">
        <v>2160</v>
      </c>
      <c r="BGJ803" s="8" t="s">
        <v>1717</v>
      </c>
      <c r="BIF803" s="8" t="s">
        <v>6908</v>
      </c>
      <c r="BKB803" s="8" t="s">
        <v>5470</v>
      </c>
      <c r="BLX803" s="8" t="s">
        <v>5470</v>
      </c>
      <c r="BNT803" s="8" t="s">
        <v>405</v>
      </c>
      <c r="BPP803" s="8" t="s">
        <v>405</v>
      </c>
      <c r="CUZ803" s="8" t="s">
        <v>388</v>
      </c>
      <c r="CWV803" s="8" t="s">
        <v>388</v>
      </c>
    </row>
    <row r="804" spans="2:2 1352:2040 2072:3053 3272:3669 4280:4328">
      <c r="B804" s="10"/>
      <c r="BAU804" s="8" t="s">
        <v>4769</v>
      </c>
      <c r="BCQ804" s="8" t="s">
        <v>4452</v>
      </c>
      <c r="BKB804" s="8" t="s">
        <v>6909</v>
      </c>
      <c r="BLX804" s="8" t="s">
        <v>410</v>
      </c>
      <c r="BPP804" s="8" t="s">
        <v>5471</v>
      </c>
      <c r="BRL804" s="8" t="s">
        <v>5471</v>
      </c>
      <c r="BVD804" s="8" t="s">
        <v>1511</v>
      </c>
      <c r="BWZ804" s="8" t="s">
        <v>1511</v>
      </c>
      <c r="BYV804" s="8" t="s">
        <v>1511</v>
      </c>
      <c r="CAR804" s="8" t="s">
        <v>1511</v>
      </c>
      <c r="DHX804" s="8" t="s">
        <v>389</v>
      </c>
      <c r="DJT804" s="8" t="s">
        <v>389</v>
      </c>
    </row>
    <row r="805" spans="2:2 1352:2040 2072:3053 3272:3669 4280:4328">
      <c r="B805" s="10"/>
      <c r="BGJ805" s="8" t="s">
        <v>4770</v>
      </c>
      <c r="BIF805" s="8" t="s">
        <v>4453</v>
      </c>
      <c r="BLX805" s="8" t="s">
        <v>6910</v>
      </c>
      <c r="BRK805" s="8" t="s">
        <v>5472</v>
      </c>
      <c r="BRL805" s="8" t="s">
        <v>411</v>
      </c>
      <c r="BTG805" s="8" t="s">
        <v>5472</v>
      </c>
      <c r="BXN805" s="8" t="s">
        <v>2161</v>
      </c>
      <c r="BZJ805" s="8" t="s">
        <v>1718</v>
      </c>
      <c r="CDB805" s="8" t="s">
        <v>407</v>
      </c>
      <c r="CEX805" s="8" t="s">
        <v>407</v>
      </c>
      <c r="CGT805" s="8" t="s">
        <v>407</v>
      </c>
      <c r="CIP805" s="8" t="s">
        <v>407</v>
      </c>
      <c r="DHX805" s="8" t="s">
        <v>390</v>
      </c>
      <c r="DJT805" s="8" t="s">
        <v>390</v>
      </c>
    </row>
    <row r="806" spans="2:2 1352:2040 2072:3053 3272:3669 4280:4328">
      <c r="B806" s="10"/>
      <c r="BIF806" s="8" t="s">
        <v>4771</v>
      </c>
      <c r="BKB806" s="8" t="s">
        <v>4454</v>
      </c>
      <c r="BLP806" s="8" t="s">
        <v>6911</v>
      </c>
      <c r="BRL806" s="8" t="s">
        <v>412</v>
      </c>
      <c r="BUE806" s="8" t="s">
        <v>5473</v>
      </c>
      <c r="BWA806" s="8" t="s">
        <v>5473</v>
      </c>
      <c r="CCN806" s="8" t="s">
        <v>2162</v>
      </c>
      <c r="CEJ806" s="8" t="s">
        <v>1719</v>
      </c>
      <c r="CIB806" s="8" t="s">
        <v>1512</v>
      </c>
      <c r="CJX806" s="8" t="s">
        <v>1512</v>
      </c>
      <c r="CLT806" s="8" t="s">
        <v>1512</v>
      </c>
      <c r="CNP806" s="8" t="s">
        <v>1512</v>
      </c>
      <c r="DHX806" s="8" t="s">
        <v>391</v>
      </c>
      <c r="DJT806" s="8" t="s">
        <v>391</v>
      </c>
    </row>
    <row r="807" spans="2:2 1352:2040 2072:3053 3272:3669 4280:4328">
      <c r="B807" s="10"/>
      <c r="BPO807" s="8" t="s">
        <v>6912</v>
      </c>
      <c r="BTV807" s="8" t="s">
        <v>413</v>
      </c>
      <c r="BWZ807" s="8" t="s">
        <v>5474</v>
      </c>
      <c r="BYV807" s="8" t="s">
        <v>5474</v>
      </c>
      <c r="DUV807" s="8" t="s">
        <v>392</v>
      </c>
      <c r="DWR807" s="8" t="s">
        <v>392</v>
      </c>
    </row>
    <row r="808" spans="2:2 1352:2040 2072:3053 3272:3669 4280:4328">
      <c r="B808" s="10"/>
      <c r="BTE808" s="8" t="s">
        <v>6913</v>
      </c>
      <c r="BVD808" s="8" t="s">
        <v>414</v>
      </c>
      <c r="BZL808" s="8" t="s">
        <v>4772</v>
      </c>
      <c r="CBH808" s="8" t="s">
        <v>4455</v>
      </c>
      <c r="CCN808" s="8" t="s">
        <v>5475</v>
      </c>
      <c r="CEJ808" s="8" t="s">
        <v>5475</v>
      </c>
      <c r="DUV808" s="8" t="s">
        <v>393</v>
      </c>
      <c r="DWR808" s="8" t="s">
        <v>393</v>
      </c>
    </row>
    <row r="809" spans="2:2 1352:2040 2072:3053 3272:3669 4280:4328">
      <c r="B809" s="10"/>
      <c r="BVD809" s="8" t="s">
        <v>6914</v>
      </c>
      <c r="CAR809" s="8" t="s">
        <v>4773</v>
      </c>
      <c r="CCN809" s="8" t="s">
        <v>4456</v>
      </c>
      <c r="CEJ809" s="8" t="s">
        <v>5476</v>
      </c>
      <c r="CGF809" s="8" t="s">
        <v>5476</v>
      </c>
      <c r="EIG809" s="8" t="s">
        <v>394</v>
      </c>
      <c r="EKC809" s="8" t="s">
        <v>394</v>
      </c>
    </row>
    <row r="810" spans="2:2 1352:2040 2072:3053 3272:3669 4280:4328">
      <c r="B810" s="10"/>
      <c r="BVD810" s="8" t="s">
        <v>6915</v>
      </c>
      <c r="CDI810" s="8" t="s">
        <v>4774</v>
      </c>
      <c r="CFE810" s="8" t="s">
        <v>4457</v>
      </c>
      <c r="CGQ810" s="8" t="s">
        <v>5477</v>
      </c>
      <c r="CIE810" s="8" t="s">
        <v>416</v>
      </c>
      <c r="CIM810" s="8" t="s">
        <v>5477</v>
      </c>
      <c r="FHP810" s="8" t="s">
        <v>1463</v>
      </c>
      <c r="FJL810" s="8" t="s">
        <v>1463</v>
      </c>
    </row>
    <row r="811" spans="2:2 1352:2040 2072:3053 3272:3669 4280:4328">
      <c r="B811" s="10"/>
      <c r="BWU811" s="8" t="s">
        <v>6916</v>
      </c>
      <c r="CIB811" s="8" t="s">
        <v>5478</v>
      </c>
      <c r="CJX811" s="8" t="s">
        <v>5478</v>
      </c>
      <c r="CLT811" s="8" t="s">
        <v>4775</v>
      </c>
      <c r="CNP811" s="8" t="s">
        <v>4458</v>
      </c>
      <c r="COK811" s="8" t="s">
        <v>417</v>
      </c>
    </row>
    <row r="812" spans="2:2 1352:2040 2072:3053 3272:3669 4280:4328">
      <c r="B812" s="10"/>
      <c r="BYS812" s="8" t="s">
        <v>6917</v>
      </c>
      <c r="CIG812" s="8" t="s">
        <v>5479</v>
      </c>
      <c r="CKC812" s="8" t="s">
        <v>5479</v>
      </c>
      <c r="CPL812" s="8" t="s">
        <v>4776</v>
      </c>
      <c r="CPR812" s="8" t="s">
        <v>418</v>
      </c>
      <c r="CRH812" s="8" t="s">
        <v>4459</v>
      </c>
    </row>
    <row r="813" spans="2:2 1352:2040 2072:3053 3272:3669 4280:4328">
      <c r="B813" s="10"/>
      <c r="AZO813" s="8" t="s">
        <v>5469</v>
      </c>
      <c r="CAR813" s="8" t="s">
        <v>6918</v>
      </c>
      <c r="CIN813" s="8" t="s">
        <v>5480</v>
      </c>
      <c r="CKJ813" s="8" t="s">
        <v>5480</v>
      </c>
      <c r="CUD813" s="8" t="s">
        <v>419</v>
      </c>
    </row>
    <row r="814" spans="2:2 1352:2040 2072:3053 3272:3669 4280:4328">
      <c r="B814" s="10"/>
      <c r="BCR814" s="8" t="s">
        <v>6883</v>
      </c>
      <c r="BEN814" s="8" t="s">
        <v>6446</v>
      </c>
      <c r="BGJ814" s="8" t="s">
        <v>6109</v>
      </c>
      <c r="BKB814" s="8" t="s">
        <v>5470</v>
      </c>
      <c r="CCN814" s="8" t="s">
        <v>6919</v>
      </c>
      <c r="CUZ814" s="8" t="s">
        <v>5481</v>
      </c>
      <c r="CWV814" s="8" t="s">
        <v>5481</v>
      </c>
      <c r="DJV814" s="8" t="s">
        <v>420</v>
      </c>
    </row>
    <row r="815" spans="2:2 1352:2040 2072:3053 3272:3669 4280:4328">
      <c r="B815" s="10"/>
      <c r="BIF815" s="8" t="s">
        <v>6884</v>
      </c>
      <c r="BKB815" s="8" t="s">
        <v>6611</v>
      </c>
      <c r="BLX815" s="8" t="s">
        <v>6110</v>
      </c>
      <c r="BPP815" s="8" t="s">
        <v>5471</v>
      </c>
      <c r="CEI815" s="8" t="s">
        <v>6920</v>
      </c>
      <c r="DBV815" s="8" t="s">
        <v>5482</v>
      </c>
      <c r="DDR815" s="8" t="s">
        <v>5482</v>
      </c>
      <c r="DLC815" s="8" t="s">
        <v>421</v>
      </c>
    </row>
    <row r="816" spans="2:2 1352:2040 2072:3053 3272:3669 4280:4328">
      <c r="B816" s="10"/>
      <c r="AYZ816" s="8" t="s">
        <v>1072</v>
      </c>
      <c r="BKA816" s="8" t="s">
        <v>6885</v>
      </c>
      <c r="BLW816" s="8" t="s">
        <v>6447</v>
      </c>
      <c r="BNS816" s="8" t="s">
        <v>6111</v>
      </c>
      <c r="BRK816" s="8" t="s">
        <v>5472</v>
      </c>
      <c r="DDG816" s="8" t="s">
        <v>5483</v>
      </c>
      <c r="DFC816" s="8" t="s">
        <v>5483</v>
      </c>
      <c r="DHX816" s="8" t="s">
        <v>6921</v>
      </c>
      <c r="DMK816" s="8" t="s">
        <v>422</v>
      </c>
    </row>
    <row r="817" spans="2:2 1352:2035 2072:3053 3083:3944 4327:4375">
      <c r="B817" s="10"/>
      <c r="AYZ817" s="8" t="s">
        <v>409</v>
      </c>
      <c r="BGJ817" s="8" t="s">
        <v>1073</v>
      </c>
      <c r="BIF817" s="8" t="s">
        <v>1073</v>
      </c>
      <c r="BLX817" s="8" t="s">
        <v>6886</v>
      </c>
      <c r="BNT817" s="8" t="s">
        <v>6612</v>
      </c>
      <c r="BPP817" s="8" t="s">
        <v>6112</v>
      </c>
      <c r="BTH817" s="8" t="s">
        <v>5473</v>
      </c>
      <c r="DEE817" s="8" t="s">
        <v>5484</v>
      </c>
      <c r="DGA817" s="8" t="s">
        <v>5484</v>
      </c>
      <c r="DNR817" s="8" t="s">
        <v>423</v>
      </c>
      <c r="DUV817" s="8" t="s">
        <v>6922</v>
      </c>
    </row>
    <row r="818" spans="2:2 1352:2035 2072:3053 3083:3944 4327:4375">
      <c r="B818" s="10"/>
      <c r="BCR818" s="8" t="s">
        <v>410</v>
      </c>
      <c r="BDZ818" s="8" t="s">
        <v>410</v>
      </c>
      <c r="BEN818" s="8" t="s">
        <v>1074</v>
      </c>
      <c r="BIF818" s="8" t="s">
        <v>410</v>
      </c>
      <c r="BKB818" s="8" t="s">
        <v>1074</v>
      </c>
      <c r="BLX818" s="8" t="s">
        <v>1074</v>
      </c>
      <c r="BPP818" s="8" t="s">
        <v>6887</v>
      </c>
      <c r="BRL818" s="8" t="s">
        <v>6448</v>
      </c>
      <c r="BTH818" s="8" t="s">
        <v>6113</v>
      </c>
      <c r="BWZ818" s="8" t="s">
        <v>5474</v>
      </c>
      <c r="DNO818" s="8" t="s">
        <v>424</v>
      </c>
      <c r="ECF818" s="8" t="s">
        <v>5485</v>
      </c>
      <c r="EEB818" s="8" t="s">
        <v>5485</v>
      </c>
      <c r="ESV818" s="8" t="s">
        <v>6923</v>
      </c>
    </row>
    <row r="819" spans="2:2 1352:2035 2072:3053 3083:3944 4327:4375">
      <c r="B819" s="10"/>
      <c r="BGD819" s="8" t="s">
        <v>411</v>
      </c>
      <c r="BGJ819" s="8" t="s">
        <v>411</v>
      </c>
      <c r="BLX819" s="8" t="s">
        <v>411</v>
      </c>
      <c r="BPP819" s="8" t="s">
        <v>1075</v>
      </c>
      <c r="BRL819" s="8" t="s">
        <v>1075</v>
      </c>
      <c r="BVD819" s="8" t="s">
        <v>6888</v>
      </c>
      <c r="BWZ819" s="8" t="s">
        <v>6449</v>
      </c>
      <c r="BYV819" s="8" t="s">
        <v>6114</v>
      </c>
      <c r="CCN819" s="8" t="s">
        <v>5475</v>
      </c>
      <c r="ELO819" s="8" t="s">
        <v>425</v>
      </c>
      <c r="EPO819" s="8" t="s">
        <v>5486</v>
      </c>
      <c r="ERK819" s="8" t="s">
        <v>5486</v>
      </c>
      <c r="EUR819" s="8" t="s">
        <v>6924</v>
      </c>
    </row>
    <row r="820" spans="2:2 1352:2035 2072:3053 3083:3944 4327:4375">
      <c r="B820" s="10"/>
      <c r="BLX820" s="8" t="s">
        <v>412</v>
      </c>
      <c r="BPP820" s="8" t="s">
        <v>1076</v>
      </c>
      <c r="BRL820" s="8" t="s">
        <v>1076</v>
      </c>
      <c r="BWZ820" s="8" t="s">
        <v>6889</v>
      </c>
      <c r="BYV820" s="8" t="s">
        <v>6613</v>
      </c>
      <c r="CAR820" s="8" t="s">
        <v>6115</v>
      </c>
      <c r="CEJ820" s="8" t="s">
        <v>5476</v>
      </c>
      <c r="EPG820" s="8" t="s">
        <v>426</v>
      </c>
      <c r="EQY820" s="8" t="s">
        <v>5487</v>
      </c>
      <c r="ESU820" s="8" t="s">
        <v>5487</v>
      </c>
    </row>
    <row r="821" spans="2:2 1352:2035 2072:3053 3083:3944 4327:4375">
      <c r="B821" s="10"/>
      <c r="BLX821" s="8" t="s">
        <v>413</v>
      </c>
      <c r="BNT821" s="8" t="s">
        <v>1077</v>
      </c>
      <c r="BNU821" s="8" t="s">
        <v>413</v>
      </c>
      <c r="BRL821" s="8" t="s">
        <v>413</v>
      </c>
      <c r="BRZ821" s="8" t="s">
        <v>1077</v>
      </c>
      <c r="BTV821" s="8" t="s">
        <v>1077</v>
      </c>
      <c r="BZG821" s="8" t="s">
        <v>6890</v>
      </c>
      <c r="CBC821" s="8" t="s">
        <v>6450</v>
      </c>
      <c r="CCY821" s="8" t="s">
        <v>6116</v>
      </c>
      <c r="CGQ821" s="8" t="s">
        <v>5477</v>
      </c>
      <c r="ERE821" s="8" t="s">
        <v>5488</v>
      </c>
      <c r="ETA821" s="8" t="s">
        <v>5488</v>
      </c>
    </row>
    <row r="822" spans="2:2 1352:2035 2072:3053 3083:3944 4327:4375">
      <c r="B822" s="10"/>
      <c r="BOH822" s="8" t="s">
        <v>414</v>
      </c>
      <c r="BTH822" s="8" t="s">
        <v>1078</v>
      </c>
      <c r="BTV822" s="8" t="s">
        <v>1078</v>
      </c>
      <c r="BUA822" s="8" t="s">
        <v>414</v>
      </c>
      <c r="BVD822" s="8" t="s">
        <v>1078</v>
      </c>
      <c r="CAR822" s="8" t="s">
        <v>6891</v>
      </c>
      <c r="CCN822" s="8" t="s">
        <v>6451</v>
      </c>
      <c r="CEJ822" s="8" t="s">
        <v>6117</v>
      </c>
      <c r="CIB822" s="8" t="s">
        <v>5478</v>
      </c>
      <c r="ERE822" s="8" t="s">
        <v>5489</v>
      </c>
      <c r="ETA822" s="8" t="s">
        <v>5489</v>
      </c>
    </row>
    <row r="823" spans="2:2 1352:2035 2072:3053 3083:3944 4327:4375">
      <c r="B823" s="10"/>
      <c r="BKB823" s="8" t="s">
        <v>1079</v>
      </c>
      <c r="BPP823" s="8" t="s">
        <v>415</v>
      </c>
      <c r="BVD823" s="8" t="s">
        <v>415</v>
      </c>
      <c r="CAW823" s="8" t="s">
        <v>6892</v>
      </c>
      <c r="CCS823" s="8" t="s">
        <v>6452</v>
      </c>
      <c r="CEJ823" s="8" t="s">
        <v>1079</v>
      </c>
      <c r="CEO823" s="8" t="s">
        <v>6118</v>
      </c>
      <c r="CGF823" s="8" t="s">
        <v>1079</v>
      </c>
      <c r="CIG823" s="8" t="s">
        <v>5479</v>
      </c>
      <c r="FJK823" s="8" t="s">
        <v>5490</v>
      </c>
      <c r="FLG823" s="8" t="s">
        <v>5490</v>
      </c>
    </row>
    <row r="824" spans="2:2 1352:2035 2072:3053 3083:3944 4327:4375">
      <c r="B824" s="10"/>
      <c r="CAR824" s="8" t="s">
        <v>416</v>
      </c>
      <c r="CBD824" s="8" t="s">
        <v>6893</v>
      </c>
      <c r="CCZ824" s="8" t="s">
        <v>6453</v>
      </c>
      <c r="CEJ824" s="8" t="s">
        <v>1080</v>
      </c>
      <c r="CEV824" s="8" t="s">
        <v>6119</v>
      </c>
      <c r="CFA824" s="8" t="s">
        <v>416</v>
      </c>
      <c r="CGF824" s="8" t="s">
        <v>416</v>
      </c>
      <c r="CGI824" s="8" t="s">
        <v>1080</v>
      </c>
      <c r="CIE824" s="8" t="s">
        <v>1080</v>
      </c>
      <c r="CIN824" s="8" t="s">
        <v>5480</v>
      </c>
    </row>
    <row r="825" spans="2:2 1352:2035 2072:3053 3083:3944 4327:4375">
      <c r="B825" s="10"/>
      <c r="CCO825" s="8" t="s">
        <v>417</v>
      </c>
      <c r="CCQ825" s="8" t="s">
        <v>417</v>
      </c>
      <c r="CIE825" s="8" t="s">
        <v>417</v>
      </c>
      <c r="CMO825" s="8" t="s">
        <v>1081</v>
      </c>
      <c r="CNP825" s="8" t="s">
        <v>6894</v>
      </c>
      <c r="COK825" s="8" t="s">
        <v>1081</v>
      </c>
      <c r="CPL825" s="8" t="s">
        <v>6454</v>
      </c>
      <c r="CRH825" s="8" t="s">
        <v>6120</v>
      </c>
      <c r="CUZ825" s="8" t="s">
        <v>5481</v>
      </c>
    </row>
    <row r="826" spans="2:2 1352:2035 2072:3053 3083:3944 4327:4375">
      <c r="B826" s="10"/>
      <c r="CIW826" s="8" t="s">
        <v>418</v>
      </c>
      <c r="CLZ826" s="8" t="s">
        <v>418</v>
      </c>
      <c r="CMO826" s="8" t="s">
        <v>1082</v>
      </c>
      <c r="CNV826" s="8" t="s">
        <v>1082</v>
      </c>
      <c r="COK826" s="8" t="s">
        <v>418</v>
      </c>
      <c r="CPR826" s="8" t="s">
        <v>1082</v>
      </c>
      <c r="CTD826" s="8" t="s">
        <v>6895</v>
      </c>
      <c r="CUZ826" s="8" t="s">
        <v>6455</v>
      </c>
      <c r="CWV826" s="8" t="s">
        <v>6121</v>
      </c>
      <c r="DAN826" s="8" t="s">
        <v>5482</v>
      </c>
    </row>
    <row r="827" spans="2:2 1352:2035 2072:3053 3083:3944 4327:4375">
      <c r="B827" s="10"/>
      <c r="CKD827" s="8" t="s">
        <v>419</v>
      </c>
      <c r="CKE827" s="8" t="s">
        <v>419</v>
      </c>
      <c r="CPR827" s="8" t="s">
        <v>419</v>
      </c>
      <c r="CSH827" s="8" t="s">
        <v>1083</v>
      </c>
      <c r="CUD827" s="8" t="s">
        <v>1083</v>
      </c>
      <c r="CUZ827" s="8" t="s">
        <v>6896</v>
      </c>
      <c r="CWV827" s="8" t="s">
        <v>6456</v>
      </c>
      <c r="CYR827" s="8" t="s">
        <v>6122</v>
      </c>
      <c r="DCJ827" s="8" t="s">
        <v>5483</v>
      </c>
    </row>
    <row r="828" spans="2:2 1352:2035 2072:3053 3083:3944 4327:4375">
      <c r="B828" s="10"/>
      <c r="CFD828" s="8" t="s">
        <v>420</v>
      </c>
      <c r="CFJ828" s="8" t="s">
        <v>1084</v>
      </c>
      <c r="COP828" s="8" t="s">
        <v>420</v>
      </c>
      <c r="CUD828" s="8" t="s">
        <v>420</v>
      </c>
      <c r="CWU828" s="8" t="s">
        <v>6897</v>
      </c>
      <c r="CYQ828" s="8" t="s">
        <v>6457</v>
      </c>
      <c r="DAM828" s="8" t="s">
        <v>6123</v>
      </c>
      <c r="DEE828" s="8" t="s">
        <v>5484</v>
      </c>
      <c r="DHZ828" s="8" t="s">
        <v>1084</v>
      </c>
      <c r="DJV828" s="8" t="s">
        <v>1084</v>
      </c>
    </row>
    <row r="829" spans="2:2 1352:2035 2072:3053 3083:3944 4327:4375">
      <c r="B829" s="10"/>
      <c r="BBU829" s="8" t="s">
        <v>421</v>
      </c>
      <c r="BCS829" s="8" t="s">
        <v>421</v>
      </c>
      <c r="BDQ829" s="8" t="s">
        <v>1085</v>
      </c>
      <c r="DEH829" s="8" t="s">
        <v>421</v>
      </c>
      <c r="DJG829" s="8" t="s">
        <v>1085</v>
      </c>
      <c r="DJV829" s="8" t="s">
        <v>1085</v>
      </c>
      <c r="DLC829" s="8" t="s">
        <v>1085</v>
      </c>
      <c r="DUV829" s="8" t="s">
        <v>6898</v>
      </c>
      <c r="DWR829" s="8" t="s">
        <v>6458</v>
      </c>
      <c r="DYN829" s="8" t="s">
        <v>6124</v>
      </c>
      <c r="ECF829" s="8" t="s">
        <v>5485</v>
      </c>
    </row>
    <row r="830" spans="2:2 1352:2035 2072:3053 3083:3944 4327:4375">
      <c r="B830" s="10"/>
      <c r="BCL830" s="8" t="s">
        <v>422</v>
      </c>
      <c r="BDJ830" s="8" t="s">
        <v>422</v>
      </c>
      <c r="BEH830" s="8" t="s">
        <v>1086</v>
      </c>
      <c r="DFO830" s="8" t="s">
        <v>422</v>
      </c>
      <c r="DIS830" s="8" t="s">
        <v>422</v>
      </c>
      <c r="DJG830" s="8" t="s">
        <v>1086</v>
      </c>
      <c r="DKO830" s="8" t="s">
        <v>1086</v>
      </c>
      <c r="DLC830" s="8" t="s">
        <v>422</v>
      </c>
      <c r="DMK830" s="8" t="s">
        <v>1086</v>
      </c>
      <c r="EIE830" s="8" t="s">
        <v>6899</v>
      </c>
      <c r="EKA830" s="8" t="s">
        <v>6459</v>
      </c>
      <c r="ELW830" s="8" t="s">
        <v>6125</v>
      </c>
      <c r="EPO830" s="8" t="s">
        <v>5486</v>
      </c>
    </row>
    <row r="831" spans="2:2 1352:2035 2072:3053 3083:3944 4327:4375">
      <c r="B831" s="10"/>
      <c r="BDB831" s="8" t="s">
        <v>423</v>
      </c>
      <c r="BDZ831" s="8" t="s">
        <v>423</v>
      </c>
      <c r="BEX831" s="8" t="s">
        <v>1087</v>
      </c>
      <c r="DGW831" s="8" t="s">
        <v>423</v>
      </c>
      <c r="DJZ831" s="8" t="s">
        <v>423</v>
      </c>
      <c r="DKO831" s="8" t="s">
        <v>1087</v>
      </c>
      <c r="DLV831" s="8" t="s">
        <v>1087</v>
      </c>
      <c r="DMK831" s="8" t="s">
        <v>423</v>
      </c>
      <c r="DNR831" s="8" t="s">
        <v>1087</v>
      </c>
      <c r="EJO831" s="8" t="s">
        <v>6900</v>
      </c>
      <c r="ELK831" s="8" t="s">
        <v>6460</v>
      </c>
      <c r="ENG831" s="8" t="s">
        <v>6126</v>
      </c>
      <c r="EQY831" s="8" t="s">
        <v>5487</v>
      </c>
    </row>
    <row r="832" spans="2:2 1352:2035 2072:3053 3083:3944 4327:4375">
      <c r="B832" s="10"/>
      <c r="BDS832" s="8" t="s">
        <v>424</v>
      </c>
      <c r="BEQ832" s="8" t="s">
        <v>424</v>
      </c>
      <c r="BFO832" s="8" t="s">
        <v>1088</v>
      </c>
      <c r="DID832" s="8" t="s">
        <v>424</v>
      </c>
      <c r="DLS832" s="8" t="s">
        <v>1088</v>
      </c>
      <c r="DNO832" s="8" t="s">
        <v>1088</v>
      </c>
      <c r="DNR832" s="8" t="s">
        <v>1088</v>
      </c>
      <c r="DOI832" s="8" t="s">
        <v>424</v>
      </c>
      <c r="EJU832" s="8" t="s">
        <v>6901</v>
      </c>
      <c r="ELQ832" s="8" t="s">
        <v>6461</v>
      </c>
      <c r="ENM832" s="8" t="s">
        <v>6127</v>
      </c>
      <c r="ERE832" s="8" t="s">
        <v>5488</v>
      </c>
    </row>
    <row r="833" spans="2:2 1349:2023 2069:2986 3083:3853 4135:4327 7660:7691">
      <c r="B833" s="10"/>
      <c r="AYW833" s="8" t="s">
        <v>5491</v>
      </c>
      <c r="BAS833" s="8" t="s">
        <v>5491</v>
      </c>
      <c r="BDQ833" s="8" t="s">
        <v>425</v>
      </c>
      <c r="BEO833" s="8" t="s">
        <v>425</v>
      </c>
      <c r="BFM833" s="8" t="s">
        <v>1089</v>
      </c>
      <c r="CPO833" s="8" t="s">
        <v>1089</v>
      </c>
      <c r="DIA833" s="8" t="s">
        <v>425</v>
      </c>
      <c r="DNO833" s="8" t="s">
        <v>425</v>
      </c>
      <c r="EJS833" s="8" t="s">
        <v>1089</v>
      </c>
      <c r="EJU833" s="8" t="s">
        <v>6902</v>
      </c>
      <c r="ELO833" s="8" t="s">
        <v>1089</v>
      </c>
      <c r="ELQ833" s="8" t="s">
        <v>6462</v>
      </c>
      <c r="ENM833" s="8" t="s">
        <v>6128</v>
      </c>
      <c r="ERE833" s="8" t="s">
        <v>5489</v>
      </c>
    </row>
    <row r="834" spans="2:2 1349:2023 2069:2986 3083:3853 4135:4327 7660:7691">
      <c r="B834" s="10"/>
      <c r="AZQ834" s="8" t="s">
        <v>5492</v>
      </c>
      <c r="BBM834" s="8" t="s">
        <v>5492</v>
      </c>
      <c r="BPQ834" s="8" t="s">
        <v>426</v>
      </c>
      <c r="BQO834" s="8" t="s">
        <v>426</v>
      </c>
      <c r="BRM834" s="8" t="s">
        <v>1090</v>
      </c>
      <c r="BWP834" s="8" t="s">
        <v>1464</v>
      </c>
      <c r="BYL834" s="8" t="s">
        <v>1464</v>
      </c>
      <c r="EGA834" s="8" t="s">
        <v>426</v>
      </c>
      <c r="EHW834" s="8" t="s">
        <v>1090</v>
      </c>
      <c r="ELO834" s="8" t="s">
        <v>426</v>
      </c>
      <c r="ENK834" s="8" t="s">
        <v>1090</v>
      </c>
      <c r="EPG834" s="8" t="s">
        <v>1090</v>
      </c>
      <c r="FCA834" s="8" t="s">
        <v>6903</v>
      </c>
      <c r="FDW834" s="8" t="s">
        <v>6463</v>
      </c>
      <c r="FFS834" s="8" t="s">
        <v>6129</v>
      </c>
      <c r="FJK834" s="8" t="s">
        <v>5490</v>
      </c>
    </row>
    <row r="835" spans="2:2 1349:2023 2069:2986 3083:3853 4135:4327 7660:7691">
      <c r="B835" s="10"/>
      <c r="BAV835" s="8" t="s">
        <v>5493</v>
      </c>
      <c r="BCR835" s="8" t="s">
        <v>5493</v>
      </c>
      <c r="BRM835" s="8" t="s">
        <v>427</v>
      </c>
      <c r="BSK835" s="8" t="s">
        <v>427</v>
      </c>
      <c r="BTI835" s="8" t="s">
        <v>1403</v>
      </c>
      <c r="CLU835" s="8" t="s">
        <v>397</v>
      </c>
      <c r="CNQ835" s="8" t="s">
        <v>397</v>
      </c>
      <c r="EJS835" s="8" t="s">
        <v>427</v>
      </c>
      <c r="EPG835" s="8" t="s">
        <v>427</v>
      </c>
      <c r="KHP835" s="8" t="s">
        <v>427</v>
      </c>
      <c r="KIU835" s="8" t="s">
        <v>1403</v>
      </c>
    </row>
    <row r="836" spans="2:2 1349:2023 2069:2986 3083:3853 4135:4327 7660:7691">
      <c r="B836" s="10"/>
      <c r="AYZ836" s="8" t="s">
        <v>408</v>
      </c>
      <c r="BCT836" s="8" t="s">
        <v>5494</v>
      </c>
      <c r="BEP836" s="8" t="s">
        <v>5494</v>
      </c>
    </row>
    <row r="837" spans="2:2 1349:2023 2069:2986 3083:3853 4135:4327 7660:7691">
      <c r="B837" s="10"/>
      <c r="BEN837" s="8" t="s">
        <v>5495</v>
      </c>
      <c r="BGJ837" s="8" t="s">
        <v>5495</v>
      </c>
      <c r="BIF837" s="8" t="s">
        <v>409</v>
      </c>
    </row>
    <row r="838" spans="2:2 1349:2023 2069:2986 3083:3853 4135:4327 7660:7691">
      <c r="B838" s="10"/>
      <c r="AZL838" s="17" t="s">
        <v>4460</v>
      </c>
      <c r="BER838" s="8" t="s">
        <v>5496</v>
      </c>
      <c r="BGN838" s="8" t="s">
        <v>5496</v>
      </c>
      <c r="BLX838" s="8" t="s">
        <v>410</v>
      </c>
    </row>
    <row r="839" spans="2:2 1349:2023 2069:2986 3083:3853 4135:4327 7660:7691">
      <c r="B839" s="10"/>
      <c r="AYW839" s="8" t="s">
        <v>5491</v>
      </c>
      <c r="BAL839" s="8" t="s">
        <v>4461</v>
      </c>
      <c r="BGJ839" s="8" t="s">
        <v>5497</v>
      </c>
      <c r="BIF839" s="8" t="s">
        <v>5497</v>
      </c>
      <c r="BRL839" s="8" t="s">
        <v>411</v>
      </c>
    </row>
    <row r="840" spans="2:2 1349:2023 2069:2986 3083:3853 4135:4327 7660:7691">
      <c r="B840" s="10"/>
      <c r="AYZ840" s="8" t="s">
        <v>5492</v>
      </c>
      <c r="AZN840" s="8" t="s">
        <v>4777</v>
      </c>
      <c r="BBJ840" s="8" t="s">
        <v>4462</v>
      </c>
      <c r="BIF840" s="8" t="s">
        <v>5498</v>
      </c>
      <c r="BKB840" s="8" t="s">
        <v>5498</v>
      </c>
      <c r="BRL840" s="8" t="s">
        <v>412</v>
      </c>
    </row>
    <row r="841" spans="2:2 1349:2023 2069:2986 3083:3853 4135:4327 7660:7691">
      <c r="B841" s="10"/>
      <c r="BAM841" s="8" t="s">
        <v>4778</v>
      </c>
      <c r="BAV841" s="8" t="s">
        <v>5493</v>
      </c>
      <c r="BCI841" s="8" t="s">
        <v>4463</v>
      </c>
      <c r="BPP841" s="8" t="s">
        <v>5499</v>
      </c>
      <c r="BRL841" s="8" t="s">
        <v>5499</v>
      </c>
      <c r="BTV841" s="8" t="s">
        <v>413</v>
      </c>
    </row>
    <row r="842" spans="2:2 1349:2023 2069:2986 3083:3853 4135:4327 7660:7691">
      <c r="B842" s="10"/>
      <c r="AZB842" s="8" t="s">
        <v>6252</v>
      </c>
      <c r="BBK842" s="8" t="s">
        <v>4779</v>
      </c>
      <c r="BCT842" s="8" t="s">
        <v>5494</v>
      </c>
      <c r="BDG842" s="8" t="s">
        <v>4464</v>
      </c>
      <c r="BPP842" s="8" t="s">
        <v>5500</v>
      </c>
      <c r="BRL842" s="8" t="s">
        <v>5500</v>
      </c>
      <c r="BVD842" s="8" t="s">
        <v>414</v>
      </c>
    </row>
    <row r="843" spans="2:2 1349:2023 2069:2986 3083:3853 4135:4327 7660:7691">
      <c r="B843" s="10"/>
      <c r="AYZ843" s="8" t="s">
        <v>6614</v>
      </c>
      <c r="AZQ843" s="8" t="s">
        <v>6925</v>
      </c>
      <c r="BAV843" s="8" t="s">
        <v>6130</v>
      </c>
      <c r="BDG843" s="8" t="s">
        <v>4780</v>
      </c>
      <c r="BEN843" s="8" t="s">
        <v>5495</v>
      </c>
      <c r="BFC843" s="8" t="s">
        <v>4465</v>
      </c>
      <c r="BPP843" s="8" t="s">
        <v>5501</v>
      </c>
      <c r="BRL843" s="8" t="s">
        <v>5501</v>
      </c>
      <c r="CGF843" s="8" t="s">
        <v>415</v>
      </c>
    </row>
    <row r="844" spans="2:2 1349:2023 2069:2986 3083:3853 4135:4327 7660:7691">
      <c r="B844" s="10"/>
      <c r="AYZ844" s="8" t="s">
        <v>410</v>
      </c>
      <c r="AZD844" s="8" t="s">
        <v>6464</v>
      </c>
      <c r="BAZ844" s="8" t="s">
        <v>6131</v>
      </c>
      <c r="BBJ844" s="8" t="s">
        <v>6926</v>
      </c>
      <c r="BDT844" s="8" t="s">
        <v>4781</v>
      </c>
      <c r="BER844" s="8" t="s">
        <v>5496</v>
      </c>
      <c r="BFP844" s="8" t="s">
        <v>4466</v>
      </c>
      <c r="BRL844" s="8" t="s">
        <v>5502</v>
      </c>
      <c r="BTH844" s="8" t="s">
        <v>5502</v>
      </c>
      <c r="CIE844" s="8" t="s">
        <v>416</v>
      </c>
    </row>
    <row r="845" spans="2:2 1349:2023 2069:2986 3083:3853 4135:4327 7660:7691">
      <c r="B845" s="10"/>
      <c r="AYZ845" s="8" t="s">
        <v>6904</v>
      </c>
      <c r="BAV845" s="8" t="s">
        <v>6615</v>
      </c>
      <c r="BCR845" s="8" t="s">
        <v>5859</v>
      </c>
      <c r="BDC845" s="8" t="s">
        <v>6927</v>
      </c>
      <c r="BGJ845" s="8" t="s">
        <v>5497</v>
      </c>
      <c r="BIF845" s="8" t="s">
        <v>4782</v>
      </c>
      <c r="BKB845" s="8" t="s">
        <v>4467</v>
      </c>
      <c r="BTH845" s="8" t="s">
        <v>5503</v>
      </c>
      <c r="BVD845" s="8" t="s">
        <v>5503</v>
      </c>
      <c r="COK845" s="8" t="s">
        <v>417</v>
      </c>
    </row>
    <row r="846" spans="2:2 1349:2023 2069:2986 3083:3853 4135:4327 7660:7691">
      <c r="B846" s="10"/>
      <c r="AYZ846" s="8" t="s">
        <v>411</v>
      </c>
      <c r="BAV846" s="8" t="s">
        <v>6905</v>
      </c>
      <c r="BCR846" s="8" t="s">
        <v>6465</v>
      </c>
      <c r="BEI846" s="8" t="s">
        <v>7176</v>
      </c>
      <c r="BEN846" s="8" t="s">
        <v>5860</v>
      </c>
      <c r="BIF846" s="8" t="s">
        <v>5498</v>
      </c>
      <c r="BNT846" s="8" t="s">
        <v>4783</v>
      </c>
      <c r="BPP846" s="8" t="s">
        <v>4468</v>
      </c>
      <c r="BSZ846" s="8" t="s">
        <v>5504</v>
      </c>
      <c r="BUV846" s="8" t="s">
        <v>5504</v>
      </c>
      <c r="CPR846" s="8" t="s">
        <v>418</v>
      </c>
    </row>
    <row r="847" spans="2:2 1349:2023 2069:2986 3083:3853 4135:4327 7660:7691">
      <c r="B847" s="10"/>
      <c r="AYZ847" s="8" t="s">
        <v>1720</v>
      </c>
      <c r="BCR847" s="8" t="s">
        <v>412</v>
      </c>
      <c r="BEN847" s="8" t="s">
        <v>412</v>
      </c>
      <c r="BEV847" s="8" t="s">
        <v>7177</v>
      </c>
      <c r="BGJ847" s="8" t="s">
        <v>412</v>
      </c>
      <c r="BIF847" s="8" t="s">
        <v>6906</v>
      </c>
      <c r="BKB847" s="8" t="s">
        <v>6466</v>
      </c>
      <c r="BLX847" s="8" t="s">
        <v>6132</v>
      </c>
      <c r="BPP847" s="8" t="s">
        <v>5499</v>
      </c>
      <c r="BTH847" s="8" t="s">
        <v>4939</v>
      </c>
      <c r="BVD847" s="8" t="s">
        <v>4469</v>
      </c>
      <c r="BWY847" s="8" t="s">
        <v>5505</v>
      </c>
      <c r="BYU847" s="8" t="s">
        <v>5505</v>
      </c>
      <c r="CUD847" s="8" t="s">
        <v>419</v>
      </c>
    </row>
    <row r="848" spans="2:2 1349:2023 2069:2986 3083:3853 4135:4327 7660:7691">
      <c r="B848" s="10"/>
      <c r="AYZ848" s="8" t="s">
        <v>1721</v>
      </c>
      <c r="BCR848" s="8" t="s">
        <v>413</v>
      </c>
      <c r="BEN848" s="8" t="s">
        <v>413</v>
      </c>
      <c r="BGJ848" s="8" t="s">
        <v>413</v>
      </c>
      <c r="BGO848" s="8" t="s">
        <v>6929</v>
      </c>
      <c r="BIF848" s="8" t="s">
        <v>6907</v>
      </c>
      <c r="BKB848" s="8" t="s">
        <v>6616</v>
      </c>
      <c r="BLX848" s="8" t="s">
        <v>6133</v>
      </c>
      <c r="BPP848" s="8" t="s">
        <v>5500</v>
      </c>
      <c r="BVC848" s="8" t="s">
        <v>4784</v>
      </c>
      <c r="BWY848" s="8" t="s">
        <v>4470</v>
      </c>
      <c r="CAO848" s="8" t="s">
        <v>5506</v>
      </c>
      <c r="CCK848" s="8" t="s">
        <v>5506</v>
      </c>
      <c r="DJV848" s="8" t="s">
        <v>420</v>
      </c>
    </row>
    <row r="849" spans="2:2 1366:2045 2050:3053 3083:4088 4136:4184">
      <c r="B849" s="10"/>
      <c r="AZN849" s="8" t="s">
        <v>2163</v>
      </c>
      <c r="BBJ849" s="8" t="s">
        <v>1722</v>
      </c>
      <c r="BFB849" s="8" t="s">
        <v>414</v>
      </c>
      <c r="BGX849" s="8" t="s">
        <v>414</v>
      </c>
      <c r="BIF849" s="8" t="s">
        <v>6908</v>
      </c>
      <c r="BIH849" s="8" t="s">
        <v>6930</v>
      </c>
      <c r="BIT849" s="8" t="s">
        <v>414</v>
      </c>
      <c r="BKB849" s="8" t="s">
        <v>6467</v>
      </c>
      <c r="BKP849" s="8" t="s">
        <v>414</v>
      </c>
      <c r="BLX849" s="8" t="s">
        <v>6134</v>
      </c>
      <c r="BPP849" s="8" t="s">
        <v>5501</v>
      </c>
      <c r="CAR849" s="8" t="s">
        <v>4785</v>
      </c>
      <c r="CCN849" s="8" t="s">
        <v>5507</v>
      </c>
      <c r="CEJ849" s="8" t="s">
        <v>5507</v>
      </c>
      <c r="DLC849" s="8" t="s">
        <v>421</v>
      </c>
    </row>
    <row r="850" spans="2:2 1366:2045 2050:3053 3083:4088 4136:4184">
      <c r="B850" s="10"/>
      <c r="BAV850" s="8" t="s">
        <v>2164</v>
      </c>
      <c r="BCR850" s="8" t="s">
        <v>1723</v>
      </c>
      <c r="BGJ850" s="8" t="s">
        <v>415</v>
      </c>
      <c r="BIF850" s="8" t="s">
        <v>415</v>
      </c>
      <c r="BKA850" s="8" t="s">
        <v>6931</v>
      </c>
      <c r="BKB850" s="8" t="s">
        <v>6909</v>
      </c>
      <c r="BLX850" s="8" t="s">
        <v>6617</v>
      </c>
      <c r="BNT850" s="8" t="s">
        <v>5861</v>
      </c>
      <c r="BRL850" s="8" t="s">
        <v>5502</v>
      </c>
      <c r="CCN850" s="8" t="s">
        <v>5508</v>
      </c>
      <c r="CEJ850" s="8" t="s">
        <v>5508</v>
      </c>
      <c r="CIB850" s="8" t="s">
        <v>4940</v>
      </c>
      <c r="CJX850" s="8" t="s">
        <v>4471</v>
      </c>
      <c r="DMK850" s="8" t="s">
        <v>422</v>
      </c>
    </row>
    <row r="851" spans="2:2 1366:2045 2050:3053 3083:4088 4136:4184">
      <c r="B851" s="10"/>
      <c r="BLT851" s="8" t="s">
        <v>6932</v>
      </c>
      <c r="BLX851" s="8" t="s">
        <v>6910</v>
      </c>
      <c r="BNT851" s="8" t="s">
        <v>6468</v>
      </c>
      <c r="BPP851" s="8" t="s">
        <v>5862</v>
      </c>
      <c r="BRL851" s="8" t="s">
        <v>416</v>
      </c>
      <c r="BTH851" s="8" t="s">
        <v>5503</v>
      </c>
      <c r="BVD851" s="8" t="s">
        <v>416</v>
      </c>
      <c r="BWZ851" s="8" t="s">
        <v>416</v>
      </c>
      <c r="CGC851" s="8" t="s">
        <v>5509</v>
      </c>
      <c r="CHY851" s="8" t="s">
        <v>5509</v>
      </c>
      <c r="CKI851" s="8" t="s">
        <v>4786</v>
      </c>
      <c r="CME851" s="8" t="s">
        <v>4472</v>
      </c>
      <c r="DNR851" s="8" t="s">
        <v>423</v>
      </c>
    </row>
    <row r="852" spans="2:2 1366:2045 2050:3053 3083:4088 4136:4184">
      <c r="B852" s="10"/>
      <c r="BLP852" s="8" t="s">
        <v>6911</v>
      </c>
      <c r="BNL852" s="8" t="s">
        <v>6469</v>
      </c>
      <c r="BNM852" s="8" t="s">
        <v>6933</v>
      </c>
      <c r="BNW852" s="8" t="s">
        <v>2165</v>
      </c>
      <c r="BPH852" s="8" t="s">
        <v>6135</v>
      </c>
      <c r="BPS852" s="8" t="s">
        <v>1724</v>
      </c>
      <c r="BSZ852" s="8" t="s">
        <v>5504</v>
      </c>
      <c r="BTK852" s="8" t="s">
        <v>417</v>
      </c>
      <c r="BVG852" s="8" t="s">
        <v>417</v>
      </c>
      <c r="BXC852" s="8" t="s">
        <v>417</v>
      </c>
      <c r="BYY852" s="8" t="s">
        <v>417</v>
      </c>
      <c r="CIB852" s="8" t="s">
        <v>5510</v>
      </c>
      <c r="CJX852" s="8" t="s">
        <v>5510</v>
      </c>
      <c r="CLT852" s="8" t="s">
        <v>4787</v>
      </c>
      <c r="CNP852" s="8" t="s">
        <v>4473</v>
      </c>
      <c r="DNO852" s="8" t="s">
        <v>424</v>
      </c>
    </row>
    <row r="853" spans="2:2 1366:2045 2050:3053 3083:4088 4136:4184">
      <c r="B853" s="10"/>
      <c r="BNZ853" s="8" t="s">
        <v>6934</v>
      </c>
      <c r="BPO853" s="8" t="s">
        <v>6912</v>
      </c>
      <c r="BRK853" s="8" t="s">
        <v>6470</v>
      </c>
      <c r="BTG853" s="8" t="s">
        <v>6136</v>
      </c>
      <c r="BUC853" s="8" t="s">
        <v>2166</v>
      </c>
      <c r="BVY853" s="8" t="s">
        <v>1725</v>
      </c>
      <c r="BWY853" s="8" t="s">
        <v>5505</v>
      </c>
      <c r="BZQ853" s="8" t="s">
        <v>418</v>
      </c>
      <c r="CBM853" s="8" t="s">
        <v>418</v>
      </c>
      <c r="CDI853" s="8" t="s">
        <v>418</v>
      </c>
      <c r="CFE853" s="8" t="s">
        <v>418</v>
      </c>
      <c r="CJX853" s="8" t="s">
        <v>5511</v>
      </c>
      <c r="CLT853" s="8" t="s">
        <v>5511</v>
      </c>
      <c r="CLY853" s="8" t="s">
        <v>4788</v>
      </c>
      <c r="CNU853" s="8" t="s">
        <v>4474</v>
      </c>
      <c r="ELO853" s="8" t="s">
        <v>425</v>
      </c>
    </row>
    <row r="854" spans="2:2 1366:2045 2050:3053 3083:4088 4136:4184">
      <c r="B854" s="10"/>
      <c r="BOL854" s="8" t="s">
        <v>6935</v>
      </c>
      <c r="BTE854" s="8" t="s">
        <v>6913</v>
      </c>
      <c r="BVA854" s="8" t="s">
        <v>6471</v>
      </c>
      <c r="BVJ854" s="8" t="s">
        <v>2167</v>
      </c>
      <c r="BWW854" s="8" t="s">
        <v>6137</v>
      </c>
      <c r="BXF854" s="8" t="s">
        <v>1726</v>
      </c>
      <c r="CAO854" s="8" t="s">
        <v>5506</v>
      </c>
      <c r="CAX854" s="8" t="s">
        <v>419</v>
      </c>
      <c r="CCT854" s="8" t="s">
        <v>419</v>
      </c>
      <c r="CEP854" s="8" t="s">
        <v>419</v>
      </c>
      <c r="CGL854" s="8" t="s">
        <v>419</v>
      </c>
      <c r="CLS854" s="8" t="s">
        <v>5512</v>
      </c>
      <c r="CMF854" s="8" t="s">
        <v>4789</v>
      </c>
      <c r="CNO854" s="8" t="s">
        <v>5512</v>
      </c>
      <c r="COB854" s="8" t="s">
        <v>4475</v>
      </c>
      <c r="EPG854" s="8" t="s">
        <v>426</v>
      </c>
    </row>
    <row r="855" spans="2:2 1366:2045 2050:3053 3083:4088 4136:4184">
      <c r="B855" s="10"/>
      <c r="BQE855" s="8" t="s">
        <v>6936</v>
      </c>
      <c r="BVD855" s="8" t="s">
        <v>6914</v>
      </c>
      <c r="BWZ855" s="8" t="s">
        <v>6472</v>
      </c>
      <c r="BYV855" s="8" t="s">
        <v>6138</v>
      </c>
      <c r="BZV855" s="8" t="s">
        <v>2168</v>
      </c>
      <c r="CBR855" s="8" t="s">
        <v>1727</v>
      </c>
      <c r="CCN855" s="8" t="s">
        <v>5507</v>
      </c>
      <c r="CFJ855" s="8" t="s">
        <v>420</v>
      </c>
      <c r="CHF855" s="8" t="s">
        <v>420</v>
      </c>
      <c r="CJB855" s="8" t="s">
        <v>420</v>
      </c>
      <c r="CKX855" s="8" t="s">
        <v>420</v>
      </c>
      <c r="CYR855" s="8" t="s">
        <v>4790</v>
      </c>
      <c r="DAN855" s="8" t="s">
        <v>4476</v>
      </c>
      <c r="DPH855" s="8" t="s">
        <v>5513</v>
      </c>
      <c r="DRD855" s="8" t="s">
        <v>5513</v>
      </c>
    </row>
    <row r="856" spans="2:2 1366:2045 2050:3053 3083:4088 4136:4184">
      <c r="B856" s="10"/>
      <c r="BRY856" s="8" t="s">
        <v>6937</v>
      </c>
      <c r="BVD856" s="8" t="s">
        <v>6915</v>
      </c>
      <c r="BWZ856" s="8" t="s">
        <v>6473</v>
      </c>
      <c r="BYV856" s="8" t="s">
        <v>6139</v>
      </c>
      <c r="CCN856" s="8" t="s">
        <v>5508</v>
      </c>
      <c r="CLT856" s="8" t="s">
        <v>2169</v>
      </c>
      <c r="CNP856" s="8" t="s">
        <v>1728</v>
      </c>
      <c r="CRH856" s="8" t="s">
        <v>1465</v>
      </c>
      <c r="CTD856" s="8" t="s">
        <v>1465</v>
      </c>
      <c r="CUZ856" s="8" t="s">
        <v>1465</v>
      </c>
      <c r="CWV856" s="8" t="s">
        <v>1465</v>
      </c>
      <c r="DHW856" s="8" t="s">
        <v>4791</v>
      </c>
      <c r="DJS856" s="8" t="s">
        <v>4477</v>
      </c>
      <c r="FAF856" s="8" t="s">
        <v>5514</v>
      </c>
      <c r="FCB856" s="8" t="s">
        <v>5514</v>
      </c>
    </row>
    <row r="857" spans="2:2 1366:2045 2050:3053 3083:4088 4136:4184">
      <c r="B857" s="10"/>
      <c r="BSL857" s="8" t="s">
        <v>6938</v>
      </c>
      <c r="BWU857" s="8" t="s">
        <v>6916</v>
      </c>
      <c r="BYQ857" s="8" t="s">
        <v>6474</v>
      </c>
      <c r="CAM857" s="8" t="s">
        <v>6140</v>
      </c>
      <c r="CEE857" s="8" t="s">
        <v>5838</v>
      </c>
      <c r="CPN857" s="8" t="s">
        <v>2170</v>
      </c>
      <c r="CRJ857" s="8" t="s">
        <v>1729</v>
      </c>
      <c r="CVB857" s="8" t="s">
        <v>421</v>
      </c>
      <c r="CWX857" s="8" t="s">
        <v>421</v>
      </c>
      <c r="CYT857" s="8" t="s">
        <v>421</v>
      </c>
      <c r="DAP857" s="8" t="s">
        <v>421</v>
      </c>
      <c r="DIA857" s="8" t="s">
        <v>4792</v>
      </c>
      <c r="DJW857" s="8" t="s">
        <v>4478</v>
      </c>
      <c r="FCB857" s="8" t="s">
        <v>5515</v>
      </c>
      <c r="FDX857" s="8" t="s">
        <v>5515</v>
      </c>
    </row>
    <row r="858" spans="2:2 1366:2045 2050:3053 3083:4088 4136:4184">
      <c r="B858" s="10"/>
      <c r="BUF858" s="8" t="s">
        <v>6939</v>
      </c>
      <c r="BYS858" s="8" t="s">
        <v>6917</v>
      </c>
      <c r="CAO858" s="8" t="s">
        <v>6475</v>
      </c>
      <c r="CCK858" s="8" t="s">
        <v>6141</v>
      </c>
      <c r="CGC858" s="8" t="s">
        <v>5509</v>
      </c>
      <c r="CQU858" s="8" t="s">
        <v>2171</v>
      </c>
      <c r="CSQ858" s="8" t="s">
        <v>1730</v>
      </c>
      <c r="CWI858" s="8" t="s">
        <v>422</v>
      </c>
      <c r="CYE858" s="8" t="s">
        <v>422</v>
      </c>
      <c r="DAA858" s="8" t="s">
        <v>422</v>
      </c>
      <c r="DBW858" s="8" t="s">
        <v>422</v>
      </c>
      <c r="ETG858" s="8" t="s">
        <v>4793</v>
      </c>
      <c r="EVC858" s="8" t="s">
        <v>4479</v>
      </c>
    </row>
    <row r="859" spans="2:2 1366:2045 2050:3053 3083:4088 4136:4184">
      <c r="B859" s="10"/>
      <c r="BVY859" s="8" t="s">
        <v>6940</v>
      </c>
      <c r="CAR859" s="8" t="s">
        <v>6918</v>
      </c>
      <c r="CCN859" s="8" t="s">
        <v>6618</v>
      </c>
      <c r="CEJ859" s="8" t="s">
        <v>6142</v>
      </c>
      <c r="CIB859" s="8" t="s">
        <v>5510</v>
      </c>
      <c r="CSC859" s="8" t="s">
        <v>2172</v>
      </c>
      <c r="CTY859" s="8" t="s">
        <v>1731</v>
      </c>
      <c r="CXQ859" s="8" t="s">
        <v>423</v>
      </c>
      <c r="CZM859" s="8" t="s">
        <v>423</v>
      </c>
      <c r="DBI859" s="8" t="s">
        <v>423</v>
      </c>
      <c r="DDE859" s="8" t="s">
        <v>423</v>
      </c>
      <c r="EUQ859" s="8" t="s">
        <v>4794</v>
      </c>
      <c r="EWM859" s="8" t="s">
        <v>4480</v>
      </c>
    </row>
    <row r="860" spans="2:2 1366:2045 2050:3053 3083:4088 4136:4184">
      <c r="B860" s="10"/>
      <c r="BXG860" s="8" t="s">
        <v>6941</v>
      </c>
      <c r="CCN860" s="8" t="s">
        <v>6919</v>
      </c>
      <c r="CEJ860" s="8" t="s">
        <v>6619</v>
      </c>
      <c r="CGF860" s="8" t="s">
        <v>6143</v>
      </c>
      <c r="CJX860" s="8" t="s">
        <v>5511</v>
      </c>
      <c r="CTJ860" s="8" t="s">
        <v>2173</v>
      </c>
      <c r="CVF860" s="8" t="s">
        <v>1732</v>
      </c>
      <c r="CYX860" s="8" t="s">
        <v>424</v>
      </c>
      <c r="DAT860" s="8" t="s">
        <v>424</v>
      </c>
      <c r="DCP860" s="8" t="s">
        <v>424</v>
      </c>
      <c r="DEL860" s="8" t="s">
        <v>424</v>
      </c>
      <c r="EUW860" s="8" t="s">
        <v>4795</v>
      </c>
      <c r="EWS860" s="8" t="s">
        <v>4481</v>
      </c>
    </row>
    <row r="861" spans="2:2 1366:2045 2050:3053 3083:4088 4136:4184">
      <c r="B861" s="10"/>
      <c r="BXS861" s="8" t="s">
        <v>6942</v>
      </c>
      <c r="CEI861" s="8" t="s">
        <v>6920</v>
      </c>
      <c r="CGE861" s="8" t="s">
        <v>6476</v>
      </c>
      <c r="CIA861" s="8" t="s">
        <v>6144</v>
      </c>
      <c r="CLS861" s="8" t="s">
        <v>5512</v>
      </c>
      <c r="CTG861" s="8" t="s">
        <v>2174</v>
      </c>
      <c r="CVC861" s="8" t="s">
        <v>1733</v>
      </c>
      <c r="CYU861" s="8" t="s">
        <v>425</v>
      </c>
      <c r="DAQ861" s="8" t="s">
        <v>425</v>
      </c>
      <c r="DCM861" s="8" t="s">
        <v>425</v>
      </c>
      <c r="DEI861" s="8" t="s">
        <v>425</v>
      </c>
      <c r="EUW861" s="8" t="s">
        <v>4796</v>
      </c>
      <c r="EWS861" s="8" t="s">
        <v>4482</v>
      </c>
    </row>
    <row r="862" spans="2:2 1366:2045 2050:3053 3083:4088 4136:4184">
      <c r="B862" s="10"/>
      <c r="BZL862" s="8" t="s">
        <v>6943</v>
      </c>
      <c r="CYR862" s="8" t="s">
        <v>2175</v>
      </c>
      <c r="DAN862" s="8" t="s">
        <v>1734</v>
      </c>
      <c r="DEF862" s="8" t="s">
        <v>1466</v>
      </c>
      <c r="DGB862" s="8" t="s">
        <v>1466</v>
      </c>
      <c r="DHX862" s="8" t="s">
        <v>6921</v>
      </c>
      <c r="DJT862" s="8" t="s">
        <v>6620</v>
      </c>
      <c r="DLP862" s="8" t="s">
        <v>5863</v>
      </c>
      <c r="DPH862" s="8" t="s">
        <v>5513</v>
      </c>
    </row>
    <row r="863" spans="2:2 1366:2045 2050:3053 3083:4088 4136:4184">
      <c r="B863" s="10"/>
      <c r="CBE863" s="8" t="s">
        <v>6944</v>
      </c>
      <c r="DRG863" s="8" t="s">
        <v>2176</v>
      </c>
      <c r="DTC863" s="8" t="s">
        <v>1735</v>
      </c>
      <c r="DUV863" s="8" t="s">
        <v>6922</v>
      </c>
      <c r="DWR863" s="8" t="s">
        <v>6477</v>
      </c>
      <c r="DWU863" s="8" t="s">
        <v>426</v>
      </c>
      <c r="DYN863" s="8" t="s">
        <v>6145</v>
      </c>
      <c r="DYQ863" s="8" t="s">
        <v>426</v>
      </c>
      <c r="EAM863" s="8" t="s">
        <v>426</v>
      </c>
      <c r="ECF863" s="8" t="s">
        <v>5839</v>
      </c>
      <c r="ECI863" s="8" t="s">
        <v>426</v>
      </c>
    </row>
    <row r="864" spans="2:2 1366:2045 2050:3053 3083:4088 4136:4184">
      <c r="B864" s="10"/>
      <c r="CCX864" s="8" t="s">
        <v>6945</v>
      </c>
      <c r="DUY864" s="8" t="s">
        <v>2177</v>
      </c>
      <c r="DWU864" s="8" t="s">
        <v>1736</v>
      </c>
      <c r="EAM864" s="8" t="s">
        <v>427</v>
      </c>
      <c r="ECI864" s="8" t="s">
        <v>427</v>
      </c>
      <c r="EEE864" s="8" t="s">
        <v>427</v>
      </c>
      <c r="EGA864" s="8" t="s">
        <v>427</v>
      </c>
      <c r="ESV864" s="8" t="s">
        <v>6923</v>
      </c>
      <c r="EUR864" s="8" t="s">
        <v>6478</v>
      </c>
      <c r="EWN864" s="8" t="s">
        <v>6146</v>
      </c>
      <c r="FAF864" s="8" t="s">
        <v>5514</v>
      </c>
    </row>
    <row r="865" spans="2:2 1352:2024 2123:3032 3944:4040 4136:4136">
      <c r="B865" s="10"/>
      <c r="BGB865" s="8" t="s">
        <v>429</v>
      </c>
      <c r="CER865" s="8" t="s">
        <v>6946</v>
      </c>
      <c r="EUR865" s="8" t="s">
        <v>6924</v>
      </c>
      <c r="EWN865" s="8" t="s">
        <v>6621</v>
      </c>
      <c r="EYJ865" s="8" t="s">
        <v>6147</v>
      </c>
      <c r="FCB865" s="8" t="s">
        <v>5515</v>
      </c>
    </row>
    <row r="866" spans="2:2 1352:2024 2123:3032 3944:4040 4136:4136">
      <c r="B866" s="10"/>
      <c r="BEN866" s="8" t="s">
        <v>430</v>
      </c>
      <c r="CGK866" s="8" t="s">
        <v>6947</v>
      </c>
    </row>
    <row r="867" spans="2:2 1352:2024 2123:3032 3944:4040 4136:4136">
      <c r="B867" s="10"/>
      <c r="BKB867" s="8" t="s">
        <v>431</v>
      </c>
      <c r="CID867" s="8" t="s">
        <v>6948</v>
      </c>
    </row>
    <row r="868" spans="2:2 1352:2024 2123:3032 3944:4040 4136:4136">
      <c r="B868" s="10"/>
      <c r="BKB868" s="8" t="s">
        <v>432</v>
      </c>
      <c r="CJW868" s="8" t="s">
        <v>6949</v>
      </c>
    </row>
    <row r="869" spans="2:2 1352:2024 2123:3032 3944:4040 4136:4136">
      <c r="B869" s="10"/>
      <c r="BAV869" s="8" t="s">
        <v>4941</v>
      </c>
      <c r="BCR869" s="8" t="s">
        <v>4483</v>
      </c>
      <c r="BPV869" s="8" t="s">
        <v>433</v>
      </c>
      <c r="CLQ869" s="8" t="s">
        <v>6950</v>
      </c>
    </row>
    <row r="870" spans="2:2 1352:2024 2123:3032 3944:4040 4136:4136">
      <c r="B870" s="10"/>
      <c r="BIF870" s="8" t="s">
        <v>4942</v>
      </c>
      <c r="BKB870" s="8" t="s">
        <v>4484</v>
      </c>
      <c r="BSR870" s="8" t="s">
        <v>434</v>
      </c>
      <c r="CNJ870" s="8" t="s">
        <v>6951</v>
      </c>
    </row>
    <row r="871" spans="2:2 1352:2024 2123:3032 3944:4040 4136:4136">
      <c r="B871" s="10"/>
      <c r="BIJ871" s="8" t="s">
        <v>4797</v>
      </c>
      <c r="BKF871" s="8" t="s">
        <v>4485</v>
      </c>
      <c r="CCQ871" s="8" t="s">
        <v>435</v>
      </c>
      <c r="CPC871" s="8" t="s">
        <v>6952</v>
      </c>
    </row>
    <row r="872" spans="2:2 1352:2024 2123:3032 3944:4040 4136:4136">
      <c r="B872" s="10"/>
      <c r="BKB872" s="8" t="s">
        <v>4943</v>
      </c>
      <c r="BLX872" s="8" t="s">
        <v>4486</v>
      </c>
      <c r="CGS872" s="8" t="s">
        <v>436</v>
      </c>
      <c r="CQV872" s="8" t="s">
        <v>6953</v>
      </c>
    </row>
    <row r="873" spans="2:2 1352:2024 2123:3032 3944:4040 4136:4136">
      <c r="B873" s="10"/>
      <c r="BLX873" s="8" t="s">
        <v>4798</v>
      </c>
      <c r="BNT873" s="8" t="s">
        <v>4487</v>
      </c>
      <c r="CHZ873" s="8" t="s">
        <v>437</v>
      </c>
      <c r="CSO873" s="8" t="s">
        <v>6954</v>
      </c>
    </row>
    <row r="874" spans="2:2 1352:2024 2123:3032 3944:4040 4136:4136">
      <c r="B874" s="10"/>
      <c r="BTH874" s="8" t="s">
        <v>4944</v>
      </c>
      <c r="BVD874" s="8" t="s">
        <v>4488</v>
      </c>
      <c r="CJG874" s="8" t="s">
        <v>438</v>
      </c>
      <c r="CVE874" s="8" t="s">
        <v>6955</v>
      </c>
    </row>
    <row r="875" spans="2:2 1352:2024 2123:3032 3944:4040 4136:4136">
      <c r="B875" s="10"/>
      <c r="BUP875" s="8" t="s">
        <v>4799</v>
      </c>
      <c r="BWL875" s="8" t="s">
        <v>4489</v>
      </c>
      <c r="CKO875" s="8" t="s">
        <v>439</v>
      </c>
      <c r="DAN875" s="8" t="s">
        <v>6956</v>
      </c>
    </row>
    <row r="876" spans="2:2 1352:2024 2123:3032 3944:4040 4136:4136">
      <c r="B876" s="10"/>
      <c r="BAI876" s="8" t="s">
        <v>398</v>
      </c>
      <c r="BEF876" s="8" t="s">
        <v>1091</v>
      </c>
      <c r="BGB876" s="8" t="s">
        <v>1091</v>
      </c>
      <c r="BVD876" s="8" t="s">
        <v>4945</v>
      </c>
      <c r="BWZ876" s="8" t="s">
        <v>4490</v>
      </c>
      <c r="CLV876" s="8" t="s">
        <v>440</v>
      </c>
      <c r="DCJ876" s="8" t="s">
        <v>6957</v>
      </c>
    </row>
    <row r="877" spans="2:2 1352:2024 2123:3032 3944:4040 4136:4136">
      <c r="B877" s="10"/>
      <c r="BAA877" s="8" t="s">
        <v>399</v>
      </c>
      <c r="BAN877" s="8" t="s">
        <v>430</v>
      </c>
      <c r="BBW877" s="8" t="s">
        <v>399</v>
      </c>
      <c r="BCR877" s="8" t="s">
        <v>1092</v>
      </c>
      <c r="BEN877" s="8" t="s">
        <v>1092</v>
      </c>
      <c r="BGB877" s="8" t="s">
        <v>430</v>
      </c>
      <c r="BHX877" s="8" t="s">
        <v>1092</v>
      </c>
      <c r="BIF877" s="8" t="s">
        <v>430</v>
      </c>
      <c r="BWZ877" s="8" t="s">
        <v>4800</v>
      </c>
      <c r="BYV877" s="8" t="s">
        <v>4491</v>
      </c>
      <c r="CNC877" s="8" t="s">
        <v>441</v>
      </c>
      <c r="DEF877" s="8" t="s">
        <v>6958</v>
      </c>
    </row>
    <row r="878" spans="2:2 1352:2024 2123:3032 3944:4040 4136:4136">
      <c r="B878" s="10"/>
      <c r="AYZ878" s="8" t="s">
        <v>431</v>
      </c>
      <c r="BBO878" s="8" t="s">
        <v>402</v>
      </c>
      <c r="BDK878" s="8" t="s">
        <v>402</v>
      </c>
      <c r="BEN878" s="8" t="s">
        <v>431</v>
      </c>
      <c r="BIF878" s="8" t="s">
        <v>1093</v>
      </c>
      <c r="BKB878" s="8" t="s">
        <v>1093</v>
      </c>
      <c r="BWR878" s="8" t="s">
        <v>4801</v>
      </c>
      <c r="BYN878" s="8" t="s">
        <v>4492</v>
      </c>
      <c r="COK878" s="8" t="s">
        <v>442</v>
      </c>
      <c r="DGB878" s="8" t="s">
        <v>6959</v>
      </c>
    </row>
    <row r="879" spans="2:2 1352:2024 2123:3032 3944:4040 4136:4136">
      <c r="B879" s="10"/>
      <c r="BDD879" s="8" t="s">
        <v>403</v>
      </c>
      <c r="BEN879" s="8" t="s">
        <v>432</v>
      </c>
      <c r="BEZ879" s="8" t="s">
        <v>403</v>
      </c>
      <c r="BIF879" s="8" t="s">
        <v>1094</v>
      </c>
      <c r="BKB879" s="8" t="s">
        <v>1094</v>
      </c>
      <c r="BKV879" s="8" t="s">
        <v>432</v>
      </c>
      <c r="CHW879" s="8" t="s">
        <v>4802</v>
      </c>
      <c r="CJS879" s="8" t="s">
        <v>4493</v>
      </c>
      <c r="CPR879" s="8" t="s">
        <v>443</v>
      </c>
      <c r="DJT879" s="8" t="s">
        <v>6960</v>
      </c>
    </row>
    <row r="880" spans="2:2 1352:2024 2123:3032 3944:4040 4136:4136">
      <c r="B880" s="10"/>
      <c r="BDZ880" s="8" t="s">
        <v>433</v>
      </c>
      <c r="BEN880" s="8" t="s">
        <v>433</v>
      </c>
      <c r="BIF880" s="8" t="s">
        <v>404</v>
      </c>
      <c r="BKB880" s="8" t="s">
        <v>404</v>
      </c>
      <c r="BNZ880" s="8" t="s">
        <v>1095</v>
      </c>
      <c r="BPV880" s="8" t="s">
        <v>1095</v>
      </c>
      <c r="CJU880" s="8" t="s">
        <v>4803</v>
      </c>
      <c r="CLQ880" s="8" t="s">
        <v>4494</v>
      </c>
      <c r="CTD880" s="8" t="s">
        <v>444</v>
      </c>
      <c r="DLP880" s="8" t="s">
        <v>7178</v>
      </c>
    </row>
    <row r="881" spans="2:2 1352:2027 2075:3053 3086:4088 4184:4280">
      <c r="B881" s="10"/>
      <c r="AYZ881" s="8" t="s">
        <v>5516</v>
      </c>
      <c r="BKH881" s="8" t="s">
        <v>434</v>
      </c>
      <c r="BNZ881" s="8" t="s">
        <v>1096</v>
      </c>
      <c r="BOZ881" s="8" t="s">
        <v>434</v>
      </c>
      <c r="BPP881" s="8" t="s">
        <v>405</v>
      </c>
      <c r="BPV881" s="8" t="s">
        <v>434</v>
      </c>
      <c r="BQV881" s="8" t="s">
        <v>1096</v>
      </c>
      <c r="BRL881" s="8" t="s">
        <v>405</v>
      </c>
      <c r="BSR881" s="8" t="s">
        <v>1096</v>
      </c>
      <c r="CNP881" s="8" t="s">
        <v>4946</v>
      </c>
      <c r="CPL881" s="8" t="s">
        <v>4495</v>
      </c>
      <c r="DFZ881" s="8" t="s">
        <v>445</v>
      </c>
      <c r="DRD881" s="8" t="s">
        <v>7179</v>
      </c>
    </row>
    <row r="882" spans="2:2 1352:2027 2075:3053 3086:4088 4184:4280">
      <c r="B882" s="10"/>
      <c r="BAE882" s="8" t="s">
        <v>5517</v>
      </c>
      <c r="BHG882" s="8" t="s">
        <v>435</v>
      </c>
      <c r="BHP882" s="8" t="s">
        <v>1097</v>
      </c>
      <c r="BND882" s="8" t="s">
        <v>435</v>
      </c>
      <c r="BSR882" s="8" t="s">
        <v>435</v>
      </c>
      <c r="CAU882" s="8" t="s">
        <v>1097</v>
      </c>
      <c r="CCQ882" s="8" t="s">
        <v>1097</v>
      </c>
      <c r="CIP882" s="8" t="s">
        <v>407</v>
      </c>
      <c r="CKL882" s="8" t="s">
        <v>407</v>
      </c>
      <c r="DHG882" s="8" t="s">
        <v>446</v>
      </c>
      <c r="DSZ882" s="8" t="s">
        <v>4947</v>
      </c>
      <c r="DUS882" s="8" t="s">
        <v>6961</v>
      </c>
      <c r="DUV882" s="8" t="s">
        <v>4496</v>
      </c>
    </row>
    <row r="883" spans="2:2 1352:2027 2075:3053 3086:4088 4184:4280">
      <c r="B883" s="10"/>
      <c r="BAB883" s="17" t="s">
        <v>5518</v>
      </c>
      <c r="BBX883" s="8" t="s">
        <v>5518</v>
      </c>
      <c r="BXC883" s="8" t="s">
        <v>436</v>
      </c>
      <c r="BYO883" s="8" t="s">
        <v>436</v>
      </c>
      <c r="BYY883" s="8" t="s">
        <v>1098</v>
      </c>
      <c r="CCQ883" s="8" t="s">
        <v>436</v>
      </c>
      <c r="CEW883" s="8" t="s">
        <v>1098</v>
      </c>
      <c r="CGS883" s="8" t="s">
        <v>1098</v>
      </c>
      <c r="DIO883" s="8" t="s">
        <v>447</v>
      </c>
      <c r="ECI883" s="8" t="s">
        <v>7180</v>
      </c>
      <c r="FDX883" s="8" t="s">
        <v>4804</v>
      </c>
      <c r="FFT883" s="8" t="s">
        <v>4497</v>
      </c>
    </row>
    <row r="884" spans="2:2 1352:2027 2075:3053 3086:4088 4184:4280">
      <c r="B884" s="10"/>
      <c r="BBU884" s="8" t="s">
        <v>5519</v>
      </c>
      <c r="BDQ884" s="8" t="s">
        <v>5519</v>
      </c>
      <c r="CBE884" s="8" t="s">
        <v>437</v>
      </c>
      <c r="CEH884" s="8" t="s">
        <v>437</v>
      </c>
      <c r="CEW884" s="8" t="s">
        <v>1099</v>
      </c>
      <c r="CGD884" s="8" t="s">
        <v>1099</v>
      </c>
      <c r="CGS884" s="8" t="s">
        <v>437</v>
      </c>
      <c r="CHZ884" s="8" t="s">
        <v>1099</v>
      </c>
      <c r="DJV884" s="8" t="s">
        <v>448</v>
      </c>
      <c r="EEB884" s="8" t="s">
        <v>6962</v>
      </c>
      <c r="FFT884" s="8" t="s">
        <v>4948</v>
      </c>
      <c r="FHP884" s="8" t="s">
        <v>4498</v>
      </c>
    </row>
    <row r="885" spans="2:2 1352:2027 2075:3053 3086:4088 4184:4280">
      <c r="B885" s="10"/>
      <c r="BDN885" s="8" t="s">
        <v>5520</v>
      </c>
      <c r="BFJ885" s="8" t="s">
        <v>5520</v>
      </c>
      <c r="CCL885" s="8" t="s">
        <v>438</v>
      </c>
      <c r="CHK885" s="8" t="s">
        <v>1100</v>
      </c>
      <c r="CHZ885" s="8" t="s">
        <v>1100</v>
      </c>
      <c r="CJG885" s="8" t="s">
        <v>1100</v>
      </c>
      <c r="DLC885" s="8" t="s">
        <v>449</v>
      </c>
      <c r="EFX885" s="8" t="s">
        <v>6963</v>
      </c>
    </row>
    <row r="886" spans="2:2 1352:2027 2075:3053 3086:4088 4184:4280">
      <c r="B886" s="10"/>
      <c r="BFH886" s="8" t="s">
        <v>5521</v>
      </c>
      <c r="BHD886" s="8" t="s">
        <v>5521</v>
      </c>
      <c r="CDS886" s="8" t="s">
        <v>439</v>
      </c>
      <c r="CGW886" s="8" t="s">
        <v>439</v>
      </c>
      <c r="CHK886" s="8" t="s">
        <v>1101</v>
      </c>
      <c r="CIS886" s="8" t="s">
        <v>1101</v>
      </c>
      <c r="CJG886" s="8" t="s">
        <v>439</v>
      </c>
      <c r="CKO886" s="8" t="s">
        <v>1101</v>
      </c>
      <c r="DMK886" s="8" t="s">
        <v>450</v>
      </c>
      <c r="EHW886" s="8" t="s">
        <v>7181</v>
      </c>
    </row>
    <row r="887" spans="2:2 1352:2027 2075:3053 3086:4088 4184:4280">
      <c r="B887" s="10"/>
      <c r="BHA887" s="8" t="s">
        <v>5522</v>
      </c>
      <c r="BIW887" s="8" t="s">
        <v>5522</v>
      </c>
      <c r="CFA887" s="8" t="s">
        <v>440</v>
      </c>
      <c r="CID887" s="8" t="s">
        <v>440</v>
      </c>
      <c r="CIS887" s="8" t="s">
        <v>1102</v>
      </c>
      <c r="CJZ887" s="8" t="s">
        <v>1102</v>
      </c>
      <c r="CKO887" s="8" t="s">
        <v>440</v>
      </c>
      <c r="CLV887" s="8" t="s">
        <v>1102</v>
      </c>
      <c r="DNR887" s="8" t="s">
        <v>451</v>
      </c>
      <c r="EJP887" s="8" t="s">
        <v>6964</v>
      </c>
    </row>
    <row r="888" spans="2:2 1352:2027 2075:3053 3086:4088 4184:4280">
      <c r="B888" s="10"/>
      <c r="BIT888" s="8" t="s">
        <v>5523</v>
      </c>
      <c r="BKP888" s="8" t="s">
        <v>5523</v>
      </c>
      <c r="CGH888" s="8" t="s">
        <v>441</v>
      </c>
      <c r="CLG888" s="8" t="s">
        <v>1103</v>
      </c>
      <c r="CLV888" s="8" t="s">
        <v>1103</v>
      </c>
      <c r="CNC888" s="8" t="s">
        <v>1103</v>
      </c>
      <c r="DSZ888" s="8" t="s">
        <v>452</v>
      </c>
      <c r="ELL888" s="8" t="s">
        <v>6965</v>
      </c>
    </row>
    <row r="889" spans="2:2 1352:2027 2075:3053 3086:4088 4184:4280">
      <c r="B889" s="10"/>
      <c r="BAB889" s="17" t="s">
        <v>5518</v>
      </c>
      <c r="BKM889" s="8" t="s">
        <v>5524</v>
      </c>
      <c r="BMI889" s="8" t="s">
        <v>5524</v>
      </c>
      <c r="CHO889" s="8" t="s">
        <v>442</v>
      </c>
      <c r="CKS889" s="8" t="s">
        <v>442</v>
      </c>
      <c r="CLG889" s="8" t="s">
        <v>1104</v>
      </c>
      <c r="CMO889" s="8" t="s">
        <v>1104</v>
      </c>
      <c r="CNC889" s="8" t="s">
        <v>442</v>
      </c>
      <c r="COK889" s="8" t="s">
        <v>1104</v>
      </c>
      <c r="ENH889" s="8" t="s">
        <v>6966</v>
      </c>
      <c r="EUR889" s="8" t="s">
        <v>453</v>
      </c>
    </row>
    <row r="890" spans="2:2 1352:2027 2075:3053 3086:4088 4184:4280">
      <c r="B890" s="10"/>
      <c r="BBU890" s="8" t="s">
        <v>5519</v>
      </c>
      <c r="BMF890" s="8" t="s">
        <v>5525</v>
      </c>
      <c r="BOB890" s="8" t="s">
        <v>5525</v>
      </c>
      <c r="CIW890" s="8" t="s">
        <v>443</v>
      </c>
      <c r="CLZ890" s="8" t="s">
        <v>443</v>
      </c>
      <c r="CMO890" s="8" t="s">
        <v>1105</v>
      </c>
      <c r="CNV890" s="8" t="s">
        <v>1105</v>
      </c>
      <c r="COK890" s="8" t="s">
        <v>443</v>
      </c>
      <c r="CPR890" s="8" t="s">
        <v>1105</v>
      </c>
      <c r="EPD890" s="8" t="s">
        <v>6967</v>
      </c>
    </row>
    <row r="891" spans="2:2 1352:2027 2075:3053 3086:4088 4184:4280">
      <c r="B891" s="10"/>
      <c r="AZV891" s="8" t="s">
        <v>6253</v>
      </c>
      <c r="BDN891" s="8" t="s">
        <v>5520</v>
      </c>
      <c r="BNY891" s="8" t="s">
        <v>5526</v>
      </c>
      <c r="BPU891" s="8" t="s">
        <v>5526</v>
      </c>
      <c r="CKD891" s="8" t="s">
        <v>444</v>
      </c>
      <c r="CLZ891" s="8" t="s">
        <v>1106</v>
      </c>
      <c r="CMS891" s="8" t="s">
        <v>444</v>
      </c>
      <c r="CPR891" s="8" t="s">
        <v>444</v>
      </c>
      <c r="CRH891" s="8" t="s">
        <v>1106</v>
      </c>
      <c r="CTD891" s="8" t="s">
        <v>1106</v>
      </c>
      <c r="ESV891" s="8" t="s">
        <v>6968</v>
      </c>
    </row>
    <row r="892" spans="2:2 1352:2027 2075:3053 3086:4088 4184:4280">
      <c r="B892" s="10"/>
      <c r="AZT892" s="8" t="s">
        <v>6479</v>
      </c>
      <c r="BBP892" s="8" t="s">
        <v>6148</v>
      </c>
      <c r="BFH892" s="8" t="s">
        <v>5521</v>
      </c>
      <c r="BPR892" s="8" t="s">
        <v>5527</v>
      </c>
      <c r="BRN892" s="8" t="s">
        <v>5527</v>
      </c>
      <c r="CFD892" s="8" t="s">
        <v>445</v>
      </c>
      <c r="CGF892" s="8" t="s">
        <v>1107</v>
      </c>
      <c r="CNP892" s="8" t="s">
        <v>445</v>
      </c>
      <c r="CTD892" s="8" t="s">
        <v>445</v>
      </c>
      <c r="DED892" s="8" t="s">
        <v>1107</v>
      </c>
      <c r="DFZ892" s="8" t="s">
        <v>1107</v>
      </c>
      <c r="EUR892" s="8" t="s">
        <v>6969</v>
      </c>
    </row>
    <row r="893" spans="2:2 1352:2027 2075:3053 3086:4088 4184:4280">
      <c r="B893" s="10"/>
      <c r="AZQ893" s="8" t="s">
        <v>6925</v>
      </c>
      <c r="AZW893" s="8" t="s">
        <v>446</v>
      </c>
      <c r="BAU893" s="8" t="s">
        <v>446</v>
      </c>
      <c r="BBM893" s="8" t="s">
        <v>6480</v>
      </c>
      <c r="BBS893" s="8" t="s">
        <v>1108</v>
      </c>
      <c r="BDI893" s="8" t="s">
        <v>6149</v>
      </c>
      <c r="BHA893" s="8" t="s">
        <v>5522</v>
      </c>
      <c r="BRK893" s="8" t="s">
        <v>5528</v>
      </c>
      <c r="BTG893" s="8" t="s">
        <v>5528</v>
      </c>
      <c r="DAL893" s="8" t="s">
        <v>446</v>
      </c>
      <c r="DFK893" s="8" t="s">
        <v>1108</v>
      </c>
      <c r="DFZ893" s="8" t="s">
        <v>1108</v>
      </c>
      <c r="DHG893" s="8" t="s">
        <v>1108</v>
      </c>
      <c r="EYJ893" s="8" t="s">
        <v>6970</v>
      </c>
    </row>
    <row r="894" spans="2:2 1352:2027 2075:3053 3086:4088 4184:4280">
      <c r="B894" s="10"/>
      <c r="BAN894" s="8" t="s">
        <v>447</v>
      </c>
      <c r="BBJ894" s="8" t="s">
        <v>6926</v>
      </c>
      <c r="BBL894" s="8" t="s">
        <v>447</v>
      </c>
      <c r="BCJ894" s="8" t="s">
        <v>1109</v>
      </c>
      <c r="BDF894" s="8" t="s">
        <v>6481</v>
      </c>
      <c r="BFB894" s="8" t="s">
        <v>6150</v>
      </c>
      <c r="BIT894" s="8" t="s">
        <v>5523</v>
      </c>
      <c r="BTD894" s="8" t="s">
        <v>5529</v>
      </c>
      <c r="BUZ894" s="8" t="s">
        <v>5529</v>
      </c>
      <c r="DBS894" s="8" t="s">
        <v>447</v>
      </c>
      <c r="DEW894" s="8" t="s">
        <v>447</v>
      </c>
      <c r="DFK894" s="8" t="s">
        <v>1109</v>
      </c>
      <c r="DGS894" s="8" t="s">
        <v>1109</v>
      </c>
      <c r="DHG894" s="8" t="s">
        <v>447</v>
      </c>
      <c r="DIO894" s="8" t="s">
        <v>1109</v>
      </c>
      <c r="FAF894" s="8" t="s">
        <v>6971</v>
      </c>
    </row>
    <row r="895" spans="2:2 1352:2027 2075:3053 3086:4088 4184:4280">
      <c r="B895" s="10"/>
      <c r="BBD895" s="8" t="s">
        <v>448</v>
      </c>
      <c r="BCB895" s="8" t="s">
        <v>448</v>
      </c>
      <c r="BCZ895" s="8" t="s">
        <v>1110</v>
      </c>
      <c r="BDC895" s="8" t="s">
        <v>6927</v>
      </c>
      <c r="BEY895" s="8" t="s">
        <v>6482</v>
      </c>
      <c r="BGU895" s="8" t="s">
        <v>6151</v>
      </c>
      <c r="BKM895" s="8" t="s">
        <v>5524</v>
      </c>
      <c r="BUW895" s="8" t="s">
        <v>5530</v>
      </c>
      <c r="BWS895" s="8" t="s">
        <v>5530</v>
      </c>
      <c r="DDA895" s="8" t="s">
        <v>448</v>
      </c>
      <c r="DGD895" s="8" t="s">
        <v>448</v>
      </c>
      <c r="DGS895" s="8" t="s">
        <v>1110</v>
      </c>
      <c r="DHZ895" s="8" t="s">
        <v>1110</v>
      </c>
      <c r="DIO895" s="8" t="s">
        <v>448</v>
      </c>
      <c r="DJV895" s="8" t="s">
        <v>1110</v>
      </c>
      <c r="FFT895" s="8" t="s">
        <v>7182</v>
      </c>
    </row>
    <row r="896" spans="2:2 1352:2027 2075:3053 3086:4088 4184:4280">
      <c r="B896" s="10"/>
      <c r="BBU896" s="8" t="s">
        <v>449</v>
      </c>
      <c r="BCS896" s="8" t="s">
        <v>449</v>
      </c>
      <c r="BDQ896" s="8" t="s">
        <v>1111</v>
      </c>
      <c r="BEV896" s="8" t="s">
        <v>6928</v>
      </c>
      <c r="BGR896" s="8" t="s">
        <v>6483</v>
      </c>
      <c r="BIN896" s="8" t="s">
        <v>6152</v>
      </c>
      <c r="BMF896" s="8" t="s">
        <v>5525</v>
      </c>
      <c r="BVJ896" s="8" t="s">
        <v>5531</v>
      </c>
      <c r="BXF896" s="8" t="s">
        <v>5531</v>
      </c>
      <c r="DEH896" s="8" t="s">
        <v>449</v>
      </c>
      <c r="DJG896" s="8" t="s">
        <v>1111</v>
      </c>
      <c r="DJV896" s="8" t="s">
        <v>1111</v>
      </c>
      <c r="DLC896" s="8" t="s">
        <v>1111</v>
      </c>
      <c r="FHP896" s="8" t="s">
        <v>7183</v>
      </c>
    </row>
    <row r="897" spans="2:2 1352:2045 2050:3053 3080:3944 4297:4441 8651:8665">
      <c r="B897" s="10"/>
      <c r="BCL897" s="8" t="s">
        <v>450</v>
      </c>
      <c r="BDJ897" s="8" t="s">
        <v>450</v>
      </c>
      <c r="BEH897" s="8" t="s">
        <v>1112</v>
      </c>
      <c r="BGO897" s="8" t="s">
        <v>6929</v>
      </c>
      <c r="BIK897" s="8" t="s">
        <v>6484</v>
      </c>
      <c r="BKG897" s="8" t="s">
        <v>6153</v>
      </c>
      <c r="BNY897" s="8" t="s">
        <v>5526</v>
      </c>
      <c r="BVV897" s="8" t="s">
        <v>5532</v>
      </c>
      <c r="BXR897" s="8" t="s">
        <v>5532</v>
      </c>
      <c r="DFO897" s="8" t="s">
        <v>450</v>
      </c>
      <c r="DIS897" s="8" t="s">
        <v>450</v>
      </c>
      <c r="DJG897" s="8" t="s">
        <v>1112</v>
      </c>
      <c r="DKO897" s="8" t="s">
        <v>1112</v>
      </c>
      <c r="DLC897" s="8" t="s">
        <v>450</v>
      </c>
      <c r="DMK897" s="8" t="s">
        <v>1112</v>
      </c>
    </row>
    <row r="898" spans="2:2 1352:2045 2050:3053 3080:3944 4297:4441 8651:8665">
      <c r="B898" s="10"/>
      <c r="BDB898" s="8" t="s">
        <v>451</v>
      </c>
      <c r="BDZ898" s="8" t="s">
        <v>451</v>
      </c>
      <c r="BEX898" s="8" t="s">
        <v>1113</v>
      </c>
      <c r="BIH898" s="8" t="s">
        <v>6930</v>
      </c>
      <c r="BKD898" s="8" t="s">
        <v>6485</v>
      </c>
      <c r="BLZ898" s="8" t="s">
        <v>6154</v>
      </c>
      <c r="BPR898" s="8" t="s">
        <v>5527</v>
      </c>
      <c r="BXO898" s="8" t="s">
        <v>5533</v>
      </c>
      <c r="BZK898" s="8" t="s">
        <v>5533</v>
      </c>
      <c r="DGW898" s="8" t="s">
        <v>451</v>
      </c>
      <c r="DJZ898" s="8" t="s">
        <v>451</v>
      </c>
      <c r="DKO898" s="8" t="s">
        <v>1113</v>
      </c>
      <c r="DLV898" s="8" t="s">
        <v>1113</v>
      </c>
      <c r="DMK898" s="8" t="s">
        <v>451</v>
      </c>
      <c r="DNR898" s="8" t="s">
        <v>1113</v>
      </c>
    </row>
    <row r="899" spans="2:2 1352:2045 2050:3053 3080:3944 4297:4441 8651:8665">
      <c r="B899" s="10"/>
      <c r="BDS899" s="8" t="s">
        <v>452</v>
      </c>
      <c r="BEQ899" s="8" t="s">
        <v>452</v>
      </c>
      <c r="BFO899" s="8" t="s">
        <v>1114</v>
      </c>
      <c r="BKA899" s="8" t="s">
        <v>6931</v>
      </c>
      <c r="BLW899" s="8" t="s">
        <v>6486</v>
      </c>
      <c r="BNS899" s="8" t="s">
        <v>6155</v>
      </c>
      <c r="BRK899" s="8" t="s">
        <v>5528</v>
      </c>
      <c r="BZI899" s="8" t="s">
        <v>5534</v>
      </c>
      <c r="CBE899" s="8" t="s">
        <v>5534</v>
      </c>
      <c r="DHX899" s="8" t="s">
        <v>452</v>
      </c>
      <c r="DID899" s="8" t="s">
        <v>452</v>
      </c>
      <c r="DNR899" s="8" t="s">
        <v>452</v>
      </c>
      <c r="DRD899" s="8" t="s">
        <v>1114</v>
      </c>
      <c r="DSZ899" s="8" t="s">
        <v>1114</v>
      </c>
    </row>
    <row r="900" spans="2:2 1352:2045 2050:3053 3080:3944 4297:4441 8651:8665">
      <c r="B900" s="10"/>
      <c r="BGJ900" s="8" t="s">
        <v>453</v>
      </c>
      <c r="BHH900" s="8" t="s">
        <v>453</v>
      </c>
      <c r="BIF900" s="8" t="s">
        <v>1115</v>
      </c>
      <c r="BLT900" s="8" t="s">
        <v>6932</v>
      </c>
      <c r="BNP900" s="8" t="s">
        <v>6487</v>
      </c>
      <c r="BPL900" s="8" t="s">
        <v>6156</v>
      </c>
      <c r="BTD900" s="8" t="s">
        <v>5529</v>
      </c>
      <c r="BZV900" s="8" t="s">
        <v>5535</v>
      </c>
      <c r="CBR900" s="8" t="s">
        <v>5535</v>
      </c>
      <c r="CRH900" s="8" t="s">
        <v>1115</v>
      </c>
      <c r="CSK900" s="8" t="s">
        <v>453</v>
      </c>
      <c r="DNL900" s="8" t="s">
        <v>453</v>
      </c>
      <c r="DSZ900" s="8" t="s">
        <v>453</v>
      </c>
      <c r="ESV900" s="8" t="s">
        <v>1115</v>
      </c>
      <c r="EUR900" s="8" t="s">
        <v>1115</v>
      </c>
    </row>
    <row r="901" spans="2:2 1352:2045 2050:3053 3080:3944 4297:4441 8651:8665">
      <c r="B901" s="10"/>
      <c r="BNM901" s="8" t="s">
        <v>6933</v>
      </c>
      <c r="BPI901" s="8" t="s">
        <v>6488</v>
      </c>
      <c r="BRE901" s="8" t="s">
        <v>6157</v>
      </c>
      <c r="BUF901" s="8" t="s">
        <v>454</v>
      </c>
      <c r="BUW901" s="8" t="s">
        <v>5530</v>
      </c>
      <c r="BVD901" s="8" t="s">
        <v>454</v>
      </c>
      <c r="BWB901" s="8" t="s">
        <v>1116</v>
      </c>
      <c r="CBP901" s="8" t="s">
        <v>5536</v>
      </c>
      <c r="CDL901" s="8" t="s">
        <v>5536</v>
      </c>
      <c r="EBS901" s="8" t="s">
        <v>454</v>
      </c>
      <c r="ECF901" s="8" t="s">
        <v>1116</v>
      </c>
      <c r="EPD901" s="8" t="s">
        <v>454</v>
      </c>
      <c r="EUR901" s="8" t="s">
        <v>454</v>
      </c>
      <c r="FLY901" s="8" t="s">
        <v>1116</v>
      </c>
      <c r="FNU901" s="8" t="s">
        <v>1116</v>
      </c>
    </row>
    <row r="902" spans="2:2 1352:2045 2050:3053 3080:3944 4297:4441 8651:8665">
      <c r="B902" s="10"/>
      <c r="BNZ902" s="8" t="s">
        <v>6934</v>
      </c>
      <c r="BPV902" s="8" t="s">
        <v>6622</v>
      </c>
      <c r="BRR902" s="8" t="s">
        <v>6158</v>
      </c>
      <c r="BVJ902" s="8" t="s">
        <v>5531</v>
      </c>
      <c r="CDI902" s="8" t="s">
        <v>5537</v>
      </c>
      <c r="CDT902" s="8" t="s">
        <v>828</v>
      </c>
      <c r="CER902" s="8" t="s">
        <v>828</v>
      </c>
      <c r="CFE902" s="8" t="s">
        <v>5537</v>
      </c>
      <c r="CFP902" s="8" t="s">
        <v>1404</v>
      </c>
      <c r="FIG902" s="8" t="s">
        <v>828</v>
      </c>
      <c r="FNU902" s="8" t="s">
        <v>828</v>
      </c>
      <c r="LTS902" s="8" t="s">
        <v>828</v>
      </c>
      <c r="LUG902" s="8" t="s">
        <v>1404</v>
      </c>
    </row>
    <row r="903" spans="2:2 1352:2045 2050:3053 3080:3944 4297:4441 8651:8665">
      <c r="B903" s="10"/>
      <c r="BGB903" s="8" t="s">
        <v>429</v>
      </c>
      <c r="BOL903" s="8" t="s">
        <v>6935</v>
      </c>
      <c r="BQH903" s="8" t="s">
        <v>6489</v>
      </c>
      <c r="BSD903" s="8" t="s">
        <v>6159</v>
      </c>
      <c r="BVV903" s="8" t="s">
        <v>5532</v>
      </c>
      <c r="CEQ903" s="8" t="s">
        <v>5538</v>
      </c>
      <c r="CGM903" s="8" t="s">
        <v>5538</v>
      </c>
    </row>
    <row r="904" spans="2:2 1352:2045 2050:3053 3080:3944 4297:4441 8651:8665">
      <c r="B904" s="10"/>
      <c r="BEN904" s="8" t="s">
        <v>430</v>
      </c>
      <c r="BQE904" s="8" t="s">
        <v>6936</v>
      </c>
      <c r="BSA904" s="8" t="s">
        <v>6490</v>
      </c>
      <c r="BTW904" s="8" t="s">
        <v>6160</v>
      </c>
      <c r="BXO904" s="8" t="s">
        <v>5533</v>
      </c>
      <c r="CFC904" s="8" t="s">
        <v>5539</v>
      </c>
      <c r="CGY904" s="8" t="s">
        <v>5539</v>
      </c>
    </row>
    <row r="905" spans="2:2 1352:2045 2050:3053 3080:3944 4297:4441 8651:8665">
      <c r="B905" s="10"/>
      <c r="BKB905" s="8" t="s">
        <v>431</v>
      </c>
      <c r="BRY905" s="8" t="s">
        <v>6937</v>
      </c>
      <c r="BTU905" s="8" t="s">
        <v>6623</v>
      </c>
      <c r="BVQ905" s="8" t="s">
        <v>6161</v>
      </c>
      <c r="BZI905" s="8" t="s">
        <v>5534</v>
      </c>
      <c r="CGV905" s="8" t="s">
        <v>5540</v>
      </c>
      <c r="CIR905" s="8" t="s">
        <v>5540</v>
      </c>
    </row>
    <row r="906" spans="2:2 1352:2045 2050:3053 3080:3944 4297:4441 8651:8665">
      <c r="B906" s="10"/>
      <c r="BKB906" s="8" t="s">
        <v>432</v>
      </c>
      <c r="BSL906" s="8" t="s">
        <v>6938</v>
      </c>
      <c r="BUH906" s="8" t="s">
        <v>6491</v>
      </c>
      <c r="BWD906" s="8" t="s">
        <v>6162</v>
      </c>
      <c r="BZV906" s="8" t="s">
        <v>5535</v>
      </c>
      <c r="CIO906" s="8" t="s">
        <v>5541</v>
      </c>
      <c r="CKK906" s="8" t="s">
        <v>5541</v>
      </c>
    </row>
    <row r="907" spans="2:2 1352:2045 2050:3053 3080:3944 4297:4441 8651:8665">
      <c r="B907" s="10"/>
      <c r="AYZ907" s="8" t="s">
        <v>432</v>
      </c>
      <c r="BAV907" s="8" t="s">
        <v>432</v>
      </c>
      <c r="BPV907" s="8" t="s">
        <v>433</v>
      </c>
      <c r="BUF907" s="8" t="s">
        <v>6939</v>
      </c>
      <c r="BWB907" s="8" t="s">
        <v>6624</v>
      </c>
      <c r="BXX907" s="8" t="s">
        <v>6163</v>
      </c>
      <c r="CBP907" s="8" t="s">
        <v>5536</v>
      </c>
      <c r="CKH907" s="8" t="s">
        <v>5542</v>
      </c>
      <c r="CMD907" s="8" t="s">
        <v>5542</v>
      </c>
    </row>
    <row r="908" spans="2:2 1352:2045 2050:3053 3080:3944 4297:4441 8651:8665">
      <c r="B908" s="10"/>
      <c r="AYZ908" s="8" t="s">
        <v>428</v>
      </c>
      <c r="BAV908" s="8" t="s">
        <v>428</v>
      </c>
      <c r="BSR908" s="8" t="s">
        <v>434</v>
      </c>
      <c r="BVY908" s="8" t="s">
        <v>6940</v>
      </c>
      <c r="BXU908" s="8" t="s">
        <v>6625</v>
      </c>
      <c r="BZQ908" s="8" t="s">
        <v>6164</v>
      </c>
      <c r="CDI908" s="8" t="s">
        <v>5537</v>
      </c>
      <c r="CMB908" s="8" t="s">
        <v>5543</v>
      </c>
      <c r="CNX908" s="8" t="s">
        <v>5543</v>
      </c>
    </row>
    <row r="909" spans="2:2 1352:2045 2050:3053 3080:3944 4297:4441 8651:8665">
      <c r="B909" s="10"/>
      <c r="BBB909" s="8" t="s">
        <v>434</v>
      </c>
      <c r="BCX909" s="8" t="s">
        <v>434</v>
      </c>
      <c r="BET909" s="8" t="s">
        <v>434</v>
      </c>
      <c r="BGP909" s="8" t="s">
        <v>434</v>
      </c>
      <c r="BXG909" s="8" t="s">
        <v>6941</v>
      </c>
      <c r="BZC909" s="8" t="s">
        <v>6492</v>
      </c>
      <c r="CAY909" s="8" t="s">
        <v>6165</v>
      </c>
      <c r="CCQ909" s="8" t="s">
        <v>435</v>
      </c>
      <c r="CEQ909" s="8" t="s">
        <v>5538</v>
      </c>
      <c r="CNU909" s="8" t="s">
        <v>5544</v>
      </c>
      <c r="CPQ909" s="8" t="s">
        <v>5544</v>
      </c>
    </row>
    <row r="910" spans="2:2 1352:2045 2050:3053 3080:3944 4297:4441 8651:8665">
      <c r="B910" s="10"/>
      <c r="BAF910" s="8" t="s">
        <v>1737</v>
      </c>
      <c r="BDX910" s="8" t="s">
        <v>435</v>
      </c>
      <c r="BFT910" s="8" t="s">
        <v>435</v>
      </c>
      <c r="BHP910" s="8" t="s">
        <v>435</v>
      </c>
      <c r="BJL910" s="8" t="s">
        <v>435</v>
      </c>
      <c r="BXS910" s="8" t="s">
        <v>6942</v>
      </c>
      <c r="BZO910" s="8" t="s">
        <v>6493</v>
      </c>
      <c r="CBK910" s="8" t="s">
        <v>6166</v>
      </c>
      <c r="CFC910" s="8" t="s">
        <v>5539</v>
      </c>
      <c r="CGS910" s="8" t="s">
        <v>436</v>
      </c>
      <c r="CPN910" s="8" t="s">
        <v>5545</v>
      </c>
      <c r="CRJ910" s="8" t="s">
        <v>5545</v>
      </c>
    </row>
    <row r="911" spans="2:2 1352:2045 2050:3053 3080:3944 4297:4441 8651:8665">
      <c r="B911" s="10"/>
      <c r="BII911" s="8" t="s">
        <v>2178</v>
      </c>
      <c r="BKE911" s="8" t="s">
        <v>1738</v>
      </c>
      <c r="BNW911" s="8" t="s">
        <v>436</v>
      </c>
      <c r="BPS911" s="8" t="s">
        <v>436</v>
      </c>
      <c r="BRO911" s="8" t="s">
        <v>436</v>
      </c>
      <c r="BTK911" s="8" t="s">
        <v>436</v>
      </c>
      <c r="BZL911" s="8" t="s">
        <v>6943</v>
      </c>
      <c r="CBH911" s="8" t="s">
        <v>6494</v>
      </c>
      <c r="CDD911" s="8" t="s">
        <v>6167</v>
      </c>
      <c r="CGV911" s="8" t="s">
        <v>5540</v>
      </c>
      <c r="CHZ911" s="8" t="s">
        <v>437</v>
      </c>
      <c r="CRG911" s="8" t="s">
        <v>5546</v>
      </c>
      <c r="CTC911" s="8" t="s">
        <v>5546</v>
      </c>
    </row>
    <row r="912" spans="2:2 1352:2045 2050:3053 3080:3944 4297:4441 8651:8665">
      <c r="B912" s="10"/>
      <c r="BMK912" s="8" t="s">
        <v>2179</v>
      </c>
      <c r="BOG912" s="8" t="s">
        <v>1739</v>
      </c>
      <c r="BRY912" s="8" t="s">
        <v>437</v>
      </c>
      <c r="BTU912" s="8" t="s">
        <v>437</v>
      </c>
      <c r="BVQ912" s="8" t="s">
        <v>437</v>
      </c>
      <c r="BXM912" s="8" t="s">
        <v>437</v>
      </c>
      <c r="CBE912" s="8" t="s">
        <v>6944</v>
      </c>
      <c r="CDA912" s="8" t="s">
        <v>6495</v>
      </c>
      <c r="CEW912" s="8" t="s">
        <v>6168</v>
      </c>
      <c r="CIO912" s="8" t="s">
        <v>5541</v>
      </c>
      <c r="CJG912" s="8" t="s">
        <v>438</v>
      </c>
      <c r="CTA912" s="8" t="s">
        <v>5547</v>
      </c>
      <c r="CUW912" s="8" t="s">
        <v>5547</v>
      </c>
    </row>
    <row r="913" spans="2:2 1352:2045 2055:3053 3080:3992">
      <c r="B913" s="10"/>
      <c r="BEN913" s="8" t="s">
        <v>456</v>
      </c>
      <c r="BNR913" s="8" t="s">
        <v>2180</v>
      </c>
      <c r="BPN913" s="8" t="s">
        <v>1740</v>
      </c>
      <c r="BTF913" s="8" t="s">
        <v>438</v>
      </c>
      <c r="BVB913" s="8" t="s">
        <v>438</v>
      </c>
      <c r="BWX913" s="8" t="s">
        <v>438</v>
      </c>
      <c r="BYT913" s="8" t="s">
        <v>438</v>
      </c>
      <c r="CCX913" s="8" t="s">
        <v>6945</v>
      </c>
      <c r="CET913" s="8" t="s">
        <v>6496</v>
      </c>
      <c r="CGP913" s="8" t="s">
        <v>6169</v>
      </c>
      <c r="CKH913" s="8" t="s">
        <v>5542</v>
      </c>
      <c r="CKO913" s="8" t="s">
        <v>439</v>
      </c>
      <c r="CUT913" s="8" t="s">
        <v>5548</v>
      </c>
      <c r="CWP913" s="8" t="s">
        <v>5548</v>
      </c>
    </row>
    <row r="914" spans="2:2 1352:2045 2055:3053 3080:3992">
      <c r="B914" s="10"/>
      <c r="BKB914" s="8" t="s">
        <v>457</v>
      </c>
      <c r="BOY914" s="8" t="s">
        <v>2181</v>
      </c>
      <c r="BQU914" s="8" t="s">
        <v>1741</v>
      </c>
      <c r="BUM914" s="8" t="s">
        <v>439</v>
      </c>
      <c r="BWI914" s="8" t="s">
        <v>439</v>
      </c>
      <c r="BYE914" s="8" t="s">
        <v>439</v>
      </c>
      <c r="CAA914" s="8" t="s">
        <v>439</v>
      </c>
      <c r="CER914" s="8" t="s">
        <v>6946</v>
      </c>
      <c r="CGN914" s="8" t="s">
        <v>6497</v>
      </c>
      <c r="CIJ914" s="8" t="s">
        <v>6170</v>
      </c>
      <c r="CLV914" s="8" t="s">
        <v>440</v>
      </c>
      <c r="CMB914" s="8" t="s">
        <v>5543</v>
      </c>
      <c r="CWM914" s="8" t="s">
        <v>5549</v>
      </c>
      <c r="CYI914" s="8" t="s">
        <v>5549</v>
      </c>
    </row>
    <row r="915" spans="2:2 1352:2045 2055:3053 3080:3992">
      <c r="B915" s="10"/>
      <c r="BKB915" s="8" t="s">
        <v>458</v>
      </c>
      <c r="BQG915" s="8" t="s">
        <v>2182</v>
      </c>
      <c r="BSC915" s="8" t="s">
        <v>1742</v>
      </c>
      <c r="BVU915" s="8" t="s">
        <v>440</v>
      </c>
      <c r="BXQ915" s="8" t="s">
        <v>440</v>
      </c>
      <c r="BZM915" s="8" t="s">
        <v>440</v>
      </c>
      <c r="CBI915" s="8" t="s">
        <v>440</v>
      </c>
      <c r="CGK915" s="8" t="s">
        <v>6947</v>
      </c>
      <c r="CIG915" s="8" t="s">
        <v>6498</v>
      </c>
      <c r="CKC915" s="8" t="s">
        <v>6171</v>
      </c>
      <c r="CNC915" s="8" t="s">
        <v>441</v>
      </c>
      <c r="CNU915" s="8" t="s">
        <v>5544</v>
      </c>
      <c r="CYF915" s="8" t="s">
        <v>5550</v>
      </c>
      <c r="DAB915" s="8" t="s">
        <v>5550</v>
      </c>
    </row>
    <row r="916" spans="2:2 1352:2045 2055:3053 3080:3992">
      <c r="B916" s="10"/>
      <c r="BAO916" s="8" t="s">
        <v>4499</v>
      </c>
      <c r="BRL916" s="8" t="s">
        <v>459</v>
      </c>
      <c r="BRN916" s="8" t="s">
        <v>2183</v>
      </c>
      <c r="BTJ916" s="8" t="s">
        <v>1743</v>
      </c>
      <c r="BXB916" s="8" t="s">
        <v>441</v>
      </c>
      <c r="BYX916" s="8" t="s">
        <v>441</v>
      </c>
      <c r="CAT916" s="8" t="s">
        <v>441</v>
      </c>
      <c r="CCP916" s="8" t="s">
        <v>441</v>
      </c>
      <c r="CID916" s="8" t="s">
        <v>6948</v>
      </c>
      <c r="CJZ916" s="8" t="s">
        <v>6499</v>
      </c>
      <c r="CLV916" s="8" t="s">
        <v>6172</v>
      </c>
      <c r="COK916" s="8" t="s">
        <v>442</v>
      </c>
      <c r="CPN916" s="8" t="s">
        <v>5545</v>
      </c>
      <c r="CZY916" s="8" t="s">
        <v>5551</v>
      </c>
      <c r="DBU916" s="8" t="s">
        <v>5551</v>
      </c>
    </row>
    <row r="917" spans="2:2 1352:2045 2055:3053 3080:3992">
      <c r="B917" s="10"/>
      <c r="BAL917" s="8" t="s">
        <v>4805</v>
      </c>
      <c r="BCH917" s="8" t="s">
        <v>4500</v>
      </c>
      <c r="BSU917" s="8" t="s">
        <v>2184</v>
      </c>
      <c r="BUQ917" s="8" t="s">
        <v>1744</v>
      </c>
      <c r="BYI917" s="8" t="s">
        <v>442</v>
      </c>
      <c r="CAE917" s="8" t="s">
        <v>442</v>
      </c>
      <c r="CCA917" s="8" t="s">
        <v>442</v>
      </c>
      <c r="CDW917" s="8" t="s">
        <v>442</v>
      </c>
      <c r="CGF917" s="8" t="s">
        <v>460</v>
      </c>
      <c r="CJW917" s="8" t="s">
        <v>6949</v>
      </c>
      <c r="CLS917" s="8" t="s">
        <v>6500</v>
      </c>
      <c r="CNO917" s="8" t="s">
        <v>6173</v>
      </c>
      <c r="CPR917" s="8" t="s">
        <v>443</v>
      </c>
      <c r="CRG917" s="8" t="s">
        <v>5546</v>
      </c>
      <c r="DCO917" s="8" t="s">
        <v>5552</v>
      </c>
      <c r="DEK917" s="8" t="s">
        <v>5552</v>
      </c>
    </row>
    <row r="918" spans="2:2 1352:2045 2055:3053 3080:3992">
      <c r="B918" s="10"/>
      <c r="BCE918" s="8" t="s">
        <v>4806</v>
      </c>
      <c r="BEA918" s="8" t="s">
        <v>4501</v>
      </c>
      <c r="BUC918" s="8" t="s">
        <v>2185</v>
      </c>
      <c r="BVY918" s="8" t="s">
        <v>1745</v>
      </c>
      <c r="BZQ918" s="8" t="s">
        <v>443</v>
      </c>
      <c r="CBM918" s="8" t="s">
        <v>443</v>
      </c>
      <c r="CDI918" s="8" t="s">
        <v>443</v>
      </c>
      <c r="CFE918" s="8" t="s">
        <v>443</v>
      </c>
      <c r="CLQ918" s="8" t="s">
        <v>6950</v>
      </c>
      <c r="CNM918" s="8" t="s">
        <v>6501</v>
      </c>
      <c r="CPI918" s="8" t="s">
        <v>6174</v>
      </c>
      <c r="CRH918" s="8" t="s">
        <v>461</v>
      </c>
      <c r="CTA918" s="8" t="s">
        <v>5547</v>
      </c>
      <c r="CTD918" s="8" t="s">
        <v>444</v>
      </c>
      <c r="DHX918" s="8" t="s">
        <v>5553</v>
      </c>
      <c r="DJT918" s="8" t="s">
        <v>5553</v>
      </c>
    </row>
    <row r="919" spans="2:2 1352:2045 2055:3053 3080:3992">
      <c r="B919" s="10"/>
      <c r="AYZ919" s="8" t="s">
        <v>410</v>
      </c>
      <c r="BAV919" s="8" t="s">
        <v>410</v>
      </c>
      <c r="BFR919" s="8" t="s">
        <v>4949</v>
      </c>
      <c r="BHN919" s="8" t="s">
        <v>4502</v>
      </c>
      <c r="BVJ919" s="8" t="s">
        <v>2186</v>
      </c>
      <c r="BXF919" s="8" t="s">
        <v>1746</v>
      </c>
      <c r="CAX919" s="8" t="s">
        <v>444</v>
      </c>
      <c r="CCT919" s="8" t="s">
        <v>444</v>
      </c>
      <c r="CEP919" s="8" t="s">
        <v>444</v>
      </c>
      <c r="CGL919" s="8" t="s">
        <v>444</v>
      </c>
      <c r="CNJ919" s="8" t="s">
        <v>6951</v>
      </c>
      <c r="CPF919" s="8" t="s">
        <v>6502</v>
      </c>
      <c r="CRB919" s="8" t="s">
        <v>6175</v>
      </c>
      <c r="CUT919" s="8" t="s">
        <v>5548</v>
      </c>
      <c r="DFZ919" s="8" t="s">
        <v>445</v>
      </c>
      <c r="DJT919" s="8" t="s">
        <v>5554</v>
      </c>
      <c r="DLP919" s="8" t="s">
        <v>5554</v>
      </c>
      <c r="DNU919" s="8" t="s">
        <v>462</v>
      </c>
    </row>
    <row r="920" spans="2:2 1352:2045 2055:3053 3080:3992">
      <c r="B920" s="10"/>
      <c r="BCR920" s="8" t="s">
        <v>411</v>
      </c>
      <c r="BEN920" s="8" t="s">
        <v>411</v>
      </c>
      <c r="BHW920" s="8" t="s">
        <v>4807</v>
      </c>
      <c r="BJS920" s="8" t="s">
        <v>4503</v>
      </c>
      <c r="BYV920" s="8" t="s">
        <v>2187</v>
      </c>
      <c r="CAR920" s="8" t="s">
        <v>1747</v>
      </c>
      <c r="CEJ920" s="8" t="s">
        <v>445</v>
      </c>
      <c r="CGF920" s="8" t="s">
        <v>445</v>
      </c>
      <c r="CIB920" s="8" t="s">
        <v>445</v>
      </c>
      <c r="CJX920" s="8" t="s">
        <v>445</v>
      </c>
      <c r="CPC920" s="8" t="s">
        <v>6952</v>
      </c>
      <c r="CQY920" s="8" t="s">
        <v>6503</v>
      </c>
      <c r="CSU920" s="8" t="s">
        <v>6176</v>
      </c>
      <c r="CWM920" s="8" t="s">
        <v>5549</v>
      </c>
      <c r="DHG920" s="8" t="s">
        <v>446</v>
      </c>
      <c r="DLP920" s="8" t="s">
        <v>5555</v>
      </c>
      <c r="DNL920" s="8" t="s">
        <v>5555</v>
      </c>
    </row>
    <row r="921" spans="2:2 1352:2045 2055:3053 3080:3992">
      <c r="B921" s="10"/>
      <c r="BIF921" s="8" t="s">
        <v>412</v>
      </c>
      <c r="BIO921" s="8" t="s">
        <v>4808</v>
      </c>
      <c r="BKB921" s="8" t="s">
        <v>412</v>
      </c>
      <c r="BKK921" s="8" t="s">
        <v>4504</v>
      </c>
      <c r="CLR921" s="8" t="s">
        <v>2188</v>
      </c>
      <c r="CNN921" s="8" t="s">
        <v>1748</v>
      </c>
      <c r="CQV921" s="8" t="s">
        <v>6953</v>
      </c>
      <c r="CRF921" s="8" t="s">
        <v>446</v>
      </c>
      <c r="CSR921" s="8" t="s">
        <v>6504</v>
      </c>
      <c r="CTB921" s="8" t="s">
        <v>446</v>
      </c>
      <c r="CUN921" s="8" t="s">
        <v>6177</v>
      </c>
      <c r="CUX921" s="8" t="s">
        <v>446</v>
      </c>
      <c r="CWT921" s="8" t="s">
        <v>446</v>
      </c>
      <c r="CYF921" s="8" t="s">
        <v>5550</v>
      </c>
      <c r="DIO921" s="8" t="s">
        <v>447</v>
      </c>
      <c r="DNL921" s="8" t="s">
        <v>5556</v>
      </c>
      <c r="DPH921" s="8" t="s">
        <v>5556</v>
      </c>
    </row>
    <row r="922" spans="2:2 1352:2045 2055:3053 3080:3992">
      <c r="B922" s="10"/>
      <c r="BIF922" s="8" t="s">
        <v>413</v>
      </c>
      <c r="BKB922" s="8" t="s">
        <v>413</v>
      </c>
      <c r="BKI922" s="8" t="s">
        <v>4809</v>
      </c>
      <c r="BME922" s="8" t="s">
        <v>4505</v>
      </c>
      <c r="CMY922" s="8" t="s">
        <v>2189</v>
      </c>
      <c r="COU922" s="8" t="s">
        <v>1749</v>
      </c>
      <c r="CSM922" s="8" t="s">
        <v>447</v>
      </c>
      <c r="CSO922" s="8" t="s">
        <v>6954</v>
      </c>
      <c r="CUI922" s="8" t="s">
        <v>447</v>
      </c>
      <c r="CUK922" s="8" t="s">
        <v>6505</v>
      </c>
      <c r="CWE922" s="8" t="s">
        <v>447</v>
      </c>
      <c r="CWG922" s="8" t="s">
        <v>6178</v>
      </c>
      <c r="CYA922" s="8" t="s">
        <v>447</v>
      </c>
      <c r="CZY922" s="8" t="s">
        <v>5551</v>
      </c>
      <c r="DJV922" s="8" t="s">
        <v>448</v>
      </c>
      <c r="DRD922" s="8" t="s">
        <v>5557</v>
      </c>
      <c r="DSZ922" s="8" t="s">
        <v>5557</v>
      </c>
    </row>
    <row r="923" spans="2:2 1352:2045 2055:3053 3080:3992">
      <c r="B923" s="10"/>
      <c r="BKP923" s="8" t="s">
        <v>414</v>
      </c>
      <c r="BMB923" s="8" t="s">
        <v>4810</v>
      </c>
      <c r="BML923" s="8" t="s">
        <v>414</v>
      </c>
      <c r="BNX923" s="8" t="s">
        <v>4506</v>
      </c>
      <c r="COG923" s="8" t="s">
        <v>2190</v>
      </c>
      <c r="CQC923" s="8" t="s">
        <v>1750</v>
      </c>
      <c r="CTU923" s="8" t="s">
        <v>448</v>
      </c>
      <c r="CVE923" s="8" t="s">
        <v>6955</v>
      </c>
      <c r="CVQ923" s="8" t="s">
        <v>448</v>
      </c>
      <c r="CXA923" s="8" t="s">
        <v>6506</v>
      </c>
      <c r="CXM923" s="8" t="s">
        <v>448</v>
      </c>
      <c r="CYW923" s="8" t="s">
        <v>6179</v>
      </c>
      <c r="CZI923" s="8" t="s">
        <v>448</v>
      </c>
      <c r="DCO923" s="8" t="s">
        <v>5552</v>
      </c>
      <c r="DLC923" s="8" t="s">
        <v>449</v>
      </c>
      <c r="ECC923" s="8" t="s">
        <v>5558</v>
      </c>
      <c r="EDY923" s="8" t="s">
        <v>5558</v>
      </c>
    </row>
    <row r="924" spans="2:2 1352:2045 2055:3053 3080:3992">
      <c r="B924" s="10"/>
      <c r="BLX924" s="8" t="s">
        <v>415</v>
      </c>
      <c r="BNT924" s="8" t="s">
        <v>415</v>
      </c>
      <c r="BPO924" s="8" t="s">
        <v>4811</v>
      </c>
      <c r="BRK924" s="8" t="s">
        <v>4507</v>
      </c>
      <c r="CPN924" s="8" t="s">
        <v>2191</v>
      </c>
      <c r="CRJ924" s="8" t="s">
        <v>1751</v>
      </c>
      <c r="CVB924" s="8" t="s">
        <v>449</v>
      </c>
      <c r="CWX924" s="8" t="s">
        <v>449</v>
      </c>
      <c r="CYT924" s="8" t="s">
        <v>449</v>
      </c>
      <c r="DAN924" s="8" t="s">
        <v>6956</v>
      </c>
      <c r="DAP924" s="8" t="s">
        <v>449</v>
      </c>
      <c r="DCJ924" s="8" t="s">
        <v>6507</v>
      </c>
      <c r="DEF924" s="8" t="s">
        <v>6180</v>
      </c>
      <c r="DHX924" s="8" t="s">
        <v>5553</v>
      </c>
      <c r="DMK924" s="8" t="s">
        <v>450</v>
      </c>
      <c r="ELL924" s="8" t="s">
        <v>5559</v>
      </c>
      <c r="ENH924" s="8" t="s">
        <v>5559</v>
      </c>
    </row>
    <row r="925" spans="2:2 1352:2045 2055:3053 3080:3992">
      <c r="B925" s="10"/>
      <c r="BRH925" s="8" t="s">
        <v>4812</v>
      </c>
      <c r="BTD925" s="8" t="s">
        <v>4508</v>
      </c>
      <c r="BWZ925" s="8" t="s">
        <v>416</v>
      </c>
      <c r="BYV925" s="8" t="s">
        <v>416</v>
      </c>
      <c r="CQU925" s="8" t="s">
        <v>2192</v>
      </c>
      <c r="CSQ925" s="8" t="s">
        <v>1752</v>
      </c>
      <c r="CWI925" s="8" t="s">
        <v>450</v>
      </c>
      <c r="CYE925" s="8" t="s">
        <v>450</v>
      </c>
      <c r="DAA925" s="8" t="s">
        <v>450</v>
      </c>
      <c r="DBW925" s="8" t="s">
        <v>450</v>
      </c>
      <c r="DCJ925" s="8" t="s">
        <v>6957</v>
      </c>
      <c r="DEF925" s="8" t="s">
        <v>6508</v>
      </c>
      <c r="DGB925" s="8" t="s">
        <v>6181</v>
      </c>
      <c r="DJT925" s="8" t="s">
        <v>5554</v>
      </c>
      <c r="DNR925" s="8" t="s">
        <v>451</v>
      </c>
      <c r="ENH925" s="8" t="s">
        <v>5560</v>
      </c>
      <c r="EPD925" s="8" t="s">
        <v>5560</v>
      </c>
    </row>
    <row r="926" spans="2:2 1352:2045 2055:3053 3080:3992">
      <c r="B926" s="10"/>
      <c r="BCR926" s="8" t="s">
        <v>1117</v>
      </c>
      <c r="BEN926" s="8" t="s">
        <v>1117</v>
      </c>
      <c r="BTA926" s="8" t="s">
        <v>4813</v>
      </c>
      <c r="BUW926" s="8" t="s">
        <v>4509</v>
      </c>
      <c r="BYY926" s="8" t="s">
        <v>417</v>
      </c>
      <c r="CAU926" s="8" t="s">
        <v>417</v>
      </c>
      <c r="CSC926" s="8" t="s">
        <v>2193</v>
      </c>
      <c r="CTY926" s="8" t="s">
        <v>1753</v>
      </c>
      <c r="CXQ926" s="8" t="s">
        <v>451</v>
      </c>
      <c r="CZM926" s="8" t="s">
        <v>451</v>
      </c>
      <c r="DBI926" s="8" t="s">
        <v>451</v>
      </c>
      <c r="DDE926" s="8" t="s">
        <v>451</v>
      </c>
      <c r="DEF926" s="8" t="s">
        <v>6958</v>
      </c>
      <c r="DGB926" s="8" t="s">
        <v>6509</v>
      </c>
      <c r="DHX926" s="8" t="s">
        <v>6182</v>
      </c>
      <c r="DLP926" s="8" t="s">
        <v>5555</v>
      </c>
      <c r="DSZ926" s="8" t="s">
        <v>452</v>
      </c>
      <c r="EQZ926" s="8" t="s">
        <v>5561</v>
      </c>
      <c r="ESV926" s="8" t="s">
        <v>5561</v>
      </c>
    </row>
    <row r="927" spans="2:2 1352:2045 2055:3053 3080:3992">
      <c r="B927" s="10"/>
      <c r="AYZ927" s="8" t="s">
        <v>457</v>
      </c>
      <c r="BEN927" s="8" t="s">
        <v>457</v>
      </c>
      <c r="BIF927" s="8" t="s">
        <v>1118</v>
      </c>
      <c r="BKB927" s="8" t="s">
        <v>1118</v>
      </c>
      <c r="BUR927" s="8" t="s">
        <v>4950</v>
      </c>
      <c r="BWN927" s="8" t="s">
        <v>4510</v>
      </c>
      <c r="CFE927" s="8" t="s">
        <v>418</v>
      </c>
      <c r="CHA927" s="8" t="s">
        <v>418</v>
      </c>
      <c r="CTJ927" s="8" t="s">
        <v>2194</v>
      </c>
      <c r="CVF927" s="8" t="s">
        <v>1754</v>
      </c>
      <c r="CYX927" s="8" t="s">
        <v>452</v>
      </c>
      <c r="DAT927" s="8" t="s">
        <v>452</v>
      </c>
      <c r="DCP927" s="8" t="s">
        <v>452</v>
      </c>
      <c r="DEL927" s="8" t="s">
        <v>452</v>
      </c>
      <c r="DGB927" s="8" t="s">
        <v>6959</v>
      </c>
      <c r="DHX927" s="8" t="s">
        <v>6510</v>
      </c>
      <c r="DJT927" s="8" t="s">
        <v>6183</v>
      </c>
      <c r="DNL927" s="8" t="s">
        <v>5556</v>
      </c>
      <c r="ESV927" s="8" t="s">
        <v>5562</v>
      </c>
      <c r="EUR927" s="8" t="s">
        <v>5562</v>
      </c>
    </row>
    <row r="928" spans="2:2 1352:2045 2055:3053 3080:3992">
      <c r="B928" s="10"/>
      <c r="BEN928" s="8" t="s">
        <v>458</v>
      </c>
      <c r="BIF928" s="8" t="s">
        <v>1119</v>
      </c>
      <c r="BKB928" s="8" t="s">
        <v>1119</v>
      </c>
      <c r="BLK928" s="8" t="s">
        <v>458</v>
      </c>
      <c r="BVD928" s="8" t="s">
        <v>4814</v>
      </c>
      <c r="BWZ928" s="8" t="s">
        <v>4511</v>
      </c>
      <c r="CGL928" s="8" t="s">
        <v>419</v>
      </c>
      <c r="CIH928" s="8" t="s">
        <v>419</v>
      </c>
      <c r="CYR928" s="8" t="s">
        <v>2195</v>
      </c>
      <c r="DAN928" s="8" t="s">
        <v>1755</v>
      </c>
      <c r="DEF928" s="8" t="s">
        <v>453</v>
      </c>
      <c r="DGB928" s="8" t="s">
        <v>453</v>
      </c>
      <c r="DHX928" s="8" t="s">
        <v>453</v>
      </c>
      <c r="DJT928" s="8" t="s">
        <v>6960</v>
      </c>
      <c r="DLP928" s="8" t="s">
        <v>6511</v>
      </c>
      <c r="DNL928" s="8" t="s">
        <v>6184</v>
      </c>
      <c r="DRD928" s="8" t="s">
        <v>5557</v>
      </c>
      <c r="EUR928" s="8" t="s">
        <v>5563</v>
      </c>
      <c r="EWN928" s="8" t="s">
        <v>5563</v>
      </c>
    </row>
    <row r="929" spans="2:2 1352:2035 2072:3041 3089:4094 4105:4334 5977:6017">
      <c r="B929" s="10"/>
      <c r="BCR929" s="8" t="s">
        <v>1120</v>
      </c>
      <c r="BEN929" s="8" t="s">
        <v>459</v>
      </c>
      <c r="BKB929" s="8" t="s">
        <v>459</v>
      </c>
      <c r="BPP929" s="8" t="s">
        <v>1120</v>
      </c>
      <c r="BRL929" s="8" t="s">
        <v>1120</v>
      </c>
      <c r="BWX929" s="8" t="s">
        <v>4815</v>
      </c>
      <c r="BYT929" s="8" t="s">
        <v>4512</v>
      </c>
      <c r="CKX929" s="8" t="s">
        <v>420</v>
      </c>
      <c r="CMT929" s="8" t="s">
        <v>420</v>
      </c>
      <c r="DUS929" s="8" t="s">
        <v>6961</v>
      </c>
      <c r="DWO929" s="8" t="s">
        <v>6512</v>
      </c>
      <c r="DYK929" s="8" t="s">
        <v>6185</v>
      </c>
      <c r="EAJ929" s="8" t="s">
        <v>2196</v>
      </c>
      <c r="ECC929" s="8" t="s">
        <v>5558</v>
      </c>
      <c r="ECF929" s="8" t="s">
        <v>1756</v>
      </c>
      <c r="EFX929" s="8" t="s">
        <v>454</v>
      </c>
      <c r="EHT929" s="8" t="s">
        <v>454</v>
      </c>
      <c r="EJP929" s="8" t="s">
        <v>454</v>
      </c>
      <c r="ELL929" s="8" t="s">
        <v>454</v>
      </c>
      <c r="EWN929" s="8" t="s">
        <v>5564</v>
      </c>
      <c r="EYJ929" s="8" t="s">
        <v>5564</v>
      </c>
    </row>
    <row r="930" spans="2:2 1352:2035 2072:3041 3089:4094 4105:4334 5977:6017">
      <c r="B930" s="10"/>
      <c r="BBO930" s="8" t="s">
        <v>460</v>
      </c>
      <c r="BCR930" s="8" t="s">
        <v>1121</v>
      </c>
      <c r="BLX930" s="8" t="s">
        <v>460</v>
      </c>
      <c r="BRL930" s="8" t="s">
        <v>460</v>
      </c>
      <c r="BWZ930" s="8" t="s">
        <v>4951</v>
      </c>
      <c r="BYV930" s="8" t="s">
        <v>4513</v>
      </c>
      <c r="CEJ930" s="8" t="s">
        <v>1121</v>
      </c>
      <c r="CGF930" s="8" t="s">
        <v>1121</v>
      </c>
      <c r="CWV930" s="8" t="s">
        <v>1465</v>
      </c>
      <c r="CYR930" s="8" t="s">
        <v>1465</v>
      </c>
      <c r="EEB930" s="8" t="s">
        <v>6962</v>
      </c>
      <c r="EFX930" s="8" t="s">
        <v>6513</v>
      </c>
      <c r="EHT930" s="8" t="s">
        <v>6186</v>
      </c>
      <c r="ELL930" s="8" t="s">
        <v>5559</v>
      </c>
      <c r="ETM930" s="8" t="s">
        <v>2197</v>
      </c>
      <c r="EVI930" s="8" t="s">
        <v>1757</v>
      </c>
      <c r="EZA930" s="8" t="s">
        <v>828</v>
      </c>
      <c r="FAF930" s="8" t="s">
        <v>5565</v>
      </c>
      <c r="FAW930" s="8" t="s">
        <v>828</v>
      </c>
      <c r="FCB930" s="8" t="s">
        <v>5565</v>
      </c>
      <c r="FCS930" s="8" t="s">
        <v>828</v>
      </c>
      <c r="FEO930" s="8" t="s">
        <v>828</v>
      </c>
    </row>
    <row r="931" spans="2:2 1352:2035 2072:3041 3089:4094 4105:4334 5977:6017">
      <c r="B931" s="10"/>
      <c r="BVD931" s="8" t="s">
        <v>1122</v>
      </c>
      <c r="BVR931" s="8" t="s">
        <v>461</v>
      </c>
      <c r="BXK931" s="8" t="s">
        <v>4816</v>
      </c>
      <c r="BZG931" s="8" t="s">
        <v>4514</v>
      </c>
      <c r="CAR931" s="8" t="s">
        <v>461</v>
      </c>
      <c r="CGF931" s="8" t="s">
        <v>461</v>
      </c>
      <c r="CPL931" s="8" t="s">
        <v>1122</v>
      </c>
      <c r="CRH931" s="8" t="s">
        <v>1122</v>
      </c>
      <c r="DAP931" s="8" t="s">
        <v>421</v>
      </c>
      <c r="DCL931" s="8" t="s">
        <v>421</v>
      </c>
      <c r="EFX931" s="8" t="s">
        <v>6963</v>
      </c>
      <c r="EHT931" s="8" t="s">
        <v>6514</v>
      </c>
      <c r="EJP931" s="8" t="s">
        <v>6187</v>
      </c>
      <c r="ENH931" s="8" t="s">
        <v>5560</v>
      </c>
      <c r="EUT931" s="8" t="s">
        <v>2198</v>
      </c>
      <c r="EWP931" s="8" t="s">
        <v>1758</v>
      </c>
      <c r="FAH931" s="8" t="s">
        <v>1467</v>
      </c>
      <c r="FCB931" s="8" t="s">
        <v>5566</v>
      </c>
      <c r="FCD931" s="8" t="s">
        <v>1467</v>
      </c>
      <c r="FDX931" s="8" t="s">
        <v>5566</v>
      </c>
      <c r="FDZ931" s="8" t="s">
        <v>1467</v>
      </c>
      <c r="FFV931" s="8" t="s">
        <v>1467</v>
      </c>
    </row>
    <row r="932" spans="2:2 1352:2035 2072:3041 3089:4094 4105:4334 5977:6017">
      <c r="B932" s="10"/>
      <c r="BVD932" s="8" t="s">
        <v>1123</v>
      </c>
      <c r="BVQ932" s="8" t="s">
        <v>462</v>
      </c>
      <c r="BYV932" s="8" t="s">
        <v>4952</v>
      </c>
      <c r="CAR932" s="8" t="s">
        <v>4515</v>
      </c>
      <c r="CLT932" s="8" t="s">
        <v>462</v>
      </c>
      <c r="CRH932" s="8" t="s">
        <v>462</v>
      </c>
      <c r="DBW932" s="8" t="s">
        <v>422</v>
      </c>
      <c r="DDS932" s="8" t="s">
        <v>422</v>
      </c>
      <c r="DLY932" s="8" t="s">
        <v>1123</v>
      </c>
      <c r="DNU932" s="8" t="s">
        <v>1123</v>
      </c>
      <c r="EJP932" s="8" t="s">
        <v>6964</v>
      </c>
      <c r="ELL932" s="8" t="s">
        <v>6515</v>
      </c>
      <c r="ENH932" s="8" t="s">
        <v>6188</v>
      </c>
      <c r="EQZ932" s="8" t="s">
        <v>5561</v>
      </c>
      <c r="EWA932" s="8" t="s">
        <v>2199</v>
      </c>
      <c r="EXW932" s="8" t="s">
        <v>1759</v>
      </c>
      <c r="FBO932" s="8" t="s">
        <v>1468</v>
      </c>
      <c r="FDK932" s="8" t="s">
        <v>1468</v>
      </c>
      <c r="FFG932" s="8" t="s">
        <v>1468</v>
      </c>
      <c r="FFT932" s="8" t="s">
        <v>5567</v>
      </c>
      <c r="FHC932" s="8" t="s">
        <v>1468</v>
      </c>
      <c r="FHP932" s="8" t="s">
        <v>5567</v>
      </c>
    </row>
    <row r="933" spans="2:2 1352:2035 2072:3041 3089:4094 4105:4334 5977:6017">
      <c r="B933" s="10"/>
      <c r="BDT933" s="8" t="s">
        <v>463</v>
      </c>
      <c r="BER933" s="8" t="s">
        <v>463</v>
      </c>
      <c r="BFP933" s="8" t="s">
        <v>1405</v>
      </c>
      <c r="BYV933" s="8" t="s">
        <v>4817</v>
      </c>
      <c r="CAR933" s="8" t="s">
        <v>4516</v>
      </c>
      <c r="DDE933" s="8" t="s">
        <v>423</v>
      </c>
      <c r="DFA933" s="8" t="s">
        <v>423</v>
      </c>
      <c r="DIG933" s="8" t="s">
        <v>463</v>
      </c>
      <c r="DNU933" s="8" t="s">
        <v>463</v>
      </c>
      <c r="ELL933" s="8" t="s">
        <v>6965</v>
      </c>
      <c r="ENH933" s="8" t="s">
        <v>6516</v>
      </c>
      <c r="EPD933" s="8" t="s">
        <v>6189</v>
      </c>
      <c r="ESV933" s="8" t="s">
        <v>5562</v>
      </c>
      <c r="EXI933" s="8" t="s">
        <v>2200</v>
      </c>
      <c r="EZE933" s="8" t="s">
        <v>1760</v>
      </c>
      <c r="FCW933" s="8" t="s">
        <v>1469</v>
      </c>
      <c r="FES933" s="8" t="s">
        <v>1469</v>
      </c>
      <c r="FGO933" s="8" t="s">
        <v>1469</v>
      </c>
      <c r="FHP933" s="8" t="s">
        <v>5568</v>
      </c>
      <c r="FIK933" s="8" t="s">
        <v>1469</v>
      </c>
      <c r="FJL933" s="8" t="s">
        <v>5568</v>
      </c>
      <c r="HUW933" s="8" t="s">
        <v>463</v>
      </c>
      <c r="HWK933" s="8" t="s">
        <v>1405</v>
      </c>
    </row>
    <row r="934" spans="2:2 1352:2035 2072:3041 3089:4094 4105:4334 5977:6017">
      <c r="B934" s="10"/>
      <c r="BYV934" s="8" t="s">
        <v>4818</v>
      </c>
      <c r="CAR934" s="8" t="s">
        <v>4517</v>
      </c>
      <c r="DEL934" s="8" t="s">
        <v>424</v>
      </c>
      <c r="DGH934" s="8" t="s">
        <v>424</v>
      </c>
      <c r="ENH934" s="8" t="s">
        <v>6966</v>
      </c>
      <c r="EPD934" s="8" t="s">
        <v>6517</v>
      </c>
      <c r="EQZ934" s="8" t="s">
        <v>6190</v>
      </c>
      <c r="EUR934" s="8" t="s">
        <v>5563</v>
      </c>
      <c r="EWN934" s="8" t="s">
        <v>2201</v>
      </c>
      <c r="EYJ934" s="8" t="s">
        <v>1761</v>
      </c>
      <c r="FCB934" s="8" t="s">
        <v>1470</v>
      </c>
      <c r="FDX934" s="8" t="s">
        <v>1470</v>
      </c>
      <c r="FFT934" s="8" t="s">
        <v>1470</v>
      </c>
      <c r="FHP934" s="8" t="s">
        <v>1470</v>
      </c>
    </row>
    <row r="935" spans="2:2 1352:2035 2072:3041 3089:4094 4105:4334 5977:6017">
      <c r="B935" s="10"/>
      <c r="CCN935" s="8" t="s">
        <v>4953</v>
      </c>
      <c r="CEJ935" s="8" t="s">
        <v>4518</v>
      </c>
      <c r="DEI935" s="8" t="s">
        <v>425</v>
      </c>
      <c r="DGE935" s="8" t="s">
        <v>425</v>
      </c>
      <c r="EPD935" s="8" t="s">
        <v>6967</v>
      </c>
      <c r="EQZ935" s="8" t="s">
        <v>6518</v>
      </c>
      <c r="ESV935" s="8" t="s">
        <v>6191</v>
      </c>
      <c r="EWN935" s="8" t="s">
        <v>5564</v>
      </c>
      <c r="EYP935" s="8" t="s">
        <v>2202</v>
      </c>
      <c r="FAL935" s="8" t="s">
        <v>1762</v>
      </c>
      <c r="FED935" s="8" t="s">
        <v>1471</v>
      </c>
      <c r="FFZ935" s="8" t="s">
        <v>1471</v>
      </c>
      <c r="FHV935" s="8" t="s">
        <v>1471</v>
      </c>
      <c r="FJR935" s="8" t="s">
        <v>1471</v>
      </c>
    </row>
    <row r="936" spans="2:2 1352:2035 2072:3041 3089:4094 4105:4334 5977:6017">
      <c r="B936" s="10"/>
      <c r="CGF936" s="8" t="s">
        <v>4819</v>
      </c>
      <c r="CIB936" s="8" t="s">
        <v>4519</v>
      </c>
      <c r="DJT936" s="8" t="s">
        <v>1466</v>
      </c>
      <c r="DLP936" s="8" t="s">
        <v>1466</v>
      </c>
      <c r="ESV936" s="8" t="s">
        <v>6968</v>
      </c>
      <c r="EUR936" s="8" t="s">
        <v>6519</v>
      </c>
      <c r="EWN936" s="8" t="s">
        <v>6192</v>
      </c>
      <c r="FAF936" s="8" t="s">
        <v>5565</v>
      </c>
    </row>
    <row r="937" spans="2:2 1352:2035 2072:3041 3089:4094 4105:4334 5977:6017">
      <c r="B937" s="10"/>
      <c r="AYZ937" s="8" t="s">
        <v>6972</v>
      </c>
      <c r="CIB937" s="8" t="s">
        <v>4820</v>
      </c>
      <c r="CJX937" s="8" t="s">
        <v>4520</v>
      </c>
      <c r="ECI937" s="8" t="s">
        <v>426</v>
      </c>
      <c r="EEE937" s="8" t="s">
        <v>426</v>
      </c>
      <c r="EUR937" s="8" t="s">
        <v>6969</v>
      </c>
      <c r="EWN937" s="8" t="s">
        <v>6520</v>
      </c>
      <c r="EYJ937" s="8" t="s">
        <v>6193</v>
      </c>
      <c r="FCB937" s="8" t="s">
        <v>5566</v>
      </c>
    </row>
    <row r="938" spans="2:2 1352:2035 2072:3041 3089:4094 4105:4334 5977:6017">
      <c r="B938" s="10"/>
      <c r="BGJ938" s="8" t="s">
        <v>6973</v>
      </c>
      <c r="CJX938" s="8" t="s">
        <v>4821</v>
      </c>
      <c r="CLT938" s="8" t="s">
        <v>4521</v>
      </c>
      <c r="EGA938" s="8" t="s">
        <v>427</v>
      </c>
      <c r="EHW938" s="8" t="s">
        <v>427</v>
      </c>
      <c r="EYJ938" s="8" t="s">
        <v>6970</v>
      </c>
      <c r="FAF938" s="8" t="s">
        <v>6521</v>
      </c>
      <c r="FCB938" s="8" t="s">
        <v>6194</v>
      </c>
      <c r="FFT938" s="8" t="s">
        <v>5567</v>
      </c>
    </row>
    <row r="939" spans="2:2 1352:2035 2072:3041 3089:4094 4105:4334 5977:6017">
      <c r="B939" s="10"/>
      <c r="BIF939" s="8" t="s">
        <v>6974</v>
      </c>
      <c r="CJX939" s="8" t="s">
        <v>4822</v>
      </c>
      <c r="CLT939" s="8" t="s">
        <v>4522</v>
      </c>
      <c r="FAF939" s="8" t="s">
        <v>6971</v>
      </c>
      <c r="FCB939" s="8" t="s">
        <v>6522</v>
      </c>
      <c r="FDX939" s="8" t="s">
        <v>6195</v>
      </c>
      <c r="FHP939" s="8" t="s">
        <v>5568</v>
      </c>
    </row>
    <row r="940" spans="2:2 1352:2035 2072:3041 3089:4094 4105:4334 5977:6017">
      <c r="B940" s="10"/>
      <c r="BKB940" s="8" t="s">
        <v>6975</v>
      </c>
      <c r="CLT940" s="8" t="s">
        <v>4823</v>
      </c>
      <c r="CNP940" s="8" t="s">
        <v>4523</v>
      </c>
    </row>
    <row r="941" spans="2:2 1352:2035 2072:3041 3089:4094 4105:4334 5977:6017">
      <c r="B941" s="10"/>
      <c r="BMT941" s="8" t="s">
        <v>6976</v>
      </c>
      <c r="CTD941" s="8" t="s">
        <v>4824</v>
      </c>
      <c r="CUZ941" s="8" t="s">
        <v>4524</v>
      </c>
    </row>
    <row r="942" spans="2:2 1352:2035 2072:3041 3089:4094 4105:4334 5977:6017">
      <c r="B942" s="10"/>
      <c r="BTD942" s="8" t="s">
        <v>7184</v>
      </c>
      <c r="CUZ942" s="8" t="s">
        <v>4825</v>
      </c>
      <c r="CWV942" s="8" t="s">
        <v>4525</v>
      </c>
    </row>
    <row r="943" spans="2:2 1352:2035 2072:3041 3089:4094 4105:4334 5977:6017">
      <c r="B943" s="10"/>
      <c r="BVD943" s="8" t="s">
        <v>6977</v>
      </c>
      <c r="CUY943" s="8" t="s">
        <v>4826</v>
      </c>
      <c r="CWU943" s="8" t="s">
        <v>4526</v>
      </c>
    </row>
    <row r="944" spans="2:2 1352:2035 2072:3041 3089:4094 4105:4334 5977:6017">
      <c r="B944" s="10"/>
      <c r="BVD944" s="8" t="s">
        <v>6978</v>
      </c>
      <c r="CWV944" s="8" t="s">
        <v>4827</v>
      </c>
      <c r="CYR944" s="8" t="s">
        <v>4527</v>
      </c>
    </row>
    <row r="945" spans="2:2 1496:2024 2072:3032 3080:4088">
      <c r="B945" s="10"/>
      <c r="BVD945" s="8" t="s">
        <v>6979</v>
      </c>
      <c r="CYR945" s="8" t="s">
        <v>4828</v>
      </c>
      <c r="DAN945" s="8" t="s">
        <v>4528</v>
      </c>
    </row>
    <row r="946" spans="2:2 1496:2024 2072:3032 3080:4088">
      <c r="B946" s="10"/>
      <c r="BVD946" s="8" t="s">
        <v>6980</v>
      </c>
      <c r="DCJ946" s="8" t="s">
        <v>4829</v>
      </c>
      <c r="DEF946" s="8" t="s">
        <v>4529</v>
      </c>
    </row>
    <row r="947" spans="2:2 1496:2024 2072:3032 3080:4088">
      <c r="B947" s="10"/>
      <c r="BVD947" s="8" t="s">
        <v>6981</v>
      </c>
      <c r="DGG947" s="8" t="s">
        <v>4830</v>
      </c>
      <c r="DIC947" s="8" t="s">
        <v>4530</v>
      </c>
    </row>
    <row r="948" spans="2:2 1496:2024 2072:3032 3080:4088">
      <c r="B948" s="10"/>
      <c r="BWZ948" s="8" t="s">
        <v>6982</v>
      </c>
      <c r="DHX948" s="8" t="s">
        <v>4831</v>
      </c>
      <c r="DJT948" s="8" t="s">
        <v>4531</v>
      </c>
    </row>
    <row r="949" spans="2:2 1496:2024 2072:3032 3080:4088">
      <c r="B949" s="10"/>
      <c r="BEN949" s="8" t="s">
        <v>464</v>
      </c>
      <c r="BYV949" s="8" t="s">
        <v>6983</v>
      </c>
      <c r="DLP949" s="8" t="s">
        <v>4832</v>
      </c>
      <c r="DNL949" s="8" t="s">
        <v>4532</v>
      </c>
    </row>
    <row r="950" spans="2:2 1496:2024 2072:3032 3080:4088">
      <c r="B950" s="10"/>
      <c r="BEN950" s="8" t="s">
        <v>465</v>
      </c>
      <c r="BYV950" s="8" t="s">
        <v>6984</v>
      </c>
      <c r="DNL950" s="8" t="s">
        <v>4833</v>
      </c>
      <c r="DPH950" s="8" t="s">
        <v>4533</v>
      </c>
    </row>
    <row r="951" spans="2:2 1496:2024 2072:3032 3080:4088">
      <c r="B951" s="10"/>
      <c r="BEQ951" s="8" t="s">
        <v>466</v>
      </c>
      <c r="CAR951" s="8" t="s">
        <v>6985</v>
      </c>
      <c r="DPH951" s="8" t="s">
        <v>4834</v>
      </c>
      <c r="DRD951" s="8" t="s">
        <v>4534</v>
      </c>
    </row>
    <row r="952" spans="2:2 1496:2024 2072:3032 3080:4088">
      <c r="B952" s="10"/>
      <c r="BGJ952" s="8" t="s">
        <v>467</v>
      </c>
      <c r="CCN952" s="8" t="s">
        <v>6986</v>
      </c>
      <c r="DRD952" s="8" t="s">
        <v>4835</v>
      </c>
      <c r="DSZ952" s="8" t="s">
        <v>4535</v>
      </c>
    </row>
    <row r="953" spans="2:2 1496:2024 2072:3032 3080:4088">
      <c r="B953" s="10"/>
      <c r="BOV953" s="8" t="s">
        <v>468</v>
      </c>
      <c r="CLT953" s="8" t="s">
        <v>6987</v>
      </c>
      <c r="DUV953" s="8" t="s">
        <v>4836</v>
      </c>
      <c r="DWR953" s="8" t="s">
        <v>4536</v>
      </c>
    </row>
    <row r="954" spans="2:2 1496:2024 2072:3032 3080:4088">
      <c r="B954" s="10"/>
      <c r="BPP954" s="8" t="s">
        <v>469</v>
      </c>
      <c r="CNP954" s="8" t="s">
        <v>6988</v>
      </c>
      <c r="EFU954" s="8" t="s">
        <v>4837</v>
      </c>
      <c r="EHQ954" s="8" t="s">
        <v>4537</v>
      </c>
    </row>
    <row r="955" spans="2:2 1496:2024 2072:3032 3080:4088">
      <c r="B955" s="10"/>
      <c r="BEN955" s="8" t="s">
        <v>456</v>
      </c>
      <c r="BRF955" s="8" t="s">
        <v>470</v>
      </c>
      <c r="DAN955" s="8" t="s">
        <v>6989</v>
      </c>
      <c r="EPD955" s="8" t="s">
        <v>4838</v>
      </c>
      <c r="EQZ955" s="8" t="s">
        <v>4538</v>
      </c>
    </row>
    <row r="956" spans="2:2 1496:2024 2072:3032 3080:4088">
      <c r="B956" s="10"/>
      <c r="BKB956" s="8" t="s">
        <v>457</v>
      </c>
      <c r="CEJ956" s="8" t="s">
        <v>471</v>
      </c>
      <c r="DLP956" s="8" t="s">
        <v>6990</v>
      </c>
      <c r="EQZ956" s="8" t="s">
        <v>4839</v>
      </c>
      <c r="ESV956" s="8" t="s">
        <v>4539</v>
      </c>
    </row>
    <row r="957" spans="2:2 1496:2024 2072:3032 3080:4088">
      <c r="B957" s="10"/>
      <c r="BKB957" s="8" t="s">
        <v>458</v>
      </c>
      <c r="CUZ957" s="8" t="s">
        <v>472</v>
      </c>
      <c r="DPH957" s="8" t="s">
        <v>6991</v>
      </c>
      <c r="ETA957" s="8" t="s">
        <v>4840</v>
      </c>
      <c r="EUW957" s="8" t="s">
        <v>4540</v>
      </c>
    </row>
    <row r="958" spans="2:2 1496:2024 2072:3032 3080:4088">
      <c r="B958" s="10"/>
      <c r="BRL958" s="8" t="s">
        <v>459</v>
      </c>
      <c r="DIA958" s="8" t="s">
        <v>473</v>
      </c>
      <c r="DVR958" s="8" t="s">
        <v>7185</v>
      </c>
      <c r="EUR958" s="8" t="s">
        <v>4841</v>
      </c>
      <c r="EWN958" s="8" t="s">
        <v>4541</v>
      </c>
    </row>
    <row r="959" spans="2:2 1496:2024 2072:3032 3080:4088">
      <c r="B959" s="10"/>
      <c r="CGF959" s="8" t="s">
        <v>460</v>
      </c>
      <c r="DPK959" s="8" t="s">
        <v>474</v>
      </c>
      <c r="DWR959" s="8" t="s">
        <v>6992</v>
      </c>
      <c r="EWN959" s="8" t="s">
        <v>4842</v>
      </c>
      <c r="EYJ959" s="8" t="s">
        <v>4542</v>
      </c>
    </row>
    <row r="960" spans="2:2 1496:2024 2072:3032 3080:4088">
      <c r="B960" s="10"/>
      <c r="CRH960" s="8" t="s">
        <v>461</v>
      </c>
      <c r="DUV960" s="8" t="s">
        <v>475</v>
      </c>
      <c r="EYJ960" s="8" t="s">
        <v>4843</v>
      </c>
      <c r="FAF960" s="8" t="s">
        <v>4543</v>
      </c>
    </row>
    <row r="961" spans="2:2 1350:2024 2120:3032 3083:4088 4136:4376 7100:7115">
      <c r="B961" s="10"/>
      <c r="DNU961" s="8" t="s">
        <v>462</v>
      </c>
      <c r="EEE961" s="8" t="s">
        <v>476</v>
      </c>
      <c r="FAF961" s="8" t="s">
        <v>4844</v>
      </c>
      <c r="FCB961" s="8" t="s">
        <v>4544</v>
      </c>
    </row>
    <row r="962" spans="2:2 1350:2024 2120:3032 3083:4088 4136:4376 7100:7115">
      <c r="B962" s="10"/>
      <c r="BCR962" s="8" t="s">
        <v>1124</v>
      </c>
      <c r="BEN962" s="8" t="s">
        <v>1124</v>
      </c>
      <c r="EYJ962" s="8" t="s">
        <v>463</v>
      </c>
      <c r="FDX962" s="8" t="s">
        <v>4845</v>
      </c>
      <c r="FFT962" s="8" t="s">
        <v>4545</v>
      </c>
    </row>
    <row r="963" spans="2:2 1350:2024 2120:3032 3083:4088 4136:4376 7100:7115">
      <c r="B963" s="10"/>
      <c r="AYZ963" s="8" t="s">
        <v>465</v>
      </c>
      <c r="BCR963" s="8" t="s">
        <v>1125</v>
      </c>
      <c r="BEN963" s="8" t="s">
        <v>1125</v>
      </c>
      <c r="FFT963" s="8" t="s">
        <v>4846</v>
      </c>
      <c r="FHP963" s="8" t="s">
        <v>4546</v>
      </c>
    </row>
    <row r="964" spans="2:2 1350:2024 2120:3032 3083:4088 4136:4376 7100:7115">
      <c r="B964" s="10"/>
      <c r="AYZ964" s="8" t="s">
        <v>466</v>
      </c>
      <c r="BCU964" s="8" t="s">
        <v>1126</v>
      </c>
      <c r="BEN964" s="8" t="s">
        <v>1126</v>
      </c>
      <c r="BEQ964" s="8" t="s">
        <v>1126</v>
      </c>
      <c r="BFK964" s="8" t="s">
        <v>466</v>
      </c>
      <c r="FHU964" s="8" t="s">
        <v>4847</v>
      </c>
      <c r="FJQ964" s="8" t="s">
        <v>4547</v>
      </c>
    </row>
    <row r="965" spans="2:2 1350:2024 2120:3032 3083:4088 4136:4376 7100:7115">
      <c r="B965" s="10"/>
      <c r="AZC965" s="8" t="s">
        <v>467</v>
      </c>
      <c r="BCU965" s="8" t="s">
        <v>1127</v>
      </c>
      <c r="BDH965" s="8" t="s">
        <v>467</v>
      </c>
      <c r="BEN965" s="8" t="s">
        <v>1127</v>
      </c>
      <c r="BEQ965" s="8" t="s">
        <v>467</v>
      </c>
      <c r="BGJ965" s="8" t="s">
        <v>1127</v>
      </c>
      <c r="FJL965" s="8" t="s">
        <v>4848</v>
      </c>
      <c r="FLH965" s="8" t="s">
        <v>4548</v>
      </c>
    </row>
    <row r="966" spans="2:2 1350:2024 2120:3032 3083:4088 4136:4376 7100:7115">
      <c r="B966" s="10"/>
      <c r="AYZ966" s="8" t="s">
        <v>1128</v>
      </c>
      <c r="BAV966" s="8" t="s">
        <v>468</v>
      </c>
      <c r="BGJ966" s="8" t="s">
        <v>468</v>
      </c>
      <c r="BMZ966" s="8" t="s">
        <v>1128</v>
      </c>
      <c r="BOV966" s="8" t="s">
        <v>1128</v>
      </c>
    </row>
    <row r="967" spans="2:2 1350:2024 2120:3032 3083:4088 4136:4376 7100:7115">
      <c r="B967" s="10"/>
      <c r="BJH967" s="8" t="s">
        <v>469</v>
      </c>
      <c r="BMR967" s="8" t="s">
        <v>469</v>
      </c>
      <c r="BMZ967" s="8" t="s">
        <v>1129</v>
      </c>
      <c r="BNT967" s="8" t="s">
        <v>1129</v>
      </c>
      <c r="BOV967" s="8" t="s">
        <v>469</v>
      </c>
      <c r="BPP967" s="8" t="s">
        <v>1129</v>
      </c>
    </row>
    <row r="968" spans="2:2 1350:2024 2120:3032 3083:4088 4136:4376 7100:7115">
      <c r="B968" s="10"/>
      <c r="BKB968" s="8" t="s">
        <v>470</v>
      </c>
      <c r="BMU968" s="8" t="s">
        <v>470</v>
      </c>
      <c r="BNT968" s="8" t="s">
        <v>1130</v>
      </c>
      <c r="BPJ968" s="8" t="s">
        <v>1130</v>
      </c>
      <c r="BPP968" s="8" t="s">
        <v>470</v>
      </c>
      <c r="BRF968" s="8" t="s">
        <v>1130</v>
      </c>
    </row>
    <row r="969" spans="2:2 1350:2024 2120:3032 3083:4088 4136:4376 7100:7115">
      <c r="B969" s="10"/>
      <c r="BEH969" s="8" t="s">
        <v>1131</v>
      </c>
      <c r="BEN969" s="8" t="s">
        <v>471</v>
      </c>
      <c r="BLR969" s="8" t="s">
        <v>471</v>
      </c>
      <c r="BRF969" s="8" t="s">
        <v>471</v>
      </c>
      <c r="CCN969" s="8" t="s">
        <v>1131</v>
      </c>
      <c r="CEJ969" s="8" t="s">
        <v>1131</v>
      </c>
    </row>
    <row r="970" spans="2:2 1350:2024 2120:3032 3083:4088 4136:4376 7100:7115">
      <c r="B970" s="10"/>
      <c r="BNT970" s="8" t="s">
        <v>1132</v>
      </c>
      <c r="BPC970" s="8" t="s">
        <v>472</v>
      </c>
      <c r="BYV970" s="8" t="s">
        <v>472</v>
      </c>
      <c r="CEJ970" s="8" t="s">
        <v>472</v>
      </c>
      <c r="CTD970" s="8" t="s">
        <v>1132</v>
      </c>
      <c r="CUZ970" s="8" t="s">
        <v>1132</v>
      </c>
    </row>
    <row r="971" spans="2:2 1350:2024 2120:3032 3083:4088 4136:4376 7100:7115">
      <c r="B971" s="10"/>
      <c r="CHO971" s="8" t="s">
        <v>473</v>
      </c>
      <c r="CIB971" s="8" t="s">
        <v>1133</v>
      </c>
      <c r="CPL971" s="8" t="s">
        <v>473</v>
      </c>
      <c r="CUZ971" s="8" t="s">
        <v>473</v>
      </c>
      <c r="DGE971" s="8" t="s">
        <v>1133</v>
      </c>
      <c r="DIA971" s="8" t="s">
        <v>1133</v>
      </c>
    </row>
    <row r="972" spans="2:2 1350:2024 2120:3032 3083:4088 4136:4376 7100:7115">
      <c r="B972" s="10"/>
      <c r="AZN972" s="8" t="s">
        <v>1513</v>
      </c>
      <c r="BAW972" s="8" t="s">
        <v>474</v>
      </c>
      <c r="BBU972" s="8" t="s">
        <v>474</v>
      </c>
      <c r="BCS972" s="8" t="s">
        <v>1134</v>
      </c>
      <c r="DAQ972" s="8" t="s">
        <v>1134</v>
      </c>
      <c r="DCM972" s="8" t="s">
        <v>474</v>
      </c>
      <c r="DIA972" s="8" t="s">
        <v>474</v>
      </c>
      <c r="DNO972" s="8" t="s">
        <v>1134</v>
      </c>
      <c r="DPK972" s="8" t="s">
        <v>1134</v>
      </c>
    </row>
    <row r="973" spans="2:2 1350:2024 2120:3032 3083:4088 4136:4376 7100:7115">
      <c r="B973" s="10"/>
      <c r="AZF973" s="8" t="s">
        <v>1514</v>
      </c>
      <c r="BBB973" s="8" t="s">
        <v>1514</v>
      </c>
      <c r="BEO973" s="8" t="s">
        <v>475</v>
      </c>
      <c r="BFM973" s="8" t="s">
        <v>475</v>
      </c>
      <c r="BGK973" s="8" t="s">
        <v>1135</v>
      </c>
      <c r="DJW973" s="8" t="s">
        <v>475</v>
      </c>
      <c r="DKJ973" s="8" t="s">
        <v>475</v>
      </c>
      <c r="DPK973" s="8" t="s">
        <v>475</v>
      </c>
      <c r="DSZ973" s="8" t="s">
        <v>1135</v>
      </c>
      <c r="DUV973" s="8" t="s">
        <v>1135</v>
      </c>
    </row>
    <row r="974" spans="2:2 1350:2024 2120:3032 3083:4088 4136:4376 7100:7115">
      <c r="B974" s="10"/>
      <c r="AYX974" s="8" t="s">
        <v>1515</v>
      </c>
      <c r="BAT974" s="8" t="s">
        <v>1515</v>
      </c>
      <c r="BCP974" s="8" t="s">
        <v>1515</v>
      </c>
      <c r="BHH974" s="8" t="s">
        <v>476</v>
      </c>
      <c r="BIF974" s="8" t="s">
        <v>476</v>
      </c>
      <c r="BJD974" s="8" t="s">
        <v>1136</v>
      </c>
      <c r="DLC974" s="8" t="s">
        <v>476</v>
      </c>
      <c r="DLP974" s="8" t="s">
        <v>1136</v>
      </c>
      <c r="DPH974" s="8" t="s">
        <v>476</v>
      </c>
      <c r="DUV974" s="8" t="s">
        <v>476</v>
      </c>
      <c r="ECI974" s="8" t="s">
        <v>1136</v>
      </c>
      <c r="EEE974" s="8" t="s">
        <v>1136</v>
      </c>
    </row>
    <row r="975" spans="2:2 1350:2024 2120:3032 3083:4088 4136:4376 7100:7115">
      <c r="B975" s="10"/>
      <c r="AYZ975" s="8" t="s">
        <v>5569</v>
      </c>
      <c r="BAM975" s="8" t="s">
        <v>458</v>
      </c>
      <c r="BAV975" s="8" t="s">
        <v>5569</v>
      </c>
      <c r="BCI975" s="8" t="s">
        <v>458</v>
      </c>
      <c r="BEE975" s="8" t="s">
        <v>458</v>
      </c>
      <c r="BLY975" s="8" t="s">
        <v>477</v>
      </c>
      <c r="BMW975" s="8" t="s">
        <v>477</v>
      </c>
      <c r="BNU975" s="8" t="s">
        <v>1406</v>
      </c>
      <c r="DYQ975" s="8" t="s">
        <v>477</v>
      </c>
      <c r="EEE975" s="8" t="s">
        <v>477</v>
      </c>
      <c r="JMB975" s="8" t="s">
        <v>477</v>
      </c>
      <c r="JMQ975" s="8" t="s">
        <v>1406</v>
      </c>
    </row>
    <row r="976" spans="2:2 1350:2024 2120:3032 3083:4088 4136:4376 7100:7115">
      <c r="B976" s="10"/>
      <c r="BAR976" s="19" t="s">
        <v>459</v>
      </c>
      <c r="BAV976" s="8" t="s">
        <v>5570</v>
      </c>
      <c r="BCN976" s="8" t="s">
        <v>459</v>
      </c>
      <c r="BCR976" s="8" t="s">
        <v>6993</v>
      </c>
      <c r="BEJ976" s="8" t="s">
        <v>459</v>
      </c>
    </row>
    <row r="977" spans="2:2 1352:2037 2055:2849 3128:3944">
      <c r="B977" s="10"/>
      <c r="BAJ977" s="8" t="s">
        <v>1516</v>
      </c>
      <c r="BAV977" s="8" t="s">
        <v>5571</v>
      </c>
      <c r="BCF977" s="8" t="s">
        <v>1516</v>
      </c>
      <c r="BCR977" s="8" t="s">
        <v>6994</v>
      </c>
      <c r="BEB977" s="8" t="s">
        <v>1516</v>
      </c>
      <c r="BFX977" s="8" t="s">
        <v>1516</v>
      </c>
    </row>
    <row r="978" spans="2:2 1352:2037 2055:2849 3128:3944">
      <c r="B978" s="10"/>
      <c r="AYZ978" s="8" t="s">
        <v>5872</v>
      </c>
      <c r="BCR978" s="8" t="s">
        <v>5572</v>
      </c>
      <c r="BEN978" s="8" t="s">
        <v>5572</v>
      </c>
      <c r="BGJ978" s="8" t="s">
        <v>460</v>
      </c>
      <c r="BIF978" s="8" t="s">
        <v>460</v>
      </c>
      <c r="BWZ978" s="8" t="s">
        <v>6995</v>
      </c>
    </row>
    <row r="979" spans="2:2 1352:2037 2055:2849 3128:3944">
      <c r="B979" s="10"/>
      <c r="AYZ979" s="8" t="s">
        <v>6626</v>
      </c>
      <c r="BAV979" s="8" t="s">
        <v>6196</v>
      </c>
      <c r="BEN979" s="8" t="s">
        <v>5573</v>
      </c>
      <c r="BGJ979" s="8" t="s">
        <v>5573</v>
      </c>
      <c r="BLX979" s="8" t="s">
        <v>2203</v>
      </c>
      <c r="BNT979" s="8" t="s">
        <v>1763</v>
      </c>
      <c r="BRL979" s="8" t="s">
        <v>461</v>
      </c>
      <c r="BTH979" s="8" t="s">
        <v>461</v>
      </c>
      <c r="BVD979" s="8" t="s">
        <v>461</v>
      </c>
      <c r="BWZ979" s="8" t="s">
        <v>461</v>
      </c>
      <c r="CAR979" s="8" t="s">
        <v>6996</v>
      </c>
    </row>
    <row r="980" spans="2:2 1352:2037 2055:2849 3128:3944">
      <c r="B980" s="10"/>
      <c r="AYZ980" s="8" t="s">
        <v>6627</v>
      </c>
      <c r="BAV980" s="8" t="s">
        <v>5873</v>
      </c>
      <c r="BCR980" s="8" t="s">
        <v>432</v>
      </c>
      <c r="BEN980" s="8" t="s">
        <v>5574</v>
      </c>
      <c r="BGJ980" s="8" t="s">
        <v>5574</v>
      </c>
      <c r="BWZ980" s="8" t="s">
        <v>2204</v>
      </c>
      <c r="BYV980" s="8" t="s">
        <v>1764</v>
      </c>
      <c r="CCN980" s="8" t="s">
        <v>462</v>
      </c>
      <c r="CEJ980" s="8" t="s">
        <v>462</v>
      </c>
      <c r="CGF980" s="8" t="s">
        <v>462</v>
      </c>
      <c r="CIB980" s="8" t="s">
        <v>6997</v>
      </c>
    </row>
    <row r="981" spans="2:2 1352:2037 2055:2849 3128:3944">
      <c r="B981" s="10"/>
      <c r="AYZ981" s="8" t="s">
        <v>6972</v>
      </c>
      <c r="BAV981" s="8" t="s">
        <v>6628</v>
      </c>
      <c r="BCR981" s="8" t="s">
        <v>6197</v>
      </c>
      <c r="BGJ981" s="8" t="s">
        <v>5575</v>
      </c>
      <c r="BGP981" s="8" t="s">
        <v>434</v>
      </c>
      <c r="BIF981" s="8" t="s">
        <v>5575</v>
      </c>
      <c r="BIL981" s="8" t="s">
        <v>434</v>
      </c>
      <c r="CIV981" s="8" t="s">
        <v>2205</v>
      </c>
      <c r="CJX981" s="8" t="s">
        <v>6998</v>
      </c>
      <c r="CKR981" s="8" t="s">
        <v>1765</v>
      </c>
      <c r="COJ981" s="8" t="s">
        <v>455</v>
      </c>
      <c r="CQF981" s="8" t="s">
        <v>455</v>
      </c>
      <c r="CSB981" s="8" t="s">
        <v>455</v>
      </c>
      <c r="CTX981" s="8" t="s">
        <v>455</v>
      </c>
    </row>
    <row r="982" spans="2:2 1352:2037 2055:2849 3128:3944">
      <c r="B982" s="10"/>
      <c r="BGJ982" s="8" t="s">
        <v>6973</v>
      </c>
      <c r="BIF982" s="8" t="s">
        <v>6629</v>
      </c>
      <c r="BJL982" s="8" t="s">
        <v>435</v>
      </c>
      <c r="BKB982" s="8" t="s">
        <v>6198</v>
      </c>
      <c r="BLH982" s="8" t="s">
        <v>435</v>
      </c>
      <c r="BNT982" s="8" t="s">
        <v>5577</v>
      </c>
      <c r="BPP982" s="8" t="s">
        <v>5576</v>
      </c>
      <c r="CTM982" s="8" t="s">
        <v>2206</v>
      </c>
      <c r="CVI982" s="8" t="s">
        <v>1766</v>
      </c>
      <c r="CZA982" s="8" t="s">
        <v>463</v>
      </c>
      <c r="DAW982" s="8" t="s">
        <v>463</v>
      </c>
      <c r="DCS982" s="8" t="s">
        <v>463</v>
      </c>
      <c r="DEO982" s="8" t="s">
        <v>463</v>
      </c>
      <c r="DPH982" s="8" t="s">
        <v>6999</v>
      </c>
    </row>
    <row r="983" spans="2:2 1352:2037 2055:2849 3128:3944">
      <c r="B983" s="10"/>
      <c r="BIF983" s="8" t="s">
        <v>6974</v>
      </c>
      <c r="BKB983" s="8" t="s">
        <v>6630</v>
      </c>
      <c r="BLX983" s="8" t="s">
        <v>6199</v>
      </c>
      <c r="BNT983" s="8" t="s">
        <v>5577</v>
      </c>
      <c r="BPP983" s="8" t="s">
        <v>5578</v>
      </c>
      <c r="BTK983" s="8" t="s">
        <v>436</v>
      </c>
      <c r="BVG983" s="8" t="s">
        <v>436</v>
      </c>
      <c r="EUR983" s="8" t="s">
        <v>7000</v>
      </c>
    </row>
    <row r="984" spans="2:2 1352:2037 2055:2849 3128:3944">
      <c r="B984" s="10"/>
      <c r="BEN984" s="8" t="s">
        <v>478</v>
      </c>
      <c r="BLT984" s="8" t="s">
        <v>6975</v>
      </c>
      <c r="BNP984" s="8" t="s">
        <v>6631</v>
      </c>
      <c r="BPL984" s="8" t="s">
        <v>6200</v>
      </c>
      <c r="BPP984" s="8" t="s">
        <v>5578</v>
      </c>
      <c r="BRL984" s="8" t="s">
        <v>5578</v>
      </c>
      <c r="BTD984" s="8" t="s">
        <v>5840</v>
      </c>
      <c r="BXM984" s="8" t="s">
        <v>437</v>
      </c>
      <c r="BZI984" s="8" t="s">
        <v>437</v>
      </c>
    </row>
    <row r="985" spans="2:2 1352:2037 2055:2849 3128:3944">
      <c r="B985" s="10"/>
      <c r="BEN985" s="8" t="s">
        <v>479</v>
      </c>
      <c r="BMT985" s="8" t="s">
        <v>6976</v>
      </c>
      <c r="BOP985" s="8" t="s">
        <v>6523</v>
      </c>
      <c r="BQL985" s="8" t="s">
        <v>6201</v>
      </c>
      <c r="BUD985" s="8" t="s">
        <v>5579</v>
      </c>
      <c r="BVZ985" s="8" t="s">
        <v>5579</v>
      </c>
      <c r="BYT985" s="8" t="s">
        <v>438</v>
      </c>
      <c r="CAP985" s="8" t="s">
        <v>438</v>
      </c>
    </row>
    <row r="986" spans="2:2 1352:2037 2055:2849 3128:3944">
      <c r="B986" s="10"/>
      <c r="BEN986" s="8" t="s">
        <v>480</v>
      </c>
      <c r="BVD986" s="8" t="s">
        <v>6977</v>
      </c>
      <c r="BWZ986" s="8" t="s">
        <v>6524</v>
      </c>
      <c r="BYV986" s="8" t="s">
        <v>6202</v>
      </c>
      <c r="CAA986" s="8" t="s">
        <v>439</v>
      </c>
      <c r="CBW986" s="8" t="s">
        <v>439</v>
      </c>
      <c r="CCN986" s="8" t="s">
        <v>5580</v>
      </c>
      <c r="CEJ986" s="8" t="s">
        <v>5580</v>
      </c>
    </row>
    <row r="987" spans="2:2 1352:2037 2055:2849 3128:3944">
      <c r="B987" s="10"/>
      <c r="BGJ987" s="8" t="s">
        <v>481</v>
      </c>
      <c r="BVD987" s="8" t="s">
        <v>6978</v>
      </c>
      <c r="BWZ987" s="8" t="s">
        <v>6632</v>
      </c>
      <c r="BYV987" s="8" t="s">
        <v>6203</v>
      </c>
      <c r="CBI987" s="8" t="s">
        <v>440</v>
      </c>
      <c r="CCN987" s="8" t="s">
        <v>5581</v>
      </c>
      <c r="CDE987" s="8" t="s">
        <v>440</v>
      </c>
      <c r="CEJ987" s="8" t="s">
        <v>5581</v>
      </c>
    </row>
    <row r="988" spans="2:2 1352:2037 2055:2849 3128:3944">
      <c r="B988" s="10"/>
      <c r="BIF988" s="8" t="s">
        <v>482</v>
      </c>
      <c r="BVD988" s="8" t="s">
        <v>6979</v>
      </c>
      <c r="BWZ988" s="8" t="s">
        <v>6633</v>
      </c>
      <c r="BYV988" s="8" t="s">
        <v>6204</v>
      </c>
      <c r="CCN988" s="8" t="s">
        <v>5582</v>
      </c>
      <c r="CCP988" s="8" t="s">
        <v>441</v>
      </c>
      <c r="CEJ988" s="8" t="s">
        <v>5582</v>
      </c>
      <c r="CEL988" s="8" t="s">
        <v>441</v>
      </c>
    </row>
    <row r="989" spans="2:2 1352:2037 2055:2849 3128:3944">
      <c r="B989" s="10"/>
      <c r="BKB989" s="8" t="s">
        <v>483</v>
      </c>
      <c r="BVD989" s="8" t="s">
        <v>6980</v>
      </c>
      <c r="BWZ989" s="8" t="s">
        <v>6634</v>
      </c>
      <c r="BYV989" s="8" t="s">
        <v>6205</v>
      </c>
      <c r="CCN989" s="8" t="s">
        <v>5583</v>
      </c>
      <c r="CDW989" s="8" t="s">
        <v>442</v>
      </c>
      <c r="CEJ989" s="8" t="s">
        <v>5583</v>
      </c>
      <c r="CFS989" s="8" t="s">
        <v>442</v>
      </c>
    </row>
    <row r="990" spans="2:2 1352:2037 2055:2849 3128:3944">
      <c r="B990" s="10"/>
      <c r="BLQ990" s="8" t="s">
        <v>484</v>
      </c>
      <c r="BVD990" s="8" t="s">
        <v>6981</v>
      </c>
      <c r="BWZ990" s="8" t="s">
        <v>6635</v>
      </c>
      <c r="BYV990" s="8" t="s">
        <v>6206</v>
      </c>
      <c r="CCN990" s="8" t="s">
        <v>5584</v>
      </c>
      <c r="CEJ990" s="8" t="s">
        <v>5584</v>
      </c>
      <c r="CFE990" s="8" t="s">
        <v>443</v>
      </c>
      <c r="CHA990" s="8" t="s">
        <v>443</v>
      </c>
    </row>
    <row r="991" spans="2:2 1352:2037 2055:2849 3128:3944">
      <c r="B991" s="10"/>
      <c r="BND991" s="8" t="s">
        <v>485</v>
      </c>
      <c r="BWZ991" s="8" t="s">
        <v>6982</v>
      </c>
      <c r="BYV991" s="8" t="s">
        <v>6636</v>
      </c>
      <c r="CAR991" s="8" t="s">
        <v>6207</v>
      </c>
      <c r="CEJ991" s="8" t="s">
        <v>5585</v>
      </c>
      <c r="CGF991" s="8" t="s">
        <v>5585</v>
      </c>
      <c r="CGL991" s="8" t="s">
        <v>444</v>
      </c>
      <c r="CIH991" s="8" t="s">
        <v>444</v>
      </c>
    </row>
    <row r="992" spans="2:2 1352:2037 2055:2849 3128:3944">
      <c r="B992" s="10"/>
      <c r="BOK992" s="8" t="s">
        <v>486</v>
      </c>
      <c r="BYV992" s="8" t="s">
        <v>6983</v>
      </c>
      <c r="CAR992" s="8" t="s">
        <v>6637</v>
      </c>
      <c r="CCN992" s="8" t="s">
        <v>6208</v>
      </c>
      <c r="CGF992" s="8" t="s">
        <v>5586</v>
      </c>
      <c r="CIB992" s="8" t="s">
        <v>5586</v>
      </c>
      <c r="CJX992" s="8" t="s">
        <v>445</v>
      </c>
      <c r="CLT992" s="8" t="s">
        <v>445</v>
      </c>
    </row>
    <row r="993" spans="2:2 1352:2024 2072:3032 3080:3752 4201:4382">
      <c r="B993" s="10"/>
      <c r="BPP993" s="8" t="s">
        <v>487</v>
      </c>
      <c r="BYV993" s="8" t="s">
        <v>6984</v>
      </c>
      <c r="CAR993" s="8" t="s">
        <v>6638</v>
      </c>
      <c r="CCN993" s="8" t="s">
        <v>6209</v>
      </c>
      <c r="CGF993" s="8" t="s">
        <v>5587</v>
      </c>
      <c r="CIB993" s="8" t="s">
        <v>5587</v>
      </c>
      <c r="CWT993" s="8" t="s">
        <v>446</v>
      </c>
      <c r="CYP993" s="8" t="s">
        <v>446</v>
      </c>
    </row>
    <row r="994" spans="2:2 1352:2024 2072:3032 3080:3752 4201:4382">
      <c r="B994" s="10"/>
      <c r="BQR994" s="8" t="s">
        <v>488</v>
      </c>
      <c r="CAR994" s="8" t="s">
        <v>6985</v>
      </c>
      <c r="CCN994" s="8" t="s">
        <v>6525</v>
      </c>
      <c r="CEJ994" s="8" t="s">
        <v>6210</v>
      </c>
      <c r="CIB994" s="8" t="s">
        <v>5588</v>
      </c>
      <c r="CJX994" s="8" t="s">
        <v>5588</v>
      </c>
      <c r="CYA994" s="8" t="s">
        <v>447</v>
      </c>
      <c r="CZW994" s="8" t="s">
        <v>447</v>
      </c>
    </row>
    <row r="995" spans="2:2 1352:2024 2072:3032 3080:3752 4201:4382">
      <c r="B995" s="10"/>
      <c r="BRL995" s="8" t="s">
        <v>489</v>
      </c>
      <c r="CCN995" s="8" t="s">
        <v>6986</v>
      </c>
      <c r="CEJ995" s="8" t="s">
        <v>6639</v>
      </c>
      <c r="CGF995" s="8" t="s">
        <v>6211</v>
      </c>
      <c r="CJX995" s="8" t="s">
        <v>5589</v>
      </c>
      <c r="CLT995" s="8" t="s">
        <v>5589</v>
      </c>
      <c r="CZI995" s="8" t="s">
        <v>448</v>
      </c>
      <c r="DBE995" s="8" t="s">
        <v>448</v>
      </c>
    </row>
    <row r="996" spans="2:2 1352:2024 2072:3032 3080:3752 4201:4382">
      <c r="B996" s="10"/>
      <c r="BVJ996" s="8" t="s">
        <v>490</v>
      </c>
      <c r="CLT996" s="8" t="s">
        <v>6987</v>
      </c>
      <c r="CNP996" s="8" t="s">
        <v>6526</v>
      </c>
      <c r="CPL996" s="8" t="s">
        <v>6212</v>
      </c>
      <c r="CTD996" s="8" t="s">
        <v>5590</v>
      </c>
      <c r="CUZ996" s="8" t="s">
        <v>5590</v>
      </c>
      <c r="DAP996" s="8" t="s">
        <v>449</v>
      </c>
      <c r="DCL996" s="8" t="s">
        <v>449</v>
      </c>
    </row>
    <row r="997" spans="2:2 1352:2024 2072:3032 3080:3752 4201:4382">
      <c r="B997" s="10"/>
      <c r="BEN997" s="8" t="s">
        <v>464</v>
      </c>
      <c r="BWX997" s="8" t="s">
        <v>491</v>
      </c>
      <c r="CNP997" s="8" t="s">
        <v>6988</v>
      </c>
      <c r="CPL997" s="8" t="s">
        <v>6527</v>
      </c>
      <c r="CRH997" s="8" t="s">
        <v>6213</v>
      </c>
      <c r="CUZ997" s="8" t="s">
        <v>5591</v>
      </c>
      <c r="CWV997" s="8" t="s">
        <v>5591</v>
      </c>
      <c r="DBW997" s="8" t="s">
        <v>450</v>
      </c>
      <c r="DDS997" s="8" t="s">
        <v>450</v>
      </c>
    </row>
    <row r="998" spans="2:2 1352:2024 2072:3032 3080:3752 4201:4382">
      <c r="B998" s="10"/>
      <c r="BEN998" s="8" t="s">
        <v>465</v>
      </c>
      <c r="CEJ998" s="8" t="s">
        <v>492</v>
      </c>
      <c r="DAN998" s="8" t="s">
        <v>6989</v>
      </c>
      <c r="DCJ998" s="8" t="s">
        <v>6528</v>
      </c>
      <c r="DDE998" s="8" t="s">
        <v>451</v>
      </c>
      <c r="DEF998" s="8" t="s">
        <v>6214</v>
      </c>
      <c r="DFA998" s="8" t="s">
        <v>451</v>
      </c>
      <c r="DHX998" s="8" t="s">
        <v>5592</v>
      </c>
      <c r="DJT998" s="8" t="s">
        <v>5592</v>
      </c>
    </row>
    <row r="999" spans="2:2 1352:2024 2072:3032 3080:3752 4201:4382">
      <c r="B999" s="10"/>
      <c r="BEQ999" s="8" t="s">
        <v>466</v>
      </c>
      <c r="CEJ999" s="8" t="s">
        <v>493</v>
      </c>
      <c r="DEL999" s="8" t="s">
        <v>452</v>
      </c>
      <c r="DGH999" s="8" t="s">
        <v>452</v>
      </c>
      <c r="DLP999" s="8" t="s">
        <v>6990</v>
      </c>
      <c r="DNL999" s="8" t="s">
        <v>6640</v>
      </c>
      <c r="DPH999" s="8" t="s">
        <v>6215</v>
      </c>
      <c r="DSZ999" s="8" t="s">
        <v>5593</v>
      </c>
      <c r="DUV999" s="8" t="s">
        <v>5593</v>
      </c>
    </row>
    <row r="1000" spans="2:2 1352:2024 2072:3032 3080:3752 4201:4382">
      <c r="B1000" s="10"/>
      <c r="BGJ1000" s="8" t="s">
        <v>467</v>
      </c>
      <c r="CHJ1000" s="8" t="s">
        <v>494</v>
      </c>
      <c r="DJT1000" s="8" t="s">
        <v>453</v>
      </c>
      <c r="DLP1000" s="8" t="s">
        <v>453</v>
      </c>
      <c r="DPH1000" s="8" t="s">
        <v>6991</v>
      </c>
      <c r="DRD1000" s="8" t="s">
        <v>6641</v>
      </c>
      <c r="DSZ1000" s="8" t="s">
        <v>6216</v>
      </c>
      <c r="DWR1000" s="8" t="s">
        <v>5594</v>
      </c>
      <c r="DYN1000" s="8" t="s">
        <v>5594</v>
      </c>
    </row>
    <row r="1001" spans="2:2 1352:2024 2072:3032 3080:3752 4201:4382">
      <c r="B1001" s="10"/>
      <c r="BOV1001" s="8" t="s">
        <v>468</v>
      </c>
      <c r="CGJ1001" s="8" t="s">
        <v>495</v>
      </c>
      <c r="DWR1001" s="8" t="s">
        <v>6992</v>
      </c>
      <c r="DYN1001" s="8" t="s">
        <v>6642</v>
      </c>
      <c r="EAJ1001" s="8" t="s">
        <v>6217</v>
      </c>
      <c r="EEB1001" s="8" t="s">
        <v>5595</v>
      </c>
      <c r="EFX1001" s="8" t="s">
        <v>5595</v>
      </c>
      <c r="ELL1001" s="8" t="s">
        <v>454</v>
      </c>
      <c r="ENH1001" s="8" t="s">
        <v>454</v>
      </c>
    </row>
    <row r="1002" spans="2:2 1352:2024 2072:3032 3080:3752 4201:4382">
      <c r="B1002" s="10"/>
      <c r="BPP1002" s="8" t="s">
        <v>469</v>
      </c>
      <c r="CGS1002" s="8" t="s">
        <v>496</v>
      </c>
      <c r="FEO1002" s="8" t="s">
        <v>828</v>
      </c>
      <c r="FGK1002" s="8" t="s">
        <v>828</v>
      </c>
    </row>
    <row r="1003" spans="2:2 1352:2024 2072:3032 3080:3752 4201:4382">
      <c r="B1003" s="10"/>
      <c r="BCR1003" s="8" t="s">
        <v>1137</v>
      </c>
      <c r="BEN1003" s="8" t="s">
        <v>1137</v>
      </c>
      <c r="BRF1003" s="8" t="s">
        <v>470</v>
      </c>
      <c r="DCJ1003" s="8" t="s">
        <v>497</v>
      </c>
      <c r="FFV1003" s="8" t="s">
        <v>1467</v>
      </c>
      <c r="FHR1003" s="8" t="s">
        <v>1467</v>
      </c>
    </row>
    <row r="1004" spans="2:2 1352:2024 2072:3032 3080:3752 4201:4382">
      <c r="B1004" s="10"/>
      <c r="AYZ1004" s="8" t="s">
        <v>479</v>
      </c>
      <c r="BCR1004" s="8" t="s">
        <v>1138</v>
      </c>
      <c r="BEN1004" s="8" t="s">
        <v>1138</v>
      </c>
      <c r="CEJ1004" s="8" t="s">
        <v>471</v>
      </c>
      <c r="DEF1004" s="8" t="s">
        <v>498</v>
      </c>
      <c r="FHC1004" s="8" t="s">
        <v>1468</v>
      </c>
      <c r="FIY1004" s="8" t="s">
        <v>1468</v>
      </c>
    </row>
    <row r="1005" spans="2:2 1352:2024 2072:3032 3080:3752 4201:4382">
      <c r="B1005" s="10"/>
      <c r="AYZ1005" s="8" t="s">
        <v>480</v>
      </c>
      <c r="BCR1005" s="8" t="s">
        <v>1139</v>
      </c>
      <c r="BEN1005" s="8" t="s">
        <v>1139</v>
      </c>
      <c r="CUZ1005" s="8" t="s">
        <v>472</v>
      </c>
      <c r="DJT1005" s="8" t="s">
        <v>499</v>
      </c>
      <c r="FIK1005" s="8" t="s">
        <v>1469</v>
      </c>
      <c r="FKG1005" s="8" t="s">
        <v>1469</v>
      </c>
    </row>
    <row r="1006" spans="2:2 1352:2024 2072:3032 3080:3752 4201:4382">
      <c r="B1006" s="10"/>
      <c r="AYZ1006" s="8" t="s">
        <v>481</v>
      </c>
      <c r="AZV1006" s="8" t="s">
        <v>4549</v>
      </c>
      <c r="BCR1006" s="8" t="s">
        <v>1140</v>
      </c>
      <c r="BEN1006" s="8" t="s">
        <v>1140</v>
      </c>
      <c r="BGJ1006" s="8" t="s">
        <v>1140</v>
      </c>
      <c r="DIA1006" s="8" t="s">
        <v>473</v>
      </c>
      <c r="DLP1006" s="8" t="s">
        <v>500</v>
      </c>
      <c r="FHP1006" s="8" t="s">
        <v>1470</v>
      </c>
      <c r="FJL1006" s="8" t="s">
        <v>1470</v>
      </c>
    </row>
    <row r="1007" spans="2:2 1352:2024 2072:3032 3080:3752 4201:4382">
      <c r="B1007" s="10"/>
      <c r="AYZ1007" s="8" t="s">
        <v>4954</v>
      </c>
      <c r="BAV1007" s="8" t="s">
        <v>4550</v>
      </c>
      <c r="BEN1007" s="8" t="s">
        <v>1141</v>
      </c>
      <c r="BGJ1007" s="8" t="s">
        <v>1141</v>
      </c>
      <c r="BIF1007" s="8" t="s">
        <v>1141</v>
      </c>
      <c r="DPK1007" s="8" t="s">
        <v>474</v>
      </c>
      <c r="DUV1007" s="8" t="s">
        <v>501</v>
      </c>
      <c r="FJR1007" s="8" t="s">
        <v>1471</v>
      </c>
      <c r="FLN1007" s="8" t="s">
        <v>1471</v>
      </c>
    </row>
    <row r="1008" spans="2:2 1352:2024 2072:3032 3080:3752 4201:4382">
      <c r="B1008" s="10"/>
      <c r="AYZ1008" s="8" t="s">
        <v>4955</v>
      </c>
      <c r="BAV1008" s="8" t="s">
        <v>4551</v>
      </c>
      <c r="BCR1008" s="8" t="s">
        <v>483</v>
      </c>
      <c r="BGJ1008" s="8" t="s">
        <v>1142</v>
      </c>
      <c r="BGT1008" s="8" t="s">
        <v>483</v>
      </c>
      <c r="BIF1008" s="8" t="s">
        <v>1142</v>
      </c>
      <c r="BKB1008" s="8" t="s">
        <v>1142</v>
      </c>
      <c r="DUV1008" s="8" t="s">
        <v>475</v>
      </c>
      <c r="DWX1008" s="8" t="s">
        <v>502</v>
      </c>
    </row>
    <row r="1009" spans="2:2 1352:2046 2064:2984 3515:3896">
      <c r="B1009" s="10"/>
      <c r="AZV1009" s="8" t="s">
        <v>4956</v>
      </c>
      <c r="BBR1009" s="8" t="s">
        <v>4552</v>
      </c>
      <c r="BEN1009" s="8" t="s">
        <v>484</v>
      </c>
      <c r="BHO1009" s="8" t="s">
        <v>484</v>
      </c>
      <c r="BIF1009" s="8" t="s">
        <v>1143</v>
      </c>
      <c r="BJU1009" s="8" t="s">
        <v>1143</v>
      </c>
      <c r="BKB1009" s="8" t="s">
        <v>484</v>
      </c>
      <c r="BLQ1009" s="8" t="s">
        <v>1143</v>
      </c>
      <c r="EEE1009" s="8" t="s">
        <v>476</v>
      </c>
      <c r="EJV1009" s="8" t="s">
        <v>503</v>
      </c>
    </row>
    <row r="1010" spans="2:2 1352:2046 2064:2984 3515:3896">
      <c r="B1010" s="10"/>
      <c r="BCR1010" s="8" t="s">
        <v>4957</v>
      </c>
      <c r="BEN1010" s="8" t="s">
        <v>4553</v>
      </c>
      <c r="BGC1010" s="8" t="s">
        <v>485</v>
      </c>
      <c r="BLH1010" s="8" t="s">
        <v>1144</v>
      </c>
      <c r="BLQ1010" s="8" t="s">
        <v>1144</v>
      </c>
      <c r="BND1010" s="8" t="s">
        <v>1144</v>
      </c>
      <c r="ELL1010" s="8" t="s">
        <v>504</v>
      </c>
    </row>
    <row r="1011" spans="2:2 1352:2046 2064:2984 3515:3896">
      <c r="B1011" s="10"/>
      <c r="BEN1011" s="8" t="s">
        <v>4849</v>
      </c>
      <c r="BGJ1011" s="8" t="s">
        <v>4554</v>
      </c>
      <c r="BHP1011" s="8" t="s">
        <v>486</v>
      </c>
      <c r="BLC1011" s="8" t="s">
        <v>486</v>
      </c>
      <c r="BLH1011" s="8" t="s">
        <v>1145</v>
      </c>
      <c r="BMO1011" s="8" t="s">
        <v>1145</v>
      </c>
      <c r="BND1011" s="8" t="s">
        <v>486</v>
      </c>
      <c r="BOK1011" s="8" t="s">
        <v>1145</v>
      </c>
      <c r="ENH1011" s="8" t="s">
        <v>505</v>
      </c>
    </row>
    <row r="1012" spans="2:2 1352:2046 2064:2984 3515:3896">
      <c r="B1012" s="10"/>
      <c r="BEN1012" s="8" t="s">
        <v>4958</v>
      </c>
      <c r="BGJ1012" s="8" t="s">
        <v>4555</v>
      </c>
      <c r="BIW1012" s="8" t="s">
        <v>487</v>
      </c>
      <c r="BLX1012" s="8" t="s">
        <v>487</v>
      </c>
      <c r="BMO1012" s="8" t="s">
        <v>1146</v>
      </c>
      <c r="BNT1012" s="8" t="s">
        <v>1146</v>
      </c>
      <c r="BOK1012" s="8" t="s">
        <v>487</v>
      </c>
      <c r="BPP1012" s="8" t="s">
        <v>1146</v>
      </c>
      <c r="EPD1012" s="8" t="s">
        <v>506</v>
      </c>
    </row>
    <row r="1013" spans="2:2 1352:2046 2064:2984 3515:3896">
      <c r="B1013" s="10"/>
      <c r="BGJ1013" s="8" t="s">
        <v>4850</v>
      </c>
      <c r="BIF1013" s="8" t="s">
        <v>4556</v>
      </c>
      <c r="BKB1013" s="8" t="s">
        <v>488</v>
      </c>
      <c r="BNJ1013" s="8" t="s">
        <v>488</v>
      </c>
      <c r="BNT1013" s="8" t="s">
        <v>1147</v>
      </c>
      <c r="BOV1013" s="8" t="s">
        <v>1147</v>
      </c>
      <c r="BPP1013" s="8" t="s">
        <v>488</v>
      </c>
      <c r="BQR1013" s="8" t="s">
        <v>1147</v>
      </c>
      <c r="EQZ1013" s="8" t="s">
        <v>507</v>
      </c>
    </row>
    <row r="1014" spans="2:2 1352:2046 2064:2984 3515:3896">
      <c r="B1014" s="10"/>
      <c r="BIF1014" s="8" t="s">
        <v>4959</v>
      </c>
      <c r="BKB1014" s="8" t="s">
        <v>4557</v>
      </c>
      <c r="BLD1014" s="8" t="s">
        <v>489</v>
      </c>
      <c r="BPP1014" s="8" t="s">
        <v>1148</v>
      </c>
      <c r="BQR1014" s="8" t="s">
        <v>1148</v>
      </c>
      <c r="BRL1014" s="8" t="s">
        <v>1148</v>
      </c>
      <c r="BSD1014" s="8" t="s">
        <v>489</v>
      </c>
      <c r="ESV1014" s="8" t="s">
        <v>508</v>
      </c>
    </row>
    <row r="1015" spans="2:2 1352:2046 2064:2984 3515:3896">
      <c r="B1015" s="10"/>
      <c r="BKB1015" s="8" t="s">
        <v>4960</v>
      </c>
      <c r="BLX1015" s="8" t="s">
        <v>4558</v>
      </c>
      <c r="BMO1015" s="8" t="s">
        <v>490</v>
      </c>
      <c r="BNT1015" s="8" t="s">
        <v>1149</v>
      </c>
      <c r="BRL1015" s="8" t="s">
        <v>490</v>
      </c>
      <c r="BTN1015" s="8" t="s">
        <v>1149</v>
      </c>
      <c r="BVJ1015" s="8" t="s">
        <v>1149</v>
      </c>
    </row>
    <row r="1016" spans="2:2 1352:2046 2064:2984 3515:3896">
      <c r="B1016" s="10"/>
      <c r="BPV1016" s="8" t="s">
        <v>491</v>
      </c>
      <c r="BRL1016" s="8" t="s">
        <v>4961</v>
      </c>
      <c r="BTF1016" s="8" t="s">
        <v>491</v>
      </c>
      <c r="BTH1016" s="8" t="s">
        <v>4559</v>
      </c>
      <c r="BTN1016" s="8" t="s">
        <v>1150</v>
      </c>
      <c r="BVB1016" s="8" t="s">
        <v>1150</v>
      </c>
      <c r="BVJ1016" s="8" t="s">
        <v>491</v>
      </c>
      <c r="BWX1016" s="8" t="s">
        <v>1150</v>
      </c>
    </row>
    <row r="1017" spans="2:2 1352:2046 2064:2984 3515:3896">
      <c r="B1017" s="10"/>
      <c r="BPN1017" s="8" t="s">
        <v>1151</v>
      </c>
      <c r="BPP1017" s="8" t="s">
        <v>492</v>
      </c>
      <c r="BRJ1017" s="8" t="s">
        <v>492</v>
      </c>
      <c r="BRL1017" s="8" t="s">
        <v>4962</v>
      </c>
      <c r="BTH1017" s="8" t="s">
        <v>4560</v>
      </c>
      <c r="BWX1017" s="8" t="s">
        <v>492</v>
      </c>
      <c r="CCN1017" s="8" t="s">
        <v>1151</v>
      </c>
      <c r="CEJ1017" s="8" t="s">
        <v>1151</v>
      </c>
    </row>
    <row r="1018" spans="2:2 1352:2046 2064:2984 3515:3896">
      <c r="B1018" s="10"/>
      <c r="BTH1018" s="8" t="s">
        <v>4963</v>
      </c>
      <c r="BVD1018" s="8" t="s">
        <v>4561</v>
      </c>
      <c r="BYV1018" s="8" t="s">
        <v>493</v>
      </c>
      <c r="CCN1018" s="8" t="s">
        <v>1152</v>
      </c>
      <c r="CEJ1018" s="8" t="s">
        <v>1152</v>
      </c>
    </row>
    <row r="1019" spans="2:2 1352:2046 2064:2984 3515:3896">
      <c r="B1019" s="10"/>
      <c r="AYZ1019" s="8" t="s">
        <v>7001</v>
      </c>
      <c r="BVD1019" s="8" t="s">
        <v>4851</v>
      </c>
      <c r="BWZ1019" s="8" t="s">
        <v>4562</v>
      </c>
      <c r="BYV1019" s="8" t="s">
        <v>494</v>
      </c>
      <c r="CAJ1019" s="8" t="s">
        <v>494</v>
      </c>
      <c r="CAR1019" s="8" t="s">
        <v>1153</v>
      </c>
      <c r="CEJ1019" s="8" t="s">
        <v>494</v>
      </c>
      <c r="CFN1019" s="8" t="s">
        <v>1153</v>
      </c>
      <c r="CHJ1019" s="8" t="s">
        <v>1153</v>
      </c>
    </row>
    <row r="1020" spans="2:2 1352:2046 2064:2984 3515:3896">
      <c r="B1020" s="10"/>
      <c r="BAV1020" s="8" t="s">
        <v>7002</v>
      </c>
      <c r="BXV1020" s="8" t="s">
        <v>4852</v>
      </c>
      <c r="BZR1020" s="8" t="s">
        <v>4563</v>
      </c>
      <c r="CBV1020" s="8" t="s">
        <v>495</v>
      </c>
      <c r="CEN1020" s="8" t="s">
        <v>1154</v>
      </c>
      <c r="CGJ1020" s="8" t="s">
        <v>1154</v>
      </c>
      <c r="CHJ1020" s="8" t="s">
        <v>495</v>
      </c>
      <c r="CJF1020" s="8" t="s">
        <v>1154</v>
      </c>
      <c r="CKD1020" s="8" t="s">
        <v>495</v>
      </c>
    </row>
    <row r="1021" spans="2:2 1352:2046 2064:2984 3515:3896">
      <c r="B1021" s="10"/>
      <c r="AZH1021" s="8" t="s">
        <v>1517</v>
      </c>
      <c r="BCR1021" s="8" t="s">
        <v>6993</v>
      </c>
      <c r="BEN1021" s="8" t="s">
        <v>6529</v>
      </c>
      <c r="BGJ1021" s="8" t="s">
        <v>6218</v>
      </c>
      <c r="BIQ1021" s="8" t="s">
        <v>7003</v>
      </c>
      <c r="BKB1021" s="8" t="s">
        <v>5597</v>
      </c>
      <c r="CAV1021" s="8" t="s">
        <v>496</v>
      </c>
      <c r="CEW1021" s="8" t="s">
        <v>1155</v>
      </c>
      <c r="CGF1021" s="8" t="s">
        <v>4853</v>
      </c>
      <c r="CGJ1021" s="8" t="s">
        <v>1155</v>
      </c>
      <c r="CGQ1021" s="8" t="s">
        <v>496</v>
      </c>
      <c r="CGS1021" s="8" t="s">
        <v>1155</v>
      </c>
      <c r="CIB1021" s="8" t="s">
        <v>4564</v>
      </c>
    </row>
    <row r="1022" spans="2:2 1352:2046 2064:2984 3515:3896">
      <c r="B1022" s="10"/>
      <c r="AYZ1022" s="8" t="s">
        <v>1518</v>
      </c>
      <c r="BAV1022" s="8" t="s">
        <v>1518</v>
      </c>
      <c r="BCR1022" s="8" t="s">
        <v>6994</v>
      </c>
      <c r="BEN1022" s="8" t="s">
        <v>6530</v>
      </c>
      <c r="BGJ1022" s="8" t="s">
        <v>6219</v>
      </c>
      <c r="BKB1022" s="8" t="s">
        <v>7004</v>
      </c>
      <c r="BKO1022" s="8" t="s">
        <v>1156</v>
      </c>
      <c r="BKV1022" s="8" t="s">
        <v>497</v>
      </c>
      <c r="CBE1022" s="8" t="s">
        <v>497</v>
      </c>
      <c r="CGF1022" s="8" t="s">
        <v>4964</v>
      </c>
      <c r="CGS1022" s="8" t="s">
        <v>497</v>
      </c>
      <c r="CIB1022" s="8" t="s">
        <v>4565</v>
      </c>
      <c r="DAN1022" s="8" t="s">
        <v>1156</v>
      </c>
      <c r="DCJ1022" s="8" t="s">
        <v>1156</v>
      </c>
    </row>
    <row r="1023" spans="2:2 1352:2046 2064:2984 3515:3896">
      <c r="B1023" s="10"/>
      <c r="AYZ1023" s="8" t="s">
        <v>1519</v>
      </c>
      <c r="AZX1023" s="8" t="s">
        <v>1157</v>
      </c>
      <c r="BAV1023" s="8" t="s">
        <v>1519</v>
      </c>
      <c r="BLX1023" s="8" t="s">
        <v>7005</v>
      </c>
      <c r="BWZ1023" s="8" t="s">
        <v>6995</v>
      </c>
      <c r="BYV1023" s="8" t="s">
        <v>6531</v>
      </c>
      <c r="CAR1023" s="8" t="s">
        <v>6220</v>
      </c>
      <c r="CEJ1023" s="8" t="s">
        <v>5599</v>
      </c>
      <c r="CGF1023" s="8" t="s">
        <v>4965</v>
      </c>
      <c r="CIB1023" s="8" t="s">
        <v>4566</v>
      </c>
      <c r="CWV1023" s="8" t="s">
        <v>498</v>
      </c>
      <c r="CZK1023" s="8" t="s">
        <v>498</v>
      </c>
      <c r="DAN1023" s="8" t="s">
        <v>1157</v>
      </c>
      <c r="DCJ1023" s="8" t="s">
        <v>1157</v>
      </c>
      <c r="DEF1023" s="8" t="s">
        <v>1157</v>
      </c>
    </row>
    <row r="1024" spans="2:2 1352:2046 2064:2984 3515:3896">
      <c r="B1024" s="10"/>
      <c r="AYZ1024" s="8" t="s">
        <v>1520</v>
      </c>
      <c r="AZX1024" s="8" t="s">
        <v>499</v>
      </c>
      <c r="BAV1024" s="8" t="s">
        <v>5596</v>
      </c>
      <c r="BCR1024" s="8" t="s">
        <v>5596</v>
      </c>
      <c r="BWZ1024" s="8" t="s">
        <v>7006</v>
      </c>
      <c r="CAR1024" s="8" t="s">
        <v>6996</v>
      </c>
      <c r="CCN1024" s="8" t="s">
        <v>6532</v>
      </c>
      <c r="CEJ1024" s="8" t="s">
        <v>6221</v>
      </c>
      <c r="CHS1024" s="8" t="s">
        <v>4966</v>
      </c>
      <c r="CIB1024" s="8" t="s">
        <v>5600</v>
      </c>
      <c r="CJO1024" s="8" t="s">
        <v>4567</v>
      </c>
      <c r="CYR1024" s="8" t="s">
        <v>499</v>
      </c>
      <c r="DEF1024" s="8" t="s">
        <v>499</v>
      </c>
      <c r="DHX1024" s="8" t="s">
        <v>1158</v>
      </c>
      <c r="DJT1024" s="8" t="s">
        <v>1158</v>
      </c>
    </row>
    <row r="1025" spans="2:2 1352:2024 2072:3032 3080:4040 4136:4184 7680:7688">
      <c r="B1025" s="10"/>
      <c r="BAB1025" s="17" t="s">
        <v>469</v>
      </c>
      <c r="BBT1025" s="8" t="s">
        <v>500</v>
      </c>
      <c r="BBX1025" s="8" t="s">
        <v>469</v>
      </c>
      <c r="BCR1025" s="8" t="s">
        <v>500</v>
      </c>
      <c r="BDP1025" s="8" t="s">
        <v>1159</v>
      </c>
      <c r="BDT1025" s="8" t="s">
        <v>469</v>
      </c>
      <c r="BFP1025" s="8" t="s">
        <v>469</v>
      </c>
      <c r="BKB1025" s="8" t="s">
        <v>5597</v>
      </c>
      <c r="BLX1025" s="8" t="s">
        <v>5597</v>
      </c>
      <c r="CHT1025" s="8" t="s">
        <v>4967</v>
      </c>
      <c r="CIB1025" s="8" t="s">
        <v>6997</v>
      </c>
      <c r="CJP1025" s="8" t="s">
        <v>4568</v>
      </c>
      <c r="CJX1025" s="8" t="s">
        <v>6533</v>
      </c>
      <c r="CLT1025" s="8" t="s">
        <v>6222</v>
      </c>
      <c r="CPL1025" s="8" t="s">
        <v>5601</v>
      </c>
      <c r="CWV1025" s="8" t="s">
        <v>7007</v>
      </c>
      <c r="DEF1025" s="8" t="s">
        <v>500</v>
      </c>
      <c r="DHX1025" s="8" t="s">
        <v>1159</v>
      </c>
      <c r="DJT1025" s="8" t="s">
        <v>1159</v>
      </c>
      <c r="DLP1025" s="8" t="s">
        <v>1159</v>
      </c>
    </row>
    <row r="1026" spans="2:2 1352:2024 2072:3032 3080:4040 4136:4184 7680:7688">
      <c r="B1026" s="10"/>
      <c r="BAV1026" s="8" t="s">
        <v>470</v>
      </c>
      <c r="BCR1026" s="8" t="s">
        <v>470</v>
      </c>
      <c r="BDP1026" s="8" t="s">
        <v>501</v>
      </c>
      <c r="BEN1026" s="8" t="s">
        <v>470</v>
      </c>
      <c r="BGJ1026" s="8" t="s">
        <v>470</v>
      </c>
      <c r="BKB1026" s="8" t="s">
        <v>5598</v>
      </c>
      <c r="BLX1026" s="8" t="s">
        <v>5598</v>
      </c>
      <c r="CIB1026" s="8" t="s">
        <v>4968</v>
      </c>
      <c r="CJX1026" s="8" t="s">
        <v>6998</v>
      </c>
      <c r="CLT1026" s="8" t="s">
        <v>6534</v>
      </c>
      <c r="CNP1026" s="8" t="s">
        <v>6223</v>
      </c>
      <c r="CRH1026" s="8" t="s">
        <v>5602</v>
      </c>
      <c r="DAN1026" s="8" t="s">
        <v>7008</v>
      </c>
      <c r="DCJ1026" s="8" t="s">
        <v>1160</v>
      </c>
      <c r="DDQ1026" s="8" t="s">
        <v>501</v>
      </c>
      <c r="DGB1026" s="8" t="s">
        <v>501</v>
      </c>
      <c r="DLP1026" s="8" t="s">
        <v>501</v>
      </c>
      <c r="DSZ1026" s="8" t="s">
        <v>1160</v>
      </c>
      <c r="DUV1026" s="8" t="s">
        <v>1160</v>
      </c>
    </row>
    <row r="1027" spans="2:2 1352:2024 2072:3032 3080:4040 4136:4184 7680:7688">
      <c r="B1027" s="10"/>
      <c r="BCL1027" s="8" t="s">
        <v>471</v>
      </c>
      <c r="BEH1027" s="8" t="s">
        <v>471</v>
      </c>
      <c r="BGD1027" s="8" t="s">
        <v>471</v>
      </c>
      <c r="BHH1027" s="8" t="s">
        <v>502</v>
      </c>
      <c r="BHZ1027" s="8" t="s">
        <v>471</v>
      </c>
      <c r="BIF1027" s="8" t="s">
        <v>502</v>
      </c>
      <c r="BJD1027" s="8" t="s">
        <v>1161</v>
      </c>
      <c r="CEJ1027" s="8" t="s">
        <v>5599</v>
      </c>
      <c r="CGF1027" s="8" t="s">
        <v>5599</v>
      </c>
      <c r="CJX1027" s="8" t="s">
        <v>4969</v>
      </c>
      <c r="CLT1027" s="8" t="s">
        <v>4569</v>
      </c>
      <c r="DLP1027" s="8" t="s">
        <v>7009</v>
      </c>
      <c r="DPH1027" s="8" t="s">
        <v>6999</v>
      </c>
      <c r="DRD1027" s="8" t="s">
        <v>6535</v>
      </c>
      <c r="DRY1027" s="8" t="s">
        <v>502</v>
      </c>
      <c r="DSZ1027" s="8" t="s">
        <v>5874</v>
      </c>
      <c r="DUV1027" s="8" t="s">
        <v>502</v>
      </c>
      <c r="DVB1027" s="8" t="s">
        <v>1161</v>
      </c>
      <c r="DWR1027" s="8" t="s">
        <v>5603</v>
      </c>
      <c r="DWX1027" s="8" t="s">
        <v>1161</v>
      </c>
    </row>
    <row r="1028" spans="2:2 1352:2024 2072:3032 3080:4040 4136:4184 7680:7688">
      <c r="B1028" s="10"/>
      <c r="AYZ1028" s="8" t="s">
        <v>1767</v>
      </c>
      <c r="BCR1028" s="8" t="s">
        <v>1521</v>
      </c>
      <c r="BEN1028" s="8" t="s">
        <v>1521</v>
      </c>
      <c r="BGJ1028" s="8" t="s">
        <v>1521</v>
      </c>
      <c r="BIF1028" s="8" t="s">
        <v>1521</v>
      </c>
      <c r="BII1028" s="8" t="s">
        <v>503</v>
      </c>
      <c r="BJG1028" s="8" t="s">
        <v>503</v>
      </c>
      <c r="BKE1028" s="8" t="s">
        <v>1162</v>
      </c>
      <c r="CIB1028" s="8" t="s">
        <v>5600</v>
      </c>
      <c r="CJX1028" s="8" t="s">
        <v>5600</v>
      </c>
      <c r="CKT1028" s="8" t="s">
        <v>4970</v>
      </c>
      <c r="CMP1028" s="8" t="s">
        <v>4570</v>
      </c>
      <c r="DJZ1028" s="8" t="s">
        <v>1162</v>
      </c>
      <c r="DRJ1028" s="8" t="s">
        <v>503</v>
      </c>
      <c r="DWX1028" s="8" t="s">
        <v>503</v>
      </c>
      <c r="EAJ1028" s="8" t="s">
        <v>7010</v>
      </c>
      <c r="EHZ1028" s="8" t="s">
        <v>1162</v>
      </c>
      <c r="EJV1028" s="8" t="s">
        <v>1162</v>
      </c>
      <c r="EUR1028" s="8" t="s">
        <v>7000</v>
      </c>
      <c r="EWN1028" s="8" t="s">
        <v>6536</v>
      </c>
      <c r="EYJ1028" s="8" t="s">
        <v>6224</v>
      </c>
      <c r="FCB1028" s="8" t="s">
        <v>5604</v>
      </c>
    </row>
    <row r="1029" spans="2:2 1352:2024 2072:3032 3080:4040 4136:4184 7680:7688">
      <c r="B1029" s="10"/>
      <c r="BCR1029" s="8" t="s">
        <v>2207</v>
      </c>
      <c r="BEN1029" s="8" t="s">
        <v>1768</v>
      </c>
      <c r="BIF1029" s="8" t="s">
        <v>1522</v>
      </c>
      <c r="BKB1029" s="8" t="s">
        <v>1522</v>
      </c>
      <c r="BLX1029" s="8" t="s">
        <v>1522</v>
      </c>
      <c r="BNT1029" s="8" t="s">
        <v>1522</v>
      </c>
      <c r="BOU1029" s="8" t="s">
        <v>504</v>
      </c>
      <c r="BPS1029" s="8" t="s">
        <v>504</v>
      </c>
      <c r="BQQ1029" s="8" t="s">
        <v>1163</v>
      </c>
      <c r="CLT1029" s="8" t="s">
        <v>4854</v>
      </c>
      <c r="CNP1029" s="8" t="s">
        <v>4571</v>
      </c>
      <c r="CPL1029" s="8" t="s">
        <v>5601</v>
      </c>
      <c r="CRH1029" s="8" t="s">
        <v>5601</v>
      </c>
      <c r="EEH1029" s="8" t="s">
        <v>504</v>
      </c>
      <c r="EHT1029" s="8" t="s">
        <v>504</v>
      </c>
      <c r="EHZ1029" s="8" t="s">
        <v>1163</v>
      </c>
      <c r="EJP1029" s="8" t="s">
        <v>1163</v>
      </c>
      <c r="EJV1029" s="8" t="s">
        <v>504</v>
      </c>
      <c r="ELL1029" s="8" t="s">
        <v>1163</v>
      </c>
    </row>
    <row r="1030" spans="2:2 1352:2024 2072:3032 3080:4040 4136:4184 7680:7688">
      <c r="B1030" s="10"/>
      <c r="BKB1030" s="8" t="s">
        <v>2208</v>
      </c>
      <c r="BLX1030" s="8" t="s">
        <v>1769</v>
      </c>
      <c r="BPP1030" s="8" t="s">
        <v>1523</v>
      </c>
      <c r="BQN1030" s="8" t="s">
        <v>505</v>
      </c>
      <c r="BRL1030" s="8" t="s">
        <v>1523</v>
      </c>
      <c r="BTH1030" s="8" t="s">
        <v>1523</v>
      </c>
      <c r="BVD1030" s="8" t="s">
        <v>1523</v>
      </c>
      <c r="CNP1030" s="8" t="s">
        <v>4971</v>
      </c>
      <c r="CPL1030" s="8" t="s">
        <v>4572</v>
      </c>
      <c r="CRH1030" s="8" t="s">
        <v>5602</v>
      </c>
      <c r="CTD1030" s="8" t="s">
        <v>5602</v>
      </c>
      <c r="EFX1030" s="8" t="s">
        <v>505</v>
      </c>
      <c r="EJP1030" s="8" t="s">
        <v>1164</v>
      </c>
      <c r="ELL1030" s="8" t="s">
        <v>1164</v>
      </c>
      <c r="ENH1030" s="8" t="s">
        <v>1164</v>
      </c>
    </row>
    <row r="1031" spans="2:2 1352:2024 2072:3032 3080:4040 4136:4184 7680:7688">
      <c r="B1031" s="10"/>
      <c r="BKB1031" s="8" t="s">
        <v>2209</v>
      </c>
      <c r="BLX1031" s="8" t="s">
        <v>1770</v>
      </c>
      <c r="BPP1031" s="8" t="s">
        <v>472</v>
      </c>
      <c r="BQN1031" s="8" t="s">
        <v>506</v>
      </c>
      <c r="BRL1031" s="8" t="s">
        <v>472</v>
      </c>
      <c r="BSJ1031" s="8" t="s">
        <v>1165</v>
      </c>
      <c r="BTH1031" s="8" t="s">
        <v>472</v>
      </c>
      <c r="BVD1031" s="8" t="s">
        <v>472</v>
      </c>
      <c r="CYR1031" s="8" t="s">
        <v>4855</v>
      </c>
      <c r="DAN1031" s="8" t="s">
        <v>4573</v>
      </c>
      <c r="DWR1031" s="8" t="s">
        <v>5603</v>
      </c>
      <c r="DYN1031" s="8" t="s">
        <v>5603</v>
      </c>
      <c r="EHT1031" s="8" t="s">
        <v>506</v>
      </c>
      <c r="ELL1031" s="8" t="s">
        <v>1165</v>
      </c>
      <c r="ENH1031" s="8" t="s">
        <v>1165</v>
      </c>
      <c r="EPD1031" s="8" t="s">
        <v>1165</v>
      </c>
    </row>
    <row r="1032" spans="2:2 1352:2024 2072:3032 3080:4040 4136:4184 7680:7688">
      <c r="B1032" s="10"/>
      <c r="BPP1032" s="8" t="s">
        <v>2210</v>
      </c>
      <c r="BRL1032" s="8" t="s">
        <v>1771</v>
      </c>
      <c r="BSJ1032" s="8" t="s">
        <v>507</v>
      </c>
      <c r="BTH1032" s="8" t="s">
        <v>1166</v>
      </c>
      <c r="BVD1032" s="8" t="s">
        <v>1524</v>
      </c>
      <c r="BWZ1032" s="8" t="s">
        <v>1524</v>
      </c>
      <c r="BYV1032" s="8" t="s">
        <v>1524</v>
      </c>
      <c r="CAR1032" s="8" t="s">
        <v>1524</v>
      </c>
      <c r="DLP1032" s="8" t="s">
        <v>4856</v>
      </c>
      <c r="DNL1032" s="8" t="s">
        <v>4574</v>
      </c>
      <c r="EJP1032" s="8" t="s">
        <v>507</v>
      </c>
      <c r="ENH1032" s="8" t="s">
        <v>1166</v>
      </c>
      <c r="EPD1032" s="8" t="s">
        <v>1166</v>
      </c>
      <c r="EQZ1032" s="8" t="s">
        <v>1166</v>
      </c>
      <c r="FCB1032" s="8" t="s">
        <v>5604</v>
      </c>
      <c r="FDX1032" s="8" t="s">
        <v>5604</v>
      </c>
    </row>
    <row r="1033" spans="2:2 1352:2024 2072:3032 3080:4040 4136:4184 7680:7688">
      <c r="B1033" s="10"/>
      <c r="BSJ1033" s="8" t="s">
        <v>508</v>
      </c>
      <c r="BTH1033" s="8" t="s">
        <v>508</v>
      </c>
      <c r="BUF1033" s="8" t="s">
        <v>1167</v>
      </c>
      <c r="BWZ1033" s="8" t="s">
        <v>2211</v>
      </c>
      <c r="BYV1033" s="8" t="s">
        <v>1772</v>
      </c>
      <c r="CCN1033" s="8" t="s">
        <v>1525</v>
      </c>
      <c r="CEJ1033" s="8" t="s">
        <v>1525</v>
      </c>
      <c r="CGF1033" s="8" t="s">
        <v>1525</v>
      </c>
      <c r="CIB1033" s="8" t="s">
        <v>1525</v>
      </c>
      <c r="DWR1033" s="8" t="s">
        <v>4972</v>
      </c>
      <c r="DYN1033" s="8" t="s">
        <v>4575</v>
      </c>
      <c r="ELL1033" s="8" t="s">
        <v>508</v>
      </c>
      <c r="EPD1033" s="8" t="s">
        <v>1167</v>
      </c>
      <c r="EQZ1033" s="8" t="s">
        <v>1167</v>
      </c>
      <c r="ESV1033" s="8" t="s">
        <v>1167</v>
      </c>
    </row>
    <row r="1034" spans="2:2 1352:2024 2072:3032 3080:4040 4136:4184 7680:7688">
      <c r="B1034" s="10"/>
      <c r="BTH1034" s="8" t="s">
        <v>509</v>
      </c>
      <c r="BUF1034" s="8" t="s">
        <v>509</v>
      </c>
      <c r="BVD1034" s="8" t="s">
        <v>1407</v>
      </c>
      <c r="CAR1034" s="8" t="s">
        <v>2212</v>
      </c>
      <c r="CCN1034" s="8" t="s">
        <v>1773</v>
      </c>
      <c r="CGF1034" s="8" t="s">
        <v>473</v>
      </c>
      <c r="CIB1034" s="8" t="s">
        <v>473</v>
      </c>
      <c r="CJX1034" s="8" t="s">
        <v>473</v>
      </c>
      <c r="CLT1034" s="8" t="s">
        <v>473</v>
      </c>
      <c r="EAJ1034" s="8" t="s">
        <v>4973</v>
      </c>
      <c r="ECF1034" s="8" t="s">
        <v>4576</v>
      </c>
      <c r="ENH1034" s="8" t="s">
        <v>509</v>
      </c>
      <c r="ESV1034" s="8" t="s">
        <v>509</v>
      </c>
      <c r="KIJ1034" s="8" t="s">
        <v>509</v>
      </c>
      <c r="KIR1034" s="8" t="s">
        <v>1407</v>
      </c>
    </row>
    <row r="1035" spans="2:2 1352:2024 2072:3032 3080:4040 4136:4184 7680:7688">
      <c r="B1035" s="10"/>
      <c r="CCN1035" s="8" t="s">
        <v>2213</v>
      </c>
      <c r="CEJ1035" s="8" t="s">
        <v>1774</v>
      </c>
      <c r="CIB1035" s="8" t="s">
        <v>1526</v>
      </c>
      <c r="CJX1035" s="8" t="s">
        <v>1526</v>
      </c>
      <c r="CLT1035" s="8" t="s">
        <v>1526</v>
      </c>
      <c r="CNP1035" s="8" t="s">
        <v>1526</v>
      </c>
      <c r="EHT1035" s="8" t="s">
        <v>4974</v>
      </c>
      <c r="EJP1035" s="8" t="s">
        <v>4577</v>
      </c>
    </row>
    <row r="1036" spans="2:2 1352:2024 2072:3032 3080:4040 4136:4184 7680:7688">
      <c r="B1036" s="10"/>
      <c r="BAV1036" s="8" t="s">
        <v>458</v>
      </c>
      <c r="BCR1036" s="8" t="s">
        <v>458</v>
      </c>
      <c r="BEN1036" s="8" t="s">
        <v>478</v>
      </c>
      <c r="CCN1036" s="8" t="s">
        <v>2214</v>
      </c>
      <c r="CEJ1036" s="8" t="s">
        <v>1775</v>
      </c>
      <c r="CIB1036" s="8" t="s">
        <v>1527</v>
      </c>
      <c r="CJX1036" s="8" t="s">
        <v>1527</v>
      </c>
      <c r="CLT1036" s="8" t="s">
        <v>1527</v>
      </c>
      <c r="CNP1036" s="8" t="s">
        <v>1527</v>
      </c>
    </row>
    <row r="1037" spans="2:2 1352:2024 2072:3032 3080:4040 4136:4184 7680:7688">
      <c r="B1037" s="10"/>
      <c r="BAV1037" s="8" t="s">
        <v>459</v>
      </c>
      <c r="BCR1037" s="8" t="s">
        <v>459</v>
      </c>
      <c r="BEN1037" s="8" t="s">
        <v>479</v>
      </c>
      <c r="CNS1037" s="8" t="s">
        <v>2215</v>
      </c>
      <c r="CPO1037" s="8" t="s">
        <v>1776</v>
      </c>
      <c r="CTG1037" s="8" t="s">
        <v>474</v>
      </c>
      <c r="CVC1037" s="8" t="s">
        <v>474</v>
      </c>
      <c r="CWY1037" s="8" t="s">
        <v>474</v>
      </c>
      <c r="CYU1037" s="8" t="s">
        <v>474</v>
      </c>
    </row>
    <row r="1038" spans="2:2 1352:2024 2072:3032 3080:4040 4136:4184 7680:7688">
      <c r="B1038" s="10"/>
      <c r="BEN1038" s="8" t="s">
        <v>480</v>
      </c>
      <c r="BIF1038" s="8" t="s">
        <v>460</v>
      </c>
      <c r="BKB1038" s="8" t="s">
        <v>460</v>
      </c>
      <c r="CPL1038" s="8" t="s">
        <v>2216</v>
      </c>
      <c r="CRH1038" s="8" t="s">
        <v>1777</v>
      </c>
      <c r="CUZ1038" s="8" t="s">
        <v>1528</v>
      </c>
      <c r="CWV1038" s="8" t="s">
        <v>1528</v>
      </c>
      <c r="CYR1038" s="8" t="s">
        <v>1528</v>
      </c>
      <c r="DAN1038" s="8" t="s">
        <v>1528</v>
      </c>
    </row>
    <row r="1039" spans="2:2 1352:2024 2072:3032 3080:4040 4136:4184 7680:7688">
      <c r="B1039" s="10"/>
      <c r="BGJ1039" s="8" t="s">
        <v>481</v>
      </c>
      <c r="BWZ1039" s="8" t="s">
        <v>461</v>
      </c>
      <c r="BYV1039" s="8" t="s">
        <v>461</v>
      </c>
      <c r="CVC1039" s="8" t="s">
        <v>2217</v>
      </c>
      <c r="CWY1039" s="8" t="s">
        <v>1778</v>
      </c>
      <c r="DAQ1039" s="8" t="s">
        <v>475</v>
      </c>
      <c r="DCM1039" s="8" t="s">
        <v>475</v>
      </c>
      <c r="DEI1039" s="8" t="s">
        <v>475</v>
      </c>
      <c r="DGE1039" s="8" t="s">
        <v>475</v>
      </c>
    </row>
    <row r="1040" spans="2:2 1352:2024 2072:3032 3080:4040 4136:4184 7680:7688">
      <c r="B1040" s="10"/>
      <c r="BIF1040" s="8" t="s">
        <v>482</v>
      </c>
      <c r="CIB1040" s="8" t="s">
        <v>462</v>
      </c>
      <c r="CJX1040" s="8" t="s">
        <v>462</v>
      </c>
      <c r="CWV1040" s="8" t="s">
        <v>2218</v>
      </c>
      <c r="CYR1040" s="8" t="s">
        <v>1779</v>
      </c>
      <c r="DCJ1040" s="8" t="s">
        <v>1529</v>
      </c>
      <c r="DEF1040" s="8" t="s">
        <v>1529</v>
      </c>
      <c r="DGB1040" s="8" t="s">
        <v>1529</v>
      </c>
      <c r="DHX1040" s="8" t="s">
        <v>1529</v>
      </c>
    </row>
    <row r="1041" spans="2:2 1366:1974 2168:3035 3080:4091 4139:4235">
      <c r="B1041" s="10"/>
      <c r="BKB1041" s="8" t="s">
        <v>483</v>
      </c>
      <c r="CTX1041" s="8" t="s">
        <v>455</v>
      </c>
      <c r="CVT1041" s="8" t="s">
        <v>455</v>
      </c>
      <c r="DAN1041" s="8" t="s">
        <v>2219</v>
      </c>
      <c r="DCJ1041" s="8" t="s">
        <v>1780</v>
      </c>
      <c r="DGB1041" s="8" t="s">
        <v>476</v>
      </c>
      <c r="DHX1041" s="8" t="s">
        <v>476</v>
      </c>
      <c r="DJT1041" s="8" t="s">
        <v>476</v>
      </c>
      <c r="DLP1041" s="8" t="s">
        <v>476</v>
      </c>
    </row>
    <row r="1042" spans="2:2 1366:1974 2168:3035 3080:4091 4139:4235">
      <c r="B1042" s="10"/>
      <c r="BLQ1042" s="8" t="s">
        <v>484</v>
      </c>
      <c r="DCJ1042" s="8" t="s">
        <v>2220</v>
      </c>
      <c r="DEF1042" s="8" t="s">
        <v>1781</v>
      </c>
      <c r="DEO1042" s="8" t="s">
        <v>463</v>
      </c>
      <c r="DGK1042" s="8" t="s">
        <v>463</v>
      </c>
      <c r="DHX1042" s="8" t="s">
        <v>1530</v>
      </c>
      <c r="DJT1042" s="8" t="s">
        <v>1530</v>
      </c>
      <c r="DLP1042" s="8" t="s">
        <v>1530</v>
      </c>
      <c r="DNL1042" s="8" t="s">
        <v>1530</v>
      </c>
    </row>
    <row r="1043" spans="2:2 1366:1974 2168:3035 3080:4091 4139:4235">
      <c r="B1043" s="10"/>
      <c r="BND1043" s="8" t="s">
        <v>485</v>
      </c>
      <c r="DJW1043" s="8" t="s">
        <v>2221</v>
      </c>
      <c r="DLS1043" s="8" t="s">
        <v>1782</v>
      </c>
      <c r="DPK1043" s="8" t="s">
        <v>477</v>
      </c>
      <c r="DRG1043" s="8" t="s">
        <v>477</v>
      </c>
      <c r="DTC1043" s="8" t="s">
        <v>477</v>
      </c>
      <c r="DUY1043" s="8" t="s">
        <v>477</v>
      </c>
    </row>
    <row r="1044" spans="2:2 1366:1974 2168:3035 3080:4091 4139:4235">
      <c r="B1044" s="10"/>
      <c r="BOK1044" s="8" t="s">
        <v>486</v>
      </c>
      <c r="DPH1044" s="8" t="s">
        <v>2222</v>
      </c>
      <c r="DRD1044" s="8" t="s">
        <v>1783</v>
      </c>
      <c r="DUV1044" s="8" t="s">
        <v>1531</v>
      </c>
      <c r="DWR1044" s="8" t="s">
        <v>1531</v>
      </c>
      <c r="DYN1044" s="8" t="s">
        <v>1531</v>
      </c>
      <c r="EAJ1044" s="8" t="s">
        <v>1531</v>
      </c>
    </row>
    <row r="1045" spans="2:2 1366:1974 2168:3035 3080:4091 4139:4235">
      <c r="B1045" s="10"/>
      <c r="BPP1045" s="8" t="s">
        <v>487</v>
      </c>
      <c r="DWR1045" s="8" t="s">
        <v>2223</v>
      </c>
      <c r="DYN1045" s="8" t="s">
        <v>1784</v>
      </c>
      <c r="ECF1045" s="8" t="s">
        <v>1532</v>
      </c>
      <c r="EEB1045" s="8" t="s">
        <v>1532</v>
      </c>
      <c r="EFX1045" s="8" t="s">
        <v>1532</v>
      </c>
      <c r="EHT1045" s="8" t="s">
        <v>1532</v>
      </c>
    </row>
    <row r="1046" spans="2:2 1366:1974 2168:3035 3080:4091 4139:4235">
      <c r="B1046" s="10"/>
      <c r="BQR1046" s="8" t="s">
        <v>488</v>
      </c>
      <c r="ECF1046" s="8" t="s">
        <v>2224</v>
      </c>
      <c r="EEB1046" s="8" t="s">
        <v>1785</v>
      </c>
      <c r="EHT1046" s="8" t="s">
        <v>1533</v>
      </c>
      <c r="EJP1046" s="8" t="s">
        <v>1533</v>
      </c>
      <c r="ELL1046" s="8" t="s">
        <v>1533</v>
      </c>
      <c r="ENH1046" s="8" t="s">
        <v>1533</v>
      </c>
    </row>
    <row r="1047" spans="2:2 1366:1974 2168:3035 3080:4091 4139:4235">
      <c r="B1047" s="10"/>
      <c r="BRL1047" s="8" t="s">
        <v>489</v>
      </c>
      <c r="EJP1047" s="8" t="s">
        <v>2225</v>
      </c>
      <c r="ELL1047" s="8" t="s">
        <v>1786</v>
      </c>
      <c r="EPD1047" s="8" t="s">
        <v>1534</v>
      </c>
      <c r="EQZ1047" s="8" t="s">
        <v>1534</v>
      </c>
      <c r="ESV1047" s="8" t="s">
        <v>1534</v>
      </c>
      <c r="EUR1047" s="8" t="s">
        <v>1534</v>
      </c>
    </row>
    <row r="1048" spans="2:2 1366:1974 2168:3035 3080:4091 4139:4235">
      <c r="B1048" s="10"/>
      <c r="BVJ1048" s="8" t="s">
        <v>490</v>
      </c>
      <c r="EUU1048" s="8" t="s">
        <v>2226</v>
      </c>
      <c r="EWQ1048" s="8" t="s">
        <v>1787</v>
      </c>
      <c r="FAI1048" s="8" t="s">
        <v>1472</v>
      </c>
      <c r="FCE1048" s="8" t="s">
        <v>1472</v>
      </c>
      <c r="FEA1048" s="8" t="s">
        <v>1472</v>
      </c>
      <c r="FFW1048" s="8" t="s">
        <v>1472</v>
      </c>
    </row>
    <row r="1049" spans="2:2 1366:1974 2168:3035 3080:4091 4139:4235">
      <c r="B1049" s="10"/>
      <c r="BWX1049" s="8" t="s">
        <v>491</v>
      </c>
    </row>
    <row r="1050" spans="2:2 1366:1974 2168:3035 3080:4091 4139:4235">
      <c r="B1050" s="10"/>
      <c r="CEJ1050" s="8" t="s">
        <v>492</v>
      </c>
    </row>
    <row r="1051" spans="2:2 1366:1974 2168:3035 3080:4091 4139:4235">
      <c r="B1051" s="10"/>
      <c r="CEJ1051" s="8" t="s">
        <v>493</v>
      </c>
    </row>
    <row r="1052" spans="2:2 1366:1974 2168:3035 3080:4091 4139:4235">
      <c r="B1052" s="10"/>
      <c r="CHJ1052" s="8" t="s">
        <v>494</v>
      </c>
    </row>
    <row r="1053" spans="2:2 1366:1974 2168:3035 3080:4091 4139:4235">
      <c r="B1053" s="10"/>
      <c r="CGJ1053" s="8" t="s">
        <v>495</v>
      </c>
    </row>
    <row r="1054" spans="2:2 1366:1974 2168:3035 3080:4091 4139:4235">
      <c r="B1054" s="10"/>
      <c r="CGS1054" s="8" t="s">
        <v>496</v>
      </c>
    </row>
    <row r="1055" spans="2:2 1366:1974 2168:3035 3080:4091 4139:4235">
      <c r="B1055" s="10"/>
      <c r="DCJ1055" s="8" t="s">
        <v>497</v>
      </c>
    </row>
    <row r="1056" spans="2:2 1366:1974 2168:3035 3080:4091 4139:4235">
      <c r="B1056" s="10"/>
      <c r="AZN1056" s="8" t="s">
        <v>4578</v>
      </c>
      <c r="BAA1056" s="8" t="s">
        <v>512</v>
      </c>
      <c r="DEF1056" s="8" t="s">
        <v>498</v>
      </c>
    </row>
    <row r="1057" spans="2:2 1355:1938 2120:3047 3272:4055 4232:4280">
      <c r="B1057" s="10"/>
      <c r="BAU1057" s="8" t="s">
        <v>513</v>
      </c>
      <c r="BNT1057" s="8" t="s">
        <v>4857</v>
      </c>
      <c r="BPP1057" s="8" t="s">
        <v>4579</v>
      </c>
      <c r="DJT1057" s="8" t="s">
        <v>499</v>
      </c>
    </row>
    <row r="1058" spans="2:2 1355:1938 2120:3047 3272:4055 4232:4280">
      <c r="B1058" s="10"/>
      <c r="BCH1058" s="8" t="s">
        <v>514</v>
      </c>
      <c r="CIQ1058" s="8" t="s">
        <v>4858</v>
      </c>
      <c r="CKM1058" s="8" t="s">
        <v>4580</v>
      </c>
      <c r="DLP1058" s="8" t="s">
        <v>500</v>
      </c>
    </row>
    <row r="1059" spans="2:2 1355:1938 2120:3047 3272:4055 4232:4280">
      <c r="B1059" s="10"/>
      <c r="BCX1059" s="8" t="s">
        <v>515</v>
      </c>
      <c r="CTD1059" s="8" t="s">
        <v>4859</v>
      </c>
      <c r="CUZ1059" s="8" t="s">
        <v>4581</v>
      </c>
      <c r="DUV1059" s="8" t="s">
        <v>501</v>
      </c>
    </row>
    <row r="1060" spans="2:2 1355:1938 2120:3047 3272:4055 4232:4280">
      <c r="B1060" s="10"/>
      <c r="BDG1060" s="8" t="s">
        <v>516</v>
      </c>
      <c r="DKI1060" s="8" t="s">
        <v>4860</v>
      </c>
      <c r="DME1060" s="8" t="s">
        <v>4582</v>
      </c>
      <c r="DWX1060" s="8" t="s">
        <v>502</v>
      </c>
    </row>
    <row r="1061" spans="2:2 1355:1938 2120:3047 3272:4055 4232:4280">
      <c r="B1061" s="10"/>
      <c r="BEN1061" s="8" t="s">
        <v>517</v>
      </c>
      <c r="EJT1061" s="8" t="s">
        <v>4861</v>
      </c>
      <c r="EJV1061" s="8" t="s">
        <v>503</v>
      </c>
      <c r="ELP1061" s="8" t="s">
        <v>4583</v>
      </c>
    </row>
    <row r="1062" spans="2:2 1355:1938 2120:3047 3272:4055 4232:4280">
      <c r="B1062" s="10"/>
      <c r="BEN1062" s="8" t="s">
        <v>518</v>
      </c>
      <c r="EKE1062" s="8" t="s">
        <v>4862</v>
      </c>
      <c r="ELL1062" s="8" t="s">
        <v>504</v>
      </c>
      <c r="EMA1062" s="8" t="s">
        <v>4584</v>
      </c>
    </row>
    <row r="1063" spans="2:2 1355:1938 2120:3047 3272:4055 4232:4280">
      <c r="B1063" s="10"/>
      <c r="BFO1063" s="8" t="s">
        <v>519</v>
      </c>
      <c r="ENH1063" s="8" t="s">
        <v>505</v>
      </c>
      <c r="EXC1063" s="8" t="s">
        <v>4863</v>
      </c>
      <c r="EYY1063" s="8" t="s">
        <v>4585</v>
      </c>
    </row>
    <row r="1064" spans="2:2 1355:1938 2120:3047 3272:4055 4232:4280">
      <c r="B1064" s="10"/>
      <c r="BGJ1064" s="8" t="s">
        <v>520</v>
      </c>
      <c r="EPD1064" s="8" t="s">
        <v>506</v>
      </c>
      <c r="FFT1064" s="8" t="s">
        <v>4864</v>
      </c>
      <c r="FHP1064" s="8" t="s">
        <v>4586</v>
      </c>
    </row>
    <row r="1065" spans="2:2 1355:1938 2120:3047 3272:4055 4232:4280">
      <c r="B1065" s="10"/>
      <c r="BPV1065" s="8" t="s">
        <v>521</v>
      </c>
      <c r="EQZ1065" s="8" t="s">
        <v>507</v>
      </c>
    </row>
    <row r="1066" spans="2:2 1355:1938 2120:3047 3272:4055 4232:4280">
      <c r="B1066" s="10"/>
      <c r="BRL1066" s="8" t="s">
        <v>522</v>
      </c>
      <c r="ESV1066" s="8" t="s">
        <v>508</v>
      </c>
    </row>
    <row r="1067" spans="2:2 1355:1938 2120:3047 3272:4055 4232:4280">
      <c r="B1067" s="10"/>
      <c r="BRL1067" s="8" t="s">
        <v>523</v>
      </c>
    </row>
    <row r="1068" spans="2:2 1355:1938 2120:3047 3272:4055 4232:4280">
      <c r="B1068" s="10"/>
      <c r="BRT1068" s="8" t="s">
        <v>524</v>
      </c>
    </row>
    <row r="1069" spans="2:2 1355:1938 2120:3047 3272:4055 4232:4280">
      <c r="B1069" s="10"/>
      <c r="BTH1069" s="8" t="s">
        <v>525</v>
      </c>
    </row>
    <row r="1070" spans="2:2 1355:1938 2120:3047 3272:4055 4232:4280">
      <c r="B1070" s="10"/>
      <c r="BUA1070" s="8" t="s">
        <v>526</v>
      </c>
    </row>
    <row r="1071" spans="2:2 1355:1938 2120:3047 3272:4055 4232:4280">
      <c r="B1071" s="10"/>
      <c r="BVN1071" s="8" t="s">
        <v>527</v>
      </c>
    </row>
    <row r="1072" spans="2:2 1355:1938 2120:3047 3272:4055 4232:4280">
      <c r="B1072" s="10"/>
      <c r="AZC1072" s="8" t="s">
        <v>6537</v>
      </c>
      <c r="BAY1072" s="8" t="s">
        <v>6225</v>
      </c>
      <c r="BEQ1072" s="8" t="s">
        <v>5673</v>
      </c>
      <c r="CCN1072" s="8" t="s">
        <v>528</v>
      </c>
    </row>
    <row r="1073" spans="2:2 1351:2024 2072:3032 3080:3656 4235:4283">
      <c r="B1073" s="10"/>
      <c r="AYZ1073" s="8" t="s">
        <v>6538</v>
      </c>
      <c r="BAV1073" s="8" t="s">
        <v>5864</v>
      </c>
      <c r="BEN1073" s="8" t="s">
        <v>5674</v>
      </c>
      <c r="CDK1073" s="8" t="s">
        <v>529</v>
      </c>
    </row>
    <row r="1074" spans="2:2 1351:2024 2072:3032 3080:3656 4235:4283">
      <c r="B1074" s="10"/>
      <c r="BAC1074" s="8" t="s">
        <v>6539</v>
      </c>
      <c r="BBY1074" s="8" t="s">
        <v>6226</v>
      </c>
      <c r="BEQ1074" s="8" t="s">
        <v>5673</v>
      </c>
      <c r="BFP1074" s="8" t="s">
        <v>469</v>
      </c>
      <c r="BFQ1074" s="8" t="s">
        <v>5675</v>
      </c>
      <c r="BGM1074" s="8" t="s">
        <v>5673</v>
      </c>
      <c r="BHL1074" s="8" t="s">
        <v>469</v>
      </c>
      <c r="CIW1074" s="8" t="s">
        <v>530</v>
      </c>
    </row>
    <row r="1075" spans="2:2 1351:2024 2072:3032 3080:3656 4235:4283">
      <c r="B1075" s="10"/>
      <c r="AYZ1075" s="8" t="s">
        <v>7001</v>
      </c>
      <c r="BAV1075" s="8" t="s">
        <v>6540</v>
      </c>
      <c r="BCR1075" s="8" t="s">
        <v>6227</v>
      </c>
      <c r="BEN1075" s="8" t="s">
        <v>5674</v>
      </c>
      <c r="BGJ1075" s="8" t="s">
        <v>5676</v>
      </c>
      <c r="BIF1075" s="8" t="s">
        <v>470</v>
      </c>
      <c r="DCJ1075" s="8" t="s">
        <v>531</v>
      </c>
    </row>
    <row r="1076" spans="2:2 1351:2024 2072:3032 3080:3656 4235:4283">
      <c r="B1076" s="10"/>
      <c r="AZQ1076" s="8" t="s">
        <v>512</v>
      </c>
      <c r="BAA1076" s="8" t="s">
        <v>1168</v>
      </c>
      <c r="BAV1076" s="8" t="s">
        <v>7002</v>
      </c>
      <c r="BCR1076" s="8" t="s">
        <v>6541</v>
      </c>
      <c r="BEN1076" s="8" t="s">
        <v>6228</v>
      </c>
      <c r="BFQ1076" s="8" t="s">
        <v>5675</v>
      </c>
      <c r="BHM1076" s="8" t="s">
        <v>5675</v>
      </c>
      <c r="BHZ1076" s="8" t="s">
        <v>471</v>
      </c>
      <c r="BIF1076" s="8" t="s">
        <v>5677</v>
      </c>
      <c r="BJV1076" s="8" t="s">
        <v>471</v>
      </c>
      <c r="DHM1076" s="8" t="s">
        <v>532</v>
      </c>
    </row>
    <row r="1077" spans="2:2 1351:2024 2072:3032 3080:3656 4235:4283">
      <c r="B1077" s="10"/>
      <c r="AYY1077" s="8" t="s">
        <v>1169</v>
      </c>
      <c r="BAA1077" s="8" t="s">
        <v>513</v>
      </c>
      <c r="BAU1077" s="8" t="s">
        <v>1169</v>
      </c>
      <c r="BGJ1077" s="8" t="s">
        <v>5676</v>
      </c>
      <c r="BIF1077" s="8" t="s">
        <v>5676</v>
      </c>
      <c r="BIQ1077" s="8" t="s">
        <v>7003</v>
      </c>
      <c r="BKM1077" s="8" t="s">
        <v>6542</v>
      </c>
      <c r="BMI1077" s="8" t="s">
        <v>6229</v>
      </c>
      <c r="BQA1077" s="8" t="s">
        <v>5678</v>
      </c>
      <c r="BVD1077" s="8" t="s">
        <v>472</v>
      </c>
      <c r="BWZ1077" s="8" t="s">
        <v>472</v>
      </c>
      <c r="DID1077" s="8" t="s">
        <v>533</v>
      </c>
    </row>
    <row r="1078" spans="2:2 1351:2024 2072:3032 3080:3656 4235:4283">
      <c r="B1078" s="10"/>
      <c r="BAL1078" s="8" t="s">
        <v>1170</v>
      </c>
      <c r="BAU1078" s="8" t="s">
        <v>1170</v>
      </c>
      <c r="BBO1078" s="8" t="s">
        <v>514</v>
      </c>
      <c r="BCH1078" s="8" t="s">
        <v>1170</v>
      </c>
      <c r="BIF1078" s="8" t="s">
        <v>5677</v>
      </c>
      <c r="BKB1078" s="8" t="s">
        <v>7004</v>
      </c>
      <c r="BLX1078" s="8" t="s">
        <v>6543</v>
      </c>
      <c r="BNT1078" s="8" t="s">
        <v>6230</v>
      </c>
      <c r="BRL1078" s="8" t="s">
        <v>5679</v>
      </c>
      <c r="CLT1078" s="8" t="s">
        <v>473</v>
      </c>
      <c r="CNP1078" s="8" t="s">
        <v>473</v>
      </c>
    </row>
    <row r="1079" spans="2:2 1351:2024 2072:3032 3080:3656 4235:4283">
      <c r="B1079" s="10"/>
      <c r="BAB1079" s="17" t="s">
        <v>515</v>
      </c>
      <c r="BAL1079" s="8" t="s">
        <v>1171</v>
      </c>
      <c r="BBB1079" s="8" t="s">
        <v>1171</v>
      </c>
      <c r="BCH1079" s="8" t="s">
        <v>515</v>
      </c>
      <c r="BCX1079" s="8" t="s">
        <v>1171</v>
      </c>
      <c r="BLX1079" s="8" t="s">
        <v>7005</v>
      </c>
      <c r="BNT1079" s="8" t="s">
        <v>6544</v>
      </c>
      <c r="BPP1079" s="8" t="s">
        <v>6231</v>
      </c>
      <c r="BQA1079" s="8" t="s">
        <v>5678</v>
      </c>
      <c r="BRW1079" s="8" t="s">
        <v>5678</v>
      </c>
      <c r="BTH1079" s="8" t="s">
        <v>5841</v>
      </c>
      <c r="CYU1079" s="8" t="s">
        <v>474</v>
      </c>
      <c r="DAQ1079" s="8" t="s">
        <v>474</v>
      </c>
    </row>
    <row r="1080" spans="2:2 1351:2024 2072:3032 3080:3656 4235:4283">
      <c r="B1080" s="10"/>
      <c r="AYZ1080" s="8" t="s">
        <v>483</v>
      </c>
      <c r="BBK1080" s="8" t="s">
        <v>1172</v>
      </c>
      <c r="BCX1080" s="8" t="s">
        <v>1172</v>
      </c>
      <c r="BDE1080" s="8" t="s">
        <v>516</v>
      </c>
      <c r="BDG1080" s="8" t="s">
        <v>1172</v>
      </c>
      <c r="BRL1080" s="8" t="s">
        <v>5679</v>
      </c>
      <c r="BTH1080" s="8" t="s">
        <v>5679</v>
      </c>
      <c r="BWZ1080" s="8" t="s">
        <v>7006</v>
      </c>
      <c r="BYV1080" s="8" t="s">
        <v>6545</v>
      </c>
      <c r="CAR1080" s="8" t="s">
        <v>6232</v>
      </c>
      <c r="CEJ1080" s="8" t="s">
        <v>5842</v>
      </c>
      <c r="DGE1080" s="8" t="s">
        <v>475</v>
      </c>
      <c r="DIA1080" s="8" t="s">
        <v>475</v>
      </c>
    </row>
    <row r="1081" spans="2:2 1351:2024 2072:3032 3080:3656 4235:4283">
      <c r="B1081" s="10"/>
      <c r="AYZ1081" s="8" t="s">
        <v>484</v>
      </c>
      <c r="BAB1081" s="17" t="s">
        <v>517</v>
      </c>
      <c r="BAV1081" s="8" t="s">
        <v>484</v>
      </c>
      <c r="BBK1081" s="8" t="s">
        <v>1173</v>
      </c>
      <c r="BCR1081" s="8" t="s">
        <v>1173</v>
      </c>
      <c r="BDG1081" s="8" t="s">
        <v>517</v>
      </c>
      <c r="BEN1081" s="8" t="s">
        <v>1173</v>
      </c>
      <c r="CWV1081" s="8" t="s">
        <v>7007</v>
      </c>
      <c r="CYR1081" s="8" t="s">
        <v>6546</v>
      </c>
      <c r="DAN1081" s="8" t="s">
        <v>6233</v>
      </c>
      <c r="DEF1081" s="8" t="s">
        <v>5680</v>
      </c>
      <c r="DGB1081" s="8" t="s">
        <v>5680</v>
      </c>
      <c r="DLP1081" s="8" t="s">
        <v>476</v>
      </c>
      <c r="DNL1081" s="8" t="s">
        <v>476</v>
      </c>
    </row>
    <row r="1082" spans="2:2 1351:2024 2072:3032 3080:3656 4235:4283">
      <c r="B1082" s="10"/>
      <c r="AYZ1082" s="8" t="s">
        <v>519</v>
      </c>
      <c r="BAO1082" s="8" t="s">
        <v>485</v>
      </c>
      <c r="BCK1082" s="8" t="s">
        <v>485</v>
      </c>
      <c r="BCR1082" s="8" t="s">
        <v>1174</v>
      </c>
      <c r="BDA1082" s="8" t="s">
        <v>519</v>
      </c>
      <c r="BDS1082" s="8" t="s">
        <v>1174</v>
      </c>
      <c r="BEN1082" s="8" t="s">
        <v>519</v>
      </c>
      <c r="BFO1082" s="8" t="s">
        <v>1174</v>
      </c>
      <c r="DAN1082" s="8" t="s">
        <v>7008</v>
      </c>
      <c r="DCJ1082" s="8" t="s">
        <v>6547</v>
      </c>
      <c r="DEF1082" s="8" t="s">
        <v>6234</v>
      </c>
      <c r="DHX1082" s="8" t="s">
        <v>5681</v>
      </c>
      <c r="DJT1082" s="8" t="s">
        <v>5681</v>
      </c>
      <c r="DUY1082" s="8" t="s">
        <v>477</v>
      </c>
      <c r="DWU1082" s="8" t="s">
        <v>477</v>
      </c>
    </row>
    <row r="1083" spans="2:2 1351:2024 2072:3032 3080:3656 4235:4283">
      <c r="B1083" s="10"/>
      <c r="BAA1083" s="8" t="s">
        <v>520</v>
      </c>
      <c r="BAF1083" s="8" t="s">
        <v>486</v>
      </c>
      <c r="BCB1083" s="8" t="s">
        <v>486</v>
      </c>
      <c r="BDX1083" s="8" t="s">
        <v>486</v>
      </c>
      <c r="BEN1083" s="8" t="s">
        <v>1175</v>
      </c>
      <c r="BFO1083" s="8" t="s">
        <v>1175</v>
      </c>
      <c r="BFZ1083" s="8" t="s">
        <v>520</v>
      </c>
      <c r="BGJ1083" s="8" t="s">
        <v>1175</v>
      </c>
      <c r="DLP1083" s="8" t="s">
        <v>7009</v>
      </c>
      <c r="DNL1083" s="8" t="s">
        <v>6548</v>
      </c>
      <c r="DPH1083" s="8" t="s">
        <v>6235</v>
      </c>
      <c r="DSZ1083" s="8" t="s">
        <v>5682</v>
      </c>
      <c r="DUV1083" s="8" t="s">
        <v>5682</v>
      </c>
      <c r="FFW1083" s="8" t="s">
        <v>1472</v>
      </c>
      <c r="FHS1083" s="8" t="s">
        <v>1472</v>
      </c>
    </row>
    <row r="1084" spans="2:2 1351:2024 2072:3032 3080:3656 4235:4283">
      <c r="B1084" s="10"/>
      <c r="AZQ1084" s="8" t="s">
        <v>487</v>
      </c>
      <c r="BAV1084" s="8" t="s">
        <v>521</v>
      </c>
      <c r="BBM1084" s="8" t="s">
        <v>487</v>
      </c>
      <c r="BDI1084" s="8" t="s">
        <v>487</v>
      </c>
      <c r="BFE1084" s="8" t="s">
        <v>487</v>
      </c>
      <c r="BGJ1084" s="8" t="s">
        <v>521</v>
      </c>
      <c r="BNZ1084" s="8" t="s">
        <v>1176</v>
      </c>
      <c r="BPV1084" s="8" t="s">
        <v>1176</v>
      </c>
      <c r="EAJ1084" s="8" t="s">
        <v>7010</v>
      </c>
      <c r="ECF1084" s="8" t="s">
        <v>6549</v>
      </c>
      <c r="EEB1084" s="8" t="s">
        <v>6236</v>
      </c>
      <c r="EHT1084" s="8" t="s">
        <v>5683</v>
      </c>
      <c r="EJP1084" s="8" t="s">
        <v>5683</v>
      </c>
    </row>
    <row r="1085" spans="2:2 1351:2024 2072:3032 3080:3656 4235:4283">
      <c r="B1085" s="10"/>
      <c r="BAV1085" s="8" t="s">
        <v>488</v>
      </c>
      <c r="BCR1085" s="8" t="s">
        <v>488</v>
      </c>
      <c r="BEN1085" s="8" t="s">
        <v>488</v>
      </c>
      <c r="BGJ1085" s="8" t="s">
        <v>488</v>
      </c>
      <c r="BKH1085" s="8" t="s">
        <v>522</v>
      </c>
      <c r="BNT1085" s="8" t="s">
        <v>522</v>
      </c>
      <c r="BNZ1085" s="8" t="s">
        <v>1177</v>
      </c>
      <c r="BPP1085" s="8" t="s">
        <v>1177</v>
      </c>
      <c r="BPV1085" s="8" t="s">
        <v>522</v>
      </c>
      <c r="BRL1085" s="8" t="s">
        <v>1177</v>
      </c>
    </row>
    <row r="1086" spans="2:2 1351:2024 2072:3032 3080:3656 4235:4283">
      <c r="B1086" s="10"/>
      <c r="BBX1086" s="8" t="s">
        <v>489</v>
      </c>
      <c r="BDT1086" s="8" t="s">
        <v>489</v>
      </c>
      <c r="BFP1086" s="8" t="s">
        <v>489</v>
      </c>
      <c r="BHL1086" s="8" t="s">
        <v>489</v>
      </c>
      <c r="BLX1086" s="8" t="s">
        <v>523</v>
      </c>
      <c r="BPP1086" s="8" t="s">
        <v>1178</v>
      </c>
      <c r="BRL1086" s="8" t="s">
        <v>1178</v>
      </c>
    </row>
    <row r="1087" spans="2:2 1351:2024 2072:3032 3080:3656 4235:4283">
      <c r="B1087" s="10"/>
      <c r="AYZ1087" s="8" t="s">
        <v>1788</v>
      </c>
      <c r="BCR1087" s="8" t="s">
        <v>490</v>
      </c>
      <c r="BEN1087" s="8" t="s">
        <v>490</v>
      </c>
      <c r="BGJ1087" s="8" t="s">
        <v>490</v>
      </c>
      <c r="BIF1087" s="8" t="s">
        <v>490</v>
      </c>
      <c r="BLX1087" s="8" t="s">
        <v>524</v>
      </c>
      <c r="BPX1087" s="8" t="s">
        <v>1179</v>
      </c>
      <c r="BRL1087" s="8" t="s">
        <v>1179</v>
      </c>
      <c r="BRT1087" s="8" t="s">
        <v>1179</v>
      </c>
      <c r="BSM1087" s="8" t="s">
        <v>524</v>
      </c>
    </row>
    <row r="1088" spans="2:2 1351:2024 2072:3032 3080:3656 4235:4283">
      <c r="B1088" s="10"/>
      <c r="BBB1088" s="8" t="s">
        <v>2227</v>
      </c>
      <c r="BCX1088" s="8" t="s">
        <v>1789</v>
      </c>
      <c r="BGP1088" s="8" t="s">
        <v>491</v>
      </c>
      <c r="BIL1088" s="8" t="s">
        <v>491</v>
      </c>
      <c r="BKH1088" s="8" t="s">
        <v>491</v>
      </c>
      <c r="BMD1088" s="8" t="s">
        <v>491</v>
      </c>
      <c r="BMF1088" s="8" t="s">
        <v>525</v>
      </c>
      <c r="BOV1088" s="8" t="s">
        <v>525</v>
      </c>
      <c r="BPX1088" s="8" t="s">
        <v>1180</v>
      </c>
      <c r="BRL1088" s="8" t="s">
        <v>1180</v>
      </c>
      <c r="BRT1088" s="8" t="s">
        <v>525</v>
      </c>
      <c r="BTH1088" s="8" t="s">
        <v>1180</v>
      </c>
    </row>
    <row r="1089" spans="2:2 1352:2047 2049:3038 3086:3752 5931:5966">
      <c r="B1089" s="10"/>
      <c r="BCP1089" s="8" t="s">
        <v>2228</v>
      </c>
      <c r="BEL1089" s="8" t="s">
        <v>1790</v>
      </c>
      <c r="BID1089" s="8" t="s">
        <v>492</v>
      </c>
      <c r="BJZ1089" s="8" t="s">
        <v>492</v>
      </c>
      <c r="BLV1089" s="8" t="s">
        <v>492</v>
      </c>
      <c r="BNR1089" s="8" t="s">
        <v>492</v>
      </c>
      <c r="BNT1089" s="8" t="s">
        <v>526</v>
      </c>
      <c r="BRL1089" s="8" t="s">
        <v>1181</v>
      </c>
      <c r="BSE1089" s="8" t="s">
        <v>1181</v>
      </c>
      <c r="BTH1089" s="8" t="s">
        <v>526</v>
      </c>
      <c r="BUA1089" s="8" t="s">
        <v>1181</v>
      </c>
    </row>
    <row r="1090" spans="2:2 1352:2047 2049:3038 3086:3752 5931:5966">
      <c r="B1090" s="10"/>
      <c r="BKB1090" s="8" t="s">
        <v>2229</v>
      </c>
      <c r="BLX1090" s="8" t="s">
        <v>1791</v>
      </c>
      <c r="BOM1090" s="8" t="s">
        <v>527</v>
      </c>
      <c r="BPP1090" s="8" t="s">
        <v>493</v>
      </c>
      <c r="BRL1090" s="8" t="s">
        <v>493</v>
      </c>
      <c r="BTH1090" s="8" t="s">
        <v>493</v>
      </c>
      <c r="BTR1090" s="8" t="s">
        <v>1182</v>
      </c>
      <c r="BUA1090" s="8" t="s">
        <v>1182</v>
      </c>
      <c r="BUJ1090" s="8" t="s">
        <v>527</v>
      </c>
      <c r="BVD1090" s="8" t="s">
        <v>493</v>
      </c>
      <c r="BVN1090" s="8" t="s">
        <v>1182</v>
      </c>
    </row>
    <row r="1091" spans="2:2 1352:2047 2049:3038 3086:3752 5931:5966">
      <c r="B1091" s="10"/>
      <c r="BKB1091" s="8" t="s">
        <v>2230</v>
      </c>
      <c r="BLX1091" s="8" t="s">
        <v>1792</v>
      </c>
      <c r="BOD1091" s="8" t="s">
        <v>1183</v>
      </c>
      <c r="BPA1091" s="8" t="s">
        <v>528</v>
      </c>
      <c r="BPP1091" s="8" t="s">
        <v>494</v>
      </c>
      <c r="BPZ1091" s="8" t="s">
        <v>528</v>
      </c>
      <c r="BRL1091" s="8" t="s">
        <v>494</v>
      </c>
      <c r="BTH1091" s="8" t="s">
        <v>494</v>
      </c>
      <c r="BVD1091" s="8" t="s">
        <v>494</v>
      </c>
      <c r="BVN1091" s="8" t="s">
        <v>528</v>
      </c>
      <c r="CAR1091" s="8" t="s">
        <v>1183</v>
      </c>
      <c r="CCN1091" s="8" t="s">
        <v>1183</v>
      </c>
    </row>
    <row r="1092" spans="2:2 1352:2047 2049:3038 3086:3752 5931:5966">
      <c r="B1092" s="10"/>
      <c r="BMB1092" s="8" t="s">
        <v>2231</v>
      </c>
      <c r="BNX1092" s="8" t="s">
        <v>1793</v>
      </c>
      <c r="BRP1092" s="8" t="s">
        <v>496</v>
      </c>
      <c r="BTL1092" s="8" t="s">
        <v>496</v>
      </c>
      <c r="BVH1092" s="8" t="s">
        <v>496</v>
      </c>
      <c r="BWZ1092" s="8" t="s">
        <v>529</v>
      </c>
      <c r="BXD1092" s="8" t="s">
        <v>496</v>
      </c>
      <c r="BZU1092" s="8" t="s">
        <v>529</v>
      </c>
      <c r="CAR1092" s="8" t="s">
        <v>1184</v>
      </c>
      <c r="CBO1092" s="8" t="s">
        <v>1184</v>
      </c>
      <c r="CCN1092" s="8" t="s">
        <v>529</v>
      </c>
      <c r="CDK1092" s="8" t="s">
        <v>1184</v>
      </c>
    </row>
    <row r="1093" spans="2:2 1352:2047 2049:3038 3086:3752 5931:5966">
      <c r="B1093" s="10"/>
      <c r="BMK1093" s="8" t="s">
        <v>2232</v>
      </c>
      <c r="BOG1093" s="8" t="s">
        <v>1794</v>
      </c>
      <c r="BRY1093" s="8" t="s">
        <v>497</v>
      </c>
      <c r="BTU1093" s="8" t="s">
        <v>497</v>
      </c>
      <c r="BVQ1093" s="8" t="s">
        <v>497</v>
      </c>
      <c r="BXM1093" s="8" t="s">
        <v>497</v>
      </c>
      <c r="BXW1093" s="8" t="s">
        <v>530</v>
      </c>
      <c r="BZS1093" s="8" t="s">
        <v>1185</v>
      </c>
      <c r="CAC1093" s="8" t="s">
        <v>530</v>
      </c>
      <c r="CDK1093" s="8" t="s">
        <v>530</v>
      </c>
      <c r="CHA1093" s="8" t="s">
        <v>1185</v>
      </c>
      <c r="CIW1093" s="8" t="s">
        <v>1185</v>
      </c>
    </row>
    <row r="1094" spans="2:2 1352:2047 2049:3038 3086:3752 5931:5966">
      <c r="B1094" s="10"/>
      <c r="AYZ1094" s="8" t="s">
        <v>4587</v>
      </c>
      <c r="BNB1094" s="8" t="s">
        <v>2233</v>
      </c>
      <c r="BOO1094" s="8" t="s">
        <v>1186</v>
      </c>
      <c r="BOW1094" s="8" t="s">
        <v>531</v>
      </c>
      <c r="BOX1094" s="8" t="s">
        <v>1795</v>
      </c>
      <c r="BSP1094" s="8" t="s">
        <v>495</v>
      </c>
      <c r="BUL1094" s="8" t="s">
        <v>495</v>
      </c>
      <c r="BWH1094" s="8" t="s">
        <v>495</v>
      </c>
      <c r="BYD1094" s="8" t="s">
        <v>495</v>
      </c>
      <c r="CDI1094" s="8" t="s">
        <v>531</v>
      </c>
      <c r="CIW1094" s="8" t="s">
        <v>531</v>
      </c>
      <c r="DAN1094" s="8" t="s">
        <v>1186</v>
      </c>
      <c r="DCJ1094" s="8" t="s">
        <v>1186</v>
      </c>
    </row>
    <row r="1095" spans="2:2 1352:2047 2049:3038 3086:3752 5931:5966">
      <c r="B1095" s="10"/>
      <c r="AYZ1095" s="8" t="s">
        <v>4588</v>
      </c>
      <c r="AZX1095" s="8" t="s">
        <v>1187</v>
      </c>
      <c r="CIB1095" s="8" t="s">
        <v>2234</v>
      </c>
      <c r="CJX1095" s="8" t="s">
        <v>1796</v>
      </c>
      <c r="CNP1095" s="8" t="s">
        <v>498</v>
      </c>
      <c r="CPL1095" s="8" t="s">
        <v>498</v>
      </c>
      <c r="CRH1095" s="8" t="s">
        <v>498</v>
      </c>
      <c r="CTD1095" s="8" t="s">
        <v>498</v>
      </c>
      <c r="CWV1095" s="8" t="s">
        <v>532</v>
      </c>
      <c r="CYR1095" s="8" t="s">
        <v>1187</v>
      </c>
      <c r="CYY1095" s="8" t="s">
        <v>532</v>
      </c>
      <c r="DCJ1095" s="8" t="s">
        <v>532</v>
      </c>
      <c r="DFQ1095" s="8" t="s">
        <v>1187</v>
      </c>
      <c r="DHM1095" s="8" t="s">
        <v>1187</v>
      </c>
    </row>
    <row r="1096" spans="2:2 1352:2047 2049:3038 3086:3752 5931:5966">
      <c r="B1096" s="10"/>
      <c r="AYZ1096" s="8" t="s">
        <v>4865</v>
      </c>
      <c r="BAP1096" s="8" t="s">
        <v>533</v>
      </c>
      <c r="BAV1096" s="8" t="s">
        <v>4589</v>
      </c>
      <c r="BBN1096" s="8" t="s">
        <v>533</v>
      </c>
      <c r="BCL1096" s="8" t="s">
        <v>1188</v>
      </c>
      <c r="CJX1096" s="8" t="s">
        <v>2235</v>
      </c>
      <c r="CLT1096" s="8" t="s">
        <v>1797</v>
      </c>
      <c r="CPL1096" s="8" t="s">
        <v>499</v>
      </c>
      <c r="CRH1096" s="8" t="s">
        <v>499</v>
      </c>
      <c r="CTD1096" s="8" t="s">
        <v>499</v>
      </c>
      <c r="CUZ1096" s="8" t="s">
        <v>499</v>
      </c>
      <c r="DBY1096" s="8" t="s">
        <v>533</v>
      </c>
      <c r="DFH1096" s="8" t="s">
        <v>533</v>
      </c>
      <c r="DFQ1096" s="8" t="s">
        <v>1188</v>
      </c>
      <c r="DGH1096" s="8" t="s">
        <v>1188</v>
      </c>
      <c r="DHM1096" s="8" t="s">
        <v>533</v>
      </c>
      <c r="DID1096" s="8" t="s">
        <v>1188</v>
      </c>
    </row>
    <row r="1097" spans="2:2 1352:2047 2049:3038 3086:3752 5931:5966">
      <c r="B1097" s="10"/>
      <c r="BAY1097" s="8" t="s">
        <v>534</v>
      </c>
      <c r="BBW1097" s="8" t="s">
        <v>534</v>
      </c>
      <c r="BCU1097" s="8" t="s">
        <v>1408</v>
      </c>
      <c r="BKB1097" s="8" t="s">
        <v>4866</v>
      </c>
      <c r="BLX1097" s="8" t="s">
        <v>4590</v>
      </c>
      <c r="CPL1097" s="8" t="s">
        <v>2236</v>
      </c>
      <c r="CRH1097" s="8" t="s">
        <v>1798</v>
      </c>
      <c r="CUZ1097" s="8" t="s">
        <v>500</v>
      </c>
      <c r="CWV1097" s="8" t="s">
        <v>500</v>
      </c>
      <c r="CYR1097" s="8" t="s">
        <v>500</v>
      </c>
      <c r="DAN1097" s="8" t="s">
        <v>500</v>
      </c>
      <c r="DCP1097" s="8" t="s">
        <v>534</v>
      </c>
      <c r="DID1097" s="8" t="s">
        <v>534</v>
      </c>
      <c r="HTC1097" s="8" t="s">
        <v>534</v>
      </c>
      <c r="HUL1097" s="8" t="s">
        <v>1408</v>
      </c>
    </row>
    <row r="1098" spans="2:2 1352:2047 2049:3038 3086:3752 5931:5966">
      <c r="B1098" s="10"/>
      <c r="BLX1098" s="8" t="s">
        <v>4867</v>
      </c>
      <c r="BNT1098" s="8" t="s">
        <v>4591</v>
      </c>
      <c r="CRH1098" s="8" t="s">
        <v>2237</v>
      </c>
      <c r="CTD1098" s="8" t="s">
        <v>1799</v>
      </c>
      <c r="CWV1098" s="8" t="s">
        <v>501</v>
      </c>
      <c r="CYR1098" s="8" t="s">
        <v>501</v>
      </c>
      <c r="DAN1098" s="8" t="s">
        <v>501</v>
      </c>
      <c r="DCJ1098" s="8" t="s">
        <v>501</v>
      </c>
    </row>
    <row r="1099" spans="2:2 1352:2047 2049:3038 3086:3752 5931:5966">
      <c r="B1099" s="10"/>
      <c r="BTS1099" s="8" t="s">
        <v>4868</v>
      </c>
      <c r="BVO1099" s="8" t="s">
        <v>4592</v>
      </c>
      <c r="CWV1099" s="8" t="s">
        <v>2238</v>
      </c>
      <c r="CYR1099" s="8" t="s">
        <v>1800</v>
      </c>
      <c r="DCJ1099" s="8" t="s">
        <v>1535</v>
      </c>
      <c r="DEF1099" s="8" t="s">
        <v>1535</v>
      </c>
      <c r="DGB1099" s="8" t="s">
        <v>1535</v>
      </c>
      <c r="DHX1099" s="8" t="s">
        <v>1535</v>
      </c>
    </row>
    <row r="1100" spans="2:2 1352:2047 2049:3038 3086:3752 5931:5966">
      <c r="B1100" s="10"/>
      <c r="CWV1100" s="8" t="s">
        <v>2239</v>
      </c>
      <c r="CYR1100" s="8" t="s">
        <v>1801</v>
      </c>
      <c r="DCJ1100" s="8" t="s">
        <v>1536</v>
      </c>
      <c r="DEF1100" s="8" t="s">
        <v>1536</v>
      </c>
      <c r="DGB1100" s="8" t="s">
        <v>1536</v>
      </c>
      <c r="DHX1100" s="8" t="s">
        <v>4869</v>
      </c>
      <c r="DJT1100" s="8" t="s">
        <v>4593</v>
      </c>
    </row>
    <row r="1101" spans="2:2 1352:2047 2049:3038 3086:3752 5931:5966">
      <c r="B1101" s="10"/>
      <c r="DAN1101" s="8" t="s">
        <v>2240</v>
      </c>
      <c r="DCJ1101" s="8" t="s">
        <v>1802</v>
      </c>
      <c r="DGB1101" s="8" t="s">
        <v>502</v>
      </c>
      <c r="DHX1101" s="8" t="s">
        <v>502</v>
      </c>
      <c r="DJT1101" s="8" t="s">
        <v>502</v>
      </c>
      <c r="DLP1101" s="8" t="s">
        <v>502</v>
      </c>
      <c r="DWR1101" s="8" t="s">
        <v>4870</v>
      </c>
      <c r="DYN1101" s="8" t="s">
        <v>4594</v>
      </c>
    </row>
    <row r="1102" spans="2:2 1352:2047 2049:3038 3086:3752 5931:5966">
      <c r="B1102" s="10"/>
      <c r="DCP1102" s="8" t="s">
        <v>2241</v>
      </c>
      <c r="DEL1102" s="8" t="s">
        <v>1803</v>
      </c>
      <c r="DID1102" s="8" t="s">
        <v>503</v>
      </c>
      <c r="DJZ1102" s="8" t="s">
        <v>503</v>
      </c>
      <c r="DLV1102" s="8" t="s">
        <v>503</v>
      </c>
      <c r="DNR1102" s="8" t="s">
        <v>503</v>
      </c>
      <c r="ELL1102" s="8" t="s">
        <v>4871</v>
      </c>
      <c r="ENH1102" s="8" t="s">
        <v>4595</v>
      </c>
    </row>
    <row r="1103" spans="2:2 1352:2047 2049:3038 3086:3752 5931:5966">
      <c r="B1103" s="10"/>
      <c r="DPN1103" s="8" t="s">
        <v>2242</v>
      </c>
      <c r="DRJ1103" s="8" t="s">
        <v>1804</v>
      </c>
      <c r="DVB1103" s="8" t="s">
        <v>504</v>
      </c>
      <c r="DWX1103" s="8" t="s">
        <v>504</v>
      </c>
      <c r="DYT1103" s="8" t="s">
        <v>504</v>
      </c>
      <c r="EAP1103" s="8" t="s">
        <v>504</v>
      </c>
    </row>
    <row r="1104" spans="2:2 1352:2047 2049:3038 3086:3752 5931:5966">
      <c r="B1104" s="10"/>
      <c r="DRD1104" s="8" t="s">
        <v>2243</v>
      </c>
      <c r="DSZ1104" s="8" t="s">
        <v>1805</v>
      </c>
      <c r="DWR1104" s="8" t="s">
        <v>505</v>
      </c>
      <c r="DYN1104" s="8" t="s">
        <v>505</v>
      </c>
      <c r="EAJ1104" s="8" t="s">
        <v>505</v>
      </c>
      <c r="ECF1104" s="8" t="s">
        <v>505</v>
      </c>
    </row>
    <row r="1105" spans="2:2 1352:1959 2168:2402 3224:4040 4136:4280">
      <c r="B1105" s="10"/>
      <c r="DSZ1105" s="8" t="s">
        <v>2244</v>
      </c>
      <c r="DUV1105" s="8" t="s">
        <v>1806</v>
      </c>
      <c r="DYN1105" s="8" t="s">
        <v>506</v>
      </c>
      <c r="EAJ1105" s="8" t="s">
        <v>506</v>
      </c>
      <c r="ECF1105" s="8" t="s">
        <v>506</v>
      </c>
      <c r="EEB1105" s="8" t="s">
        <v>506</v>
      </c>
    </row>
    <row r="1106" spans="2:2 1352:1959 2168:2402 3224:4040 4136:4280">
      <c r="B1106" s="10"/>
      <c r="BGJ1106" s="8" t="s">
        <v>806</v>
      </c>
      <c r="DUV1106" s="8" t="s">
        <v>2245</v>
      </c>
      <c r="DWR1106" s="8" t="s">
        <v>1807</v>
      </c>
      <c r="EAJ1106" s="8" t="s">
        <v>507</v>
      </c>
      <c r="ECF1106" s="8" t="s">
        <v>507</v>
      </c>
      <c r="EEB1106" s="8" t="s">
        <v>507</v>
      </c>
      <c r="EFX1106" s="8" t="s">
        <v>507</v>
      </c>
    </row>
    <row r="1107" spans="2:2 1352:1959 2168:2402 3224:4040 4136:4280">
      <c r="B1107" s="10"/>
      <c r="BIF1107" s="8" t="s">
        <v>538</v>
      </c>
      <c r="DWR1107" s="8" t="s">
        <v>2246</v>
      </c>
      <c r="DYN1107" s="8" t="s">
        <v>1808</v>
      </c>
      <c r="ECF1107" s="8" t="s">
        <v>508</v>
      </c>
      <c r="EEB1107" s="8" t="s">
        <v>508</v>
      </c>
      <c r="EFX1107" s="8" t="s">
        <v>508</v>
      </c>
      <c r="EHT1107" s="8" t="s">
        <v>508</v>
      </c>
    </row>
    <row r="1108" spans="2:2 1352:1959 2168:2402 3224:4040 4136:4280">
      <c r="B1108" s="10"/>
      <c r="BRL1108" s="8" t="s">
        <v>539</v>
      </c>
      <c r="DYN1108" s="8" t="s">
        <v>2247</v>
      </c>
      <c r="EAJ1108" s="8" t="s">
        <v>1809</v>
      </c>
      <c r="EEB1108" s="8" t="s">
        <v>509</v>
      </c>
      <c r="EFX1108" s="8" t="s">
        <v>509</v>
      </c>
      <c r="EHT1108" s="8" t="s">
        <v>509</v>
      </c>
      <c r="EJP1108" s="8" t="s">
        <v>509</v>
      </c>
    </row>
    <row r="1109" spans="2:2 1352:1959 2168:2402 3224:4040 4136:4280">
      <c r="B1109" s="10"/>
      <c r="BRL1109" s="8" t="s">
        <v>540</v>
      </c>
      <c r="EJP1109" s="8" t="s">
        <v>2248</v>
      </c>
      <c r="ELL1109" s="8" t="s">
        <v>1810</v>
      </c>
      <c r="EPD1109" s="8" t="s">
        <v>1537</v>
      </c>
      <c r="EQZ1109" s="8" t="s">
        <v>1537</v>
      </c>
      <c r="ESV1109" s="8" t="s">
        <v>1537</v>
      </c>
      <c r="EUR1109" s="8" t="s">
        <v>1537</v>
      </c>
    </row>
    <row r="1110" spans="2:2 1352:1959 2168:2402 3224:4040 4136:4280">
      <c r="B1110" s="10"/>
      <c r="BRM1110" s="8" t="s">
        <v>541</v>
      </c>
      <c r="EWN1110" s="8" t="s">
        <v>2249</v>
      </c>
      <c r="EYJ1110" s="8" t="s">
        <v>1811</v>
      </c>
      <c r="FCB1110" s="8" t="s">
        <v>1473</v>
      </c>
      <c r="FDX1110" s="8" t="s">
        <v>1473</v>
      </c>
      <c r="FFT1110" s="8" t="s">
        <v>1473</v>
      </c>
      <c r="FHP1110" s="8" t="s">
        <v>1473</v>
      </c>
    </row>
    <row r="1111" spans="2:2 1352:1959 2168:2402 3224:4040 4136:4280">
      <c r="B1111" s="10"/>
      <c r="BAA1111" s="8" t="s">
        <v>512</v>
      </c>
      <c r="BSW1111" s="8" t="s">
        <v>542</v>
      </c>
    </row>
    <row r="1112" spans="2:2 1352:1959 2168:2402 3224:4040 4136:4280">
      <c r="B1112" s="10"/>
      <c r="BAU1112" s="8" t="s">
        <v>513</v>
      </c>
      <c r="BUF1112" s="8" t="s">
        <v>543</v>
      </c>
    </row>
    <row r="1113" spans="2:2 1352:1959 2168:2402 3224:4040 4136:4280">
      <c r="B1113" s="10"/>
      <c r="BCH1113" s="8" t="s">
        <v>514</v>
      </c>
      <c r="BWI1113" s="8" t="s">
        <v>544</v>
      </c>
    </row>
    <row r="1114" spans="2:2 1352:1959 2168:2402 3224:4040 4136:4280">
      <c r="B1114" s="10"/>
      <c r="BCX1114" s="8" t="s">
        <v>515</v>
      </c>
      <c r="BVI1114" s="8" t="s">
        <v>545</v>
      </c>
    </row>
    <row r="1115" spans="2:2 1352:1959 2168:2402 3224:4040 4136:4280">
      <c r="B1115" s="10"/>
      <c r="BDG1115" s="8" t="s">
        <v>516</v>
      </c>
      <c r="CEJ1115" s="8" t="s">
        <v>546</v>
      </c>
    </row>
    <row r="1116" spans="2:2 1352:1959 2168:2402 3224:4040 4136:4280">
      <c r="B1116" s="10"/>
      <c r="BEN1116" s="8" t="s">
        <v>517</v>
      </c>
      <c r="CEJ1116" s="8" t="s">
        <v>547</v>
      </c>
    </row>
    <row r="1117" spans="2:2 1352:1959 2168:2402 3224:4040 4136:4280">
      <c r="B1117" s="10"/>
      <c r="BEN1117" s="8" t="s">
        <v>518</v>
      </c>
      <c r="CGQ1117" s="8" t="s">
        <v>548</v>
      </c>
    </row>
    <row r="1118" spans="2:2 1352:1959 2168:2402 3224:4040 4136:4280">
      <c r="B1118" s="10"/>
      <c r="BFO1118" s="8" t="s">
        <v>519</v>
      </c>
      <c r="CHT1118" s="8" t="s">
        <v>549</v>
      </c>
    </row>
    <row r="1119" spans="2:2 1352:1959 2168:2402 3224:4040 4136:4280">
      <c r="B1119" s="10"/>
      <c r="AYZ1119" s="8" t="s">
        <v>482</v>
      </c>
      <c r="BGJ1119" s="8" t="s">
        <v>520</v>
      </c>
      <c r="CMF1119" s="8" t="s">
        <v>550</v>
      </c>
    </row>
    <row r="1120" spans="2:2 1352:1959 2168:2402 3224:4040 4136:4280">
      <c r="B1120" s="10"/>
      <c r="AYZ1120" s="8" t="s">
        <v>483</v>
      </c>
      <c r="BAV1120" s="8" t="s">
        <v>483</v>
      </c>
      <c r="BPV1120" s="8" t="s">
        <v>521</v>
      </c>
      <c r="CNJ1120" s="8" t="s">
        <v>551</v>
      </c>
    </row>
    <row r="1121" spans="2:2 1352:2037 2054:3056 3085:3656">
      <c r="B1121" s="10"/>
      <c r="BAV1121" s="8" t="s">
        <v>484</v>
      </c>
      <c r="BCR1121" s="8" t="s">
        <v>484</v>
      </c>
      <c r="BRL1121" s="8" t="s">
        <v>522</v>
      </c>
      <c r="CON1121" s="8" t="s">
        <v>552</v>
      </c>
    </row>
    <row r="1122" spans="2:2 1352:2037 2054:3056 3085:3656">
      <c r="B1122" s="10"/>
      <c r="BCK1122" s="8" t="s">
        <v>485</v>
      </c>
      <c r="BEG1122" s="8" t="s">
        <v>485</v>
      </c>
      <c r="BRL1122" s="8" t="s">
        <v>523</v>
      </c>
      <c r="CPQ1122" s="8" t="s">
        <v>553</v>
      </c>
    </row>
    <row r="1123" spans="2:2 1352:2037 2054:3056 3085:3656">
      <c r="B1123" s="10"/>
      <c r="BDX1123" s="8" t="s">
        <v>486</v>
      </c>
      <c r="BFT1123" s="8" t="s">
        <v>486</v>
      </c>
      <c r="BRT1123" s="8" t="s">
        <v>524</v>
      </c>
      <c r="CVC1123" s="8" t="s">
        <v>554</v>
      </c>
    </row>
    <row r="1124" spans="2:2 1352:2037 2054:3056 3085:3656">
      <c r="B1124" s="10"/>
      <c r="BEN1124" s="8" t="s">
        <v>1189</v>
      </c>
      <c r="BFE1124" s="8" t="s">
        <v>487</v>
      </c>
      <c r="BGJ1124" s="8" t="s">
        <v>1189</v>
      </c>
      <c r="BHA1124" s="8" t="s">
        <v>487</v>
      </c>
      <c r="BTH1124" s="8" t="s">
        <v>525</v>
      </c>
      <c r="DHS1124" s="8" t="s">
        <v>555</v>
      </c>
    </row>
    <row r="1125" spans="2:2 1352:2037 2054:3056 3085:3656">
      <c r="B1125" s="10"/>
      <c r="BAV1125" s="8" t="s">
        <v>538</v>
      </c>
      <c r="BEN1125" s="8" t="s">
        <v>1190</v>
      </c>
      <c r="BFL1125" s="8" t="s">
        <v>538</v>
      </c>
      <c r="BGJ1125" s="8" t="s">
        <v>488</v>
      </c>
      <c r="BIF1125" s="8" t="s">
        <v>488</v>
      </c>
      <c r="BUA1125" s="8" t="s">
        <v>526</v>
      </c>
      <c r="DJC1125" s="8" t="s">
        <v>556</v>
      </c>
    </row>
    <row r="1126" spans="2:2 1352:2037 2054:3056 3085:3656">
      <c r="B1126" s="10"/>
      <c r="AYZ1126" s="8" t="s">
        <v>1191</v>
      </c>
      <c r="BCR1126" s="8" t="s">
        <v>539</v>
      </c>
      <c r="BHL1126" s="8" t="s">
        <v>489</v>
      </c>
      <c r="BIF1126" s="8" t="s">
        <v>539</v>
      </c>
      <c r="BJH1126" s="8" t="s">
        <v>489</v>
      </c>
      <c r="BPP1126" s="8" t="s">
        <v>1191</v>
      </c>
      <c r="BRL1126" s="8" t="s">
        <v>1191</v>
      </c>
      <c r="BVN1126" s="8" t="s">
        <v>527</v>
      </c>
      <c r="DKF1126" s="8" t="s">
        <v>557</v>
      </c>
    </row>
    <row r="1127" spans="2:2 1352:2037 2054:3056 3085:3656">
      <c r="B1127" s="10"/>
      <c r="BIF1127" s="8" t="s">
        <v>490</v>
      </c>
      <c r="BKB1127" s="8" t="s">
        <v>490</v>
      </c>
      <c r="BLX1127" s="8" t="s">
        <v>540</v>
      </c>
      <c r="BPP1127" s="8" t="s">
        <v>1192</v>
      </c>
      <c r="BRL1127" s="8" t="s">
        <v>1192</v>
      </c>
      <c r="CCN1127" s="8" t="s">
        <v>528</v>
      </c>
      <c r="DLJ1127" s="8" t="s">
        <v>558</v>
      </c>
    </row>
    <row r="1128" spans="2:2 1352:2037 2054:3056 3085:3656">
      <c r="B1128" s="10"/>
      <c r="BLX1128" s="8" t="s">
        <v>541</v>
      </c>
      <c r="BMD1128" s="8" t="s">
        <v>491</v>
      </c>
      <c r="BNZ1128" s="8" t="s">
        <v>491</v>
      </c>
      <c r="BPQ1128" s="8" t="s">
        <v>1193</v>
      </c>
      <c r="BRL1128" s="8" t="s">
        <v>1193</v>
      </c>
      <c r="BRM1128" s="8" t="s">
        <v>1193</v>
      </c>
      <c r="BSR1128" s="8" t="s">
        <v>541</v>
      </c>
      <c r="CDK1128" s="8" t="s">
        <v>529</v>
      </c>
      <c r="DMN1128" s="8" t="s">
        <v>559</v>
      </c>
    </row>
    <row r="1129" spans="2:2 1352:2037 2054:3056 3085:3656">
      <c r="B1129" s="10"/>
      <c r="BLY1129" s="8" t="s">
        <v>542</v>
      </c>
      <c r="BNR1129" s="8" t="s">
        <v>492</v>
      </c>
      <c r="BNY1129" s="8" t="s">
        <v>542</v>
      </c>
      <c r="BPN1129" s="8" t="s">
        <v>492</v>
      </c>
      <c r="BPQ1129" s="8" t="s">
        <v>1194</v>
      </c>
      <c r="BRA1129" s="8" t="s">
        <v>1194</v>
      </c>
      <c r="BRM1129" s="8" t="s">
        <v>542</v>
      </c>
      <c r="BSW1129" s="8" t="s">
        <v>1194</v>
      </c>
      <c r="CIW1129" s="8" t="s">
        <v>530</v>
      </c>
      <c r="DNQ1129" s="8" t="s">
        <v>560</v>
      </c>
    </row>
    <row r="1130" spans="2:2 1352:2037 2054:3056 3085:3656">
      <c r="B1130" s="10"/>
      <c r="BNI1130" s="8" t="s">
        <v>543</v>
      </c>
      <c r="BSJ1130" s="8" t="s">
        <v>1195</v>
      </c>
      <c r="BSW1130" s="8" t="s">
        <v>1195</v>
      </c>
      <c r="BUF1130" s="8" t="s">
        <v>1195</v>
      </c>
      <c r="BVD1130" s="8" t="s">
        <v>493</v>
      </c>
      <c r="BWZ1130" s="8" t="s">
        <v>493</v>
      </c>
      <c r="DCJ1130" s="8" t="s">
        <v>531</v>
      </c>
      <c r="DPH1130" s="8" t="s">
        <v>561</v>
      </c>
    </row>
    <row r="1131" spans="2:2 1352:2037 2054:3056 3085:3656">
      <c r="B1131" s="10"/>
      <c r="BOR1131" s="8" t="s">
        <v>544</v>
      </c>
      <c r="BPC1131" s="8" t="s">
        <v>544</v>
      </c>
      <c r="BQN1131" s="8" t="s">
        <v>1196</v>
      </c>
      <c r="BUF1131" s="8" t="s">
        <v>544</v>
      </c>
      <c r="BUM1131" s="8" t="s">
        <v>1196</v>
      </c>
      <c r="BVD1131" s="8" t="s">
        <v>494</v>
      </c>
      <c r="BWI1131" s="8" t="s">
        <v>1196</v>
      </c>
      <c r="BWZ1131" s="8" t="s">
        <v>494</v>
      </c>
      <c r="DHM1131" s="8" t="s">
        <v>532</v>
      </c>
      <c r="DRD1131" s="8" t="s">
        <v>562</v>
      </c>
    </row>
    <row r="1132" spans="2:2 1352:2037 2054:3056 3085:3656">
      <c r="B1132" s="10"/>
      <c r="BQU1132" s="8" t="s">
        <v>545</v>
      </c>
      <c r="BTM1132" s="8" t="s">
        <v>1197</v>
      </c>
      <c r="BVI1132" s="8" t="s">
        <v>1197</v>
      </c>
      <c r="BWI1132" s="8" t="s">
        <v>545</v>
      </c>
      <c r="BXD1132" s="8" t="s">
        <v>496</v>
      </c>
      <c r="BYD1132" s="8" t="s">
        <v>495</v>
      </c>
      <c r="BYE1132" s="8" t="s">
        <v>1197</v>
      </c>
      <c r="BYW1132" s="8" t="s">
        <v>545</v>
      </c>
      <c r="BZZ1132" s="8" t="s">
        <v>495</v>
      </c>
      <c r="DID1132" s="8" t="s">
        <v>533</v>
      </c>
      <c r="DSZ1132" s="8" t="s">
        <v>563</v>
      </c>
    </row>
    <row r="1133" spans="2:2 1352:2037 2054:3056 3085:3656">
      <c r="B1133" s="10"/>
      <c r="BLX1133" s="8" t="s">
        <v>546</v>
      </c>
      <c r="BMC1133" s="8" t="s">
        <v>1198</v>
      </c>
      <c r="BPU1133" s="8" t="s">
        <v>546</v>
      </c>
      <c r="BVI1133" s="8" t="s">
        <v>546</v>
      </c>
      <c r="BXD1133" s="8" t="s">
        <v>496</v>
      </c>
      <c r="BXM1133" s="8" t="s">
        <v>497</v>
      </c>
      <c r="BYZ1133" s="8" t="s">
        <v>496</v>
      </c>
      <c r="CCN1133" s="8" t="s">
        <v>1198</v>
      </c>
      <c r="CEJ1133" s="8" t="s">
        <v>1198</v>
      </c>
      <c r="DUV1133" s="8" t="s">
        <v>564</v>
      </c>
    </row>
    <row r="1134" spans="2:2 1352:2037 2054:3056 3085:3656">
      <c r="B1134" s="10"/>
      <c r="BXM1134" s="8" t="s">
        <v>497</v>
      </c>
      <c r="BYD1134" s="8" t="s">
        <v>495</v>
      </c>
      <c r="BYV1134" s="8" t="s">
        <v>547</v>
      </c>
      <c r="BZI1134" s="8" t="s">
        <v>497</v>
      </c>
      <c r="CCN1134" s="8" t="s">
        <v>1199</v>
      </c>
      <c r="CEJ1134" s="8" t="s">
        <v>1199</v>
      </c>
      <c r="EES1134" s="8" t="s">
        <v>565</v>
      </c>
    </row>
    <row r="1135" spans="2:2 1352:2037 2054:3056 3085:3656">
      <c r="B1135" s="10"/>
      <c r="BYV1135" s="8" t="s">
        <v>548</v>
      </c>
      <c r="CCN1135" s="8" t="s">
        <v>1200</v>
      </c>
      <c r="CCY1135" s="8" t="s">
        <v>548</v>
      </c>
      <c r="CEJ1135" s="8" t="s">
        <v>548</v>
      </c>
      <c r="CEU1135" s="8" t="s">
        <v>1200</v>
      </c>
      <c r="CGQ1135" s="8" t="s">
        <v>1200</v>
      </c>
      <c r="CTD1135" s="8" t="s">
        <v>498</v>
      </c>
      <c r="CUZ1135" s="8" t="s">
        <v>498</v>
      </c>
      <c r="EHT1135" s="8" t="s">
        <v>566</v>
      </c>
    </row>
    <row r="1136" spans="2:2 1352:2037 2054:3056 3085:3656">
      <c r="B1136" s="10"/>
      <c r="CBC1136" s="8" t="s">
        <v>549</v>
      </c>
      <c r="CEB1136" s="8" t="s">
        <v>549</v>
      </c>
      <c r="CEU1136" s="8" t="s">
        <v>1201</v>
      </c>
      <c r="CFX1136" s="8" t="s">
        <v>1201</v>
      </c>
      <c r="CGQ1136" s="8" t="s">
        <v>549</v>
      </c>
      <c r="CHT1136" s="8" t="s">
        <v>1201</v>
      </c>
      <c r="CUZ1136" s="8" t="s">
        <v>499</v>
      </c>
      <c r="CWV1136" s="8" t="s">
        <v>499</v>
      </c>
      <c r="EJP1136" s="8" t="s">
        <v>567</v>
      </c>
    </row>
    <row r="1137" spans="2:2 1397:1616 2112:3056 3080:3995 4280:4328">
      <c r="B1137" s="10"/>
      <c r="CCF1137" s="8" t="s">
        <v>550</v>
      </c>
      <c r="CEB1137" s="8" t="s">
        <v>1202</v>
      </c>
      <c r="CEV1137" s="8" t="s">
        <v>550</v>
      </c>
      <c r="CHT1137" s="8" t="s">
        <v>550</v>
      </c>
      <c r="CKJ1137" s="8" t="s">
        <v>1202</v>
      </c>
      <c r="CMF1137" s="8" t="s">
        <v>1202</v>
      </c>
      <c r="DAN1137" s="8" t="s">
        <v>500</v>
      </c>
      <c r="DCJ1137" s="8" t="s">
        <v>500</v>
      </c>
      <c r="EWQ1137" s="8" t="s">
        <v>568</v>
      </c>
    </row>
    <row r="1138" spans="2:2 1397:1616 2112:3056 3080:3995 4280:4328">
      <c r="B1138" s="10"/>
      <c r="CGR1138" s="8" t="s">
        <v>551</v>
      </c>
      <c r="CJR1138" s="8" t="s">
        <v>551</v>
      </c>
      <c r="CKJ1138" s="8" t="s">
        <v>1203</v>
      </c>
      <c r="CLN1138" s="8" t="s">
        <v>1203</v>
      </c>
      <c r="CMF1138" s="8" t="s">
        <v>551</v>
      </c>
      <c r="CNJ1138" s="8" t="s">
        <v>1203</v>
      </c>
      <c r="DCJ1138" s="8" t="s">
        <v>501</v>
      </c>
      <c r="DEF1138" s="8" t="s">
        <v>501</v>
      </c>
    </row>
    <row r="1139" spans="2:2 1397:1616 2112:3056 3080:3995 4280:4328">
      <c r="B1139" s="10"/>
      <c r="CHV1139" s="8" t="s">
        <v>552</v>
      </c>
      <c r="CMR1139" s="8" t="s">
        <v>1204</v>
      </c>
      <c r="CNJ1139" s="8" t="s">
        <v>1204</v>
      </c>
      <c r="CON1139" s="8" t="s">
        <v>1204</v>
      </c>
      <c r="DLP1139" s="8" t="s">
        <v>502</v>
      </c>
      <c r="DNL1139" s="8" t="s">
        <v>502</v>
      </c>
    </row>
    <row r="1140" spans="2:2 1397:1616 2112:3056 3080:3995 4280:4328">
      <c r="B1140" s="10"/>
      <c r="CIZ1140" s="8" t="s">
        <v>553</v>
      </c>
      <c r="CLY1140" s="8" t="s">
        <v>553</v>
      </c>
      <c r="CMR1140" s="8" t="s">
        <v>1205</v>
      </c>
      <c r="CNU1140" s="8" t="s">
        <v>1205</v>
      </c>
      <c r="CON1140" s="8" t="s">
        <v>553</v>
      </c>
      <c r="CPQ1140" s="8" t="s">
        <v>1205</v>
      </c>
      <c r="DNR1140" s="8" t="s">
        <v>503</v>
      </c>
      <c r="DPN1140" s="8" t="s">
        <v>503</v>
      </c>
    </row>
    <row r="1141" spans="2:2 1397:1616 2112:3056 3080:3995 4280:4328">
      <c r="B1141" s="10"/>
      <c r="CKA1141" s="8" t="s">
        <v>554</v>
      </c>
      <c r="CKC1141" s="8" t="s">
        <v>554</v>
      </c>
      <c r="CPQ1141" s="8" t="s">
        <v>554</v>
      </c>
      <c r="CTG1141" s="8" t="s">
        <v>1206</v>
      </c>
      <c r="CVC1141" s="8" t="s">
        <v>1206</v>
      </c>
      <c r="EAP1141" s="8" t="s">
        <v>504</v>
      </c>
      <c r="ECL1141" s="8" t="s">
        <v>504</v>
      </c>
    </row>
    <row r="1142" spans="2:2 1397:1616 2112:3056 3080:3995 4280:4328">
      <c r="B1142" s="10"/>
      <c r="CHW1142" s="8" t="s">
        <v>555</v>
      </c>
      <c r="CIE1142" s="8" t="s">
        <v>1207</v>
      </c>
      <c r="CPO1142" s="8" t="s">
        <v>555</v>
      </c>
      <c r="CVC1142" s="8" t="s">
        <v>555</v>
      </c>
      <c r="DFW1142" s="8" t="s">
        <v>1207</v>
      </c>
      <c r="DHS1142" s="8" t="s">
        <v>1207</v>
      </c>
      <c r="ECF1142" s="8" t="s">
        <v>505</v>
      </c>
      <c r="EEB1142" s="8" t="s">
        <v>505</v>
      </c>
    </row>
    <row r="1143" spans="2:2 1397:1616 2112:3056 3080:3995 4280:4328">
      <c r="B1143" s="10"/>
      <c r="BAS1143" s="8" t="s">
        <v>556</v>
      </c>
      <c r="BBQ1143" s="8" t="s">
        <v>556</v>
      </c>
      <c r="BCO1143" s="8" t="s">
        <v>1208</v>
      </c>
      <c r="DCE1143" s="8" t="s">
        <v>556</v>
      </c>
      <c r="DHG1143" s="8" t="s">
        <v>1208</v>
      </c>
      <c r="DHS1143" s="8" t="s">
        <v>1208</v>
      </c>
      <c r="DJC1143" s="8" t="s">
        <v>1208</v>
      </c>
      <c r="EEB1143" s="8" t="s">
        <v>506</v>
      </c>
      <c r="EFX1143" s="8" t="s">
        <v>506</v>
      </c>
    </row>
    <row r="1144" spans="2:2 1397:1616 2112:3056 3080:3995 4280:4328">
      <c r="B1144" s="10"/>
      <c r="BBK1144" s="8" t="s">
        <v>557</v>
      </c>
      <c r="BCI1144" s="8" t="s">
        <v>557</v>
      </c>
      <c r="BDG1144" s="8" t="s">
        <v>1209</v>
      </c>
      <c r="DDO1144" s="8" t="s">
        <v>557</v>
      </c>
      <c r="DGN1144" s="8" t="s">
        <v>557</v>
      </c>
      <c r="DHG1144" s="8" t="s">
        <v>1209</v>
      </c>
      <c r="DIJ1144" s="8" t="s">
        <v>1209</v>
      </c>
      <c r="DJC1144" s="8" t="s">
        <v>557</v>
      </c>
      <c r="DKF1144" s="8" t="s">
        <v>1209</v>
      </c>
      <c r="EFX1144" s="8" t="s">
        <v>507</v>
      </c>
      <c r="EHT1144" s="8" t="s">
        <v>507</v>
      </c>
    </row>
    <row r="1145" spans="2:2 1397:1616 2112:3056 3080:3995 4280:4328">
      <c r="B1145" s="10"/>
      <c r="BBZ1145" s="8" t="s">
        <v>558</v>
      </c>
      <c r="BCX1145" s="8" t="s">
        <v>558</v>
      </c>
      <c r="BDV1145" s="8" t="s">
        <v>1210</v>
      </c>
      <c r="DER1145" s="8" t="s">
        <v>558</v>
      </c>
      <c r="DHR1145" s="8" t="s">
        <v>558</v>
      </c>
      <c r="DIJ1145" s="8" t="s">
        <v>1210</v>
      </c>
      <c r="DJN1145" s="8" t="s">
        <v>1210</v>
      </c>
      <c r="DKF1145" s="8" t="s">
        <v>558</v>
      </c>
      <c r="DLJ1145" s="8" t="s">
        <v>1210</v>
      </c>
      <c r="EHT1145" s="8" t="s">
        <v>508</v>
      </c>
      <c r="EJP1145" s="8" t="s">
        <v>508</v>
      </c>
    </row>
    <row r="1146" spans="2:2 1397:1616 2112:3056 3080:3995 4280:4328">
      <c r="B1146" s="10"/>
      <c r="BCO1146" s="8" t="s">
        <v>559</v>
      </c>
      <c r="BDM1146" s="8" t="s">
        <v>559</v>
      </c>
      <c r="BEK1146" s="8" t="s">
        <v>1211</v>
      </c>
      <c r="DFV1146" s="8" t="s">
        <v>559</v>
      </c>
      <c r="DKR1146" s="8" t="s">
        <v>1211</v>
      </c>
      <c r="DLJ1146" s="8" t="s">
        <v>1211</v>
      </c>
      <c r="DMN1146" s="8" t="s">
        <v>1211</v>
      </c>
      <c r="EJP1146" s="8" t="s">
        <v>509</v>
      </c>
      <c r="ELL1146" s="8" t="s">
        <v>509</v>
      </c>
    </row>
    <row r="1147" spans="2:2 1397:1616 2112:3056 3080:3995 4280:4328">
      <c r="B1147" s="10"/>
      <c r="BDD1147" s="8" t="s">
        <v>560</v>
      </c>
      <c r="BEB1147" s="8" t="s">
        <v>560</v>
      </c>
      <c r="BEZ1147" s="8" t="s">
        <v>1212</v>
      </c>
      <c r="DGZ1147" s="8" t="s">
        <v>560</v>
      </c>
      <c r="DJY1147" s="8" t="s">
        <v>560</v>
      </c>
      <c r="DKR1147" s="8" t="s">
        <v>1212</v>
      </c>
      <c r="DLU1147" s="8" t="s">
        <v>1212</v>
      </c>
      <c r="DMN1147" s="8" t="s">
        <v>560</v>
      </c>
      <c r="DNQ1147" s="8" t="s">
        <v>1212</v>
      </c>
      <c r="FHP1147" s="8" t="s">
        <v>1473</v>
      </c>
      <c r="FJL1147" s="8" t="s">
        <v>1473</v>
      </c>
    </row>
    <row r="1148" spans="2:2 1397:1616 2112:3056 3080:3995 4280:4328">
      <c r="B1148" s="10"/>
      <c r="BDS1148" s="8" t="s">
        <v>561</v>
      </c>
      <c r="BEQ1148" s="8" t="s">
        <v>561</v>
      </c>
      <c r="BFO1148" s="8" t="s">
        <v>1213</v>
      </c>
      <c r="DIC1148" s="8" t="s">
        <v>561</v>
      </c>
      <c r="DLP1148" s="8" t="s">
        <v>561</v>
      </c>
      <c r="DLU1148" s="8" t="s">
        <v>1213</v>
      </c>
      <c r="DNL1148" s="8" t="s">
        <v>1213</v>
      </c>
      <c r="DNQ1148" s="8" t="s">
        <v>561</v>
      </c>
      <c r="DPH1148" s="8" t="s">
        <v>1213</v>
      </c>
    </row>
    <row r="1149" spans="2:2 1397:1616 2112:3056 3080:3995 4280:4328">
      <c r="B1149" s="10"/>
      <c r="BEN1149" s="8" t="s">
        <v>562</v>
      </c>
      <c r="BFL1149" s="8" t="s">
        <v>562</v>
      </c>
      <c r="BGJ1149" s="8" t="s">
        <v>1214</v>
      </c>
      <c r="DJT1149" s="8" t="s">
        <v>562</v>
      </c>
      <c r="DNL1149" s="8" t="s">
        <v>1214</v>
      </c>
      <c r="DPH1149" s="8" t="s">
        <v>1214</v>
      </c>
      <c r="DRD1149" s="8" t="s">
        <v>1214</v>
      </c>
    </row>
    <row r="1150" spans="2:2 1397:1616 2112:3056 3080:3995 4280:4328">
      <c r="B1150" s="10"/>
      <c r="BFL1150" s="8" t="s">
        <v>563</v>
      </c>
      <c r="BGJ1150" s="8" t="s">
        <v>563</v>
      </c>
      <c r="BHH1150" s="8" t="s">
        <v>1215</v>
      </c>
      <c r="DLP1150" s="8" t="s">
        <v>563</v>
      </c>
      <c r="DPH1150" s="8" t="s">
        <v>1215</v>
      </c>
      <c r="DRD1150" s="8" t="s">
        <v>1215</v>
      </c>
      <c r="DSZ1150" s="8" t="s">
        <v>1215</v>
      </c>
    </row>
    <row r="1151" spans="2:2 1397:1616 2112:3056 3080:3995 4280:4328">
      <c r="B1151" s="10"/>
      <c r="BGJ1151" s="8" t="s">
        <v>564</v>
      </c>
      <c r="BHH1151" s="8" t="s">
        <v>564</v>
      </c>
      <c r="BIF1151" s="8" t="s">
        <v>1216</v>
      </c>
      <c r="DNL1151" s="8" t="s">
        <v>564</v>
      </c>
      <c r="DRD1151" s="8" t="s">
        <v>1216</v>
      </c>
      <c r="DSZ1151" s="8" t="s">
        <v>1216</v>
      </c>
      <c r="DUV1151" s="8" t="s">
        <v>1216</v>
      </c>
    </row>
    <row r="1152" spans="2:2 1397:1616 2112:3056 3080:3995 4280:4328">
      <c r="B1152" s="10"/>
      <c r="BHH1152" s="8" t="s">
        <v>565</v>
      </c>
      <c r="BIF1152" s="8" t="s">
        <v>565</v>
      </c>
      <c r="BJD1152" s="8" t="s">
        <v>1217</v>
      </c>
      <c r="DLP1152" s="8" t="s">
        <v>1217</v>
      </c>
      <c r="DMG1152" s="8" t="s">
        <v>565</v>
      </c>
      <c r="DPH1152" s="8" t="s">
        <v>565</v>
      </c>
      <c r="DUV1152" s="8" t="s">
        <v>565</v>
      </c>
      <c r="ECW1152" s="8" t="s">
        <v>1217</v>
      </c>
      <c r="EES1152" s="8" t="s">
        <v>1217</v>
      </c>
    </row>
    <row r="1153" spans="2:2 1352:2045 2056:2685 3320:3995 7916:7931">
      <c r="B1153" s="10"/>
      <c r="BMG1153" s="8" t="s">
        <v>566</v>
      </c>
      <c r="BNE1153" s="8" t="s">
        <v>566</v>
      </c>
      <c r="BOC1153" s="8" t="s">
        <v>1218</v>
      </c>
      <c r="DZE1153" s="8" t="s">
        <v>566</v>
      </c>
      <c r="EAJ1153" s="8" t="s">
        <v>566</v>
      </c>
      <c r="EBA1153" s="8" t="s">
        <v>1218</v>
      </c>
      <c r="EES1153" s="8" t="s">
        <v>566</v>
      </c>
      <c r="EFX1153" s="8" t="s">
        <v>1218</v>
      </c>
      <c r="EHT1153" s="8" t="s">
        <v>1218</v>
      </c>
    </row>
    <row r="1154" spans="2:2 1352:2045 2056:2685 3320:3995 7916:7931">
      <c r="B1154" s="10"/>
      <c r="AZN1154" s="8" t="s">
        <v>1538</v>
      </c>
      <c r="BBJ1154" s="8" t="s">
        <v>1538</v>
      </c>
      <c r="BDF1154" s="8" t="s">
        <v>1538</v>
      </c>
      <c r="BFB1154" s="8" t="s">
        <v>1538</v>
      </c>
      <c r="BNT1154" s="8" t="s">
        <v>567</v>
      </c>
      <c r="BOR1154" s="8" t="s">
        <v>567</v>
      </c>
      <c r="BPP1154" s="8" t="s">
        <v>1219</v>
      </c>
      <c r="ECF1154" s="8" t="s">
        <v>567</v>
      </c>
      <c r="EFX1154" s="8" t="s">
        <v>1219</v>
      </c>
      <c r="EHT1154" s="8" t="s">
        <v>1219</v>
      </c>
      <c r="EJP1154" s="8" t="s">
        <v>1219</v>
      </c>
    </row>
    <row r="1155" spans="2:2 1352:2045 2056:2685 3320:3995 7916:7931">
      <c r="B1155" s="10"/>
      <c r="BBB1155" s="8" t="s">
        <v>522</v>
      </c>
      <c r="BCX1155" s="8" t="s">
        <v>522</v>
      </c>
      <c r="BET1155" s="8" t="s">
        <v>522</v>
      </c>
      <c r="BGP1155" s="8" t="s">
        <v>522</v>
      </c>
      <c r="BOR1155" s="8" t="s">
        <v>568</v>
      </c>
      <c r="BPP1155" s="8" t="s">
        <v>568</v>
      </c>
      <c r="BQN1155" s="8" t="s">
        <v>1220</v>
      </c>
      <c r="DWR1155" s="8" t="s">
        <v>1220</v>
      </c>
      <c r="DWU1155" s="8" t="s">
        <v>568</v>
      </c>
      <c r="EEB1155" s="8" t="s">
        <v>568</v>
      </c>
      <c r="EJP1155" s="8" t="s">
        <v>568</v>
      </c>
      <c r="EUU1155" s="8" t="s">
        <v>1220</v>
      </c>
      <c r="EWQ1155" s="8" t="s">
        <v>1220</v>
      </c>
    </row>
    <row r="1156" spans="2:2 1352:2045 2056:2685 3320:3995 7916:7931">
      <c r="B1156" s="10"/>
      <c r="AYZ1156" s="8" t="s">
        <v>1812</v>
      </c>
      <c r="BCR1156" s="8" t="s">
        <v>523</v>
      </c>
      <c r="BEN1156" s="8" t="s">
        <v>523</v>
      </c>
      <c r="BGJ1156" s="8" t="s">
        <v>523</v>
      </c>
      <c r="BIF1156" s="8" t="s">
        <v>523</v>
      </c>
      <c r="BVE1156" s="8" t="s">
        <v>569</v>
      </c>
      <c r="BWC1156" s="8" t="s">
        <v>569</v>
      </c>
      <c r="BXA1156" s="8" t="s">
        <v>1409</v>
      </c>
      <c r="ERC1156" s="8" t="s">
        <v>569</v>
      </c>
      <c r="EWQ1156" s="8" t="s">
        <v>569</v>
      </c>
      <c r="KRL1156" s="8" t="s">
        <v>569</v>
      </c>
      <c r="KSA1156" s="8" t="s">
        <v>1409</v>
      </c>
    </row>
    <row r="1157" spans="2:2 1352:2045 2056:2685 3320:3995 7916:7931">
      <c r="B1157" s="10"/>
      <c r="AYZ1157" s="8" t="s">
        <v>1813</v>
      </c>
      <c r="BCR1157" s="8" t="s">
        <v>524</v>
      </c>
      <c r="BEN1157" s="8" t="s">
        <v>524</v>
      </c>
      <c r="BGJ1157" s="8" t="s">
        <v>524</v>
      </c>
      <c r="BIF1157" s="8" t="s">
        <v>524</v>
      </c>
    </row>
    <row r="1158" spans="2:2 1352:2045 2056:2685 3320:3995 7916:7931">
      <c r="B1158" s="10"/>
      <c r="AZH1158" s="8" t="s">
        <v>1814</v>
      </c>
      <c r="BCZ1158" s="8" t="s">
        <v>525</v>
      </c>
      <c r="BEV1158" s="8" t="s">
        <v>525</v>
      </c>
      <c r="BGR1158" s="8" t="s">
        <v>525</v>
      </c>
      <c r="BIN1158" s="8" t="s">
        <v>525</v>
      </c>
    </row>
    <row r="1159" spans="2:2 1352:2045 2056:2685 3320:3995 7916:7931">
      <c r="B1159" s="10"/>
      <c r="AYZ1159" s="8" t="s">
        <v>2250</v>
      </c>
      <c r="BAV1159" s="8" t="s">
        <v>1815</v>
      </c>
      <c r="BEN1159" s="8" t="s">
        <v>526</v>
      </c>
      <c r="BGJ1159" s="8" t="s">
        <v>526</v>
      </c>
      <c r="BIF1159" s="8" t="s">
        <v>526</v>
      </c>
      <c r="BKB1159" s="8" t="s">
        <v>526</v>
      </c>
    </row>
    <row r="1160" spans="2:2 1352:2045 2056:2685 3320:3995 7916:7931">
      <c r="B1160" s="10"/>
      <c r="AZS1160" s="8" t="s">
        <v>2251</v>
      </c>
      <c r="BBO1160" s="8" t="s">
        <v>1816</v>
      </c>
      <c r="BFG1160" s="8" t="s">
        <v>527</v>
      </c>
      <c r="BHC1160" s="8" t="s">
        <v>527</v>
      </c>
      <c r="BIY1160" s="8" t="s">
        <v>527</v>
      </c>
      <c r="BKU1160" s="8" t="s">
        <v>527</v>
      </c>
    </row>
    <row r="1161" spans="2:2 1352:2045 2056:2685 3320:3995 7916:7931">
      <c r="B1161" s="10"/>
      <c r="BBF1161" s="8" t="s">
        <v>2252</v>
      </c>
      <c r="BDB1161" s="8" t="s">
        <v>1817</v>
      </c>
      <c r="BGT1161" s="8" t="s">
        <v>528</v>
      </c>
      <c r="BIP1161" s="8" t="s">
        <v>528</v>
      </c>
      <c r="BKL1161" s="8" t="s">
        <v>528</v>
      </c>
      <c r="BMH1161" s="8" t="s">
        <v>528</v>
      </c>
    </row>
    <row r="1162" spans="2:2 1352:2045 2056:2685 3320:3995 7916:7931">
      <c r="B1162" s="10"/>
      <c r="BIF1162" s="8" t="s">
        <v>2253</v>
      </c>
      <c r="BKB1162" s="8" t="s">
        <v>1818</v>
      </c>
      <c r="BNT1162" s="8" t="s">
        <v>529</v>
      </c>
      <c r="BPP1162" s="8" t="s">
        <v>529</v>
      </c>
      <c r="BRL1162" s="8" t="s">
        <v>529</v>
      </c>
      <c r="BTH1162" s="8" t="s">
        <v>529</v>
      </c>
    </row>
    <row r="1163" spans="2:2 1352:2045 2056:2685 3320:3995 7916:7931">
      <c r="B1163" s="10"/>
      <c r="BGJ1163" s="8" t="s">
        <v>537</v>
      </c>
      <c r="BJC1163" s="8" t="s">
        <v>2254</v>
      </c>
      <c r="BKY1163" s="8" t="s">
        <v>1819</v>
      </c>
      <c r="BOQ1163" s="8" t="s">
        <v>530</v>
      </c>
      <c r="BQM1163" s="8" t="s">
        <v>530</v>
      </c>
      <c r="BSI1163" s="8" t="s">
        <v>530</v>
      </c>
      <c r="BUE1163" s="8" t="s">
        <v>530</v>
      </c>
    </row>
    <row r="1164" spans="2:2 1352:2045 2056:2685 3320:3995 7916:7931">
      <c r="B1164" s="10"/>
      <c r="BIF1164" s="8" t="s">
        <v>538</v>
      </c>
      <c r="BOO1164" s="8" t="s">
        <v>2255</v>
      </c>
      <c r="BQK1164" s="8" t="s">
        <v>1820</v>
      </c>
      <c r="BUC1164" s="8" t="s">
        <v>531</v>
      </c>
      <c r="BVY1164" s="8" t="s">
        <v>531</v>
      </c>
      <c r="BXU1164" s="8" t="s">
        <v>531</v>
      </c>
      <c r="BZQ1164" s="8" t="s">
        <v>531</v>
      </c>
    </row>
    <row r="1165" spans="2:2 1352:2045 2056:2685 3320:3995 7916:7931">
      <c r="B1165" s="10"/>
      <c r="BRL1165" s="8" t="s">
        <v>539</v>
      </c>
      <c r="CAB1165" s="8" t="s">
        <v>2256</v>
      </c>
      <c r="CBX1165" s="8" t="s">
        <v>1821</v>
      </c>
      <c r="CFP1165" s="8" t="s">
        <v>511</v>
      </c>
      <c r="CHL1165" s="8" t="s">
        <v>511</v>
      </c>
      <c r="CJH1165" s="8" t="s">
        <v>511</v>
      </c>
      <c r="CLD1165" s="8" t="s">
        <v>511</v>
      </c>
    </row>
    <row r="1166" spans="2:2 1352:2045 2056:2685 3320:3995 7916:7931">
      <c r="B1166" s="10"/>
      <c r="BRL1166" s="8" t="s">
        <v>540</v>
      </c>
      <c r="CAJ1166" s="8" t="s">
        <v>2257</v>
      </c>
      <c r="CCF1166" s="8" t="s">
        <v>1822</v>
      </c>
      <c r="CFX1166" s="8" t="s">
        <v>510</v>
      </c>
      <c r="CHT1166" s="8" t="s">
        <v>510</v>
      </c>
      <c r="CJP1166" s="8" t="s">
        <v>510</v>
      </c>
      <c r="CLL1166" s="8" t="s">
        <v>510</v>
      </c>
    </row>
    <row r="1167" spans="2:2 1352:2045 2056:2685 3320:3995 7916:7931">
      <c r="B1167" s="10"/>
      <c r="BRM1167" s="8" t="s">
        <v>541</v>
      </c>
      <c r="CIB1167" s="8" t="s">
        <v>2258</v>
      </c>
      <c r="CJX1167" s="8" t="s">
        <v>1823</v>
      </c>
      <c r="CNP1167" s="8" t="s">
        <v>532</v>
      </c>
      <c r="CPL1167" s="8" t="s">
        <v>532</v>
      </c>
      <c r="CRH1167" s="8" t="s">
        <v>532</v>
      </c>
      <c r="CTD1167" s="8" t="s">
        <v>532</v>
      </c>
    </row>
    <row r="1168" spans="2:2 1352:2045 2056:2685 3320:3995 7916:7931">
      <c r="B1168" s="10"/>
      <c r="BBW1168" s="8" t="s">
        <v>570</v>
      </c>
      <c r="BSW1168" s="8" t="s">
        <v>542</v>
      </c>
      <c r="CNE1168" s="8" t="s">
        <v>2259</v>
      </c>
      <c r="CPA1168" s="8" t="s">
        <v>1824</v>
      </c>
      <c r="CSS1168" s="8" t="s">
        <v>533</v>
      </c>
      <c r="CUO1168" s="8" t="s">
        <v>533</v>
      </c>
      <c r="CWK1168" s="8" t="s">
        <v>533</v>
      </c>
      <c r="CYG1168" s="8" t="s">
        <v>533</v>
      </c>
    </row>
    <row r="1169" spans="2:2 1443:1981 2168:3026 3080:3368">
      <c r="B1169" s="10"/>
      <c r="BCM1169" s="8" t="s">
        <v>571</v>
      </c>
      <c r="BUF1169" s="8" t="s">
        <v>543</v>
      </c>
      <c r="CNV1169" s="8" t="s">
        <v>2260</v>
      </c>
      <c r="CPR1169" s="8" t="s">
        <v>1825</v>
      </c>
      <c r="CTJ1169" s="8" t="s">
        <v>534</v>
      </c>
      <c r="CVF1169" s="8" t="s">
        <v>534</v>
      </c>
      <c r="CXB1169" s="8" t="s">
        <v>534</v>
      </c>
      <c r="CYX1169" s="8" t="s">
        <v>534</v>
      </c>
    </row>
    <row r="1170" spans="2:2 1443:1981 2168:3026 3080:3368">
      <c r="B1170" s="10"/>
      <c r="BDN1170" s="8" t="s">
        <v>572</v>
      </c>
      <c r="BWI1170" s="8" t="s">
        <v>544</v>
      </c>
      <c r="DNL1170" s="8" t="s">
        <v>2261</v>
      </c>
      <c r="DPH1170" s="8" t="s">
        <v>1826</v>
      </c>
      <c r="DSZ1170" s="8" t="s">
        <v>1474</v>
      </c>
      <c r="DUV1170" s="8" t="s">
        <v>1474</v>
      </c>
      <c r="DWR1170" s="8" t="s">
        <v>1474</v>
      </c>
      <c r="DYN1170" s="8" t="s">
        <v>1474</v>
      </c>
    </row>
    <row r="1171" spans="2:2 1443:1981 2168:3026 3080:3368">
      <c r="B1171" s="10"/>
      <c r="BEB1171" s="8" t="s">
        <v>573</v>
      </c>
      <c r="BVI1171" s="8" t="s">
        <v>545</v>
      </c>
    </row>
    <row r="1172" spans="2:2 1443:1981 2168:3026 3080:3368">
      <c r="B1172" s="10"/>
      <c r="BEN1172" s="8" t="s">
        <v>574</v>
      </c>
      <c r="CEJ1172" s="8" t="s">
        <v>546</v>
      </c>
    </row>
    <row r="1173" spans="2:2 1443:1981 2168:3026 3080:3368">
      <c r="B1173" s="10"/>
      <c r="BEN1173" s="8" t="s">
        <v>575</v>
      </c>
      <c r="CEJ1173" s="8" t="s">
        <v>547</v>
      </c>
    </row>
    <row r="1174" spans="2:2 1443:1981 2168:3026 3080:3368">
      <c r="B1174" s="10"/>
      <c r="BEN1174" s="8" t="s">
        <v>576</v>
      </c>
      <c r="CGQ1174" s="8" t="s">
        <v>548</v>
      </c>
    </row>
    <row r="1175" spans="2:2 1443:1981 2168:3026 3080:3368">
      <c r="B1175" s="10"/>
      <c r="BEQ1175" s="8" t="s">
        <v>577</v>
      </c>
      <c r="CHT1175" s="8" t="s">
        <v>549</v>
      </c>
    </row>
    <row r="1176" spans="2:2 1443:1981 2168:3026 3080:3368">
      <c r="B1176" s="10"/>
      <c r="BFI1176" s="8" t="s">
        <v>578</v>
      </c>
      <c r="CMF1176" s="8" t="s">
        <v>550</v>
      </c>
    </row>
    <row r="1177" spans="2:2 1443:1981 2168:3026 3080:3368">
      <c r="B1177" s="10"/>
      <c r="BGJ1177" s="8" t="s">
        <v>579</v>
      </c>
      <c r="CNJ1177" s="8" t="s">
        <v>551</v>
      </c>
    </row>
    <row r="1178" spans="2:2 1443:1981 2168:3026 3080:3368">
      <c r="B1178" s="10"/>
      <c r="BKB1178" s="8" t="s">
        <v>580</v>
      </c>
      <c r="CON1178" s="8" t="s">
        <v>552</v>
      </c>
    </row>
    <row r="1179" spans="2:2 1443:1981 2168:3026 3080:3368">
      <c r="B1179" s="10"/>
      <c r="BNT1179" s="8" t="s">
        <v>581</v>
      </c>
      <c r="CPQ1179" s="8" t="s">
        <v>553</v>
      </c>
    </row>
    <row r="1180" spans="2:2 1443:1981 2168:3026 3080:3368">
      <c r="B1180" s="10"/>
      <c r="BNW1180" s="8" t="s">
        <v>582</v>
      </c>
      <c r="CVC1180" s="8" t="s">
        <v>554</v>
      </c>
    </row>
    <row r="1181" spans="2:2 1443:1981 2168:3026 3080:3368">
      <c r="B1181" s="10"/>
      <c r="BPF1181" s="8" t="s">
        <v>583</v>
      </c>
      <c r="DHS1181" s="8" t="s">
        <v>555</v>
      </c>
    </row>
    <row r="1182" spans="2:2 1443:1981 2168:3026 3080:3368">
      <c r="B1182" s="10"/>
      <c r="BTH1182" s="8" t="s">
        <v>584</v>
      </c>
      <c r="DJC1182" s="8" t="s">
        <v>556</v>
      </c>
    </row>
    <row r="1183" spans="2:2 1443:1981 2168:3026 3080:3368">
      <c r="B1183" s="10"/>
      <c r="BVD1183" s="8" t="s">
        <v>585</v>
      </c>
      <c r="DKF1183" s="8" t="s">
        <v>557</v>
      </c>
    </row>
    <row r="1184" spans="2:2 1443:1981 2168:3026 3080:3368">
      <c r="B1184" s="10"/>
      <c r="BXE1184" s="8" t="s">
        <v>586</v>
      </c>
      <c r="DLJ1184" s="8" t="s">
        <v>558</v>
      </c>
    </row>
    <row r="1185" spans="2:2 1352:2024 2072:3056 3085:3995">
      <c r="B1185" s="10"/>
      <c r="BYV1185" s="8" t="s">
        <v>587</v>
      </c>
      <c r="DMN1185" s="8" t="s">
        <v>559</v>
      </c>
    </row>
    <row r="1186" spans="2:2 1352:2024 2072:3056 3085:3995">
      <c r="B1186" s="10"/>
      <c r="BAA1186" s="8" t="s">
        <v>1221</v>
      </c>
      <c r="BBW1186" s="8" t="s">
        <v>1221</v>
      </c>
      <c r="CAR1186" s="8" t="s">
        <v>588</v>
      </c>
      <c r="DNQ1186" s="8" t="s">
        <v>560</v>
      </c>
    </row>
    <row r="1187" spans="2:2 1352:2024 2072:3056 3085:3995">
      <c r="B1187" s="10"/>
      <c r="BAQ1187" s="8" t="s">
        <v>1222</v>
      </c>
      <c r="BBW1187" s="8" t="s">
        <v>1222</v>
      </c>
      <c r="BCM1187" s="8" t="s">
        <v>1222</v>
      </c>
      <c r="BCW1187" s="8" t="s">
        <v>571</v>
      </c>
      <c r="CBW1187" s="8" t="s">
        <v>589</v>
      </c>
      <c r="DPH1187" s="8" t="s">
        <v>561</v>
      </c>
    </row>
    <row r="1188" spans="2:2 1352:2024 2072:3056 3085:3995">
      <c r="B1188" s="10"/>
      <c r="BBR1188" s="8" t="s">
        <v>1223</v>
      </c>
      <c r="BCM1188" s="8" t="s">
        <v>1223</v>
      </c>
      <c r="BDF1188" s="8" t="s">
        <v>572</v>
      </c>
      <c r="BDN1188" s="8" t="s">
        <v>1223</v>
      </c>
      <c r="CCQ1188" s="8" t="s">
        <v>590</v>
      </c>
      <c r="DRD1188" s="8" t="s">
        <v>562</v>
      </c>
    </row>
    <row r="1189" spans="2:2 1352:2024 2072:3056 3085:3995">
      <c r="B1189" s="10"/>
      <c r="BAR1189" s="19" t="s">
        <v>573</v>
      </c>
      <c r="BBR1189" s="8" t="s">
        <v>1224</v>
      </c>
      <c r="BCF1189" s="8" t="s">
        <v>1224</v>
      </c>
      <c r="BDN1189" s="8" t="s">
        <v>573</v>
      </c>
      <c r="BEB1189" s="8" t="s">
        <v>1224</v>
      </c>
      <c r="CDT1189" s="8" t="s">
        <v>591</v>
      </c>
      <c r="DSZ1189" s="8" t="s">
        <v>563</v>
      </c>
    </row>
    <row r="1190" spans="2:2 1352:2024 2072:3056 3085:3995">
      <c r="B1190" s="10"/>
      <c r="BCR1190" s="8" t="s">
        <v>1225</v>
      </c>
      <c r="BEB1190" s="8" t="s">
        <v>1225</v>
      </c>
      <c r="BEN1190" s="8" t="s">
        <v>1225</v>
      </c>
      <c r="CEO1190" s="8" t="s">
        <v>592</v>
      </c>
      <c r="DUV1190" s="8" t="s">
        <v>564</v>
      </c>
    </row>
    <row r="1191" spans="2:2 1352:2024 2072:3056 3085:3995">
      <c r="B1191" s="10"/>
      <c r="AYZ1191" s="8" t="s">
        <v>575</v>
      </c>
      <c r="BCR1191" s="8" t="s">
        <v>1226</v>
      </c>
      <c r="BEN1191" s="8" t="s">
        <v>1226</v>
      </c>
      <c r="CIB1191" s="8" t="s">
        <v>593</v>
      </c>
      <c r="EES1191" s="8" t="s">
        <v>565</v>
      </c>
    </row>
    <row r="1192" spans="2:2 1352:2024 2072:3056 3085:3995">
      <c r="B1192" s="10"/>
      <c r="AYZ1192" s="8" t="s">
        <v>576</v>
      </c>
      <c r="BCR1192" s="8" t="s">
        <v>1227</v>
      </c>
      <c r="BEN1192" s="8" t="s">
        <v>1227</v>
      </c>
      <c r="CIB1192" s="8" t="s">
        <v>594</v>
      </c>
      <c r="EHT1192" s="8" t="s">
        <v>566</v>
      </c>
    </row>
    <row r="1193" spans="2:2 1352:2024 2072:3056 3085:3995">
      <c r="B1193" s="10"/>
      <c r="AYZ1193" s="8" t="s">
        <v>577</v>
      </c>
      <c r="BCU1193" s="8" t="s">
        <v>1228</v>
      </c>
      <c r="BEN1193" s="8" t="s">
        <v>1228</v>
      </c>
      <c r="BEQ1193" s="8" t="s">
        <v>1228</v>
      </c>
      <c r="CPC1193" s="8" t="s">
        <v>595</v>
      </c>
      <c r="EJP1193" s="8" t="s">
        <v>567</v>
      </c>
    </row>
    <row r="1194" spans="2:2 1352:2024 2072:3056 3085:3995">
      <c r="B1194" s="10"/>
      <c r="AZC1194" s="8" t="s">
        <v>578</v>
      </c>
      <c r="BBX1194" s="8" t="s">
        <v>578</v>
      </c>
      <c r="BCU1194" s="8" t="s">
        <v>1229</v>
      </c>
      <c r="BDM1194" s="8" t="s">
        <v>1229</v>
      </c>
      <c r="BEQ1194" s="8" t="s">
        <v>578</v>
      </c>
      <c r="BFI1194" s="8" t="s">
        <v>1229</v>
      </c>
      <c r="CRH1194" s="8" t="s">
        <v>596</v>
      </c>
      <c r="EWQ1194" s="8" t="s">
        <v>568</v>
      </c>
    </row>
    <row r="1195" spans="2:2 1352:2024 2072:3056 3085:3995">
      <c r="B1195" s="10"/>
      <c r="AZU1195" s="8" t="s">
        <v>579</v>
      </c>
      <c r="BEN1195" s="8" t="s">
        <v>1230</v>
      </c>
      <c r="BFI1195" s="8" t="s">
        <v>1230</v>
      </c>
      <c r="BFT1195" s="8" t="s">
        <v>579</v>
      </c>
      <c r="BGJ1195" s="8" t="s">
        <v>1230</v>
      </c>
      <c r="CUZ1195" s="8" t="s">
        <v>597</v>
      </c>
    </row>
    <row r="1196" spans="2:2 1352:2024 2072:3056 3085:3995">
      <c r="B1196" s="10"/>
      <c r="BAV1196" s="8" t="s">
        <v>580</v>
      </c>
      <c r="BCR1196" s="8" t="s">
        <v>1231</v>
      </c>
      <c r="BCU1196" s="8" t="s">
        <v>580</v>
      </c>
      <c r="BGJ1196" s="8" t="s">
        <v>580</v>
      </c>
      <c r="BIF1196" s="8" t="s">
        <v>1231</v>
      </c>
      <c r="BKB1196" s="8" t="s">
        <v>1231</v>
      </c>
      <c r="CWV1196" s="8" t="s">
        <v>598</v>
      </c>
    </row>
    <row r="1197" spans="2:2 1352:2024 2072:3056 3085:3995">
      <c r="B1197" s="10"/>
      <c r="BEN1197" s="8" t="s">
        <v>581</v>
      </c>
      <c r="BGG1197" s="8" t="s">
        <v>581</v>
      </c>
      <c r="BGJ1197" s="8" t="s">
        <v>1232</v>
      </c>
      <c r="BKB1197" s="8" t="s">
        <v>581</v>
      </c>
      <c r="BLX1197" s="8" t="s">
        <v>1232</v>
      </c>
      <c r="BNT1197" s="8" t="s">
        <v>1232</v>
      </c>
      <c r="DAZ1197" s="8" t="s">
        <v>599</v>
      </c>
    </row>
    <row r="1198" spans="2:2 1352:2024 2072:3056 3085:3995">
      <c r="B1198" s="10"/>
      <c r="AYZ1198" s="8" t="s">
        <v>521</v>
      </c>
      <c r="BIF1198" s="8" t="s">
        <v>582</v>
      </c>
      <c r="BMA1198" s="8" t="s">
        <v>1233</v>
      </c>
      <c r="BNT1198" s="8" t="s">
        <v>1233</v>
      </c>
      <c r="BNW1198" s="8" t="s">
        <v>1233</v>
      </c>
      <c r="BOE1198" s="8" t="s">
        <v>582</v>
      </c>
      <c r="DCJ1198" s="8" t="s">
        <v>600</v>
      </c>
    </row>
    <row r="1199" spans="2:2 1352:2024 2072:3056 3085:3995">
      <c r="B1199" s="10"/>
      <c r="BGP1199" s="8" t="s">
        <v>522</v>
      </c>
      <c r="BII1199" s="8" t="s">
        <v>583</v>
      </c>
      <c r="BIL1199" s="8" t="s">
        <v>522</v>
      </c>
      <c r="BKW1199" s="8" t="s">
        <v>583</v>
      </c>
      <c r="BMA1199" s="8" t="s">
        <v>1234</v>
      </c>
      <c r="BNJ1199" s="8" t="s">
        <v>1234</v>
      </c>
      <c r="BNW1199" s="8" t="s">
        <v>583</v>
      </c>
      <c r="BPF1199" s="8" t="s">
        <v>1234</v>
      </c>
      <c r="DEF1199" s="8" t="s">
        <v>601</v>
      </c>
    </row>
    <row r="1200" spans="2:2 1352:2024 2072:3056 3085:3995">
      <c r="B1200" s="10"/>
      <c r="AYZ1200" s="8" t="s">
        <v>539</v>
      </c>
      <c r="BIF1200" s="8" t="s">
        <v>523</v>
      </c>
      <c r="BJR1200" s="8" t="s">
        <v>584</v>
      </c>
      <c r="BKB1200" s="8" t="s">
        <v>523</v>
      </c>
      <c r="BLN1200" s="8" t="s">
        <v>1235</v>
      </c>
      <c r="BMV1200" s="8" t="s">
        <v>584</v>
      </c>
      <c r="BPF1200" s="8" t="s">
        <v>584</v>
      </c>
      <c r="BRL1200" s="8" t="s">
        <v>1235</v>
      </c>
      <c r="BTH1200" s="8" t="s">
        <v>1235</v>
      </c>
      <c r="DEF1200" s="8" t="s">
        <v>602</v>
      </c>
    </row>
    <row r="1201" spans="2:2 1352:2048 2055:2936 3132:3850 4132:4280">
      <c r="B1201" s="10"/>
      <c r="BBH1201" s="8" t="s">
        <v>1475</v>
      </c>
      <c r="BDD1201" s="8" t="s">
        <v>1475</v>
      </c>
      <c r="BEZ1201" s="8" t="s">
        <v>1475</v>
      </c>
      <c r="BGV1201" s="8" t="s">
        <v>1475</v>
      </c>
      <c r="BIF1201" s="8" t="s">
        <v>524</v>
      </c>
      <c r="BKB1201" s="8" t="s">
        <v>524</v>
      </c>
      <c r="BNT1201" s="8" t="s">
        <v>585</v>
      </c>
      <c r="BRF1201" s="8" t="s">
        <v>585</v>
      </c>
      <c r="BRL1201" s="8" t="s">
        <v>1236</v>
      </c>
      <c r="BTH1201" s="8" t="s">
        <v>1236</v>
      </c>
      <c r="BVD1201" s="8" t="s">
        <v>1236</v>
      </c>
      <c r="DFG1201" s="8" t="s">
        <v>603</v>
      </c>
    </row>
    <row r="1202" spans="2:2 1352:2048 2055:2936 3132:3850 4132:4280">
      <c r="B1202" s="10"/>
      <c r="AYZ1202" s="8" t="s">
        <v>1827</v>
      </c>
      <c r="BCR1202" s="8" t="s">
        <v>540</v>
      </c>
      <c r="BEN1202" s="8" t="s">
        <v>540</v>
      </c>
      <c r="BGJ1202" s="8" t="s">
        <v>540</v>
      </c>
      <c r="BIF1202" s="8" t="s">
        <v>540</v>
      </c>
      <c r="BIN1202" s="8" t="s">
        <v>525</v>
      </c>
      <c r="BKJ1202" s="8" t="s">
        <v>525</v>
      </c>
      <c r="BPP1202" s="8" t="s">
        <v>586</v>
      </c>
      <c r="BSV1202" s="8" t="s">
        <v>586</v>
      </c>
      <c r="BTH1202" s="8" t="s">
        <v>1237</v>
      </c>
      <c r="BVD1202" s="8" t="s">
        <v>586</v>
      </c>
      <c r="BVI1202" s="8" t="s">
        <v>1237</v>
      </c>
      <c r="BXE1202" s="8" t="s">
        <v>1237</v>
      </c>
      <c r="DHX1202" s="8" t="s">
        <v>604</v>
      </c>
    </row>
    <row r="1203" spans="2:2 1352:2048 2055:2936 3132:3850 4132:4280">
      <c r="B1203" s="10"/>
      <c r="AYZ1203" s="8" t="s">
        <v>1828</v>
      </c>
      <c r="BCR1203" s="8" t="s">
        <v>541</v>
      </c>
      <c r="BEN1203" s="8" t="s">
        <v>541</v>
      </c>
      <c r="BGJ1203" s="8" t="s">
        <v>541</v>
      </c>
      <c r="BIF1203" s="8" t="s">
        <v>541</v>
      </c>
      <c r="BKB1203" s="8" t="s">
        <v>526</v>
      </c>
      <c r="BLX1203" s="8" t="s">
        <v>526</v>
      </c>
      <c r="BRQ1203" s="8" t="s">
        <v>587</v>
      </c>
      <c r="BVD1203" s="8" t="s">
        <v>587</v>
      </c>
      <c r="BVI1203" s="8" t="s">
        <v>1238</v>
      </c>
      <c r="BWZ1203" s="8" t="s">
        <v>1238</v>
      </c>
      <c r="BXE1203" s="8" t="s">
        <v>587</v>
      </c>
      <c r="BYV1203" s="8" t="s">
        <v>1238</v>
      </c>
      <c r="DPL1203" s="8" t="s">
        <v>605</v>
      </c>
    </row>
    <row r="1204" spans="2:2 1352:2048 2055:2936 3132:3850 4132:4280">
      <c r="B1204" s="10"/>
      <c r="AZA1204" s="8" t="s">
        <v>1829</v>
      </c>
      <c r="BCS1204" s="8" t="s">
        <v>542</v>
      </c>
      <c r="BEO1204" s="8" t="s">
        <v>542</v>
      </c>
      <c r="BGK1204" s="8" t="s">
        <v>542</v>
      </c>
      <c r="BIG1204" s="8" t="s">
        <v>542</v>
      </c>
      <c r="BKU1204" s="8" t="s">
        <v>527</v>
      </c>
      <c r="BMQ1204" s="8" t="s">
        <v>527</v>
      </c>
      <c r="BTH1204" s="8" t="s">
        <v>588</v>
      </c>
      <c r="BWZ1204" s="8" t="s">
        <v>1239</v>
      </c>
      <c r="BXR1204" s="8" t="s">
        <v>588</v>
      </c>
      <c r="BYV1204" s="8" t="s">
        <v>1239</v>
      </c>
      <c r="CAR1204" s="8" t="s">
        <v>1239</v>
      </c>
      <c r="DSZ1204" s="8" t="s">
        <v>606</v>
      </c>
    </row>
    <row r="1205" spans="2:2 1352:2048 2055:2936 3132:3850 4132:4280">
      <c r="B1205" s="10"/>
      <c r="BAK1205" s="8" t="s">
        <v>1830</v>
      </c>
      <c r="BEC1205" s="8" t="s">
        <v>543</v>
      </c>
      <c r="BFY1205" s="8" t="s">
        <v>543</v>
      </c>
      <c r="BHU1205" s="8" t="s">
        <v>543</v>
      </c>
      <c r="BJQ1205" s="8" t="s">
        <v>543</v>
      </c>
      <c r="BMH1205" s="8" t="s">
        <v>528</v>
      </c>
      <c r="BOD1205" s="8" t="s">
        <v>528</v>
      </c>
      <c r="BVD1205" s="8" t="s">
        <v>589</v>
      </c>
      <c r="BYM1205" s="8" t="s">
        <v>589</v>
      </c>
      <c r="BYV1205" s="8" t="s">
        <v>1240</v>
      </c>
      <c r="CAA1205" s="8" t="s">
        <v>1240</v>
      </c>
      <c r="CAR1205" s="8" t="s">
        <v>589</v>
      </c>
      <c r="CBW1205" s="8" t="s">
        <v>1240</v>
      </c>
      <c r="DUV1205" s="8" t="s">
        <v>607</v>
      </c>
    </row>
    <row r="1206" spans="2:2 1352:2048 2055:2936 3132:3850 4132:4280">
      <c r="B1206" s="10"/>
      <c r="AZX1206" s="8" t="s">
        <v>2262</v>
      </c>
      <c r="BBT1206" s="8" t="s">
        <v>1831</v>
      </c>
      <c r="BFL1206" s="8" t="s">
        <v>544</v>
      </c>
      <c r="BHH1206" s="8" t="s">
        <v>544</v>
      </c>
      <c r="BJD1206" s="8" t="s">
        <v>544</v>
      </c>
      <c r="BKZ1206" s="8" t="s">
        <v>544</v>
      </c>
      <c r="BTH1206" s="8" t="s">
        <v>529</v>
      </c>
      <c r="BVD1206" s="8" t="s">
        <v>529</v>
      </c>
      <c r="BWI1206" s="8" t="s">
        <v>590</v>
      </c>
      <c r="CAU1206" s="8" t="s">
        <v>1241</v>
      </c>
      <c r="CBW1206" s="8" t="s">
        <v>1241</v>
      </c>
      <c r="CCG1206" s="8" t="s">
        <v>590</v>
      </c>
      <c r="CCQ1206" s="8" t="s">
        <v>1241</v>
      </c>
      <c r="DWR1206" s="8" t="s">
        <v>608</v>
      </c>
    </row>
    <row r="1207" spans="2:2 1352:2048 2055:2936 3132:3850 4132:4280">
      <c r="B1207" s="10"/>
      <c r="BBA1207" s="8" t="s">
        <v>2263</v>
      </c>
      <c r="BCW1207" s="8" t="s">
        <v>1832</v>
      </c>
      <c r="BGO1207" s="8" t="s">
        <v>546</v>
      </c>
      <c r="BIK1207" s="8" t="s">
        <v>546</v>
      </c>
      <c r="BKG1207" s="8" t="s">
        <v>546</v>
      </c>
      <c r="BMC1207" s="8" t="s">
        <v>546</v>
      </c>
      <c r="BUE1207" s="8" t="s">
        <v>530</v>
      </c>
      <c r="BWA1207" s="8" t="s">
        <v>530</v>
      </c>
      <c r="BXC1207" s="8" t="s">
        <v>591</v>
      </c>
      <c r="CAB1207" s="8" t="s">
        <v>591</v>
      </c>
      <c r="CAU1207" s="8" t="s">
        <v>1242</v>
      </c>
      <c r="CBX1207" s="8" t="s">
        <v>1242</v>
      </c>
      <c r="CCQ1207" s="8" t="s">
        <v>591</v>
      </c>
      <c r="CDT1207" s="8" t="s">
        <v>1242</v>
      </c>
      <c r="DZF1207" s="8" t="s">
        <v>609</v>
      </c>
    </row>
    <row r="1208" spans="2:2 1352:2048 2055:2936 3132:3850 4132:4280">
      <c r="B1208" s="10"/>
      <c r="BCA1208" s="8" t="s">
        <v>2264</v>
      </c>
      <c r="BDW1208" s="8" t="s">
        <v>1833</v>
      </c>
      <c r="BHO1208" s="8" t="s">
        <v>545</v>
      </c>
      <c r="BJK1208" s="8" t="s">
        <v>545</v>
      </c>
      <c r="BLG1208" s="8" t="s">
        <v>545</v>
      </c>
      <c r="BNC1208" s="8" t="s">
        <v>545</v>
      </c>
      <c r="BYF1208" s="8" t="s">
        <v>592</v>
      </c>
      <c r="BZQ1208" s="8" t="s">
        <v>531</v>
      </c>
      <c r="CBM1208" s="8" t="s">
        <v>531</v>
      </c>
      <c r="CCS1208" s="8" t="s">
        <v>1243</v>
      </c>
      <c r="CDT1208" s="8" t="s">
        <v>1243</v>
      </c>
      <c r="CDX1208" s="8" t="s">
        <v>592</v>
      </c>
      <c r="CEO1208" s="8" t="s">
        <v>1243</v>
      </c>
      <c r="EAO1208" s="8" t="s">
        <v>610</v>
      </c>
    </row>
    <row r="1209" spans="2:2 1352:2048 2055:2936 3132:3850 4132:4280">
      <c r="B1209" s="10"/>
      <c r="BKB1209" s="8" t="s">
        <v>2265</v>
      </c>
      <c r="BLX1209" s="8" t="s">
        <v>1834</v>
      </c>
      <c r="BPP1209" s="8" t="s">
        <v>547</v>
      </c>
      <c r="BRL1209" s="8" t="s">
        <v>547</v>
      </c>
      <c r="BTH1209" s="8" t="s">
        <v>547</v>
      </c>
      <c r="BVD1209" s="8" t="s">
        <v>547</v>
      </c>
      <c r="BZA1209" s="8" t="s">
        <v>593</v>
      </c>
      <c r="CAR1209" s="8" t="s">
        <v>593</v>
      </c>
      <c r="CAW1209" s="8" t="s">
        <v>1244</v>
      </c>
      <c r="CEO1209" s="8" t="s">
        <v>593</v>
      </c>
      <c r="CGF1209" s="8" t="s">
        <v>1244</v>
      </c>
      <c r="CIB1209" s="8" t="s">
        <v>1244</v>
      </c>
      <c r="CLD1209" s="8" t="s">
        <v>511</v>
      </c>
      <c r="CMZ1209" s="8" t="s">
        <v>511</v>
      </c>
      <c r="ECR1209" s="8" t="s">
        <v>611</v>
      </c>
    </row>
    <row r="1210" spans="2:2 1352:2048 2055:2936 3132:3850 4132:4280">
      <c r="B1210" s="10"/>
      <c r="BKB1210" s="8" t="s">
        <v>2266</v>
      </c>
      <c r="BLX1210" s="8" t="s">
        <v>1835</v>
      </c>
      <c r="BPP1210" s="8" t="s">
        <v>548</v>
      </c>
      <c r="BRL1210" s="8" t="s">
        <v>548</v>
      </c>
      <c r="BTH1210" s="8" t="s">
        <v>548</v>
      </c>
      <c r="BVD1210" s="8" t="s">
        <v>548</v>
      </c>
      <c r="CCN1210" s="8" t="s">
        <v>594</v>
      </c>
      <c r="CGF1210" s="8" t="s">
        <v>1245</v>
      </c>
      <c r="CIB1210" s="8" t="s">
        <v>1245</v>
      </c>
      <c r="CLL1210" s="8" t="s">
        <v>510</v>
      </c>
      <c r="CNH1210" s="8" t="s">
        <v>510</v>
      </c>
      <c r="EEB1210" s="8" t="s">
        <v>612</v>
      </c>
    </row>
    <row r="1211" spans="2:2 1352:2048 2055:2936 3132:3850 4132:4280">
      <c r="B1211" s="10"/>
      <c r="BMI1211" s="8" t="s">
        <v>2267</v>
      </c>
      <c r="BOE1211" s="8" t="s">
        <v>1836</v>
      </c>
      <c r="BRW1211" s="8" t="s">
        <v>549</v>
      </c>
      <c r="BTS1211" s="8" t="s">
        <v>549</v>
      </c>
      <c r="BVO1211" s="8" t="s">
        <v>549</v>
      </c>
      <c r="BXK1211" s="8" t="s">
        <v>549</v>
      </c>
      <c r="CAR1211" s="8" t="s">
        <v>1246</v>
      </c>
      <c r="CBI1211" s="8" t="s">
        <v>595</v>
      </c>
      <c r="CCN1211" s="8" t="s">
        <v>595</v>
      </c>
      <c r="CIB1211" s="8" t="s">
        <v>595</v>
      </c>
      <c r="CNG1211" s="8" t="s">
        <v>1246</v>
      </c>
      <c r="CPC1211" s="8" t="s">
        <v>1246</v>
      </c>
      <c r="CTD1211" s="8" t="s">
        <v>532</v>
      </c>
      <c r="CUZ1211" s="8" t="s">
        <v>532</v>
      </c>
      <c r="EHT1211" s="8" t="s">
        <v>613</v>
      </c>
    </row>
    <row r="1212" spans="2:2 1352:2048 2055:2936 3132:3850 4132:4280">
      <c r="B1212" s="10"/>
      <c r="BNL1212" s="8" t="s">
        <v>2268</v>
      </c>
      <c r="BPH1212" s="8" t="s">
        <v>1837</v>
      </c>
      <c r="BSZ1212" s="8" t="s">
        <v>550</v>
      </c>
      <c r="BUV1212" s="8" t="s">
        <v>550</v>
      </c>
      <c r="BWR1212" s="8" t="s">
        <v>550</v>
      </c>
      <c r="BYN1212" s="8" t="s">
        <v>550</v>
      </c>
      <c r="CJO1212" s="8" t="s">
        <v>596</v>
      </c>
      <c r="CNG1212" s="8" t="s">
        <v>1247</v>
      </c>
      <c r="CPC1212" s="8" t="s">
        <v>596</v>
      </c>
      <c r="CPL1212" s="8" t="s">
        <v>1247</v>
      </c>
      <c r="CRH1212" s="8" t="s">
        <v>1247</v>
      </c>
      <c r="CYG1212" s="8" t="s">
        <v>533</v>
      </c>
      <c r="DAC1212" s="8" t="s">
        <v>533</v>
      </c>
      <c r="ERB1212" s="8" t="s">
        <v>614</v>
      </c>
    </row>
    <row r="1213" spans="2:2 1352:2048 2055:2936 3132:3850 4132:4280">
      <c r="B1213" s="10"/>
      <c r="BRX1213" s="8" t="s">
        <v>2269</v>
      </c>
      <c r="BTT1213" s="8" t="s">
        <v>1838</v>
      </c>
      <c r="BXL1213" s="8" t="s">
        <v>551</v>
      </c>
      <c r="BZH1213" s="8" t="s">
        <v>551</v>
      </c>
      <c r="CBD1213" s="8" t="s">
        <v>551</v>
      </c>
      <c r="CCZ1213" s="8" t="s">
        <v>551</v>
      </c>
      <c r="CLT1213" s="8" t="s">
        <v>597</v>
      </c>
      <c r="CMY1213" s="8" t="s">
        <v>597</v>
      </c>
      <c r="CNP1213" s="8" t="s">
        <v>1248</v>
      </c>
      <c r="CRH1213" s="8" t="s">
        <v>597</v>
      </c>
      <c r="CTD1213" s="8" t="s">
        <v>1248</v>
      </c>
      <c r="CUZ1213" s="8" t="s">
        <v>1248</v>
      </c>
      <c r="CYX1213" s="8" t="s">
        <v>534</v>
      </c>
      <c r="DAT1213" s="8" t="s">
        <v>534</v>
      </c>
      <c r="FBX1213" s="8" t="s">
        <v>615</v>
      </c>
    </row>
    <row r="1214" spans="2:2 1352:2048 2055:2936 3132:3850 4132:4280">
      <c r="B1214" s="10"/>
      <c r="BTB1214" s="8" t="s">
        <v>2270</v>
      </c>
      <c r="BUX1214" s="8" t="s">
        <v>1839</v>
      </c>
      <c r="BYP1214" s="8" t="s">
        <v>552</v>
      </c>
      <c r="CAL1214" s="8" t="s">
        <v>552</v>
      </c>
      <c r="CCH1214" s="8" t="s">
        <v>552</v>
      </c>
      <c r="CED1214" s="8" t="s">
        <v>552</v>
      </c>
      <c r="CPL1214" s="8" t="s">
        <v>598</v>
      </c>
      <c r="CTD1214" s="8" t="s">
        <v>1249</v>
      </c>
      <c r="CTU1214" s="8" t="s">
        <v>598</v>
      </c>
      <c r="CUZ1214" s="8" t="s">
        <v>1249</v>
      </c>
      <c r="CWV1214" s="8" t="s">
        <v>1249</v>
      </c>
      <c r="DYN1214" s="8" t="s">
        <v>1474</v>
      </c>
      <c r="EAJ1214" s="8" t="s">
        <v>1474</v>
      </c>
      <c r="FCO1214" s="8" t="s">
        <v>616</v>
      </c>
    </row>
    <row r="1215" spans="2:2 1352:2048 2055:2936 3132:3850 4132:4280">
      <c r="B1215" s="10"/>
      <c r="BUF1215" s="8" t="s">
        <v>2271</v>
      </c>
      <c r="BWB1215" s="8" t="s">
        <v>1840</v>
      </c>
      <c r="BZT1215" s="8" t="s">
        <v>553</v>
      </c>
      <c r="CBP1215" s="8" t="s">
        <v>553</v>
      </c>
      <c r="CDL1215" s="8" t="s">
        <v>553</v>
      </c>
      <c r="CFH1215" s="8" t="s">
        <v>553</v>
      </c>
      <c r="CRH1215" s="8" t="s">
        <v>599</v>
      </c>
      <c r="CSY1215" s="8" t="s">
        <v>599</v>
      </c>
      <c r="CTD1215" s="8" t="s">
        <v>1250</v>
      </c>
      <c r="CWV1215" s="8" t="s">
        <v>599</v>
      </c>
      <c r="CZD1215" s="8" t="s">
        <v>1250</v>
      </c>
      <c r="DAZ1215" s="8" t="s">
        <v>1250</v>
      </c>
      <c r="FFT1215" s="8" t="s">
        <v>617</v>
      </c>
    </row>
    <row r="1216" spans="2:2 1352:2048 2055:2936 3132:3850 4132:4280">
      <c r="B1216" s="10"/>
      <c r="AZF1216" s="8" t="s">
        <v>1251</v>
      </c>
      <c r="BVI1216" s="8" t="s">
        <v>2272</v>
      </c>
      <c r="BXE1216" s="8" t="s">
        <v>1841</v>
      </c>
      <c r="CAW1216" s="8" t="s">
        <v>554</v>
      </c>
      <c r="CCS1216" s="8" t="s">
        <v>554</v>
      </c>
      <c r="CEO1216" s="8" t="s">
        <v>554</v>
      </c>
      <c r="CGK1216" s="8" t="s">
        <v>554</v>
      </c>
      <c r="CVL1216" s="8" t="s">
        <v>600</v>
      </c>
      <c r="CYR1216" s="8" t="s">
        <v>600</v>
      </c>
      <c r="CZD1216" s="8" t="s">
        <v>1251</v>
      </c>
      <c r="DAN1216" s="8" t="s">
        <v>1251</v>
      </c>
      <c r="DAZ1216" s="8" t="s">
        <v>600</v>
      </c>
      <c r="DCJ1216" s="8" t="s">
        <v>1251</v>
      </c>
      <c r="FHP1216" s="8" t="s">
        <v>618</v>
      </c>
    </row>
    <row r="1217" spans="2:2 1352:2048 2075:3049 3080:4084 4101:4149">
      <c r="B1217" s="10"/>
      <c r="AYZ1217" s="8" t="s">
        <v>601</v>
      </c>
      <c r="AZX1217" s="8" t="s">
        <v>1252</v>
      </c>
      <c r="BZT1217" s="8" t="s">
        <v>2273</v>
      </c>
      <c r="CBP1217" s="8" t="s">
        <v>1842</v>
      </c>
      <c r="CFH1217" s="8" t="s">
        <v>536</v>
      </c>
      <c r="CHD1217" s="8" t="s">
        <v>536</v>
      </c>
      <c r="CIZ1217" s="8" t="s">
        <v>536</v>
      </c>
      <c r="CKV1217" s="8" t="s">
        <v>536</v>
      </c>
      <c r="CWV1217" s="8" t="s">
        <v>601</v>
      </c>
      <c r="DAN1217" s="8" t="s">
        <v>1252</v>
      </c>
      <c r="DCJ1217" s="8" t="s">
        <v>1252</v>
      </c>
      <c r="DEF1217" s="8" t="s">
        <v>1252</v>
      </c>
    </row>
    <row r="1218" spans="2:2 1352:2048 2075:3049 3080:4084 4101:4149">
      <c r="B1218" s="10"/>
      <c r="AYZ1218" s="8" t="s">
        <v>602</v>
      </c>
      <c r="AZX1218" s="8" t="s">
        <v>602</v>
      </c>
      <c r="BAV1218" s="8" t="s">
        <v>1253</v>
      </c>
      <c r="CAU1218" s="8" t="s">
        <v>2274</v>
      </c>
      <c r="CCQ1218" s="8" t="s">
        <v>1843</v>
      </c>
      <c r="CGI1218" s="8" t="s">
        <v>555</v>
      </c>
      <c r="CIE1218" s="8" t="s">
        <v>555</v>
      </c>
      <c r="CKA1218" s="8" t="s">
        <v>555</v>
      </c>
      <c r="CLW1218" s="8" t="s">
        <v>555</v>
      </c>
      <c r="CYR1218" s="8" t="s">
        <v>602</v>
      </c>
      <c r="DCJ1218" s="8" t="s">
        <v>1253</v>
      </c>
      <c r="DEF1218" s="8" t="s">
        <v>1253</v>
      </c>
      <c r="DEW1218" s="8" t="s">
        <v>602</v>
      </c>
    </row>
    <row r="1219" spans="2:2 1352:2048 2075:3049 3080:4084 4101:4149">
      <c r="B1219" s="10"/>
      <c r="AYZ1219" s="8" t="s">
        <v>603</v>
      </c>
      <c r="AZX1219" s="8" t="s">
        <v>603</v>
      </c>
      <c r="BAV1219" s="8" t="s">
        <v>1254</v>
      </c>
      <c r="CNK1219" s="8" t="s">
        <v>2275</v>
      </c>
      <c r="CPG1219" s="8" t="s">
        <v>1844</v>
      </c>
      <c r="CSY1219" s="8" t="s">
        <v>556</v>
      </c>
      <c r="CUU1219" s="8" t="s">
        <v>556</v>
      </c>
      <c r="CWQ1219" s="8" t="s">
        <v>556</v>
      </c>
      <c r="CYM1219" s="8" t="s">
        <v>556</v>
      </c>
      <c r="CYR1219" s="8" t="s">
        <v>603</v>
      </c>
      <c r="DBF1219" s="8" t="s">
        <v>603</v>
      </c>
      <c r="DCJ1219" s="8" t="s">
        <v>1254</v>
      </c>
      <c r="DDK1219" s="8" t="s">
        <v>1254</v>
      </c>
      <c r="DEF1219" s="8" t="s">
        <v>603</v>
      </c>
      <c r="DFG1219" s="8" t="s">
        <v>1254</v>
      </c>
    </row>
    <row r="1220" spans="2:2 1352:2048 2075:3049 3080:4084 4101:4149">
      <c r="B1220" s="10"/>
      <c r="AZN1220" s="8" t="s">
        <v>604</v>
      </c>
      <c r="BAL1220" s="8" t="s">
        <v>604</v>
      </c>
      <c r="BBJ1220" s="8" t="s">
        <v>1255</v>
      </c>
      <c r="COU1220" s="8" t="s">
        <v>2276</v>
      </c>
      <c r="CQQ1220" s="8" t="s">
        <v>1845</v>
      </c>
      <c r="CUI1220" s="8" t="s">
        <v>557</v>
      </c>
      <c r="CWE1220" s="8" t="s">
        <v>557</v>
      </c>
      <c r="CYA1220" s="8" t="s">
        <v>557</v>
      </c>
      <c r="CZS1220" s="8" t="s">
        <v>604</v>
      </c>
      <c r="CZW1220" s="8" t="s">
        <v>557</v>
      </c>
      <c r="DDK1220" s="8" t="s">
        <v>1255</v>
      </c>
      <c r="DDW1220" s="8" t="s">
        <v>604</v>
      </c>
      <c r="DFG1220" s="8" t="s">
        <v>604</v>
      </c>
      <c r="DGB1220" s="8" t="s">
        <v>1255</v>
      </c>
      <c r="DHX1220" s="8" t="s">
        <v>1255</v>
      </c>
    </row>
    <row r="1221" spans="2:2 1352:2048 2075:3049 3080:4084 4101:4149">
      <c r="B1221" s="10"/>
      <c r="BAV1221" s="8" t="s">
        <v>605</v>
      </c>
      <c r="BBT1221" s="8" t="s">
        <v>605</v>
      </c>
      <c r="BCR1221" s="8" t="s">
        <v>1256</v>
      </c>
      <c r="CPX1221" s="8" t="s">
        <v>2277</v>
      </c>
      <c r="CRT1221" s="8" t="s">
        <v>1846</v>
      </c>
      <c r="CVL1221" s="8" t="s">
        <v>558</v>
      </c>
      <c r="CXH1221" s="8" t="s">
        <v>558</v>
      </c>
      <c r="CZD1221" s="8" t="s">
        <v>558</v>
      </c>
      <c r="DAN1221" s="8" t="s">
        <v>1256</v>
      </c>
      <c r="DAY1221" s="8" t="s">
        <v>605</v>
      </c>
      <c r="DAZ1221" s="8" t="s">
        <v>558</v>
      </c>
      <c r="DCJ1221" s="8" t="s">
        <v>605</v>
      </c>
      <c r="DHX1221" s="8" t="s">
        <v>605</v>
      </c>
      <c r="DNP1221" s="8" t="s">
        <v>1256</v>
      </c>
      <c r="DPL1221" s="8" t="s">
        <v>1256</v>
      </c>
    </row>
    <row r="1222" spans="2:2 1352:2048 2075:3049 3080:4084 4101:4149">
      <c r="B1222" s="10"/>
      <c r="BEP1222" s="8" t="s">
        <v>606</v>
      </c>
      <c r="BFN1222" s="8" t="s">
        <v>606</v>
      </c>
      <c r="BGL1222" s="8" t="s">
        <v>1257</v>
      </c>
      <c r="CRB1222" s="8" t="s">
        <v>2278</v>
      </c>
      <c r="CSX1222" s="8" t="s">
        <v>1847</v>
      </c>
      <c r="CWP1222" s="8" t="s">
        <v>559</v>
      </c>
      <c r="CYL1222" s="8" t="s">
        <v>559</v>
      </c>
      <c r="DAH1222" s="8" t="s">
        <v>559</v>
      </c>
      <c r="DCD1222" s="8" t="s">
        <v>559</v>
      </c>
      <c r="DJX1222" s="8" t="s">
        <v>606</v>
      </c>
      <c r="DLI1222" s="8" t="s">
        <v>606</v>
      </c>
      <c r="DLT1222" s="8" t="s">
        <v>1257</v>
      </c>
      <c r="DPL1222" s="8" t="s">
        <v>606</v>
      </c>
      <c r="DRD1222" s="8" t="s">
        <v>1257</v>
      </c>
      <c r="DSZ1222" s="8" t="s">
        <v>1257</v>
      </c>
    </row>
    <row r="1223" spans="2:2 1352:2048 2075:3049 3080:4084 4101:4149">
      <c r="B1223" s="10"/>
      <c r="BGJ1223" s="8" t="s">
        <v>607</v>
      </c>
      <c r="BHH1223" s="8" t="s">
        <v>607</v>
      </c>
      <c r="BIF1223" s="8" t="s">
        <v>1258</v>
      </c>
      <c r="CSF1223" s="8" t="s">
        <v>2279</v>
      </c>
      <c r="CUB1223" s="8" t="s">
        <v>1848</v>
      </c>
      <c r="CXT1223" s="8" t="s">
        <v>560</v>
      </c>
      <c r="CZP1223" s="8" t="s">
        <v>560</v>
      </c>
      <c r="DBL1223" s="8" t="s">
        <v>560</v>
      </c>
      <c r="DDH1223" s="8" t="s">
        <v>560</v>
      </c>
      <c r="DNL1223" s="8" t="s">
        <v>607</v>
      </c>
      <c r="DRD1223" s="8" t="s">
        <v>1258</v>
      </c>
      <c r="DSZ1223" s="8" t="s">
        <v>1258</v>
      </c>
      <c r="DUV1223" s="8" t="s">
        <v>1258</v>
      </c>
    </row>
    <row r="1224" spans="2:2 1352:2048 2075:3049 3080:4084 4101:4149">
      <c r="B1224" s="10"/>
      <c r="BHH1224" s="8" t="s">
        <v>608</v>
      </c>
      <c r="BIF1224" s="8" t="s">
        <v>608</v>
      </c>
      <c r="BJD1224" s="8" t="s">
        <v>1259</v>
      </c>
      <c r="CTI1224" s="8" t="s">
        <v>2280</v>
      </c>
      <c r="CVE1224" s="8" t="s">
        <v>1849</v>
      </c>
      <c r="CYW1224" s="8" t="s">
        <v>561</v>
      </c>
      <c r="DAS1224" s="8" t="s">
        <v>561</v>
      </c>
      <c r="DCO1224" s="8" t="s">
        <v>561</v>
      </c>
      <c r="DEK1224" s="8" t="s">
        <v>561</v>
      </c>
      <c r="DPH1224" s="8" t="s">
        <v>608</v>
      </c>
      <c r="DSZ1224" s="8" t="s">
        <v>1259</v>
      </c>
      <c r="DUV1224" s="8" t="s">
        <v>1259</v>
      </c>
      <c r="DWR1224" s="8" t="s">
        <v>1259</v>
      </c>
    </row>
    <row r="1225" spans="2:2 1352:2048 2075:3049 3080:4084 4101:4149">
      <c r="B1225" s="10"/>
      <c r="BIF1225" s="8" t="s">
        <v>609</v>
      </c>
      <c r="BJD1225" s="8" t="s">
        <v>609</v>
      </c>
      <c r="BKB1225" s="8" t="s">
        <v>1260</v>
      </c>
      <c r="CUZ1225" s="8" t="s">
        <v>2281</v>
      </c>
      <c r="CWV1225" s="8" t="s">
        <v>1850</v>
      </c>
      <c r="DAN1225" s="8" t="s">
        <v>562</v>
      </c>
      <c r="DCJ1225" s="8" t="s">
        <v>562</v>
      </c>
      <c r="DEF1225" s="8" t="s">
        <v>562</v>
      </c>
      <c r="DGB1225" s="8" t="s">
        <v>562</v>
      </c>
      <c r="DRD1225" s="8" t="s">
        <v>609</v>
      </c>
      <c r="DSN1225" s="8" t="s">
        <v>609</v>
      </c>
      <c r="DSZ1225" s="8" t="s">
        <v>1260</v>
      </c>
      <c r="DWR1225" s="8" t="s">
        <v>609</v>
      </c>
      <c r="DXJ1225" s="8" t="s">
        <v>1260</v>
      </c>
      <c r="DZF1225" s="8" t="s">
        <v>1260</v>
      </c>
    </row>
    <row r="1226" spans="2:2 1352:2048 2075:3049 3080:4084 4101:4149">
      <c r="B1226" s="10"/>
      <c r="BJM1226" s="8" t="s">
        <v>610</v>
      </c>
      <c r="BKK1226" s="8" t="s">
        <v>610</v>
      </c>
      <c r="BLI1226" s="8" t="s">
        <v>1261</v>
      </c>
      <c r="CWV1226" s="8" t="s">
        <v>2282</v>
      </c>
      <c r="CYR1226" s="8" t="s">
        <v>1851</v>
      </c>
      <c r="DCJ1226" s="8" t="s">
        <v>563</v>
      </c>
      <c r="DEF1226" s="8" t="s">
        <v>563</v>
      </c>
      <c r="DGB1226" s="8" t="s">
        <v>563</v>
      </c>
      <c r="DHX1226" s="8" t="s">
        <v>563</v>
      </c>
      <c r="DTR1226" s="8" t="s">
        <v>610</v>
      </c>
      <c r="DYS1226" s="8" t="s">
        <v>1261</v>
      </c>
      <c r="DZF1226" s="8" t="s">
        <v>1261</v>
      </c>
      <c r="DZX1226" s="8" t="s">
        <v>610</v>
      </c>
      <c r="EAO1226" s="8" t="s">
        <v>1261</v>
      </c>
    </row>
    <row r="1227" spans="2:2 1352:2048 2075:3049 3080:4084 4101:4149">
      <c r="B1227" s="10"/>
      <c r="BKE1227" s="8" t="s">
        <v>611</v>
      </c>
      <c r="BLC1227" s="8" t="s">
        <v>611</v>
      </c>
      <c r="BMA1227" s="8" t="s">
        <v>1262</v>
      </c>
      <c r="CYR1227" s="8" t="s">
        <v>2283</v>
      </c>
      <c r="DAN1227" s="8" t="s">
        <v>1852</v>
      </c>
      <c r="DEF1227" s="8" t="s">
        <v>564</v>
      </c>
      <c r="DGB1227" s="8" t="s">
        <v>564</v>
      </c>
      <c r="DHX1227" s="8" t="s">
        <v>564</v>
      </c>
      <c r="DJT1227" s="8" t="s">
        <v>564</v>
      </c>
      <c r="DVA1227" s="8" t="s">
        <v>611</v>
      </c>
      <c r="DYS1227" s="8" t="s">
        <v>1262</v>
      </c>
      <c r="DYZ1227" s="8" t="s">
        <v>611</v>
      </c>
      <c r="EAO1227" s="8" t="s">
        <v>611</v>
      </c>
      <c r="EAV1227" s="8" t="s">
        <v>1262</v>
      </c>
      <c r="ECR1227" s="8" t="s">
        <v>1262</v>
      </c>
    </row>
    <row r="1228" spans="2:2 1352:2048 2075:3049 3080:4084 4101:4149">
      <c r="B1228" s="10"/>
      <c r="BBW1228" s="8" t="s">
        <v>570</v>
      </c>
      <c r="BLF1228" s="8" t="s">
        <v>612</v>
      </c>
      <c r="BMD1228" s="8" t="s">
        <v>612</v>
      </c>
      <c r="BNB1228" s="8" t="s">
        <v>1263</v>
      </c>
      <c r="DAN1228" s="8" t="s">
        <v>2284</v>
      </c>
      <c r="DCJ1228" s="8" t="s">
        <v>1853</v>
      </c>
      <c r="DGB1228" s="8" t="s">
        <v>565</v>
      </c>
      <c r="DHX1228" s="8" t="s">
        <v>565</v>
      </c>
      <c r="DJT1228" s="8" t="s">
        <v>565</v>
      </c>
      <c r="DLP1228" s="8" t="s">
        <v>565</v>
      </c>
      <c r="DXD1228" s="8" t="s">
        <v>612</v>
      </c>
      <c r="EAJ1228" s="8" t="s">
        <v>612</v>
      </c>
      <c r="EAV1228" s="8" t="s">
        <v>1263</v>
      </c>
      <c r="ECF1228" s="8" t="s">
        <v>1263</v>
      </c>
      <c r="ECR1228" s="8" t="s">
        <v>612</v>
      </c>
      <c r="EEB1228" s="8" t="s">
        <v>1263</v>
      </c>
    </row>
    <row r="1229" spans="2:2 1352:2048 2075:3049 3080:4084 4101:4149">
      <c r="B1229" s="10"/>
      <c r="BCM1229" s="8" t="s">
        <v>571</v>
      </c>
      <c r="BLX1229" s="8" t="s">
        <v>613</v>
      </c>
      <c r="BMV1229" s="8" t="s">
        <v>613</v>
      </c>
      <c r="BNT1229" s="8" t="s">
        <v>1264</v>
      </c>
      <c r="DKK1229" s="8" t="s">
        <v>2285</v>
      </c>
      <c r="DMG1229" s="8" t="s">
        <v>1854</v>
      </c>
      <c r="DPY1229" s="8" t="s">
        <v>566</v>
      </c>
      <c r="DRU1229" s="8" t="s">
        <v>566</v>
      </c>
      <c r="DTQ1229" s="8" t="s">
        <v>566</v>
      </c>
      <c r="DVM1229" s="8" t="s">
        <v>566</v>
      </c>
      <c r="DYN1229" s="8" t="s">
        <v>613</v>
      </c>
      <c r="EAJ1229" s="8" t="s">
        <v>1264</v>
      </c>
      <c r="EEB1229" s="8" t="s">
        <v>613</v>
      </c>
      <c r="EFX1229" s="8" t="s">
        <v>1264</v>
      </c>
      <c r="EHT1229" s="8" t="s">
        <v>1264</v>
      </c>
    </row>
    <row r="1230" spans="2:2 1352:2048 2075:3049 3080:4084 4101:4149">
      <c r="B1230" s="10"/>
      <c r="BDN1230" s="8" t="s">
        <v>572</v>
      </c>
      <c r="BNT1230" s="8" t="s">
        <v>614</v>
      </c>
      <c r="BOR1230" s="8" t="s">
        <v>614</v>
      </c>
      <c r="BPP1230" s="8" t="s">
        <v>1265</v>
      </c>
      <c r="DNL1230" s="8" t="s">
        <v>2286</v>
      </c>
      <c r="DPH1230" s="8" t="s">
        <v>1855</v>
      </c>
      <c r="DSZ1230" s="8" t="s">
        <v>567</v>
      </c>
      <c r="DUV1230" s="8" t="s">
        <v>567</v>
      </c>
      <c r="DWR1230" s="8" t="s">
        <v>567</v>
      </c>
      <c r="DYN1230" s="8" t="s">
        <v>567</v>
      </c>
      <c r="DZB1230" s="8" t="s">
        <v>614</v>
      </c>
      <c r="ECF1230" s="8" t="s">
        <v>614</v>
      </c>
      <c r="EHT1230" s="8" t="s">
        <v>614</v>
      </c>
      <c r="EPF1230" s="8" t="s">
        <v>1265</v>
      </c>
      <c r="ERB1230" s="8" t="s">
        <v>1265</v>
      </c>
    </row>
    <row r="1231" spans="2:2 1352:2048 2075:3049 3080:4084 4101:4149">
      <c r="B1231" s="10"/>
      <c r="BEB1231" s="8" t="s">
        <v>573</v>
      </c>
      <c r="BSK1231" s="8" t="s">
        <v>615</v>
      </c>
      <c r="BTI1231" s="8" t="s">
        <v>615</v>
      </c>
      <c r="BUG1231" s="8" t="s">
        <v>1266</v>
      </c>
      <c r="DPH1231" s="8" t="s">
        <v>2287</v>
      </c>
      <c r="DRD1231" s="8" t="s">
        <v>1856</v>
      </c>
      <c r="DUV1231" s="8" t="s">
        <v>568</v>
      </c>
      <c r="DWR1231" s="8" t="s">
        <v>568</v>
      </c>
      <c r="DYN1231" s="8" t="s">
        <v>568</v>
      </c>
      <c r="EAJ1231" s="8" t="s">
        <v>568</v>
      </c>
      <c r="EFZ1231" s="8" t="s">
        <v>1266</v>
      </c>
      <c r="EGH1231" s="8" t="s">
        <v>615</v>
      </c>
      <c r="ELN1231" s="8" t="s">
        <v>615</v>
      </c>
      <c r="ERB1231" s="8" t="s">
        <v>615</v>
      </c>
      <c r="FAB1231" s="8" t="s">
        <v>1266</v>
      </c>
      <c r="FBX1231" s="8" t="s">
        <v>1266</v>
      </c>
    </row>
    <row r="1232" spans="2:2 1352:2048 2075:3049 3080:4084 4101:4149">
      <c r="B1232" s="10"/>
      <c r="BEN1232" s="8" t="s">
        <v>574</v>
      </c>
      <c r="BXV1232" s="8" t="s">
        <v>616</v>
      </c>
      <c r="BYT1232" s="8" t="s">
        <v>616</v>
      </c>
      <c r="BZR1232" s="8" t="s">
        <v>1267</v>
      </c>
      <c r="DWM1232" s="8" t="s">
        <v>2288</v>
      </c>
      <c r="DYI1232" s="8" t="s">
        <v>1857</v>
      </c>
      <c r="ECA1232" s="8" t="s">
        <v>535</v>
      </c>
      <c r="EDW1232" s="8" t="s">
        <v>535</v>
      </c>
      <c r="EFS1232" s="8" t="s">
        <v>535</v>
      </c>
      <c r="EHO1232" s="8" t="s">
        <v>535</v>
      </c>
      <c r="EWJ1232" s="8" t="s">
        <v>616</v>
      </c>
      <c r="FAS1232" s="8" t="s">
        <v>1267</v>
      </c>
      <c r="FBX1232" s="8" t="s">
        <v>1267</v>
      </c>
      <c r="FCG1232" s="8" t="s">
        <v>616</v>
      </c>
      <c r="FCO1232" s="8" t="s">
        <v>1267</v>
      </c>
    </row>
    <row r="1233" spans="2:2 1496:2048 2055:2123 3467:4088 4100:4376 8761:8792">
      <c r="B1233" s="10"/>
      <c r="BEN1233" s="8" t="s">
        <v>575</v>
      </c>
      <c r="BYE1233" s="8" t="s">
        <v>617</v>
      </c>
      <c r="BZC1233" s="8" t="s">
        <v>617</v>
      </c>
      <c r="CAA1233" s="8" t="s">
        <v>1268</v>
      </c>
      <c r="ECI1233" s="8" t="s">
        <v>2289</v>
      </c>
      <c r="EEE1233" s="8" t="s">
        <v>1858</v>
      </c>
      <c r="EHW1233" s="8" t="s">
        <v>569</v>
      </c>
      <c r="EJS1233" s="8" t="s">
        <v>569</v>
      </c>
      <c r="ELO1233" s="8" t="s">
        <v>569</v>
      </c>
      <c r="ENK1233" s="8" t="s">
        <v>569</v>
      </c>
      <c r="EXA1233" s="8" t="s">
        <v>617</v>
      </c>
      <c r="EYJ1233" s="8" t="s">
        <v>617</v>
      </c>
      <c r="EYW1233" s="8" t="s">
        <v>1268</v>
      </c>
      <c r="FCO1233" s="8" t="s">
        <v>617</v>
      </c>
      <c r="FDX1233" s="8" t="s">
        <v>1268</v>
      </c>
      <c r="FFT1233" s="8" t="s">
        <v>1268</v>
      </c>
    </row>
    <row r="1234" spans="2:2 1496:2048 2055:2123 3467:4088 4100:4376 8761:8792">
      <c r="B1234" s="10"/>
      <c r="BEN1234" s="8" t="s">
        <v>576</v>
      </c>
      <c r="BZT1234" s="8" t="s">
        <v>618</v>
      </c>
      <c r="CAR1234" s="8" t="s">
        <v>618</v>
      </c>
      <c r="CBP1234" s="8" t="s">
        <v>1269</v>
      </c>
      <c r="EVD1234" s="8" t="s">
        <v>2290</v>
      </c>
      <c r="EWZ1234" s="8" t="s">
        <v>1859</v>
      </c>
      <c r="FAF1234" s="8" t="s">
        <v>618</v>
      </c>
      <c r="FAR1234" s="8" t="s">
        <v>1476</v>
      </c>
      <c r="FCN1234" s="8" t="s">
        <v>1476</v>
      </c>
      <c r="FDX1234" s="8" t="s">
        <v>1269</v>
      </c>
      <c r="FEJ1234" s="8" t="s">
        <v>1476</v>
      </c>
      <c r="FFT1234" s="8" t="s">
        <v>1269</v>
      </c>
      <c r="FGF1234" s="8" t="s">
        <v>1476</v>
      </c>
      <c r="FHP1234" s="8" t="s">
        <v>1269</v>
      </c>
    </row>
    <row r="1235" spans="2:2 1496:2048 2055:2123 3467:4088 4100:4376 8761:8792">
      <c r="B1235" s="10"/>
      <c r="BEQ1235" s="8" t="s">
        <v>577</v>
      </c>
      <c r="CAR1235" s="8" t="s">
        <v>619</v>
      </c>
      <c r="CBP1235" s="8" t="s">
        <v>619</v>
      </c>
      <c r="CCN1235" s="8" t="s">
        <v>1410</v>
      </c>
      <c r="EWH1235" s="8" t="s">
        <v>2291</v>
      </c>
      <c r="EYD1235" s="8" t="s">
        <v>1860</v>
      </c>
      <c r="FBV1235" s="8" t="s">
        <v>1477</v>
      </c>
      <c r="FCB1235" s="8" t="s">
        <v>619</v>
      </c>
      <c r="FDR1235" s="8" t="s">
        <v>1477</v>
      </c>
      <c r="FFN1235" s="8" t="s">
        <v>1477</v>
      </c>
      <c r="FHJ1235" s="8" t="s">
        <v>1477</v>
      </c>
      <c r="FHP1235" s="8" t="s">
        <v>619</v>
      </c>
      <c r="LXY1235" s="8" t="s">
        <v>619</v>
      </c>
      <c r="LZD1235" s="8" t="s">
        <v>1410</v>
      </c>
    </row>
    <row r="1236" spans="2:2 1496:2048 2055:2123 3467:4088 4100:4376 8761:8792">
      <c r="B1236" s="10"/>
      <c r="BFI1236" s="8" t="s">
        <v>578</v>
      </c>
      <c r="EWN1236" s="8" t="s">
        <v>2292</v>
      </c>
      <c r="EYJ1236" s="8" t="s">
        <v>1861</v>
      </c>
      <c r="FCB1236" s="8" t="s">
        <v>1478</v>
      </c>
      <c r="FDX1236" s="8" t="s">
        <v>1478</v>
      </c>
      <c r="FFT1236" s="8" t="s">
        <v>1478</v>
      </c>
      <c r="FHP1236" s="8" t="s">
        <v>1478</v>
      </c>
    </row>
    <row r="1237" spans="2:2 1496:2048 2055:2123 3467:4088 4100:4376 8761:8792">
      <c r="B1237" s="10"/>
      <c r="BGJ1237" s="8" t="s">
        <v>579</v>
      </c>
      <c r="EYJ1237" s="8" t="s">
        <v>2293</v>
      </c>
      <c r="FAF1237" s="8" t="s">
        <v>1862</v>
      </c>
      <c r="FDX1237" s="8" t="s">
        <v>1479</v>
      </c>
      <c r="FFT1237" s="8" t="s">
        <v>1479</v>
      </c>
      <c r="FHP1237" s="8" t="s">
        <v>1479</v>
      </c>
      <c r="FJL1237" s="8" t="s">
        <v>1479</v>
      </c>
    </row>
    <row r="1238" spans="2:2 1496:2048 2055:2123 3467:4088 4100:4376 8761:8792">
      <c r="B1238" s="10"/>
      <c r="BKB1238" s="8" t="s">
        <v>580</v>
      </c>
      <c r="FAF1238" s="8" t="s">
        <v>2294</v>
      </c>
      <c r="FCB1238" s="8" t="s">
        <v>1863</v>
      </c>
      <c r="FFT1238" s="8" t="s">
        <v>1480</v>
      </c>
      <c r="FHP1238" s="8" t="s">
        <v>1480</v>
      </c>
      <c r="FJL1238" s="8" t="s">
        <v>1480</v>
      </c>
      <c r="FLH1238" s="8" t="s">
        <v>1480</v>
      </c>
    </row>
    <row r="1239" spans="2:2 1496:2048 2055:2123 3467:4088 4100:4376 8761:8792">
      <c r="B1239" s="10"/>
      <c r="BNT1239" s="8" t="s">
        <v>581</v>
      </c>
    </row>
    <row r="1240" spans="2:2 1496:2048 2055:2123 3467:4088 4100:4376 8761:8792">
      <c r="B1240" s="10"/>
      <c r="BNW1240" s="8" t="s">
        <v>582</v>
      </c>
    </row>
    <row r="1241" spans="2:2 1496:2048 2055:2123 3467:4088 4100:4376 8761:8792">
      <c r="B1241" s="10"/>
      <c r="BPF1241" s="8" t="s">
        <v>583</v>
      </c>
    </row>
    <row r="1242" spans="2:2 1496:2048 2055:2123 3467:4088 4100:4376 8761:8792">
      <c r="B1242" s="10"/>
      <c r="BTH1242" s="8" t="s">
        <v>584</v>
      </c>
    </row>
    <row r="1243" spans="2:2 1496:2048 2055:2123 3467:4088 4100:4376 8761:8792">
      <c r="B1243" s="10"/>
      <c r="BVD1243" s="8" t="s">
        <v>585</v>
      </c>
    </row>
    <row r="1244" spans="2:2 1496:2048 2055:2123 3467:4088 4100:4376 8761:8792">
      <c r="B1244" s="10"/>
      <c r="BXE1244" s="8" t="s">
        <v>586</v>
      </c>
    </row>
    <row r="1245" spans="2:2 1496:2048 2055:2123 3467:4088 4100:4376 8761:8792">
      <c r="B1245" s="10"/>
      <c r="BYV1245" s="8" t="s">
        <v>587</v>
      </c>
    </row>
    <row r="1246" spans="2:2 1496:2048 2055:2123 3467:4088 4100:4376 8761:8792">
      <c r="B1246" s="10"/>
      <c r="CAR1246" s="8" t="s">
        <v>588</v>
      </c>
    </row>
    <row r="1247" spans="2:2 1496:2048 2055:2123 3467:4088 4100:4376 8761:8792">
      <c r="B1247" s="10"/>
      <c r="CBW1247" s="8" t="s">
        <v>589</v>
      </c>
    </row>
    <row r="1248" spans="2:2 1496:2048 2055:2123 3467:4088 4100:4376 8761:8792">
      <c r="B1248" s="10"/>
      <c r="CCQ1248" s="8" t="s">
        <v>590</v>
      </c>
    </row>
    <row r="1249" spans="2:2 1352:2035 2064:2936 3132:3224">
      <c r="B1249" s="10"/>
      <c r="AYZ1249" s="8" t="s">
        <v>538</v>
      </c>
      <c r="CDT1249" s="8" t="s">
        <v>591</v>
      </c>
    </row>
    <row r="1250" spans="2:2 1352:2035 2064:2936 3132:3224">
      <c r="B1250" s="10"/>
      <c r="AYZ1250" s="8" t="s">
        <v>539</v>
      </c>
      <c r="BAV1250" s="8" t="s">
        <v>539</v>
      </c>
      <c r="CEO1250" s="8" t="s">
        <v>592</v>
      </c>
    </row>
    <row r="1251" spans="2:2 1352:2035 2064:2936 3132:3224">
      <c r="B1251" s="10"/>
      <c r="BGV1251" s="8" t="s">
        <v>1475</v>
      </c>
      <c r="BIR1251" s="8" t="s">
        <v>1475</v>
      </c>
      <c r="CIB1251" s="8" t="s">
        <v>593</v>
      </c>
    </row>
    <row r="1252" spans="2:2 1352:2035 2064:2936 3132:3224">
      <c r="B1252" s="10"/>
      <c r="BIF1252" s="8" t="s">
        <v>540</v>
      </c>
      <c r="BKB1252" s="8" t="s">
        <v>540</v>
      </c>
      <c r="CIB1252" s="8" t="s">
        <v>594</v>
      </c>
    </row>
    <row r="1253" spans="2:2 1352:2035 2064:2936 3132:3224">
      <c r="B1253" s="10"/>
      <c r="BIF1253" s="8" t="s">
        <v>541</v>
      </c>
      <c r="BKB1253" s="8" t="s">
        <v>541</v>
      </c>
      <c r="CPC1253" s="8" t="s">
        <v>595</v>
      </c>
    </row>
    <row r="1254" spans="2:2 1352:2035 2064:2936 3132:3224">
      <c r="B1254" s="10"/>
      <c r="BIG1254" s="8" t="s">
        <v>542</v>
      </c>
      <c r="BKC1254" s="8" t="s">
        <v>542</v>
      </c>
      <c r="CRH1254" s="8" t="s">
        <v>596</v>
      </c>
    </row>
    <row r="1255" spans="2:2 1352:2035 2064:2936 3132:3224">
      <c r="B1255" s="10"/>
      <c r="BJQ1255" s="8" t="s">
        <v>543</v>
      </c>
      <c r="BLM1255" s="8" t="s">
        <v>543</v>
      </c>
      <c r="CUZ1255" s="8" t="s">
        <v>597</v>
      </c>
    </row>
    <row r="1256" spans="2:2 1352:2035 2064:2936 3132:3224">
      <c r="B1256" s="10"/>
      <c r="BKZ1256" s="8" t="s">
        <v>544</v>
      </c>
      <c r="BMV1256" s="8" t="s">
        <v>544</v>
      </c>
      <c r="CWV1256" s="8" t="s">
        <v>598</v>
      </c>
    </row>
    <row r="1257" spans="2:2 1352:2035 2064:2936 3132:3224">
      <c r="B1257" s="10"/>
      <c r="BMC1257" s="8" t="s">
        <v>546</v>
      </c>
      <c r="BNC1257" s="8" t="s">
        <v>545</v>
      </c>
      <c r="BOY1257" s="8" t="s">
        <v>545</v>
      </c>
      <c r="DAZ1257" s="8" t="s">
        <v>599</v>
      </c>
    </row>
    <row r="1258" spans="2:2 1352:2035 2064:2936 3132:3224">
      <c r="B1258" s="10"/>
      <c r="BMC1258" s="8" t="s">
        <v>546</v>
      </c>
      <c r="BNC1258" s="8" t="s">
        <v>545</v>
      </c>
      <c r="BNY1258" s="8" t="s">
        <v>546</v>
      </c>
      <c r="DCJ1258" s="8" t="s">
        <v>600</v>
      </c>
    </row>
    <row r="1259" spans="2:2 1352:2035 2064:2936 3132:3224">
      <c r="B1259" s="10"/>
      <c r="BVD1259" s="8" t="s">
        <v>547</v>
      </c>
      <c r="BWZ1259" s="8" t="s">
        <v>547</v>
      </c>
      <c r="DEF1259" s="8" t="s">
        <v>601</v>
      </c>
    </row>
    <row r="1260" spans="2:2 1352:2035 2064:2936 3132:3224">
      <c r="B1260" s="10"/>
      <c r="BVD1260" s="8" t="s">
        <v>548</v>
      </c>
      <c r="BWZ1260" s="8" t="s">
        <v>548</v>
      </c>
      <c r="DEF1260" s="8" t="s">
        <v>602</v>
      </c>
    </row>
    <row r="1261" spans="2:2 1352:2035 2064:2936 3132:3224">
      <c r="B1261" s="10"/>
      <c r="BXK1261" s="8" t="s">
        <v>549</v>
      </c>
      <c r="BZG1261" s="8" t="s">
        <v>549</v>
      </c>
      <c r="DFG1261" s="8" t="s">
        <v>603</v>
      </c>
    </row>
    <row r="1262" spans="2:2 1352:2035 2064:2936 3132:3224">
      <c r="B1262" s="10"/>
      <c r="BYN1262" s="8" t="s">
        <v>550</v>
      </c>
      <c r="CAJ1262" s="8" t="s">
        <v>550</v>
      </c>
      <c r="DHX1262" s="8" t="s">
        <v>604</v>
      </c>
    </row>
    <row r="1263" spans="2:2 1352:2035 2064:2936 3132:3224">
      <c r="B1263" s="10"/>
      <c r="CCZ1263" s="8" t="s">
        <v>551</v>
      </c>
      <c r="CEV1263" s="8" t="s">
        <v>551</v>
      </c>
      <c r="DPL1263" s="8" t="s">
        <v>605</v>
      </c>
    </row>
    <row r="1264" spans="2:2 1352:2035 2064:2936 3132:3224">
      <c r="B1264" s="10"/>
      <c r="CED1264" s="8" t="s">
        <v>552</v>
      </c>
      <c r="CFZ1264" s="8" t="s">
        <v>552</v>
      </c>
      <c r="DSZ1264" s="8" t="s">
        <v>606</v>
      </c>
    </row>
    <row r="1265" spans="2:2 1352:1705 2192:3032 3080:3850 4132:4280">
      <c r="B1265" s="10"/>
      <c r="CFH1265" s="8" t="s">
        <v>553</v>
      </c>
      <c r="CHD1265" s="8" t="s">
        <v>553</v>
      </c>
      <c r="DUV1265" s="8" t="s">
        <v>607</v>
      </c>
    </row>
    <row r="1266" spans="2:2 1352:1705 2192:3032 3080:3850 4132:4280">
      <c r="B1266" s="10"/>
      <c r="CGK1266" s="8" t="s">
        <v>554</v>
      </c>
      <c r="CIG1266" s="8" t="s">
        <v>554</v>
      </c>
      <c r="DWR1266" s="8" t="s">
        <v>608</v>
      </c>
    </row>
    <row r="1267" spans="2:2 1352:1705 2192:3032 3080:3850 4132:4280">
      <c r="B1267" s="10"/>
      <c r="CKV1267" s="8" t="s">
        <v>536</v>
      </c>
      <c r="CMR1267" s="8" t="s">
        <v>536</v>
      </c>
      <c r="DZF1267" s="8" t="s">
        <v>609</v>
      </c>
    </row>
    <row r="1268" spans="2:2 1352:1705 2192:3032 3080:3850 4132:4280">
      <c r="B1268" s="10"/>
      <c r="CLW1268" s="8" t="s">
        <v>555</v>
      </c>
      <c r="CNS1268" s="8" t="s">
        <v>555</v>
      </c>
      <c r="EAO1268" s="8" t="s">
        <v>610</v>
      </c>
    </row>
    <row r="1269" spans="2:2 1352:1705 2192:3032 3080:3850 4132:4280">
      <c r="B1269" s="10"/>
      <c r="CYM1269" s="8" t="s">
        <v>556</v>
      </c>
      <c r="DAI1269" s="8" t="s">
        <v>556</v>
      </c>
      <c r="ECR1269" s="8" t="s">
        <v>611</v>
      </c>
    </row>
    <row r="1270" spans="2:2 1352:1705 2192:3032 3080:3850 4132:4280">
      <c r="B1270" s="10"/>
      <c r="CZW1270" s="8" t="s">
        <v>557</v>
      </c>
      <c r="DBS1270" s="8" t="s">
        <v>557</v>
      </c>
      <c r="EEB1270" s="8" t="s">
        <v>612</v>
      </c>
    </row>
    <row r="1271" spans="2:2 1352:1705 2192:3032 3080:3850 4132:4280">
      <c r="B1271" s="10"/>
      <c r="DAZ1271" s="8" t="s">
        <v>558</v>
      </c>
      <c r="DCV1271" s="8" t="s">
        <v>558</v>
      </c>
      <c r="EHT1271" s="8" t="s">
        <v>613</v>
      </c>
    </row>
    <row r="1272" spans="2:2 1352:1705 2192:3032 3080:3850 4132:4280">
      <c r="B1272" s="10"/>
      <c r="DCD1272" s="8" t="s">
        <v>559</v>
      </c>
      <c r="DDZ1272" s="8" t="s">
        <v>559</v>
      </c>
      <c r="ERB1272" s="8" t="s">
        <v>614</v>
      </c>
    </row>
    <row r="1273" spans="2:2 1352:1705 2192:3032 3080:3850 4132:4280">
      <c r="B1273" s="10"/>
      <c r="AYZ1273" s="8" t="s">
        <v>581</v>
      </c>
      <c r="BAV1273" s="8" t="s">
        <v>581</v>
      </c>
      <c r="DDH1273" s="8" t="s">
        <v>560</v>
      </c>
      <c r="DFD1273" s="8" t="s">
        <v>560</v>
      </c>
      <c r="FBX1273" s="8" t="s">
        <v>615</v>
      </c>
    </row>
    <row r="1274" spans="2:2 1352:1705 2192:3032 3080:3850 4132:4280">
      <c r="B1274" s="10"/>
      <c r="AYZ1274" s="8" t="s">
        <v>582</v>
      </c>
      <c r="BAV1274" s="8" t="s">
        <v>582</v>
      </c>
      <c r="BCR1274" s="8" t="s">
        <v>582</v>
      </c>
      <c r="BEN1274" s="8" t="s">
        <v>582</v>
      </c>
      <c r="DEK1274" s="8" t="s">
        <v>561</v>
      </c>
      <c r="DGG1274" s="8" t="s">
        <v>561</v>
      </c>
      <c r="FCO1274" s="8" t="s">
        <v>616</v>
      </c>
    </row>
    <row r="1275" spans="2:2 1352:1705 2192:3032 3080:3850 4132:4280">
      <c r="B1275" s="10"/>
      <c r="AZC1275" s="8" t="s">
        <v>583</v>
      </c>
      <c r="BAY1275" s="8" t="s">
        <v>583</v>
      </c>
      <c r="BCU1275" s="8" t="s">
        <v>583</v>
      </c>
      <c r="BEQ1275" s="8" t="s">
        <v>583</v>
      </c>
      <c r="DGB1275" s="8" t="s">
        <v>562</v>
      </c>
      <c r="DHX1275" s="8" t="s">
        <v>562</v>
      </c>
      <c r="FFT1275" s="8" t="s">
        <v>617</v>
      </c>
    </row>
    <row r="1276" spans="2:2 1352:1705 2192:3032 3080:3850 4132:4280">
      <c r="B1276" s="10"/>
      <c r="BAL1276" s="8" t="s">
        <v>584</v>
      </c>
      <c r="BCH1276" s="8" t="s">
        <v>584</v>
      </c>
      <c r="BED1276" s="8" t="s">
        <v>584</v>
      </c>
      <c r="BFZ1276" s="8" t="s">
        <v>584</v>
      </c>
      <c r="DHX1276" s="8" t="s">
        <v>563</v>
      </c>
      <c r="DJT1276" s="8" t="s">
        <v>563</v>
      </c>
      <c r="FHP1276" s="8" t="s">
        <v>618</v>
      </c>
    </row>
    <row r="1277" spans="2:2 1352:1705 2192:3032 3080:3850 4132:4280">
      <c r="B1277" s="10"/>
      <c r="BCI1277" s="8" t="s">
        <v>722</v>
      </c>
      <c r="BEE1277" s="8" t="s">
        <v>722</v>
      </c>
      <c r="BGA1277" s="8" t="s">
        <v>722</v>
      </c>
      <c r="BHW1277" s="8" t="s">
        <v>722</v>
      </c>
      <c r="DJT1277" s="8" t="s">
        <v>564</v>
      </c>
      <c r="DLP1277" s="8" t="s">
        <v>564</v>
      </c>
    </row>
    <row r="1278" spans="2:2 1352:1705 2192:3032 3080:3850 4132:4280">
      <c r="B1278" s="10"/>
      <c r="AYZ1278" s="8" t="s">
        <v>2295</v>
      </c>
      <c r="BAV1278" s="8" t="s">
        <v>1864</v>
      </c>
      <c r="BEN1278" s="8" t="s">
        <v>585</v>
      </c>
      <c r="BGJ1278" s="8" t="s">
        <v>585</v>
      </c>
      <c r="BIF1278" s="8" t="s">
        <v>585</v>
      </c>
      <c r="BKB1278" s="8" t="s">
        <v>585</v>
      </c>
      <c r="DLP1278" s="8" t="s">
        <v>565</v>
      </c>
      <c r="DNL1278" s="8" t="s">
        <v>565</v>
      </c>
    </row>
    <row r="1279" spans="2:2 1352:1705 2192:3032 3080:3850 4132:4280">
      <c r="B1279" s="10"/>
      <c r="BAV1279" s="8" t="s">
        <v>2296</v>
      </c>
      <c r="BCR1279" s="8" t="s">
        <v>1865</v>
      </c>
      <c r="BGJ1279" s="8" t="s">
        <v>586</v>
      </c>
      <c r="BIF1279" s="8" t="s">
        <v>586</v>
      </c>
      <c r="BKB1279" s="8" t="s">
        <v>586</v>
      </c>
      <c r="BLX1279" s="8" t="s">
        <v>586</v>
      </c>
      <c r="DVM1279" s="8" t="s">
        <v>566</v>
      </c>
      <c r="DXI1279" s="8" t="s">
        <v>566</v>
      </c>
    </row>
    <row r="1280" spans="2:2 1352:1705 2192:3032 3080:3850 4132:4280">
      <c r="B1280" s="10"/>
      <c r="BBM1280" s="8" t="s">
        <v>2297</v>
      </c>
      <c r="BDI1280" s="8" t="s">
        <v>1866</v>
      </c>
      <c r="BHA1280" s="8" t="s">
        <v>1481</v>
      </c>
      <c r="BIW1280" s="8" t="s">
        <v>1481</v>
      </c>
      <c r="BKS1280" s="8" t="s">
        <v>1481</v>
      </c>
      <c r="BMO1280" s="8" t="s">
        <v>1481</v>
      </c>
      <c r="DYN1280" s="8" t="s">
        <v>567</v>
      </c>
      <c r="EAJ1280" s="8" t="s">
        <v>567</v>
      </c>
    </row>
    <row r="1281" spans="2:2 1453:2024 2063:2600 3416:3803 4244:4424">
      <c r="B1281" s="10"/>
      <c r="BCW1281" s="8" t="s">
        <v>2298</v>
      </c>
      <c r="BES1281" s="8" t="s">
        <v>1867</v>
      </c>
      <c r="BIK1281" s="8" t="s">
        <v>587</v>
      </c>
      <c r="BKG1281" s="8" t="s">
        <v>587</v>
      </c>
      <c r="BMC1281" s="8" t="s">
        <v>587</v>
      </c>
      <c r="BNY1281" s="8" t="s">
        <v>587</v>
      </c>
      <c r="EAJ1281" s="8" t="s">
        <v>568</v>
      </c>
      <c r="ECF1281" s="8" t="s">
        <v>568</v>
      </c>
    </row>
    <row r="1282" spans="2:2 1453:2024 2063:2600 3416:3803 4244:4424">
      <c r="B1282" s="10"/>
      <c r="BEN1282" s="8" t="s">
        <v>2299</v>
      </c>
      <c r="BGJ1282" s="8" t="s">
        <v>1868</v>
      </c>
      <c r="BKB1282" s="8" t="s">
        <v>588</v>
      </c>
      <c r="BLX1282" s="8" t="s">
        <v>588</v>
      </c>
      <c r="BNT1282" s="8" t="s">
        <v>588</v>
      </c>
      <c r="BPP1282" s="8" t="s">
        <v>588</v>
      </c>
      <c r="EHO1282" s="8" t="s">
        <v>535</v>
      </c>
      <c r="EJK1282" s="8" t="s">
        <v>535</v>
      </c>
    </row>
    <row r="1283" spans="2:2 1453:2024 2063:2600 3416:3803 4244:4424">
      <c r="B1283" s="10"/>
      <c r="BHO1283" s="8" t="s">
        <v>2300</v>
      </c>
      <c r="BJK1283" s="8" t="s">
        <v>1869</v>
      </c>
      <c r="BNC1283" s="8" t="s">
        <v>590</v>
      </c>
      <c r="BOY1283" s="8" t="s">
        <v>590</v>
      </c>
      <c r="BQU1283" s="8" t="s">
        <v>590</v>
      </c>
      <c r="BSQ1283" s="8" t="s">
        <v>590</v>
      </c>
      <c r="ENK1283" s="8" t="s">
        <v>569</v>
      </c>
      <c r="EPG1283" s="8" t="s">
        <v>569</v>
      </c>
    </row>
    <row r="1284" spans="2:2 1453:2024 2063:2600 3416:3803 4244:4424">
      <c r="B1284" s="10"/>
      <c r="BDV1284" s="8" t="s">
        <v>622</v>
      </c>
      <c r="BII1284" s="8" t="s">
        <v>2301</v>
      </c>
      <c r="BKE1284" s="8" t="s">
        <v>1870</v>
      </c>
      <c r="BNW1284" s="8" t="s">
        <v>591</v>
      </c>
      <c r="BPS1284" s="8" t="s">
        <v>591</v>
      </c>
      <c r="BRO1284" s="8" t="s">
        <v>591</v>
      </c>
      <c r="BTK1284" s="8" t="s">
        <v>591</v>
      </c>
      <c r="FGF1284" s="8" t="s">
        <v>1476</v>
      </c>
      <c r="FIB1284" s="8" t="s">
        <v>1476</v>
      </c>
    </row>
    <row r="1285" spans="2:2 1453:2024 2063:2600 3416:3803 4244:4424">
      <c r="B1285" s="10"/>
      <c r="BEO1285" s="8" t="s">
        <v>623</v>
      </c>
      <c r="BJL1285" s="8" t="s">
        <v>2302</v>
      </c>
      <c r="BLH1285" s="8" t="s">
        <v>1871</v>
      </c>
      <c r="BOZ1285" s="8" t="s">
        <v>592</v>
      </c>
      <c r="BQV1285" s="8" t="s">
        <v>592</v>
      </c>
      <c r="BSR1285" s="8" t="s">
        <v>592</v>
      </c>
      <c r="BUN1285" s="8" t="s">
        <v>592</v>
      </c>
      <c r="FHJ1285" s="8" t="s">
        <v>1477</v>
      </c>
      <c r="FJF1285" s="8" t="s">
        <v>1477</v>
      </c>
    </row>
    <row r="1286" spans="2:2 1453:2024 2063:2600 3416:3803 4244:4424">
      <c r="B1286" s="10"/>
      <c r="BIF1286" s="8" t="s">
        <v>624</v>
      </c>
      <c r="BKG1286" s="8" t="s">
        <v>2303</v>
      </c>
      <c r="BMC1286" s="8" t="s">
        <v>1872</v>
      </c>
      <c r="BPU1286" s="8" t="s">
        <v>593</v>
      </c>
      <c r="BRQ1286" s="8" t="s">
        <v>593</v>
      </c>
      <c r="BTM1286" s="8" t="s">
        <v>593</v>
      </c>
      <c r="BVI1286" s="8" t="s">
        <v>593</v>
      </c>
      <c r="FHP1286" s="8" t="s">
        <v>1478</v>
      </c>
      <c r="FJL1286" s="8" t="s">
        <v>1478</v>
      </c>
    </row>
    <row r="1287" spans="2:2 1453:2024 2063:2600 3416:3803 4244:4424">
      <c r="B1287" s="10"/>
      <c r="BLX1287" s="8" t="s">
        <v>2304</v>
      </c>
      <c r="BNG1287" s="8" t="s">
        <v>625</v>
      </c>
      <c r="BNT1287" s="8" t="s">
        <v>1873</v>
      </c>
      <c r="BRL1287" s="8" t="s">
        <v>1482</v>
      </c>
      <c r="BTH1287" s="8" t="s">
        <v>1482</v>
      </c>
      <c r="BVD1287" s="8" t="s">
        <v>1482</v>
      </c>
      <c r="BWZ1287" s="8" t="s">
        <v>1482</v>
      </c>
      <c r="FJL1287" s="8" t="s">
        <v>1479</v>
      </c>
      <c r="FLH1287" s="8" t="s">
        <v>1479</v>
      </c>
    </row>
    <row r="1288" spans="2:2 1453:2024 2063:2600 3416:3803 4244:4424">
      <c r="B1288" s="10"/>
      <c r="BNT1288" s="8" t="s">
        <v>2305</v>
      </c>
      <c r="BOI1288" s="8" t="s">
        <v>626</v>
      </c>
      <c r="BPP1288" s="8" t="s">
        <v>1874</v>
      </c>
      <c r="BTH1288" s="8" t="s">
        <v>594</v>
      </c>
      <c r="BVD1288" s="8" t="s">
        <v>594</v>
      </c>
      <c r="BWZ1288" s="8" t="s">
        <v>594</v>
      </c>
      <c r="BYV1288" s="8" t="s">
        <v>594</v>
      </c>
      <c r="FLH1288" s="8" t="s">
        <v>1480</v>
      </c>
      <c r="FND1288" s="8" t="s">
        <v>1480</v>
      </c>
    </row>
    <row r="1289" spans="2:2 1453:2024 2063:2600 3416:3803 4244:4424">
      <c r="B1289" s="10"/>
      <c r="BNT1289" s="8" t="s">
        <v>2306</v>
      </c>
      <c r="BPP1289" s="8" t="s">
        <v>1875</v>
      </c>
      <c r="BTH1289" s="8" t="s">
        <v>595</v>
      </c>
      <c r="BVD1289" s="8" t="s">
        <v>595</v>
      </c>
      <c r="BWZ1289" s="8" t="s">
        <v>595</v>
      </c>
      <c r="BYV1289" s="8" t="s">
        <v>595</v>
      </c>
    </row>
    <row r="1290" spans="2:2 1453:2024 2063:2600 3416:3803 4244:4424">
      <c r="B1290" s="10"/>
      <c r="BRU1290" s="8" t="s">
        <v>628</v>
      </c>
      <c r="BUU1290" s="8" t="s">
        <v>2307</v>
      </c>
      <c r="BWQ1290" s="8" t="s">
        <v>1876</v>
      </c>
      <c r="CAI1290" s="8" t="s">
        <v>596</v>
      </c>
      <c r="CCE1290" s="8" t="s">
        <v>596</v>
      </c>
      <c r="CEA1290" s="8" t="s">
        <v>596</v>
      </c>
      <c r="CFW1290" s="8" t="s">
        <v>596</v>
      </c>
    </row>
    <row r="1291" spans="2:2 1453:2024 2063:2600 3416:3803 4244:4424">
      <c r="B1291" s="10"/>
      <c r="BRL1291" s="8" t="s">
        <v>620</v>
      </c>
      <c r="BWZ1291" s="8" t="s">
        <v>2308</v>
      </c>
      <c r="BYV1291" s="8" t="s">
        <v>1877</v>
      </c>
      <c r="CCN1291" s="8" t="s">
        <v>597</v>
      </c>
      <c r="CEJ1291" s="8" t="s">
        <v>597</v>
      </c>
      <c r="CGF1291" s="8" t="s">
        <v>597</v>
      </c>
      <c r="CIB1291" s="8" t="s">
        <v>597</v>
      </c>
    </row>
    <row r="1292" spans="2:2 1453:2024 2063:2600 3416:3803 4244:4424">
      <c r="B1292" s="10"/>
      <c r="BSG1292" s="8" t="s">
        <v>629</v>
      </c>
      <c r="CAR1292" s="8" t="s">
        <v>2309</v>
      </c>
      <c r="CCN1292" s="8" t="s">
        <v>1878</v>
      </c>
      <c r="CGF1292" s="8" t="s">
        <v>598</v>
      </c>
      <c r="CIB1292" s="8" t="s">
        <v>598</v>
      </c>
      <c r="CJX1292" s="8" t="s">
        <v>598</v>
      </c>
      <c r="CLT1292" s="8" t="s">
        <v>598</v>
      </c>
    </row>
    <row r="1293" spans="2:2 1453:2024 2063:2600 3416:3803 4244:4424">
      <c r="B1293" s="10"/>
      <c r="BTN1293" s="8" t="s">
        <v>630</v>
      </c>
      <c r="CCN1293" s="8" t="s">
        <v>2310</v>
      </c>
      <c r="CEJ1293" s="8" t="s">
        <v>1879</v>
      </c>
      <c r="CIB1293" s="8" t="s">
        <v>599</v>
      </c>
      <c r="CJX1293" s="8" t="s">
        <v>599</v>
      </c>
      <c r="CLT1293" s="8" t="s">
        <v>599</v>
      </c>
      <c r="CNP1293" s="8" t="s">
        <v>599</v>
      </c>
    </row>
    <row r="1294" spans="2:2 1453:2024 2063:2600 3416:3803 4244:4424">
      <c r="B1294" s="10"/>
      <c r="BTH1294" s="8" t="s">
        <v>631</v>
      </c>
      <c r="CGR1294" s="8" t="s">
        <v>2311</v>
      </c>
      <c r="CIN1294" s="8" t="s">
        <v>1880</v>
      </c>
      <c r="CMF1294" s="8" t="s">
        <v>600</v>
      </c>
      <c r="COB1294" s="8" t="s">
        <v>600</v>
      </c>
      <c r="CPX1294" s="8" t="s">
        <v>600</v>
      </c>
      <c r="CRT1294" s="8" t="s">
        <v>600</v>
      </c>
    </row>
    <row r="1295" spans="2:2 1453:2024 2063:2600 3416:3803 4244:4424">
      <c r="B1295" s="10"/>
      <c r="BTW1295" s="8" t="s">
        <v>632</v>
      </c>
      <c r="CIB1295" s="8" t="s">
        <v>2312</v>
      </c>
      <c r="CJX1295" s="8" t="s">
        <v>1881</v>
      </c>
      <c r="CNP1295" s="8" t="s">
        <v>601</v>
      </c>
      <c r="CPL1295" s="8" t="s">
        <v>601</v>
      </c>
      <c r="CRH1295" s="8" t="s">
        <v>601</v>
      </c>
      <c r="CTD1295" s="8" t="s">
        <v>601</v>
      </c>
    </row>
    <row r="1296" spans="2:2 1453:2024 2063:2600 3416:3803 4244:4424">
      <c r="B1296" s="10"/>
      <c r="BUM1296" s="8" t="s">
        <v>633</v>
      </c>
      <c r="CJX1296" s="8" t="s">
        <v>2313</v>
      </c>
      <c r="CLT1296" s="8" t="s">
        <v>1882</v>
      </c>
      <c r="CPL1296" s="8" t="s">
        <v>602</v>
      </c>
      <c r="CRH1296" s="8" t="s">
        <v>602</v>
      </c>
      <c r="CTD1296" s="8" t="s">
        <v>602</v>
      </c>
      <c r="CUZ1296" s="8" t="s">
        <v>602</v>
      </c>
    </row>
    <row r="1297" spans="2:2 1353:1985 2216:3050 3080:3992">
      <c r="B1297" s="10"/>
      <c r="BUT1297" s="8" t="s">
        <v>634</v>
      </c>
      <c r="CJX1297" s="8" t="s">
        <v>2314</v>
      </c>
      <c r="CLT1297" s="8" t="s">
        <v>1883</v>
      </c>
      <c r="CPL1297" s="8" t="s">
        <v>603</v>
      </c>
      <c r="CRH1297" s="8" t="s">
        <v>603</v>
      </c>
      <c r="CTD1297" s="8" t="s">
        <v>603</v>
      </c>
      <c r="CUZ1297" s="8" t="s">
        <v>603</v>
      </c>
    </row>
    <row r="1298" spans="2:2 1353:1985 2216:3050 3080:3992">
      <c r="B1298" s="10"/>
      <c r="BBZ1298" s="8" t="s">
        <v>1270</v>
      </c>
      <c r="BDV1298" s="8" t="s">
        <v>1270</v>
      </c>
      <c r="BUY1298" s="8" t="s">
        <v>635</v>
      </c>
      <c r="CKY1298" s="8" t="s">
        <v>2315</v>
      </c>
      <c r="CMU1298" s="8" t="s">
        <v>1884</v>
      </c>
      <c r="CQM1298" s="8" t="s">
        <v>604</v>
      </c>
      <c r="CSI1298" s="8" t="s">
        <v>604</v>
      </c>
      <c r="CUE1298" s="8" t="s">
        <v>604</v>
      </c>
      <c r="CWA1298" s="8" t="s">
        <v>604</v>
      </c>
    </row>
    <row r="1299" spans="2:2 1353:1985 2216:3050 3080:3992">
      <c r="B1299" s="10"/>
      <c r="BCS1299" s="8" t="s">
        <v>1271</v>
      </c>
      <c r="BDV1299" s="8" t="s">
        <v>1271</v>
      </c>
      <c r="BEO1299" s="8" t="s">
        <v>1271</v>
      </c>
      <c r="BXI1299" s="8" t="s">
        <v>636</v>
      </c>
      <c r="CNP1299" s="8" t="s">
        <v>2316</v>
      </c>
      <c r="CPL1299" s="8" t="s">
        <v>1885</v>
      </c>
      <c r="CTD1299" s="8" t="s">
        <v>605</v>
      </c>
      <c r="CUZ1299" s="8" t="s">
        <v>605</v>
      </c>
      <c r="CWV1299" s="8" t="s">
        <v>605</v>
      </c>
      <c r="CYR1299" s="8" t="s">
        <v>605</v>
      </c>
    </row>
    <row r="1300" spans="2:2 1353:1985 2216:3050 3080:3992">
      <c r="B1300" s="10"/>
      <c r="AZA1300" s="8" t="s">
        <v>624</v>
      </c>
      <c r="BAW1300" s="8" t="s">
        <v>1272</v>
      </c>
      <c r="BAY1300" s="8" t="s">
        <v>624</v>
      </c>
      <c r="BEO1300" s="8" t="s">
        <v>624</v>
      </c>
      <c r="BGJ1300" s="8" t="s">
        <v>1272</v>
      </c>
      <c r="BIF1300" s="8" t="s">
        <v>1272</v>
      </c>
      <c r="CGF1300" s="8" t="s">
        <v>637</v>
      </c>
      <c r="CVD1300" s="8" t="s">
        <v>2317</v>
      </c>
      <c r="CWZ1300" s="8" t="s">
        <v>1886</v>
      </c>
      <c r="DAR1300" s="8" t="s">
        <v>606</v>
      </c>
      <c r="DCN1300" s="8" t="s">
        <v>606</v>
      </c>
      <c r="DEJ1300" s="8" t="s">
        <v>606</v>
      </c>
      <c r="DGF1300" s="8" t="s">
        <v>606</v>
      </c>
    </row>
    <row r="1301" spans="2:2 1353:1985 2216:3050 3080:3992">
      <c r="B1301" s="10"/>
      <c r="BCE1301" s="8" t="s">
        <v>625</v>
      </c>
      <c r="BCR1301" s="8" t="s">
        <v>625</v>
      </c>
      <c r="BIF1301" s="8" t="s">
        <v>625</v>
      </c>
      <c r="BLK1301" s="8" t="s">
        <v>1273</v>
      </c>
      <c r="BNG1301" s="8" t="s">
        <v>1273</v>
      </c>
      <c r="CIB1301" s="8" t="s">
        <v>638</v>
      </c>
      <c r="CYR1301" s="8" t="s">
        <v>2318</v>
      </c>
      <c r="DAN1301" s="8" t="s">
        <v>1887</v>
      </c>
      <c r="DEF1301" s="8" t="s">
        <v>607</v>
      </c>
      <c r="DGB1301" s="8" t="s">
        <v>607</v>
      </c>
      <c r="DHX1301" s="8" t="s">
        <v>607</v>
      </c>
      <c r="DJT1301" s="8" t="s">
        <v>607</v>
      </c>
    </row>
    <row r="1302" spans="2:2 1353:1985 2216:3050 3080:3992">
      <c r="B1302" s="10"/>
      <c r="BHS1302" s="8" t="s">
        <v>626</v>
      </c>
      <c r="BMM1302" s="8" t="s">
        <v>1274</v>
      </c>
      <c r="BNG1302" s="8" t="s">
        <v>1274</v>
      </c>
      <c r="BNV1302" s="8" t="s">
        <v>626</v>
      </c>
      <c r="BOI1302" s="8" t="s">
        <v>1274</v>
      </c>
      <c r="CMY1302" s="8" t="s">
        <v>807</v>
      </c>
      <c r="DAN1302" s="8" t="s">
        <v>2319</v>
      </c>
      <c r="DCJ1302" s="8" t="s">
        <v>1888</v>
      </c>
      <c r="DGB1302" s="8" t="s">
        <v>608</v>
      </c>
      <c r="DHX1302" s="8" t="s">
        <v>608</v>
      </c>
      <c r="DJT1302" s="8" t="s">
        <v>608</v>
      </c>
      <c r="DLP1302" s="8" t="s">
        <v>608</v>
      </c>
    </row>
    <row r="1303" spans="2:2 1353:1985 2216:3050 3080:3992">
      <c r="B1303" s="10"/>
      <c r="BIU1303" s="8" t="s">
        <v>627</v>
      </c>
      <c r="BML1303" s="8" t="s">
        <v>627</v>
      </c>
      <c r="BMM1303" s="8" t="s">
        <v>1275</v>
      </c>
      <c r="BNT1303" s="8" t="s">
        <v>1275</v>
      </c>
      <c r="BOI1303" s="8" t="s">
        <v>627</v>
      </c>
      <c r="BPP1303" s="8" t="s">
        <v>1275</v>
      </c>
      <c r="CRU1303" s="8" t="s">
        <v>639</v>
      </c>
      <c r="DCJ1303" s="8" t="s">
        <v>2320</v>
      </c>
      <c r="DEF1303" s="8" t="s">
        <v>1889</v>
      </c>
      <c r="DHX1303" s="8" t="s">
        <v>609</v>
      </c>
      <c r="DJT1303" s="8" t="s">
        <v>609</v>
      </c>
      <c r="DLP1303" s="8" t="s">
        <v>609</v>
      </c>
      <c r="DNL1303" s="8" t="s">
        <v>609</v>
      </c>
    </row>
    <row r="1304" spans="2:2 1353:1985 2216:3050 3080:3992">
      <c r="B1304" s="10"/>
      <c r="BKB1304" s="8" t="s">
        <v>628</v>
      </c>
      <c r="BMZ1304" s="8" t="s">
        <v>628</v>
      </c>
      <c r="BNT1304" s="8" t="s">
        <v>1276</v>
      </c>
      <c r="BPP1304" s="8" t="s">
        <v>628</v>
      </c>
      <c r="BPY1304" s="8" t="s">
        <v>1276</v>
      </c>
      <c r="BRU1304" s="8" t="s">
        <v>1276</v>
      </c>
      <c r="CUS1304" s="8" t="s">
        <v>640</v>
      </c>
      <c r="DEX1304" s="8" t="s">
        <v>2321</v>
      </c>
      <c r="DGT1304" s="8" t="s">
        <v>1890</v>
      </c>
      <c r="DKL1304" s="8" t="s">
        <v>610</v>
      </c>
      <c r="DMH1304" s="8" t="s">
        <v>610</v>
      </c>
      <c r="DOD1304" s="8" t="s">
        <v>610</v>
      </c>
      <c r="DPZ1304" s="8" t="s">
        <v>610</v>
      </c>
    </row>
    <row r="1305" spans="2:2 1353:1985 2216:3050 3080:3992">
      <c r="B1305" s="10"/>
      <c r="BMG1305" s="8" t="s">
        <v>620</v>
      </c>
      <c r="BPP1305" s="8" t="s">
        <v>1277</v>
      </c>
      <c r="BRL1305" s="8" t="s">
        <v>1277</v>
      </c>
      <c r="BRU1305" s="8" t="s">
        <v>1277</v>
      </c>
      <c r="BSH1305" s="8" t="s">
        <v>620</v>
      </c>
      <c r="CVA1305" s="8" t="s">
        <v>641</v>
      </c>
      <c r="DGG1305" s="8" t="s">
        <v>2322</v>
      </c>
      <c r="DIC1305" s="8" t="s">
        <v>1891</v>
      </c>
      <c r="DLU1305" s="8" t="s">
        <v>611</v>
      </c>
      <c r="DNQ1305" s="8" t="s">
        <v>611</v>
      </c>
      <c r="DPM1305" s="8" t="s">
        <v>611</v>
      </c>
      <c r="DRI1305" s="8" t="s">
        <v>611</v>
      </c>
    </row>
    <row r="1306" spans="2:2 1353:1985 2216:3050 3080:3992">
      <c r="B1306" s="10"/>
      <c r="BLX1306" s="8" t="s">
        <v>629</v>
      </c>
      <c r="BOW1306" s="8" t="s">
        <v>629</v>
      </c>
      <c r="BPP1306" s="8" t="s">
        <v>1278</v>
      </c>
      <c r="BQK1306" s="8" t="s">
        <v>1278</v>
      </c>
      <c r="BRL1306" s="8" t="s">
        <v>629</v>
      </c>
      <c r="BSG1306" s="8" t="s">
        <v>1278</v>
      </c>
      <c r="DBE1306" s="8" t="s">
        <v>642</v>
      </c>
      <c r="DIJ1306" s="8" t="s">
        <v>2323</v>
      </c>
      <c r="DKF1306" s="8" t="s">
        <v>1892</v>
      </c>
      <c r="DNX1306" s="8" t="s">
        <v>612</v>
      </c>
      <c r="DPT1306" s="8" t="s">
        <v>612</v>
      </c>
      <c r="DRP1306" s="8" t="s">
        <v>612</v>
      </c>
      <c r="DTL1306" s="8" t="s">
        <v>612</v>
      </c>
    </row>
    <row r="1307" spans="2:2 1353:1985 2216:3050 3080:3992">
      <c r="B1307" s="10"/>
      <c r="BMS1307" s="8" t="s">
        <v>630</v>
      </c>
      <c r="BRR1307" s="8" t="s">
        <v>1279</v>
      </c>
      <c r="BSG1307" s="8" t="s">
        <v>1279</v>
      </c>
      <c r="BSJ1307" s="8" t="s">
        <v>630</v>
      </c>
      <c r="BTN1307" s="8" t="s">
        <v>1279</v>
      </c>
      <c r="DCJ1307" s="8" t="s">
        <v>643</v>
      </c>
      <c r="DJT1307" s="8" t="s">
        <v>2324</v>
      </c>
      <c r="DLP1307" s="8" t="s">
        <v>1893</v>
      </c>
      <c r="DPH1307" s="8" t="s">
        <v>613</v>
      </c>
      <c r="DRD1307" s="8" t="s">
        <v>613</v>
      </c>
      <c r="DSZ1307" s="8" t="s">
        <v>613</v>
      </c>
      <c r="DUV1307" s="8" t="s">
        <v>613</v>
      </c>
    </row>
    <row r="1308" spans="2:2 1353:1985 2216:3050 3080:3992">
      <c r="B1308" s="10"/>
      <c r="BNZ1308" s="8" t="s">
        <v>631</v>
      </c>
      <c r="BRL1308" s="8" t="s">
        <v>1280</v>
      </c>
      <c r="BTH1308" s="8" t="s">
        <v>1280</v>
      </c>
      <c r="BTN1308" s="8" t="s">
        <v>1280</v>
      </c>
      <c r="BUJ1308" s="8" t="s">
        <v>631</v>
      </c>
      <c r="DJU1308" s="8" t="s">
        <v>644</v>
      </c>
      <c r="DNL1308" s="8" t="s">
        <v>2325</v>
      </c>
      <c r="DPH1308" s="8" t="s">
        <v>1894</v>
      </c>
      <c r="DSZ1308" s="8" t="s">
        <v>614</v>
      </c>
      <c r="DUV1308" s="8" t="s">
        <v>614</v>
      </c>
      <c r="DWR1308" s="8" t="s">
        <v>614</v>
      </c>
      <c r="DYN1308" s="8" t="s">
        <v>614</v>
      </c>
    </row>
    <row r="1309" spans="2:2 1353:1985 2216:3050 3080:3992">
      <c r="B1309" s="10"/>
      <c r="BNT1309" s="8" t="s">
        <v>632</v>
      </c>
      <c r="BQB1309" s="8" t="s">
        <v>632</v>
      </c>
      <c r="BRL1309" s="8" t="s">
        <v>1281</v>
      </c>
      <c r="BSA1309" s="8" t="s">
        <v>1281</v>
      </c>
      <c r="BTH1309" s="8" t="s">
        <v>632</v>
      </c>
      <c r="BTW1309" s="8" t="s">
        <v>1281</v>
      </c>
      <c r="DNL1309" s="8" t="s">
        <v>645</v>
      </c>
      <c r="DWT1309" s="8" t="s">
        <v>2326</v>
      </c>
      <c r="DYP1309" s="8" t="s">
        <v>1895</v>
      </c>
      <c r="ECH1309" s="8" t="s">
        <v>615</v>
      </c>
      <c r="EED1309" s="8" t="s">
        <v>615</v>
      </c>
      <c r="EFZ1309" s="8" t="s">
        <v>615</v>
      </c>
      <c r="EHV1309" s="8" t="s">
        <v>615</v>
      </c>
    </row>
    <row r="1310" spans="2:2 1353:1985 2216:3050 3080:3992">
      <c r="B1310" s="10"/>
      <c r="BOI1310" s="8" t="s">
        <v>633</v>
      </c>
      <c r="BSQ1310" s="8" t="s">
        <v>1282</v>
      </c>
      <c r="BTW1310" s="8" t="s">
        <v>1282</v>
      </c>
      <c r="BUM1310" s="8" t="s">
        <v>1282</v>
      </c>
      <c r="BUP1310" s="8" t="s">
        <v>633</v>
      </c>
      <c r="DPM1310" s="8" t="s">
        <v>646</v>
      </c>
      <c r="EHP1310" s="8" t="s">
        <v>2327</v>
      </c>
      <c r="EJL1310" s="8" t="s">
        <v>1896</v>
      </c>
      <c r="END1310" s="8" t="s">
        <v>616</v>
      </c>
      <c r="EOZ1310" s="8" t="s">
        <v>616</v>
      </c>
      <c r="EQV1310" s="8" t="s">
        <v>616</v>
      </c>
      <c r="ESR1310" s="8" t="s">
        <v>616</v>
      </c>
    </row>
    <row r="1311" spans="2:2 1353:1985 2216:3050 3080:3992">
      <c r="B1311" s="10"/>
      <c r="BOY1311" s="8" t="s">
        <v>634</v>
      </c>
      <c r="BSX1311" s="8" t="s">
        <v>1283</v>
      </c>
      <c r="BUM1311" s="8" t="s">
        <v>1283</v>
      </c>
      <c r="BUQ1311" s="8" t="s">
        <v>634</v>
      </c>
      <c r="BUT1311" s="8" t="s">
        <v>1283</v>
      </c>
      <c r="EAK1311" s="8" t="s">
        <v>647</v>
      </c>
      <c r="EIG1311" s="8" t="s">
        <v>2328</v>
      </c>
      <c r="EKC1311" s="8" t="s">
        <v>1897</v>
      </c>
      <c r="ENU1311" s="8" t="s">
        <v>617</v>
      </c>
      <c r="EPQ1311" s="8" t="s">
        <v>617</v>
      </c>
      <c r="ERM1311" s="8" t="s">
        <v>617</v>
      </c>
      <c r="ETI1311" s="8" t="s">
        <v>617</v>
      </c>
    </row>
    <row r="1312" spans="2:2 1353:1985 2216:3050 3080:3992">
      <c r="B1312" s="10"/>
      <c r="BPF1312" s="8" t="s">
        <v>635</v>
      </c>
      <c r="BTC1312" s="8" t="s">
        <v>1284</v>
      </c>
      <c r="BUT1312" s="8" t="s">
        <v>1284</v>
      </c>
      <c r="BUY1312" s="8" t="s">
        <v>1284</v>
      </c>
      <c r="BVB1312" s="8" t="s">
        <v>635</v>
      </c>
      <c r="EBR1312" s="8" t="s">
        <v>648</v>
      </c>
      <c r="ELL1312" s="8" t="s">
        <v>2329</v>
      </c>
      <c r="ENH1312" s="8" t="s">
        <v>1898</v>
      </c>
      <c r="EQZ1312" s="8" t="s">
        <v>618</v>
      </c>
      <c r="ESV1312" s="8" t="s">
        <v>618</v>
      </c>
      <c r="EUR1312" s="8" t="s">
        <v>618</v>
      </c>
      <c r="EWN1312" s="8" t="s">
        <v>618</v>
      </c>
    </row>
    <row r="1313" spans="2:2 1352:1985 2072:3066 3080:4088 4136:4280 7743:7785">
      <c r="B1313" s="10"/>
      <c r="BPK1313" s="8" t="s">
        <v>636</v>
      </c>
      <c r="BUY1313" s="8" t="s">
        <v>1285</v>
      </c>
      <c r="BVB1313" s="8" t="s">
        <v>636</v>
      </c>
      <c r="BVM1313" s="8" t="s">
        <v>1285</v>
      </c>
      <c r="BXI1313" s="8" t="s">
        <v>1285</v>
      </c>
      <c r="ENH1313" s="8" t="s">
        <v>2330</v>
      </c>
      <c r="EPD1313" s="8" t="s">
        <v>1899</v>
      </c>
      <c r="ERA1313" s="8" t="s">
        <v>649</v>
      </c>
      <c r="ESV1313" s="8" t="s">
        <v>619</v>
      </c>
      <c r="EUR1313" s="8" t="s">
        <v>619</v>
      </c>
      <c r="EWN1313" s="8" t="s">
        <v>619</v>
      </c>
      <c r="EYJ1313" s="8" t="s">
        <v>619</v>
      </c>
    </row>
    <row r="1314" spans="2:2 1352:1985 2072:3066 3080:4088 4136:4280 7743:7785">
      <c r="B1314" s="10"/>
      <c r="BMG1314" s="8" t="s">
        <v>1286</v>
      </c>
      <c r="BRU1314" s="8" t="s">
        <v>637</v>
      </c>
      <c r="BXI1314" s="8" t="s">
        <v>637</v>
      </c>
      <c r="CEJ1314" s="8" t="s">
        <v>1286</v>
      </c>
      <c r="CGF1314" s="8" t="s">
        <v>1286</v>
      </c>
      <c r="EUR1314" s="8" t="s">
        <v>2331</v>
      </c>
      <c r="EWN1314" s="8" t="s">
        <v>1900</v>
      </c>
      <c r="FAF1314" s="8" t="s">
        <v>1483</v>
      </c>
      <c r="FCB1314" s="8" t="s">
        <v>1483</v>
      </c>
      <c r="FDX1314" s="8" t="s">
        <v>1483</v>
      </c>
      <c r="FFT1314" s="8" t="s">
        <v>1483</v>
      </c>
    </row>
    <row r="1315" spans="2:2 1352:1985 2072:3066 3080:4088 4136:4280 7743:7785">
      <c r="B1315" s="10"/>
      <c r="CAR1315" s="8" t="s">
        <v>638</v>
      </c>
      <c r="CEJ1315" s="8" t="s">
        <v>1287</v>
      </c>
      <c r="CEN1315" s="8" t="s">
        <v>638</v>
      </c>
      <c r="CGF1315" s="8" t="s">
        <v>1287</v>
      </c>
      <c r="CIB1315" s="8" t="s">
        <v>1287</v>
      </c>
      <c r="EWN1315" s="8" t="s">
        <v>2332</v>
      </c>
      <c r="EYJ1315" s="8" t="s">
        <v>1901</v>
      </c>
      <c r="FCB1315" s="8" t="s">
        <v>1484</v>
      </c>
      <c r="FDX1315" s="8" t="s">
        <v>1484</v>
      </c>
      <c r="FFT1315" s="8" t="s">
        <v>1484</v>
      </c>
      <c r="FHP1315" s="8" t="s">
        <v>1484</v>
      </c>
    </row>
    <row r="1316" spans="2:2 1352:1985 2072:3066 3080:4088 4136:4280 7743:7785">
      <c r="B1316" s="10"/>
      <c r="CBI1316" s="8" t="s">
        <v>807</v>
      </c>
      <c r="CCN1316" s="8" t="s">
        <v>807</v>
      </c>
      <c r="CIB1316" s="8" t="s">
        <v>807</v>
      </c>
      <c r="CLC1316" s="8" t="s">
        <v>1288</v>
      </c>
      <c r="CMY1316" s="8" t="s">
        <v>1288</v>
      </c>
      <c r="EWN1316" s="8" t="s">
        <v>2333</v>
      </c>
      <c r="EYJ1316" s="8" t="s">
        <v>1902</v>
      </c>
      <c r="FCB1316" s="8" t="s">
        <v>1485</v>
      </c>
      <c r="FDX1316" s="8" t="s">
        <v>1485</v>
      </c>
      <c r="FFT1316" s="8" t="s">
        <v>1485</v>
      </c>
      <c r="FHP1316" s="8" t="s">
        <v>1485</v>
      </c>
    </row>
    <row r="1317" spans="2:2 1352:1985 2072:3066 3080:4088 4136:4280 7743:7785">
      <c r="B1317" s="10"/>
      <c r="CHB1317" s="8" t="s">
        <v>639</v>
      </c>
      <c r="CHK1317" s="8" t="s">
        <v>639</v>
      </c>
      <c r="CMY1317" s="8" t="s">
        <v>639</v>
      </c>
      <c r="CPY1317" s="8" t="s">
        <v>1289</v>
      </c>
      <c r="CRU1317" s="8" t="s">
        <v>1289</v>
      </c>
    </row>
    <row r="1318" spans="2:2 1352:1985 2072:3066 3080:4088 4136:4280 7743:7785">
      <c r="B1318" s="10"/>
      <c r="CMG1318" s="8" t="s">
        <v>640</v>
      </c>
      <c r="CPY1318" s="8" t="s">
        <v>1290</v>
      </c>
      <c r="CRA1318" s="8" t="s">
        <v>640</v>
      </c>
      <c r="CRU1318" s="8" t="s">
        <v>640</v>
      </c>
      <c r="CSW1318" s="8" t="s">
        <v>1290</v>
      </c>
      <c r="CUS1318" s="8" t="s">
        <v>1290</v>
      </c>
    </row>
    <row r="1319" spans="2:2 1352:1985 2072:3066 3080:4088 4136:4280 7743:7785">
      <c r="B1319" s="10"/>
      <c r="CPE1319" s="8" t="s">
        <v>641</v>
      </c>
      <c r="CTE1319" s="8" t="s">
        <v>1291</v>
      </c>
      <c r="CUS1319" s="8" t="s">
        <v>1291</v>
      </c>
      <c r="CVA1319" s="8" t="s">
        <v>1291</v>
      </c>
    </row>
    <row r="1320" spans="2:2 1352:1985 2072:3066 3080:4088 4136:4280 7743:7785">
      <c r="B1320" s="10"/>
      <c r="CMH1320" s="8" t="s">
        <v>642</v>
      </c>
      <c r="CNQ1320" s="8" t="s">
        <v>1292</v>
      </c>
      <c r="CPM1320" s="8" t="s">
        <v>642</v>
      </c>
      <c r="CVA1320" s="8" t="s">
        <v>642</v>
      </c>
      <c r="CZI1320" s="8" t="s">
        <v>1292</v>
      </c>
      <c r="DBE1320" s="8" t="s">
        <v>1292</v>
      </c>
    </row>
    <row r="1321" spans="2:2 1352:1985 2072:3066 3080:4088 4136:4280 7743:7785">
      <c r="B1321" s="10"/>
      <c r="AZI1321" s="8" t="s">
        <v>1293</v>
      </c>
      <c r="CVQ1321" s="8" t="s">
        <v>643</v>
      </c>
      <c r="DAN1321" s="8" t="s">
        <v>1293</v>
      </c>
      <c r="DBE1321" s="8" t="s">
        <v>1293</v>
      </c>
      <c r="DCJ1321" s="8" t="s">
        <v>1293</v>
      </c>
      <c r="DCM1321" s="8" t="s">
        <v>643</v>
      </c>
    </row>
    <row r="1322" spans="2:2 1352:1985 2072:3066 3080:4088 4136:4280 7743:7785">
      <c r="B1322" s="10"/>
      <c r="AYZ1322" s="8" t="s">
        <v>644</v>
      </c>
      <c r="AZX1322" s="8" t="s">
        <v>1294</v>
      </c>
      <c r="CUZ1322" s="8" t="s">
        <v>1294</v>
      </c>
      <c r="CVA1322" s="8" t="s">
        <v>644</v>
      </c>
      <c r="CWV1322" s="8" t="s">
        <v>644</v>
      </c>
      <c r="DCJ1322" s="8" t="s">
        <v>644</v>
      </c>
      <c r="DHY1322" s="8" t="s">
        <v>1294</v>
      </c>
      <c r="DJU1322" s="8" t="s">
        <v>1294</v>
      </c>
    </row>
    <row r="1323" spans="2:2 1352:1985 2072:3066 3080:4088 4136:4280 7743:7785">
      <c r="B1323" s="10"/>
      <c r="BBT1323" s="8" t="s">
        <v>645</v>
      </c>
      <c r="BCR1323" s="8" t="s">
        <v>645</v>
      </c>
      <c r="BDP1323" s="8" t="s">
        <v>1295</v>
      </c>
      <c r="DEG1323" s="8" t="s">
        <v>645</v>
      </c>
      <c r="DGB1323" s="8" t="s">
        <v>645</v>
      </c>
      <c r="DGC1323" s="8" t="s">
        <v>1295</v>
      </c>
      <c r="DJU1323" s="8" t="s">
        <v>645</v>
      </c>
      <c r="DLP1323" s="8" t="s">
        <v>1295</v>
      </c>
      <c r="DNL1323" s="8" t="s">
        <v>1295</v>
      </c>
    </row>
    <row r="1324" spans="2:2 1352:1985 2072:3066 3080:4088 4136:4280 7743:7785">
      <c r="B1324" s="10"/>
      <c r="BDP1324" s="8" t="s">
        <v>646</v>
      </c>
      <c r="BEN1324" s="8" t="s">
        <v>646</v>
      </c>
      <c r="BFL1324" s="8" t="s">
        <v>1296</v>
      </c>
      <c r="DHX1324" s="8" t="s">
        <v>646</v>
      </c>
      <c r="DKV1324" s="8" t="s">
        <v>646</v>
      </c>
      <c r="DLP1324" s="8" t="s">
        <v>1296</v>
      </c>
      <c r="DNL1324" s="8" t="s">
        <v>646</v>
      </c>
      <c r="DNQ1324" s="8" t="s">
        <v>1296</v>
      </c>
      <c r="DPM1324" s="8" t="s">
        <v>1296</v>
      </c>
    </row>
    <row r="1325" spans="2:2 1352:1985 2072:3066 3080:4088 4136:4280 7743:7785">
      <c r="B1325" s="10"/>
      <c r="BEP1325" s="8" t="s">
        <v>647</v>
      </c>
      <c r="BFN1325" s="8" t="s">
        <v>647</v>
      </c>
      <c r="BGL1325" s="8" t="s">
        <v>1297</v>
      </c>
      <c r="DEK1325" s="8" t="s">
        <v>1297</v>
      </c>
      <c r="DFF1325" s="8" t="s">
        <v>647</v>
      </c>
      <c r="DJY1325" s="8" t="s">
        <v>647</v>
      </c>
      <c r="DPM1325" s="8" t="s">
        <v>647</v>
      </c>
      <c r="DYO1325" s="8" t="s">
        <v>1297</v>
      </c>
      <c r="EAK1325" s="8" t="s">
        <v>1297</v>
      </c>
    </row>
    <row r="1326" spans="2:2 1352:1985 2072:3066 3080:4088 4136:4280 7743:7785">
      <c r="B1326" s="10"/>
      <c r="BKB1326" s="8" t="s">
        <v>648</v>
      </c>
      <c r="BKZ1326" s="8" t="s">
        <v>648</v>
      </c>
      <c r="BLX1326" s="8" t="s">
        <v>1298</v>
      </c>
      <c r="DUW1326" s="8" t="s">
        <v>648</v>
      </c>
      <c r="DXA1326" s="8" t="s">
        <v>648</v>
      </c>
      <c r="DYO1326" s="8" t="s">
        <v>1298</v>
      </c>
      <c r="DZV1326" s="8" t="s">
        <v>1298</v>
      </c>
      <c r="EAK1326" s="8" t="s">
        <v>648</v>
      </c>
      <c r="EBR1326" s="8" t="s">
        <v>1298</v>
      </c>
    </row>
    <row r="1327" spans="2:2 1352:1985 2072:3066 3080:4088 4136:4280 7743:7785">
      <c r="B1327" s="10"/>
      <c r="BKS1327" s="8" t="s">
        <v>649</v>
      </c>
      <c r="BLQ1327" s="8" t="s">
        <v>649</v>
      </c>
      <c r="BMO1327" s="8" t="s">
        <v>1299</v>
      </c>
      <c r="DMX1327" s="8" t="s">
        <v>1299</v>
      </c>
      <c r="DOL1327" s="8" t="s">
        <v>649</v>
      </c>
      <c r="DWD1327" s="8" t="s">
        <v>649</v>
      </c>
      <c r="EBR1327" s="8" t="s">
        <v>649</v>
      </c>
      <c r="EPE1327" s="8" t="s">
        <v>1299</v>
      </c>
      <c r="ERA1327" s="8" t="s">
        <v>1299</v>
      </c>
    </row>
    <row r="1328" spans="2:2 1352:1985 2072:3066 3080:4088 4136:4280 7743:7785">
      <c r="B1328" s="10"/>
      <c r="BSJ1328" s="8" t="s">
        <v>650</v>
      </c>
      <c r="BTH1328" s="8" t="s">
        <v>650</v>
      </c>
      <c r="BUF1328" s="8" t="s">
        <v>1411</v>
      </c>
      <c r="ELM1328" s="8" t="s">
        <v>650</v>
      </c>
      <c r="ERA1328" s="8" t="s">
        <v>650</v>
      </c>
      <c r="KKU1328" s="8" t="s">
        <v>650</v>
      </c>
      <c r="KMK1328" s="8" t="s">
        <v>1411</v>
      </c>
    </row>
    <row r="1329" spans="2:2 1352:2024">
      <c r="B1329" s="10"/>
    </row>
    <row r="1330" spans="2:2 1352:2024">
      <c r="B1330" s="10"/>
      <c r="AYZ1330" s="8" t="s">
        <v>580</v>
      </c>
    </row>
    <row r="1331" spans="2:2 1352:2024">
      <c r="B1331" s="10"/>
      <c r="BAV1331" s="8" t="s">
        <v>581</v>
      </c>
      <c r="BCR1331" s="8" t="s">
        <v>581</v>
      </c>
    </row>
    <row r="1332" spans="2:2 1352:2024">
      <c r="B1332" s="10"/>
      <c r="BEN1332" s="8" t="s">
        <v>582</v>
      </c>
      <c r="BGJ1332" s="8" t="s">
        <v>582</v>
      </c>
    </row>
    <row r="1333" spans="2:2 1352:2024">
      <c r="B1333" s="10"/>
      <c r="BEQ1333" s="8" t="s">
        <v>583</v>
      </c>
      <c r="BGM1333" s="8" t="s">
        <v>583</v>
      </c>
    </row>
    <row r="1334" spans="2:2 1352:2024">
      <c r="B1334" s="10"/>
      <c r="BFZ1334" s="8" t="s">
        <v>584</v>
      </c>
      <c r="BHV1334" s="8" t="s">
        <v>584</v>
      </c>
    </row>
    <row r="1335" spans="2:2 1352:2024">
      <c r="B1335" s="10"/>
      <c r="BKB1335" s="8" t="s">
        <v>585</v>
      </c>
      <c r="BLX1335" s="8" t="s">
        <v>585</v>
      </c>
    </row>
    <row r="1336" spans="2:2 1352:2024">
      <c r="B1336" s="10"/>
      <c r="BLX1336" s="8" t="s">
        <v>586</v>
      </c>
      <c r="BNT1336" s="8" t="s">
        <v>586</v>
      </c>
    </row>
    <row r="1337" spans="2:2 1352:2024">
      <c r="B1337" s="10"/>
      <c r="BMO1337" s="8" t="s">
        <v>1481</v>
      </c>
      <c r="BOK1337" s="8" t="s">
        <v>1481</v>
      </c>
    </row>
    <row r="1338" spans="2:2 1352:2024">
      <c r="B1338" s="10"/>
      <c r="BNY1338" s="8" t="s">
        <v>587</v>
      </c>
      <c r="BPU1338" s="8" t="s">
        <v>587</v>
      </c>
    </row>
    <row r="1339" spans="2:2 1352:2024">
      <c r="B1339" s="10"/>
      <c r="BPP1339" s="8" t="s">
        <v>588</v>
      </c>
      <c r="BRL1339" s="8" t="s">
        <v>588</v>
      </c>
    </row>
    <row r="1340" spans="2:2 1352:2024">
      <c r="B1340" s="10"/>
      <c r="BSQ1340" s="8" t="s">
        <v>590</v>
      </c>
      <c r="BUM1340" s="8" t="s">
        <v>590</v>
      </c>
    </row>
    <row r="1341" spans="2:2 1352:2024">
      <c r="B1341" s="10"/>
      <c r="BTK1341" s="8" t="s">
        <v>591</v>
      </c>
      <c r="BVG1341" s="8" t="s">
        <v>591</v>
      </c>
    </row>
    <row r="1342" spans="2:2 1352:2024">
      <c r="B1342" s="10"/>
      <c r="BUN1342" s="8" t="s">
        <v>592</v>
      </c>
      <c r="BWJ1342" s="8" t="s">
        <v>592</v>
      </c>
    </row>
    <row r="1343" spans="2:2 1352:2024">
      <c r="B1343" s="10"/>
      <c r="BVI1343" s="8" t="s">
        <v>593</v>
      </c>
      <c r="BXE1343" s="8" t="s">
        <v>593</v>
      </c>
    </row>
    <row r="1344" spans="2:2 1352:2024">
      <c r="B1344" s="10"/>
      <c r="BWZ1344" s="8" t="s">
        <v>1482</v>
      </c>
      <c r="BYV1344" s="8" t="s">
        <v>1482</v>
      </c>
    </row>
    <row r="1345" spans="2:2 1478:2024 2072:3032 3080:3128">
      <c r="B1345" s="10"/>
      <c r="BYV1345" s="8" t="s">
        <v>594</v>
      </c>
      <c r="CAR1345" s="8" t="s">
        <v>594</v>
      </c>
    </row>
    <row r="1346" spans="2:2 1478:2024 2072:3032 3080:3128">
      <c r="B1346" s="10"/>
      <c r="BYV1346" s="8" t="s">
        <v>595</v>
      </c>
      <c r="CAR1346" s="8" t="s">
        <v>595</v>
      </c>
    </row>
    <row r="1347" spans="2:2 1478:2024 2072:3032 3080:3128">
      <c r="B1347" s="10"/>
      <c r="CFW1347" s="8" t="s">
        <v>596</v>
      </c>
      <c r="CHS1347" s="8" t="s">
        <v>596</v>
      </c>
    </row>
    <row r="1348" spans="2:2 1478:2024 2072:3032 3080:3128">
      <c r="B1348" s="10"/>
      <c r="CIB1348" s="8" t="s">
        <v>597</v>
      </c>
      <c r="CJX1348" s="8" t="s">
        <v>597</v>
      </c>
    </row>
    <row r="1349" spans="2:2 1478:2024 2072:3032 3080:3128">
      <c r="B1349" s="10"/>
      <c r="CLT1349" s="8" t="s">
        <v>598</v>
      </c>
      <c r="CNP1349" s="8" t="s">
        <v>598</v>
      </c>
    </row>
    <row r="1350" spans="2:2 1478:2024 2072:3032 3080:3128">
      <c r="B1350" s="10"/>
      <c r="CNP1350" s="8" t="s">
        <v>599</v>
      </c>
      <c r="CPL1350" s="8" t="s">
        <v>599</v>
      </c>
    </row>
    <row r="1351" spans="2:2 1478:2024 2072:3032 3080:3128">
      <c r="B1351" s="10"/>
      <c r="BDV1351" s="8" t="s">
        <v>622</v>
      </c>
      <c r="CRT1351" s="8" t="s">
        <v>600</v>
      </c>
      <c r="CTP1351" s="8" t="s">
        <v>600</v>
      </c>
    </row>
    <row r="1352" spans="2:2 1478:2024 2072:3032 3080:3128">
      <c r="B1352" s="10"/>
      <c r="BEO1352" s="8" t="s">
        <v>623</v>
      </c>
      <c r="CTD1352" s="8" t="s">
        <v>601</v>
      </c>
      <c r="CUZ1352" s="8" t="s">
        <v>601</v>
      </c>
    </row>
    <row r="1353" spans="2:2 1478:2024 2072:3032 3080:3128">
      <c r="B1353" s="10"/>
      <c r="BIF1353" s="8" t="s">
        <v>624</v>
      </c>
      <c r="CUZ1353" s="8" t="s">
        <v>602</v>
      </c>
      <c r="CWV1353" s="8" t="s">
        <v>602</v>
      </c>
    </row>
    <row r="1354" spans="2:2 1478:2024 2072:3032 3080:3128">
      <c r="B1354" s="10"/>
      <c r="BNG1354" s="8" t="s">
        <v>625</v>
      </c>
      <c r="CUZ1354" s="8" t="s">
        <v>603</v>
      </c>
      <c r="CWV1354" s="8" t="s">
        <v>603</v>
      </c>
    </row>
    <row r="1355" spans="2:2 1478:2024 2072:3032 3080:3128">
      <c r="B1355" s="10"/>
      <c r="BOI1355" s="8" t="s">
        <v>626</v>
      </c>
      <c r="CWA1355" s="8" t="s">
        <v>604</v>
      </c>
      <c r="CXW1355" s="8" t="s">
        <v>604</v>
      </c>
    </row>
    <row r="1356" spans="2:2 1478:2024 2072:3032 3080:3128">
      <c r="B1356" s="10"/>
      <c r="BPP1356" s="8" t="s">
        <v>627</v>
      </c>
      <c r="CYR1356" s="8" t="s">
        <v>605</v>
      </c>
      <c r="DAN1356" s="8" t="s">
        <v>605</v>
      </c>
    </row>
    <row r="1357" spans="2:2 1478:2024 2072:3032 3080:3128">
      <c r="B1357" s="10"/>
      <c r="BRL1357" s="8" t="s">
        <v>628</v>
      </c>
      <c r="DGF1357" s="8" t="s">
        <v>606</v>
      </c>
      <c r="DIB1357" s="8" t="s">
        <v>606</v>
      </c>
    </row>
    <row r="1358" spans="2:2 1478:2024 2072:3032 3080:3128">
      <c r="B1358" s="10"/>
      <c r="BSG1358" s="8" t="s">
        <v>629</v>
      </c>
      <c r="DJT1358" s="8" t="s">
        <v>607</v>
      </c>
      <c r="DLP1358" s="8" t="s">
        <v>607</v>
      </c>
    </row>
    <row r="1359" spans="2:2 1478:2024 2072:3032 3080:3128">
      <c r="B1359" s="10"/>
      <c r="BTN1359" s="8" t="s">
        <v>630</v>
      </c>
      <c r="DLP1359" s="8" t="s">
        <v>608</v>
      </c>
      <c r="DNL1359" s="8" t="s">
        <v>608</v>
      </c>
    </row>
    <row r="1360" spans="2:2 1478:2024 2072:3032 3080:3128">
      <c r="B1360" s="10"/>
      <c r="BTH1360" s="8" t="s">
        <v>631</v>
      </c>
      <c r="DNL1360" s="8" t="s">
        <v>609</v>
      </c>
      <c r="DPH1360" s="8" t="s">
        <v>609</v>
      </c>
    </row>
    <row r="1361" spans="2:2 1895:1985 2216:2985 3080:4088 4232:4328">
      <c r="B1361" s="10"/>
      <c r="BTW1361" s="8" t="s">
        <v>632</v>
      </c>
      <c r="DPZ1361" s="8" t="s">
        <v>610</v>
      </c>
      <c r="DRV1361" s="8" t="s">
        <v>610</v>
      </c>
    </row>
    <row r="1362" spans="2:2 1895:1985 2216:2985 3080:4088 4232:4328">
      <c r="B1362" s="10"/>
      <c r="BUM1362" s="8" t="s">
        <v>633</v>
      </c>
      <c r="DRI1362" s="8" t="s">
        <v>611</v>
      </c>
      <c r="DTE1362" s="8" t="s">
        <v>611</v>
      </c>
    </row>
    <row r="1363" spans="2:2 1895:1985 2216:2985 3080:4088 4232:4328">
      <c r="B1363" s="10"/>
      <c r="BUT1363" s="8" t="s">
        <v>634</v>
      </c>
      <c r="DTL1363" s="8" t="s">
        <v>612</v>
      </c>
      <c r="DVH1363" s="8" t="s">
        <v>612</v>
      </c>
    </row>
    <row r="1364" spans="2:2 1895:1985 2216:2985 3080:4088 4232:4328">
      <c r="B1364" s="10"/>
      <c r="BUY1364" s="8" t="s">
        <v>635</v>
      </c>
      <c r="DUV1364" s="8" t="s">
        <v>613</v>
      </c>
      <c r="DWR1364" s="8" t="s">
        <v>613</v>
      </c>
    </row>
    <row r="1365" spans="2:2 1895:1985 2216:2985 3080:4088 4232:4328">
      <c r="B1365" s="10"/>
      <c r="BXI1365" s="8" t="s">
        <v>636</v>
      </c>
      <c r="DYN1365" s="8" t="s">
        <v>614</v>
      </c>
      <c r="EAJ1365" s="8" t="s">
        <v>614</v>
      </c>
    </row>
    <row r="1366" spans="2:2 1895:1985 2216:2985 3080:4088 4232:4328">
      <c r="B1366" s="10"/>
      <c r="CGF1366" s="8" t="s">
        <v>637</v>
      </c>
      <c r="EHV1366" s="8" t="s">
        <v>615</v>
      </c>
      <c r="EJR1366" s="8" t="s">
        <v>615</v>
      </c>
    </row>
    <row r="1367" spans="2:2 1895:1985 2216:2985 3080:4088 4232:4328">
      <c r="B1367" s="10"/>
      <c r="CMY1367" s="8" t="s">
        <v>638</v>
      </c>
      <c r="ESR1367" s="8" t="s">
        <v>616</v>
      </c>
      <c r="EUN1367" s="8" t="s">
        <v>616</v>
      </c>
    </row>
    <row r="1368" spans="2:2 1895:1985 2216:2985 3080:4088 4232:4328">
      <c r="B1368" s="10"/>
      <c r="CRU1368" s="8" t="s">
        <v>639</v>
      </c>
      <c r="ETI1368" s="8" t="s">
        <v>617</v>
      </c>
      <c r="EVE1368" s="8" t="s">
        <v>617</v>
      </c>
    </row>
    <row r="1369" spans="2:2 1895:1985 2216:2985 3080:4088 4232:4328">
      <c r="B1369" s="10"/>
      <c r="CUS1369" s="8" t="s">
        <v>640</v>
      </c>
      <c r="EWN1369" s="8" t="s">
        <v>618</v>
      </c>
      <c r="EYJ1369" s="8" t="s">
        <v>618</v>
      </c>
    </row>
    <row r="1370" spans="2:2 1895:1985 2216:2985 3080:4088 4232:4328">
      <c r="B1370" s="10"/>
      <c r="CVA1370" s="8" t="s">
        <v>641</v>
      </c>
      <c r="EYJ1370" s="8" t="s">
        <v>619</v>
      </c>
      <c r="FAF1370" s="8" t="s">
        <v>619</v>
      </c>
    </row>
    <row r="1371" spans="2:2 1895:1985 2216:2985 3080:4088 4232:4328">
      <c r="B1371" s="10"/>
      <c r="DBE1371" s="8" t="s">
        <v>642</v>
      </c>
      <c r="FFT1371" s="8" t="s">
        <v>1483</v>
      </c>
      <c r="FHP1371" s="8" t="s">
        <v>1483</v>
      </c>
    </row>
    <row r="1372" spans="2:2 1895:1985 2216:2985 3080:4088 4232:4328">
      <c r="B1372" s="10"/>
      <c r="DCJ1372" s="8" t="s">
        <v>643</v>
      </c>
      <c r="FHP1372" s="8" t="s">
        <v>1484</v>
      </c>
      <c r="FJL1372" s="8" t="s">
        <v>1484</v>
      </c>
    </row>
    <row r="1373" spans="2:2 1895:1985 2216:2985 3080:4088 4232:4328">
      <c r="B1373" s="10"/>
      <c r="DJU1373" s="8" t="s">
        <v>644</v>
      </c>
      <c r="FHP1373" s="8" t="s">
        <v>1485</v>
      </c>
      <c r="FJL1373" s="8" t="s">
        <v>1485</v>
      </c>
    </row>
    <row r="1374" spans="2:2 1895:1985 2216:2985 3080:4088 4232:4328">
      <c r="B1374" s="10"/>
      <c r="DNL1374" s="8" t="s">
        <v>645</v>
      </c>
    </row>
    <row r="1375" spans="2:2 1895:1985 2216:2985 3080:4088 4232:4328">
      <c r="B1375" s="10"/>
      <c r="DPM1375" s="8" t="s">
        <v>646</v>
      </c>
    </row>
    <row r="1376" spans="2:2 1895:1985 2216:2985 3080:4088 4232:4328">
      <c r="B1376" s="10"/>
      <c r="EAK1376" s="8" t="s">
        <v>647</v>
      </c>
    </row>
    <row r="1377" spans="2:2 1352:1671 3450:3849">
      <c r="B1377" s="10"/>
      <c r="EBR1377" s="8" t="s">
        <v>648</v>
      </c>
    </row>
    <row r="1378" spans="2:2 1352:1671 3450:3849">
      <c r="B1378" s="10"/>
      <c r="ERA1378" s="8" t="s">
        <v>649</v>
      </c>
    </row>
    <row r="1379" spans="2:2 1352:1671 3450:3849">
      <c r="B1379" s="10"/>
    </row>
    <row r="1380" spans="2:2 1352:1671 3450:3849">
      <c r="B1380" s="10"/>
    </row>
    <row r="1381" spans="2:2 1352:1671 3450:3849">
      <c r="B1381" s="10"/>
    </row>
    <row r="1382" spans="2:2 1352:1671 3450:3849">
      <c r="B1382" s="10"/>
    </row>
    <row r="1383" spans="2:2 1352:1671 3450:3849">
      <c r="B1383" s="10"/>
      <c r="AYZ1383" s="8" t="s">
        <v>625</v>
      </c>
    </row>
    <row r="1384" spans="2:2 1352:1671 3450:3849">
      <c r="B1384" s="10"/>
      <c r="BAI1384" s="8" t="s">
        <v>626</v>
      </c>
      <c r="BCE1384" s="8" t="s">
        <v>626</v>
      </c>
      <c r="BEA1384" s="8" t="s">
        <v>626</v>
      </c>
    </row>
    <row r="1385" spans="2:2 1352:1671 3450:3849">
      <c r="B1385" s="10"/>
      <c r="AZO1385" s="8" t="s">
        <v>627</v>
      </c>
      <c r="BBK1385" s="8" t="s">
        <v>627</v>
      </c>
      <c r="BDG1385" s="8" t="s">
        <v>627</v>
      </c>
      <c r="BFC1385" s="8" t="s">
        <v>627</v>
      </c>
    </row>
    <row r="1386" spans="2:2 1352:1671 3450:3849">
      <c r="B1386" s="10"/>
      <c r="BAV1386" s="8" t="s">
        <v>628</v>
      </c>
      <c r="BCR1386" s="8" t="s">
        <v>628</v>
      </c>
      <c r="BEN1386" s="8" t="s">
        <v>628</v>
      </c>
      <c r="BGJ1386" s="8" t="s">
        <v>628</v>
      </c>
    </row>
    <row r="1387" spans="2:2 1352:1671 3450:3849">
      <c r="B1387" s="10"/>
      <c r="AZI1387" s="8" t="s">
        <v>1903</v>
      </c>
      <c r="BDA1387" s="8" t="s">
        <v>620</v>
      </c>
      <c r="BEW1387" s="8" t="s">
        <v>620</v>
      </c>
      <c r="BGS1387" s="8" t="s">
        <v>620</v>
      </c>
      <c r="BIO1387" s="8" t="s">
        <v>620</v>
      </c>
    </row>
    <row r="1388" spans="2:2 1352:1671 3450:3849">
      <c r="B1388" s="10"/>
      <c r="AYZ1388" s="8" t="s">
        <v>1904</v>
      </c>
      <c r="BCR1388" s="8" t="s">
        <v>629</v>
      </c>
      <c r="BEN1388" s="8" t="s">
        <v>629</v>
      </c>
      <c r="BGJ1388" s="8" t="s">
        <v>629</v>
      </c>
      <c r="BIF1388" s="8" t="s">
        <v>629</v>
      </c>
    </row>
    <row r="1389" spans="2:2 1352:1671 3450:3849">
      <c r="B1389" s="10"/>
      <c r="AZU1389" s="8" t="s">
        <v>1905</v>
      </c>
      <c r="BDM1389" s="8" t="s">
        <v>630</v>
      </c>
      <c r="BFI1389" s="8" t="s">
        <v>630</v>
      </c>
      <c r="BHE1389" s="8" t="s">
        <v>630</v>
      </c>
      <c r="BJA1389" s="8" t="s">
        <v>630</v>
      </c>
    </row>
    <row r="1390" spans="2:2 1352:1671 3450:3849">
      <c r="B1390" s="10"/>
      <c r="AYZ1390" s="8" t="s">
        <v>2334</v>
      </c>
      <c r="BAV1390" s="8" t="s">
        <v>1906</v>
      </c>
      <c r="BEN1390" s="8" t="s">
        <v>632</v>
      </c>
      <c r="BGJ1390" s="8" t="s">
        <v>632</v>
      </c>
      <c r="BIF1390" s="8" t="s">
        <v>632</v>
      </c>
      <c r="BKB1390" s="8" t="s">
        <v>632</v>
      </c>
    </row>
    <row r="1391" spans="2:2 1352:1671 3450:3849">
      <c r="B1391" s="10"/>
      <c r="AZO1391" s="8" t="s">
        <v>2335</v>
      </c>
      <c r="BBK1391" s="8" t="s">
        <v>1907</v>
      </c>
      <c r="BFC1391" s="8" t="s">
        <v>633</v>
      </c>
      <c r="BGY1391" s="8" t="s">
        <v>633</v>
      </c>
      <c r="BIU1391" s="8" t="s">
        <v>633</v>
      </c>
      <c r="BKQ1391" s="8" t="s">
        <v>633</v>
      </c>
    </row>
    <row r="1392" spans="2:2 1352:1671 3450:3849">
      <c r="B1392" s="10"/>
      <c r="BAE1392" s="8" t="s">
        <v>2336</v>
      </c>
      <c r="BCA1392" s="8" t="s">
        <v>1908</v>
      </c>
      <c r="BFS1392" s="8" t="s">
        <v>634</v>
      </c>
      <c r="BHO1392" s="8" t="s">
        <v>634</v>
      </c>
      <c r="BJK1392" s="8" t="s">
        <v>634</v>
      </c>
      <c r="BLG1392" s="8" t="s">
        <v>634</v>
      </c>
    </row>
    <row r="1393" spans="2:2 1390:2037 2055:2745">
      <c r="B1393" s="10"/>
      <c r="BAL1393" s="8" t="s">
        <v>2337</v>
      </c>
      <c r="BCH1393" s="8" t="s">
        <v>1909</v>
      </c>
      <c r="BFZ1393" s="8" t="s">
        <v>635</v>
      </c>
      <c r="BHV1393" s="8" t="s">
        <v>635</v>
      </c>
      <c r="BJR1393" s="8" t="s">
        <v>635</v>
      </c>
      <c r="BLN1393" s="8" t="s">
        <v>635</v>
      </c>
    </row>
    <row r="1394" spans="2:2 1390:2037 2055:2745">
      <c r="B1394" s="10"/>
      <c r="BAQ1394" s="8" t="s">
        <v>2338</v>
      </c>
      <c r="BCM1394" s="8" t="s">
        <v>1910</v>
      </c>
      <c r="BGE1394" s="8" t="s">
        <v>636</v>
      </c>
      <c r="BIA1394" s="8" t="s">
        <v>636</v>
      </c>
      <c r="BJW1394" s="8" t="s">
        <v>636</v>
      </c>
      <c r="BLS1394" s="8" t="s">
        <v>636</v>
      </c>
    </row>
    <row r="1395" spans="2:2 1390:2037 2055:2745">
      <c r="B1395" s="10"/>
      <c r="BDA1395" s="8" t="s">
        <v>2339</v>
      </c>
      <c r="BEW1395" s="8" t="s">
        <v>1911</v>
      </c>
      <c r="BIO1395" s="8" t="s">
        <v>637</v>
      </c>
      <c r="BKK1395" s="8" t="s">
        <v>637</v>
      </c>
      <c r="BMG1395" s="8" t="s">
        <v>637</v>
      </c>
      <c r="BOC1395" s="8" t="s">
        <v>637</v>
      </c>
    </row>
    <row r="1396" spans="2:2 1390:2037 2055:2745">
      <c r="B1396" s="10"/>
      <c r="BKB1396" s="8" t="s">
        <v>2340</v>
      </c>
      <c r="BLX1396" s="8" t="s">
        <v>1912</v>
      </c>
      <c r="BPP1396" s="8" t="s">
        <v>1539</v>
      </c>
      <c r="BRL1396" s="8" t="s">
        <v>1539</v>
      </c>
      <c r="BTH1396" s="8" t="s">
        <v>1539</v>
      </c>
      <c r="BVD1396" s="8" t="s">
        <v>1539</v>
      </c>
    </row>
    <row r="1397" spans="2:2 1390:2037 2055:2745">
      <c r="B1397" s="10"/>
      <c r="BLX1397" s="8" t="s">
        <v>2341</v>
      </c>
      <c r="BNT1397" s="8" t="s">
        <v>1913</v>
      </c>
      <c r="BRL1397" s="8" t="s">
        <v>638</v>
      </c>
      <c r="BTH1397" s="8" t="s">
        <v>638</v>
      </c>
      <c r="BVD1397" s="8" t="s">
        <v>638</v>
      </c>
      <c r="BWZ1397" s="8" t="s">
        <v>638</v>
      </c>
    </row>
    <row r="1398" spans="2:2 1390:2037 2055:2745">
      <c r="B1398" s="10"/>
      <c r="BNT1398" s="8" t="s">
        <v>2342</v>
      </c>
      <c r="BPP1398" s="8" t="s">
        <v>1914</v>
      </c>
      <c r="BTH1398" s="8" t="s">
        <v>807</v>
      </c>
      <c r="BVD1398" s="8" t="s">
        <v>807</v>
      </c>
      <c r="BWZ1398" s="8" t="s">
        <v>807</v>
      </c>
      <c r="BYV1398" s="8" t="s">
        <v>807</v>
      </c>
    </row>
    <row r="1399" spans="2:2 1390:2037 2055:2745">
      <c r="B1399" s="10"/>
      <c r="BSQ1399" s="8" t="s">
        <v>2343</v>
      </c>
      <c r="BUM1399" s="8" t="s">
        <v>1915</v>
      </c>
      <c r="BYE1399" s="8" t="s">
        <v>639</v>
      </c>
      <c r="CAA1399" s="8" t="s">
        <v>639</v>
      </c>
      <c r="CBW1399" s="8" t="s">
        <v>639</v>
      </c>
      <c r="CDS1399" s="8" t="s">
        <v>639</v>
      </c>
    </row>
    <row r="1400" spans="2:2 1390:2037 2055:2745">
      <c r="B1400" s="10"/>
      <c r="BVZ1400" s="8" t="s">
        <v>2344</v>
      </c>
      <c r="BXV1400" s="8" t="s">
        <v>1916</v>
      </c>
      <c r="CBN1400" s="8" t="s">
        <v>1540</v>
      </c>
      <c r="CDJ1400" s="8" t="s">
        <v>1540</v>
      </c>
      <c r="CFF1400" s="8" t="s">
        <v>1540</v>
      </c>
      <c r="CHB1400" s="8" t="s">
        <v>1540</v>
      </c>
    </row>
    <row r="1401" spans="2:2 1390:2037 2055:2745">
      <c r="B1401" s="10"/>
      <c r="BXF1401" s="8" t="s">
        <v>2345</v>
      </c>
      <c r="BZB1401" s="8" t="s">
        <v>1917</v>
      </c>
      <c r="CCT1401" s="8" t="s">
        <v>631</v>
      </c>
      <c r="CEP1401" s="8" t="s">
        <v>631</v>
      </c>
      <c r="CGL1401" s="8" t="s">
        <v>631</v>
      </c>
      <c r="CIH1401" s="8" t="s">
        <v>631</v>
      </c>
    </row>
    <row r="1402" spans="2:2 1390:2037 2055:2745">
      <c r="B1402" s="10"/>
      <c r="BCA1402" s="8" t="s">
        <v>651</v>
      </c>
      <c r="BXM1402" s="8" t="s">
        <v>2346</v>
      </c>
      <c r="BZI1402" s="8" t="s">
        <v>1918</v>
      </c>
      <c r="CDA1402" s="8" t="s">
        <v>640</v>
      </c>
      <c r="CEW1402" s="8" t="s">
        <v>640</v>
      </c>
      <c r="CGS1402" s="8" t="s">
        <v>640</v>
      </c>
      <c r="CIO1402" s="8" t="s">
        <v>640</v>
      </c>
    </row>
    <row r="1403" spans="2:2 1390:2037 2055:2745">
      <c r="B1403" s="10"/>
      <c r="BCH1403" s="8" t="s">
        <v>652</v>
      </c>
      <c r="CAA1403" s="8" t="s">
        <v>2347</v>
      </c>
      <c r="CBW1403" s="8" t="s">
        <v>1919</v>
      </c>
      <c r="CFO1403" s="8" t="s">
        <v>621</v>
      </c>
      <c r="CHK1403" s="8" t="s">
        <v>621</v>
      </c>
      <c r="CJG1403" s="8" t="s">
        <v>621</v>
      </c>
      <c r="CLC1403" s="8" t="s">
        <v>621</v>
      </c>
    </row>
    <row r="1404" spans="2:2 1390:2037 2055:2745">
      <c r="B1404" s="10"/>
      <c r="BCN1404" s="8" t="s">
        <v>653</v>
      </c>
      <c r="CAK1404" s="8" t="s">
        <v>2348</v>
      </c>
      <c r="CCG1404" s="8" t="s">
        <v>1920</v>
      </c>
      <c r="CFY1404" s="8" t="s">
        <v>641</v>
      </c>
      <c r="CHU1404" s="8" t="s">
        <v>641</v>
      </c>
      <c r="CJQ1404" s="8" t="s">
        <v>641</v>
      </c>
      <c r="CLM1404" s="8" t="s">
        <v>641</v>
      </c>
    </row>
    <row r="1405" spans="2:2 1390:2037 2055:2745">
      <c r="B1405" s="10"/>
      <c r="BEK1405" s="8" t="s">
        <v>654</v>
      </c>
      <c r="CAS1405" s="8" t="s">
        <v>2349</v>
      </c>
      <c r="CCO1405" s="8" t="s">
        <v>1921</v>
      </c>
      <c r="CGG1405" s="8" t="s">
        <v>642</v>
      </c>
      <c r="CIC1405" s="8" t="s">
        <v>642</v>
      </c>
      <c r="CJY1405" s="8" t="s">
        <v>642</v>
      </c>
      <c r="CLU1405" s="8" t="s">
        <v>642</v>
      </c>
    </row>
    <row r="1406" spans="2:2 1390:2037 2055:2745">
      <c r="B1406" s="10"/>
      <c r="BEN1406" s="8" t="s">
        <v>655</v>
      </c>
      <c r="CGW1406" s="8" t="s">
        <v>2350</v>
      </c>
      <c r="CIS1406" s="8" t="s">
        <v>1922</v>
      </c>
      <c r="CMK1406" s="8" t="s">
        <v>643</v>
      </c>
      <c r="COG1406" s="8" t="s">
        <v>643</v>
      </c>
      <c r="CQC1406" s="8" t="s">
        <v>643</v>
      </c>
      <c r="CRY1406" s="8" t="s">
        <v>643</v>
      </c>
    </row>
    <row r="1407" spans="2:2 1390:2037 2055:2745">
      <c r="B1407" s="10"/>
      <c r="BEW1407" s="8" t="s">
        <v>656</v>
      </c>
      <c r="CIB1407" s="8" t="s">
        <v>2351</v>
      </c>
      <c r="CJX1407" s="8" t="s">
        <v>1923</v>
      </c>
      <c r="CNP1407" s="8" t="s">
        <v>644</v>
      </c>
      <c r="CPL1407" s="8" t="s">
        <v>644</v>
      </c>
      <c r="CRH1407" s="8" t="s">
        <v>644</v>
      </c>
      <c r="CTD1407" s="8" t="s">
        <v>644</v>
      </c>
    </row>
    <row r="1408" spans="2:2 1390:2037 2055:2745">
      <c r="B1408" s="10"/>
      <c r="BGC1408" s="8" t="s">
        <v>657</v>
      </c>
      <c r="CPM1408" s="8" t="s">
        <v>2352</v>
      </c>
      <c r="CRI1408" s="8" t="s">
        <v>1924</v>
      </c>
      <c r="CVA1408" s="8" t="s">
        <v>645</v>
      </c>
      <c r="CWW1408" s="8" t="s">
        <v>645</v>
      </c>
      <c r="CYS1408" s="8" t="s">
        <v>645</v>
      </c>
      <c r="DAO1408" s="8" t="s">
        <v>645</v>
      </c>
    </row>
    <row r="1409" spans="2:2 1349:1928 2072:3066 3114:3609">
      <c r="B1409" s="10"/>
      <c r="BGJ1409" s="8" t="s">
        <v>658</v>
      </c>
      <c r="CTD1409" s="8" t="s">
        <v>2353</v>
      </c>
      <c r="CUZ1409" s="8" t="s">
        <v>1925</v>
      </c>
      <c r="CYR1409" s="8" t="s">
        <v>646</v>
      </c>
      <c r="DAN1409" s="8" t="s">
        <v>646</v>
      </c>
      <c r="DCJ1409" s="8" t="s">
        <v>646</v>
      </c>
      <c r="DEF1409" s="8" t="s">
        <v>646</v>
      </c>
    </row>
    <row r="1410" spans="2:2 1349:1928 2072:3066 3114:3609">
      <c r="B1410" s="10"/>
      <c r="BOT1410" s="8" t="s">
        <v>659</v>
      </c>
      <c r="CVE1410" s="8" t="s">
        <v>2354</v>
      </c>
      <c r="CXA1410" s="8" t="s">
        <v>1926</v>
      </c>
      <c r="DAS1410" s="8" t="s">
        <v>647</v>
      </c>
      <c r="DCO1410" s="8" t="s">
        <v>647</v>
      </c>
      <c r="DEK1410" s="8" t="s">
        <v>647</v>
      </c>
      <c r="DGG1410" s="8" t="s">
        <v>647</v>
      </c>
    </row>
    <row r="1411" spans="2:2 1349:1928 2072:3066 3114:3609">
      <c r="B1411" s="10"/>
      <c r="BUW1411" s="8" t="s">
        <v>660</v>
      </c>
      <c r="DHJ1411" s="8" t="s">
        <v>2355</v>
      </c>
      <c r="DJF1411" s="8" t="s">
        <v>1927</v>
      </c>
      <c r="DMX1411" s="8" t="s">
        <v>649</v>
      </c>
      <c r="DOT1411" s="8" t="s">
        <v>649</v>
      </c>
      <c r="DQP1411" s="8" t="s">
        <v>649</v>
      </c>
      <c r="DSL1411" s="8" t="s">
        <v>649</v>
      </c>
    </row>
    <row r="1412" spans="2:2 1349:1928 2072:3066 3114:3609">
      <c r="B1412" s="10"/>
      <c r="BVD1412" s="8" t="s">
        <v>661</v>
      </c>
      <c r="DWS1412" s="8" t="s">
        <v>2356</v>
      </c>
      <c r="DYO1412" s="8" t="s">
        <v>1928</v>
      </c>
      <c r="ECG1412" s="8" t="s">
        <v>650</v>
      </c>
      <c r="EEC1412" s="8" t="s">
        <v>650</v>
      </c>
      <c r="EFY1412" s="8" t="s">
        <v>650</v>
      </c>
      <c r="EHU1412" s="8" t="s">
        <v>650</v>
      </c>
    </row>
    <row r="1413" spans="2:2 1349:1928 2072:3066 3114:3609">
      <c r="B1413" s="10"/>
      <c r="CCN1413" s="8" t="s">
        <v>662</v>
      </c>
    </row>
    <row r="1414" spans="2:2 1349:1928 2072:3066 3114:3609">
      <c r="B1414" s="10"/>
      <c r="BAE1414" s="8" t="s">
        <v>1300</v>
      </c>
      <c r="BCA1414" s="8" t="s">
        <v>1300</v>
      </c>
      <c r="CEF1414" s="8" t="s">
        <v>663</v>
      </c>
    </row>
    <row r="1415" spans="2:2 1349:1928 2072:3066 3114:3609">
      <c r="B1415" s="10"/>
      <c r="BAL1415" s="8" t="s">
        <v>1301</v>
      </c>
      <c r="BCA1415" s="8" t="s">
        <v>1301</v>
      </c>
      <c r="BCH1415" s="8" t="s">
        <v>1301</v>
      </c>
      <c r="BCQ1415" s="8" t="s">
        <v>652</v>
      </c>
      <c r="CEJ1415" s="8" t="s">
        <v>664</v>
      </c>
    </row>
    <row r="1416" spans="2:2 1349:1928 2072:3066 3114:3609">
      <c r="B1416" s="10"/>
      <c r="BAR1416" s="19" t="s">
        <v>1302</v>
      </c>
      <c r="BCH1416" s="8" t="s">
        <v>1302</v>
      </c>
      <c r="BCN1416" s="8" t="s">
        <v>1302</v>
      </c>
      <c r="CIB1416" s="8" t="s">
        <v>665</v>
      </c>
    </row>
    <row r="1417" spans="2:2 1349:1928 2072:3066 3114:3609">
      <c r="B1417" s="10"/>
      <c r="BAR1417" s="19" t="s">
        <v>1303</v>
      </c>
      <c r="BAS1417" s="8" t="s">
        <v>654</v>
      </c>
      <c r="BCN1417" s="8" t="s">
        <v>654</v>
      </c>
      <c r="BCO1417" s="8" t="s">
        <v>1303</v>
      </c>
      <c r="BEK1417" s="8" t="s">
        <v>1303</v>
      </c>
      <c r="CIQ1417" s="8" t="s">
        <v>666</v>
      </c>
    </row>
    <row r="1418" spans="2:2 1349:1928 2072:3066 3114:3609">
      <c r="B1418" s="10"/>
      <c r="AYW1418" s="8" t="s">
        <v>655</v>
      </c>
      <c r="BBI1418" s="8" t="s">
        <v>655</v>
      </c>
      <c r="BCO1418" s="8" t="s">
        <v>1304</v>
      </c>
      <c r="BDA1418" s="8" t="s">
        <v>1304</v>
      </c>
      <c r="BEK1418" s="8" t="s">
        <v>655</v>
      </c>
      <c r="BEW1418" s="8" t="s">
        <v>1304</v>
      </c>
      <c r="DEF1418" s="8" t="s">
        <v>667</v>
      </c>
    </row>
    <row r="1419" spans="2:2 1349:1928 2072:3066 3114:3609">
      <c r="B1419" s="10"/>
      <c r="AZI1419" s="8" t="s">
        <v>657</v>
      </c>
      <c r="BEG1419" s="8" t="s">
        <v>1305</v>
      </c>
      <c r="BEW1419" s="8" t="s">
        <v>1305</v>
      </c>
      <c r="BEY1419" s="8" t="s">
        <v>657</v>
      </c>
      <c r="BGC1419" s="8" t="s">
        <v>1305</v>
      </c>
      <c r="EHD1419" s="8" t="s">
        <v>808</v>
      </c>
    </row>
    <row r="1420" spans="2:2 1349:1928 2072:3066 3114:3609">
      <c r="B1420" s="10"/>
      <c r="BAO1420" s="8" t="s">
        <v>658</v>
      </c>
      <c r="BEN1420" s="8" t="s">
        <v>1306</v>
      </c>
      <c r="BGC1420" s="8" t="s">
        <v>1306</v>
      </c>
      <c r="BGJ1420" s="8" t="s">
        <v>1306</v>
      </c>
      <c r="BHI1420" s="8" t="s">
        <v>658</v>
      </c>
      <c r="EHT1420" s="8" t="s">
        <v>668</v>
      </c>
    </row>
    <row r="1421" spans="2:2 1349:1928 2072:3066 3114:3609">
      <c r="B1421" s="10"/>
      <c r="BAV1421" s="8" t="s">
        <v>659</v>
      </c>
      <c r="BGJ1421" s="8" t="s">
        <v>659</v>
      </c>
      <c r="BMX1421" s="8" t="s">
        <v>1307</v>
      </c>
      <c r="BOT1421" s="8" t="s">
        <v>1307</v>
      </c>
    </row>
    <row r="1422" spans="2:2 1349:1928 2072:3066 3114:3609">
      <c r="B1422" s="10"/>
      <c r="BJF1422" s="8" t="s">
        <v>660</v>
      </c>
      <c r="BKD1422" s="8" t="s">
        <v>660</v>
      </c>
      <c r="BOT1422" s="8" t="s">
        <v>660</v>
      </c>
      <c r="BTA1422" s="8" t="s">
        <v>1308</v>
      </c>
      <c r="BUW1422" s="8" t="s">
        <v>1308</v>
      </c>
    </row>
    <row r="1423" spans="2:2 1349:1928 2072:3066 3114:3609">
      <c r="B1423" s="10"/>
      <c r="BPI1423" s="8" t="s">
        <v>661</v>
      </c>
      <c r="BTH1423" s="8" t="s">
        <v>1309</v>
      </c>
      <c r="BUW1423" s="8" t="s">
        <v>1309</v>
      </c>
      <c r="BVD1423" s="8" t="s">
        <v>1309</v>
      </c>
    </row>
    <row r="1424" spans="2:2 1349:1928 2072:3066 3114:3609">
      <c r="B1424" s="10"/>
      <c r="BMU1424" s="8" t="s">
        <v>662</v>
      </c>
      <c r="BNT1424" s="8" t="s">
        <v>1310</v>
      </c>
      <c r="BPP1424" s="8" t="s">
        <v>662</v>
      </c>
      <c r="BVD1424" s="8" t="s">
        <v>662</v>
      </c>
      <c r="CAR1424" s="8" t="s">
        <v>1310</v>
      </c>
      <c r="CCN1424" s="8" t="s">
        <v>1310</v>
      </c>
    </row>
    <row r="1425" spans="2:2 1352:2024 2053:2840 3448:3608 6985:7016">
      <c r="B1425" s="10"/>
      <c r="BWZ1425" s="8" t="s">
        <v>663</v>
      </c>
      <c r="CAR1425" s="8" t="s">
        <v>1311</v>
      </c>
      <c r="CBC1425" s="8" t="s">
        <v>663</v>
      </c>
      <c r="CCJ1425" s="8" t="s">
        <v>1311</v>
      </c>
      <c r="CCN1425" s="8" t="s">
        <v>663</v>
      </c>
      <c r="CEF1425" s="8" t="s">
        <v>1311</v>
      </c>
    </row>
    <row r="1426" spans="2:2 1352:2024 2053:2840 3448:3608 6985:7016">
      <c r="B1426" s="10"/>
      <c r="BYR1426" s="8" t="s">
        <v>664</v>
      </c>
      <c r="CCN1426" s="8" t="s">
        <v>1312</v>
      </c>
      <c r="CEF1426" s="8" t="s">
        <v>1312</v>
      </c>
      <c r="CEJ1426" s="8" t="s">
        <v>1312</v>
      </c>
      <c r="CEW1426" s="8" t="s">
        <v>664</v>
      </c>
    </row>
    <row r="1427" spans="2:2 1352:2024 2053:2840 3448:3608 6985:7016">
      <c r="B1427" s="10"/>
      <c r="BYV1427" s="8" t="s">
        <v>665</v>
      </c>
      <c r="CAO1427" s="8" t="s">
        <v>665</v>
      </c>
      <c r="CAR1427" s="8" t="s">
        <v>1313</v>
      </c>
      <c r="CEJ1427" s="8" t="s">
        <v>665</v>
      </c>
      <c r="CGF1427" s="8" t="s">
        <v>1313</v>
      </c>
      <c r="CIB1427" s="8" t="s">
        <v>1313</v>
      </c>
    </row>
    <row r="1428" spans="2:2 1352:2024 2053:2840 3448:3608 6985:7016">
      <c r="B1428" s="10"/>
      <c r="CCN1428" s="8" t="s">
        <v>666</v>
      </c>
      <c r="CFB1428" s="8" t="s">
        <v>666</v>
      </c>
      <c r="CGF1428" s="8" t="s">
        <v>1314</v>
      </c>
      <c r="CGU1428" s="8" t="s">
        <v>1314</v>
      </c>
      <c r="CIB1428" s="8" t="s">
        <v>666</v>
      </c>
      <c r="CIQ1428" s="8" t="s">
        <v>1314</v>
      </c>
    </row>
    <row r="1429" spans="2:2 1352:2024 2053:2840 3448:3608 6985:7016">
      <c r="B1429" s="10"/>
      <c r="BOI1429" s="8" t="s">
        <v>1315</v>
      </c>
      <c r="BPM1429" s="8" t="s">
        <v>667</v>
      </c>
      <c r="CDC1429" s="8" t="s">
        <v>667</v>
      </c>
      <c r="CIQ1429" s="8" t="s">
        <v>667</v>
      </c>
      <c r="DCJ1429" s="8" t="s">
        <v>1315</v>
      </c>
      <c r="DEF1429" s="8" t="s">
        <v>1315</v>
      </c>
    </row>
    <row r="1430" spans="2:2 1352:2024 2053:2840 3448:3608 6985:7016">
      <c r="B1430" s="10"/>
      <c r="AYZ1430" s="8" t="s">
        <v>808</v>
      </c>
      <c r="AZX1430" s="8" t="s">
        <v>808</v>
      </c>
      <c r="BAV1430" s="8" t="s">
        <v>1316</v>
      </c>
      <c r="BZY1430" s="8" t="s">
        <v>808</v>
      </c>
      <c r="CAR1430" s="8" t="s">
        <v>1316</v>
      </c>
      <c r="CYR1430" s="8" t="s">
        <v>808</v>
      </c>
      <c r="DEF1430" s="8" t="s">
        <v>808</v>
      </c>
      <c r="EFH1430" s="8" t="s">
        <v>1316</v>
      </c>
      <c r="EHD1430" s="8" t="s">
        <v>1316</v>
      </c>
    </row>
    <row r="1431" spans="2:2 1352:2024 2053:2840 3448:3608 6985:7016">
      <c r="B1431" s="10"/>
      <c r="BNL1431" s="8" t="s">
        <v>668</v>
      </c>
      <c r="BOJ1431" s="8" t="s">
        <v>668</v>
      </c>
      <c r="BPH1431" s="8" t="s">
        <v>1317</v>
      </c>
      <c r="EBP1431" s="8" t="s">
        <v>668</v>
      </c>
      <c r="EFX1431" s="8" t="s">
        <v>1317</v>
      </c>
      <c r="EHD1431" s="8" t="s">
        <v>1317</v>
      </c>
      <c r="EHN1431" s="8" t="s">
        <v>668</v>
      </c>
      <c r="EHT1431" s="8" t="s">
        <v>1317</v>
      </c>
    </row>
    <row r="1432" spans="2:2 1352:2024 2053:2840 3448:3608 6985:7016">
      <c r="B1432" s="10"/>
      <c r="BNT1432" s="8" t="s">
        <v>669</v>
      </c>
      <c r="BOR1432" s="8" t="s">
        <v>669</v>
      </c>
      <c r="BPP1432" s="8" t="s">
        <v>1412</v>
      </c>
      <c r="ECF1432" s="8" t="s">
        <v>669</v>
      </c>
      <c r="EHT1432" s="8" t="s">
        <v>669</v>
      </c>
      <c r="JHQ1432" s="8" t="s">
        <v>669</v>
      </c>
      <c r="JIV1432" s="8" t="s">
        <v>1412</v>
      </c>
    </row>
    <row r="1433" spans="2:2 1352:2024 2053:2840 3448:3608 6985:7016">
      <c r="B1433" s="10"/>
    </row>
    <row r="1434" spans="2:2 1352:2024 2053:2840 3448:3608 6985:7016">
      <c r="B1434" s="10"/>
    </row>
    <row r="1435" spans="2:2 1352:2024 2053:2840 3448:3608 6985:7016">
      <c r="B1435" s="10"/>
    </row>
    <row r="1436" spans="2:2 1352:2024 2053:2840 3448:3608 6985:7016">
      <c r="B1436" s="10"/>
    </row>
    <row r="1437" spans="2:2 1352:2024 2053:2840 3448:3608 6985:7016">
      <c r="B1437" s="10"/>
    </row>
    <row r="1438" spans="2:2 1352:2024 2053:2840 3448:3608 6985:7016">
      <c r="B1438" s="10"/>
    </row>
    <row r="1439" spans="2:2 1352:2024 2053:2840 3448:3608 6985:7016">
      <c r="B1439" s="10"/>
      <c r="BAR1439" s="19" t="s">
        <v>1486</v>
      </c>
    </row>
    <row r="1440" spans="2:2 1352:2024 2053:2840 3448:3608 6985:7016">
      <c r="B1440" s="10"/>
      <c r="AYZ1440" s="8" t="s">
        <v>625</v>
      </c>
      <c r="BAV1440" s="8" t="s">
        <v>625</v>
      </c>
    </row>
    <row r="1441" spans="2:2 1400:2024 2072:2840 3368:3368 4280:4280">
      <c r="B1441" s="10"/>
      <c r="BEA1441" s="8" t="s">
        <v>626</v>
      </c>
      <c r="BFW1441" s="8" t="s">
        <v>626</v>
      </c>
    </row>
    <row r="1442" spans="2:2 1400:2024 2072:2840 3368:3368 4280:4280">
      <c r="B1442" s="10"/>
      <c r="BFC1442" s="8" t="s">
        <v>627</v>
      </c>
      <c r="BGY1442" s="8" t="s">
        <v>627</v>
      </c>
    </row>
    <row r="1443" spans="2:2 1400:2024 2072:2840 3368:3368 4280:4280">
      <c r="B1443" s="10"/>
      <c r="BGJ1443" s="8" t="s">
        <v>628</v>
      </c>
      <c r="BIF1443" s="8" t="s">
        <v>628</v>
      </c>
    </row>
    <row r="1444" spans="2:2 1400:2024 2072:2840 3368:3368 4280:4280">
      <c r="B1444" s="10"/>
      <c r="BIO1444" s="8" t="s">
        <v>620</v>
      </c>
      <c r="BKK1444" s="8" t="s">
        <v>620</v>
      </c>
    </row>
    <row r="1445" spans="2:2 1400:2024 2072:2840 3368:3368 4280:4280">
      <c r="B1445" s="10"/>
      <c r="BIF1445" s="8" t="s">
        <v>629</v>
      </c>
      <c r="BKB1445" s="8" t="s">
        <v>629</v>
      </c>
    </row>
    <row r="1446" spans="2:2 1400:2024 2072:2840 3368:3368 4280:4280">
      <c r="B1446" s="10"/>
      <c r="BAV1446" s="8" t="s">
        <v>670</v>
      </c>
      <c r="BJA1446" s="8" t="s">
        <v>630</v>
      </c>
      <c r="BKW1446" s="8" t="s">
        <v>630</v>
      </c>
    </row>
    <row r="1447" spans="2:2 1400:2024 2072:2840 3368:3368 4280:4280">
      <c r="B1447" s="10"/>
      <c r="BKB1447" s="8" t="s">
        <v>632</v>
      </c>
      <c r="BLX1447" s="8" t="s">
        <v>632</v>
      </c>
    </row>
    <row r="1448" spans="2:2 1400:2024 2072:2840 3368:3368 4280:4280">
      <c r="B1448" s="10"/>
      <c r="BKQ1448" s="8" t="s">
        <v>633</v>
      </c>
      <c r="BMM1448" s="8" t="s">
        <v>633</v>
      </c>
      <c r="BYV1448" s="8" t="s">
        <v>672</v>
      </c>
    </row>
    <row r="1449" spans="2:2 1400:2024 2072:2840 3368:3368 4280:4280">
      <c r="B1449" s="10"/>
      <c r="BLG1449" s="8" t="s">
        <v>634</v>
      </c>
      <c r="BNC1449" s="8" t="s">
        <v>634</v>
      </c>
      <c r="CPQ1449" s="8" t="s">
        <v>673</v>
      </c>
    </row>
    <row r="1450" spans="2:2 1400:2024 2072:2840 3368:3368 4280:4280">
      <c r="B1450" s="10"/>
      <c r="BLN1450" s="8" t="s">
        <v>635</v>
      </c>
      <c r="BNJ1450" s="8" t="s">
        <v>635</v>
      </c>
      <c r="DEF1450" s="8" t="s">
        <v>674</v>
      </c>
    </row>
    <row r="1451" spans="2:2 1400:2024 2072:2840 3368:3368 4280:4280">
      <c r="B1451" s="10"/>
      <c r="BLS1451" s="8" t="s">
        <v>636</v>
      </c>
      <c r="BNO1451" s="8" t="s">
        <v>636</v>
      </c>
      <c r="DYN1451" s="8" t="s">
        <v>675</v>
      </c>
    </row>
    <row r="1452" spans="2:2 1400:2024 2072:2840 3368:3368 4280:4280">
      <c r="B1452" s="10"/>
      <c r="BOC1452" s="8" t="s">
        <v>637</v>
      </c>
      <c r="BPY1452" s="8" t="s">
        <v>637</v>
      </c>
      <c r="FHP1452" s="8" t="s">
        <v>676</v>
      </c>
    </row>
    <row r="1453" spans="2:2 1400:2024 2072:2840 3368:3368 4280:4280">
      <c r="B1453" s="10"/>
      <c r="BWZ1453" s="8" t="s">
        <v>638</v>
      </c>
      <c r="BYV1453" s="8" t="s">
        <v>638</v>
      </c>
    </row>
    <row r="1454" spans="2:2 1400:2024 2072:2840 3368:3368 4280:4280">
      <c r="B1454" s="10"/>
      <c r="BYV1454" s="8" t="s">
        <v>807</v>
      </c>
      <c r="CAR1454" s="8" t="s">
        <v>807</v>
      </c>
    </row>
    <row r="1455" spans="2:2 1400:2024 2072:2840 3368:3368 4280:4280">
      <c r="B1455" s="10"/>
      <c r="CDS1455" s="8" t="s">
        <v>639</v>
      </c>
      <c r="CFO1455" s="8" t="s">
        <v>639</v>
      </c>
    </row>
    <row r="1456" spans="2:2 1400:2024 2072:2840 3368:3368 4280:4280">
      <c r="B1456" s="10"/>
      <c r="CIH1456" s="8" t="s">
        <v>631</v>
      </c>
      <c r="CKD1456" s="8" t="s">
        <v>631</v>
      </c>
    </row>
    <row r="1457" spans="2:2 1352:2024 2072:2941 3210:3657 4136:4280 8735:8744">
      <c r="B1457" s="10"/>
      <c r="AYZ1457" s="8" t="s">
        <v>1318</v>
      </c>
      <c r="BAV1457" s="8" t="s">
        <v>1318</v>
      </c>
      <c r="CIO1457" s="8" t="s">
        <v>640</v>
      </c>
      <c r="CKK1457" s="8" t="s">
        <v>640</v>
      </c>
    </row>
    <row r="1458" spans="2:2 1352:2024 2072:2941 3210:3657 4136:4280 8735:8744">
      <c r="B1458" s="10"/>
      <c r="BAV1458" s="8" t="s">
        <v>671</v>
      </c>
      <c r="BIF1458" s="8" t="s">
        <v>1319</v>
      </c>
      <c r="BKB1458" s="8" t="s">
        <v>1319</v>
      </c>
      <c r="CLC1458" s="8" t="s">
        <v>621</v>
      </c>
      <c r="CMY1458" s="8" t="s">
        <v>621</v>
      </c>
    </row>
    <row r="1459" spans="2:2 1352:2024 2072:2941 3210:3657 4136:4280 8735:8744">
      <c r="B1459" s="10"/>
      <c r="BEN1459" s="8" t="s">
        <v>672</v>
      </c>
      <c r="BKB1459" s="8" t="s">
        <v>672</v>
      </c>
      <c r="BWZ1459" s="8" t="s">
        <v>1320</v>
      </c>
      <c r="BYV1459" s="8" t="s">
        <v>1320</v>
      </c>
      <c r="CLM1459" s="8" t="s">
        <v>641</v>
      </c>
      <c r="CNI1459" s="8" t="s">
        <v>641</v>
      </c>
    </row>
    <row r="1460" spans="2:2 1352:2024 2072:2941 3210:3657 4136:4280 8735:8744">
      <c r="B1460" s="10"/>
      <c r="BIF1460" s="8" t="s">
        <v>1321</v>
      </c>
      <c r="BIK1460" s="8" t="s">
        <v>673</v>
      </c>
      <c r="BTH1460" s="8" t="s">
        <v>673</v>
      </c>
      <c r="BYV1460" s="8" t="s">
        <v>673</v>
      </c>
      <c r="CLU1460" s="8" t="s">
        <v>642</v>
      </c>
      <c r="CNQ1460" s="8" t="s">
        <v>642</v>
      </c>
      <c r="CNU1460" s="8" t="s">
        <v>1321</v>
      </c>
      <c r="CPQ1460" s="8" t="s">
        <v>1321</v>
      </c>
    </row>
    <row r="1461" spans="2:2 1352:2024 2072:2941 3210:3657 4136:4280 8735:8744">
      <c r="B1461" s="10"/>
      <c r="CAR1461" s="8" t="s">
        <v>674</v>
      </c>
      <c r="CAW1461" s="8" t="s">
        <v>1322</v>
      </c>
      <c r="CKC1461" s="8" t="s">
        <v>674</v>
      </c>
      <c r="CPQ1461" s="8" t="s">
        <v>674</v>
      </c>
      <c r="CRY1461" s="8" t="s">
        <v>643</v>
      </c>
      <c r="CTU1461" s="8" t="s">
        <v>643</v>
      </c>
      <c r="DCJ1461" s="8" t="s">
        <v>1322</v>
      </c>
      <c r="DEF1461" s="8" t="s">
        <v>1322</v>
      </c>
    </row>
    <row r="1462" spans="2:2 1352:2024 2072:2941 3210:3657 4136:4280 8735:8744">
      <c r="B1462" s="10"/>
      <c r="AYZ1462" s="8" t="s">
        <v>675</v>
      </c>
      <c r="AZX1462" s="8" t="s">
        <v>675</v>
      </c>
      <c r="BAV1462" s="8" t="s">
        <v>1323</v>
      </c>
      <c r="CJX1462" s="8" t="s">
        <v>1323</v>
      </c>
      <c r="CTD1462" s="8" t="s">
        <v>644</v>
      </c>
      <c r="CUZ1462" s="8" t="s">
        <v>644</v>
      </c>
      <c r="CYR1462" s="8" t="s">
        <v>675</v>
      </c>
      <c r="DEF1462" s="8" t="s">
        <v>675</v>
      </c>
      <c r="DWR1462" s="8" t="s">
        <v>1323</v>
      </c>
      <c r="DYN1462" s="8" t="s">
        <v>1323</v>
      </c>
    </row>
    <row r="1463" spans="2:2 1352:2024 2072:2941 3210:3657 4136:4280 8735:8744">
      <c r="B1463" s="10"/>
      <c r="BJD1463" s="8" t="s">
        <v>676</v>
      </c>
      <c r="BKB1463" s="8" t="s">
        <v>676</v>
      </c>
      <c r="BKZ1463" s="8" t="s">
        <v>1324</v>
      </c>
      <c r="CPL1463" s="8" t="s">
        <v>1324</v>
      </c>
      <c r="CQR1463" s="8" t="s">
        <v>676</v>
      </c>
      <c r="DAO1463" s="8" t="s">
        <v>645</v>
      </c>
      <c r="DCK1463" s="8" t="s">
        <v>645</v>
      </c>
      <c r="DSZ1463" s="8" t="s">
        <v>676</v>
      </c>
      <c r="DYN1463" s="8" t="s">
        <v>676</v>
      </c>
      <c r="FFT1463" s="8" t="s">
        <v>1324</v>
      </c>
      <c r="FHP1463" s="8" t="s">
        <v>1324</v>
      </c>
    </row>
    <row r="1464" spans="2:2 1352:2024 2072:2941 3210:3657 4136:4280 8735:8744">
      <c r="B1464" s="10"/>
      <c r="CAR1464" s="8" t="s">
        <v>677</v>
      </c>
      <c r="CBP1464" s="8" t="s">
        <v>677</v>
      </c>
      <c r="CCN1464" s="8" t="s">
        <v>1413</v>
      </c>
      <c r="DEF1464" s="8" t="s">
        <v>646</v>
      </c>
      <c r="DGB1464" s="8" t="s">
        <v>646</v>
      </c>
      <c r="FCB1464" s="8" t="s">
        <v>677</v>
      </c>
      <c r="FHP1464" s="8" t="s">
        <v>677</v>
      </c>
      <c r="LWY1464" s="8" t="s">
        <v>677</v>
      </c>
      <c r="LXH1464" s="8" t="s">
        <v>1413</v>
      </c>
    </row>
    <row r="1465" spans="2:2 1352:2024 2072:2941 3210:3657 4136:4280 8735:8744">
      <c r="B1465" s="10"/>
      <c r="DGG1465" s="8" t="s">
        <v>647</v>
      </c>
      <c r="DIC1465" s="8" t="s">
        <v>647</v>
      </c>
    </row>
    <row r="1466" spans="2:2 1352:2024 2072:2941 3210:3657 4136:4280 8735:8744">
      <c r="B1466" s="10"/>
      <c r="DSL1466" s="8" t="s">
        <v>649</v>
      </c>
      <c r="DUH1466" s="8" t="s">
        <v>649</v>
      </c>
    </row>
    <row r="1467" spans="2:2 1352:2024 2072:2941 3210:3657 4136:4280 8735:8744">
      <c r="B1467" s="10"/>
      <c r="EHU1467" s="8" t="s">
        <v>650</v>
      </c>
      <c r="EJQ1467" s="8" t="s">
        <v>650</v>
      </c>
    </row>
    <row r="1468" spans="2:2 1352:2024 2072:2941 3210:3657 4136:4280 8735:8744">
      <c r="B1468" s="10"/>
    </row>
    <row r="1469" spans="2:2 1352:2024 2072:2941 3210:3657 4136:4280 8735:8744">
      <c r="B1469" s="10"/>
    </row>
    <row r="1470" spans="2:2 1352:2024 2072:2941 3210:3657 4136:4280 8735:8744">
      <c r="B1470" s="10"/>
    </row>
    <row r="1471" spans="2:2 1352:2024 2072:2941 3210:3657 4136:4280 8735:8744">
      <c r="B1471" s="10"/>
    </row>
    <row r="1472" spans="2:2 1352:2024 2072:2941 3210:3657 4136:4280 8735:8744">
      <c r="B1472" s="10"/>
    </row>
    <row r="1473" spans="2:2 1431:1928 2120:2279">
      <c r="B1473" s="10"/>
      <c r="BCA1473" s="8" t="s">
        <v>651</v>
      </c>
    </row>
    <row r="1474" spans="2:2 1431:1928 2120:2279">
      <c r="B1474" s="10"/>
      <c r="BCH1474" s="8" t="s">
        <v>652</v>
      </c>
    </row>
    <row r="1475" spans="2:2 1431:1928 2120:2279">
      <c r="B1475" s="10"/>
      <c r="BCN1475" s="8" t="s">
        <v>653</v>
      </c>
    </row>
    <row r="1476" spans="2:2 1431:1928 2120:2279">
      <c r="B1476" s="10"/>
      <c r="BEK1476" s="8" t="s">
        <v>654</v>
      </c>
    </row>
    <row r="1477" spans="2:2 1431:1928 2120:2279">
      <c r="B1477" s="10"/>
      <c r="BEN1477" s="8" t="s">
        <v>655</v>
      </c>
    </row>
    <row r="1478" spans="2:2 1431:1928 2120:2279">
      <c r="B1478" s="10"/>
      <c r="BEW1478" s="8" t="s">
        <v>656</v>
      </c>
    </row>
    <row r="1479" spans="2:2 1431:1928 2120:2279">
      <c r="B1479" s="10"/>
      <c r="BGC1479" s="8" t="s">
        <v>657</v>
      </c>
    </row>
    <row r="1480" spans="2:2 1431:1928 2120:2279">
      <c r="B1480" s="10"/>
      <c r="BGJ1480" s="8" t="s">
        <v>658</v>
      </c>
    </row>
    <row r="1481" spans="2:2 1431:1928 2120:2279">
      <c r="B1481" s="10"/>
      <c r="BOT1481" s="8" t="s">
        <v>659</v>
      </c>
    </row>
    <row r="1482" spans="2:2 1431:1928 2120:2279">
      <c r="B1482" s="10"/>
      <c r="BUW1482" s="8" t="s">
        <v>660</v>
      </c>
    </row>
    <row r="1483" spans="2:2 1431:1928 2120:2279">
      <c r="B1483" s="10"/>
      <c r="BVD1483" s="8" t="s">
        <v>661</v>
      </c>
    </row>
    <row r="1484" spans="2:2 1431:1928 2120:2279">
      <c r="B1484" s="10"/>
      <c r="CCN1484" s="8" t="s">
        <v>662</v>
      </c>
    </row>
    <row r="1485" spans="2:2 1431:1928 2120:2279">
      <c r="B1485" s="10"/>
      <c r="CEF1485" s="8" t="s">
        <v>663</v>
      </c>
    </row>
    <row r="1486" spans="2:2 1431:1928 2120:2279">
      <c r="B1486" s="10"/>
      <c r="CEJ1486" s="8" t="s">
        <v>664</v>
      </c>
    </row>
    <row r="1487" spans="2:2 1431:1928 2120:2279">
      <c r="B1487" s="10"/>
      <c r="CIB1487" s="8" t="s">
        <v>665</v>
      </c>
    </row>
    <row r="1488" spans="2:2 1431:1928 2120:2279">
      <c r="B1488" s="10"/>
      <c r="CIQ1488" s="8" t="s">
        <v>666</v>
      </c>
    </row>
    <row r="1489" spans="2:2 1351:1976 2112:2648 3592:3848">
      <c r="B1489" s="10"/>
      <c r="BEM1489" s="8" t="s">
        <v>679</v>
      </c>
      <c r="EHD1489" s="8" t="s">
        <v>667</v>
      </c>
    </row>
    <row r="1490" spans="2:2 1351:1976 2112:2648 3592:3848">
      <c r="B1490" s="10"/>
      <c r="BIB1490" s="8" t="s">
        <v>680</v>
      </c>
      <c r="EHT1490" s="8" t="s">
        <v>668</v>
      </c>
    </row>
    <row r="1491" spans="2:2 1351:1976 2112:2648 3592:3848">
      <c r="B1491" s="10"/>
      <c r="BIF1491" s="8" t="s">
        <v>681</v>
      </c>
    </row>
    <row r="1492" spans="2:2 1351:1976 2112:2648 3592:3848">
      <c r="B1492" s="10"/>
      <c r="BPP1492" s="8" t="s">
        <v>682</v>
      </c>
    </row>
    <row r="1493" spans="2:2 1351:1976 2112:2648 3592:3848">
      <c r="B1493" s="10"/>
      <c r="BWZ1493" s="8" t="s">
        <v>683</v>
      </c>
    </row>
    <row r="1494" spans="2:2 1351:1976 2112:2648 3592:3848">
      <c r="B1494" s="10"/>
      <c r="CCF1494" s="8" t="s">
        <v>684</v>
      </c>
    </row>
    <row r="1495" spans="2:2 1351:1976 2112:2648 3592:3848">
      <c r="B1495" s="10"/>
      <c r="CCN1495" s="8" t="s">
        <v>685</v>
      </c>
    </row>
    <row r="1496" spans="2:2 1351:1976 2112:2648 3592:3848">
      <c r="B1496" s="10"/>
      <c r="CIB1496" s="8" t="s">
        <v>686</v>
      </c>
    </row>
    <row r="1497" spans="2:2 1351:1976 2112:2648 3592:3848">
      <c r="B1497" s="10"/>
      <c r="CLT1497" s="8" t="s">
        <v>687</v>
      </c>
    </row>
    <row r="1498" spans="2:2 1351:1976 2112:2648 3592:3848">
      <c r="B1498" s="10"/>
      <c r="CTD1498" s="8" t="s">
        <v>688</v>
      </c>
    </row>
    <row r="1499" spans="2:2 1351:1976 2112:2648 3592:3848">
      <c r="B1499" s="10"/>
      <c r="CUB1499" s="8" t="s">
        <v>689</v>
      </c>
    </row>
    <row r="1500" spans="2:2 1351:1976 2112:2648 3592:3848">
      <c r="B1500" s="10"/>
      <c r="CWV1500" s="8" t="s">
        <v>690</v>
      </c>
    </row>
    <row r="1501" spans="2:2 1351:1976 2112:2648 3592:3848">
      <c r="B1501" s="10"/>
      <c r="BCQ1501" s="8" t="s">
        <v>1325</v>
      </c>
      <c r="BEM1501" s="8" t="s">
        <v>1325</v>
      </c>
      <c r="EHT1501" s="8" t="s">
        <v>691</v>
      </c>
    </row>
    <row r="1502" spans="2:2 1351:1976 2112:2648 3592:3848">
      <c r="B1502" s="10"/>
      <c r="AYY1502" s="8" t="s">
        <v>680</v>
      </c>
      <c r="BAP1502" s="8" t="s">
        <v>680</v>
      </c>
      <c r="BAU1502" s="8" t="s">
        <v>1326</v>
      </c>
      <c r="BEM1502" s="8" t="s">
        <v>680</v>
      </c>
      <c r="BGF1502" s="8" t="s">
        <v>1326</v>
      </c>
      <c r="BIB1502" s="8" t="s">
        <v>1326</v>
      </c>
      <c r="EQZ1502" s="8" t="s">
        <v>692</v>
      </c>
    </row>
    <row r="1503" spans="2:2 1351:1976 2112:2648 3592:3848">
      <c r="B1503" s="10"/>
      <c r="AYZ1503" s="8" t="s">
        <v>1541</v>
      </c>
      <c r="BCN1503" s="8" t="s">
        <v>681</v>
      </c>
      <c r="BGJ1503" s="8" t="s">
        <v>1327</v>
      </c>
      <c r="BIB1503" s="8" t="s">
        <v>1327</v>
      </c>
      <c r="BIE1503" s="8" t="s">
        <v>681</v>
      </c>
      <c r="BIF1503" s="8" t="s">
        <v>1327</v>
      </c>
    </row>
    <row r="1504" spans="2:2 1351:1976 2112:2648 3592:3848">
      <c r="B1504" s="10"/>
      <c r="AZZ1504" s="8" t="s">
        <v>660</v>
      </c>
      <c r="BBV1504" s="8" t="s">
        <v>660</v>
      </c>
      <c r="BCL1504" s="8" t="s">
        <v>682</v>
      </c>
      <c r="BCR1504" s="8" t="s">
        <v>682</v>
      </c>
      <c r="BDR1504" s="8" t="s">
        <v>660</v>
      </c>
      <c r="BFN1504" s="8" t="s">
        <v>660</v>
      </c>
      <c r="BIF1504" s="8" t="s">
        <v>682</v>
      </c>
      <c r="BNT1504" s="8" t="s">
        <v>1328</v>
      </c>
      <c r="BPP1504" s="8" t="s">
        <v>1328</v>
      </c>
    </row>
    <row r="1505" spans="2:2 1373:2039 2064:3064 3080:3848 7492:7496">
      <c r="B1505" s="10"/>
      <c r="AZU1505" s="8" t="s">
        <v>2357</v>
      </c>
      <c r="BBQ1505" s="8" t="s">
        <v>1929</v>
      </c>
      <c r="BFI1505" s="8" t="s">
        <v>704</v>
      </c>
      <c r="BHE1505" s="8" t="s">
        <v>704</v>
      </c>
      <c r="BIF1505" s="8" t="s">
        <v>1329</v>
      </c>
      <c r="BJA1505" s="8" t="s">
        <v>704</v>
      </c>
      <c r="BKB1505" s="8" t="s">
        <v>683</v>
      </c>
      <c r="BKW1505" s="8" t="s">
        <v>704</v>
      </c>
      <c r="BPP1505" s="8" t="s">
        <v>683</v>
      </c>
      <c r="BVD1505" s="8" t="s">
        <v>1329</v>
      </c>
      <c r="BWZ1505" s="8" t="s">
        <v>1329</v>
      </c>
    </row>
    <row r="1506" spans="2:2 1373:2039 2064:3064 3080:3848 7492:7496">
      <c r="B1506" s="10"/>
      <c r="BAO1506" s="8" t="s">
        <v>2358</v>
      </c>
      <c r="BCK1506" s="8" t="s">
        <v>1930</v>
      </c>
      <c r="BGC1506" s="8" t="s">
        <v>661</v>
      </c>
      <c r="BHY1506" s="8" t="s">
        <v>661</v>
      </c>
      <c r="BJU1506" s="8" t="s">
        <v>661</v>
      </c>
      <c r="BLQ1506" s="8" t="s">
        <v>661</v>
      </c>
      <c r="BPK1506" s="8" t="s">
        <v>684</v>
      </c>
      <c r="BPP1506" s="8" t="s">
        <v>1330</v>
      </c>
      <c r="BRL1506" s="8" t="s">
        <v>684</v>
      </c>
      <c r="BWZ1506" s="8" t="s">
        <v>684</v>
      </c>
      <c r="CAJ1506" s="8" t="s">
        <v>1330</v>
      </c>
      <c r="CCF1506" s="8" t="s">
        <v>1330</v>
      </c>
    </row>
    <row r="1507" spans="2:2 1373:2039 2064:3064 3080:3848 7492:7496">
      <c r="B1507" s="10"/>
      <c r="BAV1507" s="8" t="s">
        <v>2359</v>
      </c>
      <c r="BCR1507" s="8" t="s">
        <v>1931</v>
      </c>
      <c r="BGJ1507" s="8" t="s">
        <v>662</v>
      </c>
      <c r="BIF1507" s="8" t="s">
        <v>662</v>
      </c>
      <c r="BKB1507" s="8" t="s">
        <v>662</v>
      </c>
      <c r="BLX1507" s="8" t="s">
        <v>662</v>
      </c>
      <c r="BWR1507" s="8" t="s">
        <v>685</v>
      </c>
      <c r="CAR1507" s="8" t="s">
        <v>1331</v>
      </c>
      <c r="CCF1507" s="8" t="s">
        <v>1331</v>
      </c>
      <c r="CCN1507" s="8" t="s">
        <v>1331</v>
      </c>
    </row>
    <row r="1508" spans="2:2 1373:2039 2064:3064 3080:3848 7492:7496">
      <c r="B1508" s="10"/>
      <c r="BCR1508" s="8" t="s">
        <v>2360</v>
      </c>
      <c r="BEN1508" s="8" t="s">
        <v>1932</v>
      </c>
      <c r="BIF1508" s="8" t="s">
        <v>1487</v>
      </c>
      <c r="BKB1508" s="8" t="s">
        <v>1487</v>
      </c>
      <c r="BLX1508" s="8" t="s">
        <v>1487</v>
      </c>
      <c r="BNT1508" s="8" t="s">
        <v>1487</v>
      </c>
      <c r="BWR1508" s="8" t="s">
        <v>686</v>
      </c>
      <c r="BWZ1508" s="8" t="s">
        <v>686</v>
      </c>
      <c r="CCN1508" s="8" t="s">
        <v>686</v>
      </c>
      <c r="CGF1508" s="8" t="s">
        <v>1332</v>
      </c>
      <c r="CIB1508" s="8" t="s">
        <v>1332</v>
      </c>
    </row>
    <row r="1509" spans="2:2 1373:2039 2064:3064 3080:3848 7492:7496">
      <c r="B1509" s="10"/>
      <c r="BGZ1509" s="8" t="s">
        <v>2361</v>
      </c>
      <c r="BIV1509" s="8" t="s">
        <v>1933</v>
      </c>
      <c r="BMN1509" s="8" t="s">
        <v>1488</v>
      </c>
      <c r="BOJ1509" s="8" t="s">
        <v>1488</v>
      </c>
      <c r="BQF1509" s="8" t="s">
        <v>1488</v>
      </c>
      <c r="BSB1509" s="8" t="s">
        <v>1488</v>
      </c>
      <c r="CCN1509" s="8" t="s">
        <v>687</v>
      </c>
      <c r="CEJ1509" s="8" t="s">
        <v>1333</v>
      </c>
      <c r="CEV1509" s="8" t="s">
        <v>687</v>
      </c>
      <c r="CIB1509" s="8" t="s">
        <v>687</v>
      </c>
      <c r="CJX1509" s="8" t="s">
        <v>1333</v>
      </c>
      <c r="CLT1509" s="8" t="s">
        <v>1333</v>
      </c>
    </row>
    <row r="1510" spans="2:2 1373:2039 2064:3064 3080:3848 7492:7496">
      <c r="B1510" s="10"/>
      <c r="BIF1510" s="8" t="s">
        <v>2362</v>
      </c>
      <c r="BKB1510" s="8" t="s">
        <v>1934</v>
      </c>
      <c r="BNT1510" s="8" t="s">
        <v>663</v>
      </c>
      <c r="BPP1510" s="8" t="s">
        <v>663</v>
      </c>
      <c r="BRL1510" s="8" t="s">
        <v>663</v>
      </c>
      <c r="BTH1510" s="8" t="s">
        <v>663</v>
      </c>
      <c r="CEF1510" s="8" t="s">
        <v>688</v>
      </c>
      <c r="CEJ1510" s="8" t="s">
        <v>1334</v>
      </c>
      <c r="CGF1510" s="8" t="s">
        <v>688</v>
      </c>
      <c r="CLT1510" s="8" t="s">
        <v>688</v>
      </c>
      <c r="CRH1510" s="8" t="s">
        <v>1334</v>
      </c>
      <c r="CTD1510" s="8" t="s">
        <v>1334</v>
      </c>
    </row>
    <row r="1511" spans="2:2 1373:2039 2064:3064 3080:3848 7492:7496">
      <c r="B1511" s="10"/>
      <c r="BJX1511" s="8" t="s">
        <v>2363</v>
      </c>
      <c r="BLT1511" s="8" t="s">
        <v>1935</v>
      </c>
      <c r="BPL1511" s="8" t="s">
        <v>664</v>
      </c>
      <c r="BRH1511" s="8" t="s">
        <v>664</v>
      </c>
      <c r="BTD1511" s="8" t="s">
        <v>664</v>
      </c>
      <c r="BUZ1511" s="8" t="s">
        <v>664</v>
      </c>
      <c r="CNP1511" s="8" t="s">
        <v>689</v>
      </c>
      <c r="CQN1511" s="8" t="s">
        <v>689</v>
      </c>
      <c r="CRH1511" s="8" t="s">
        <v>1335</v>
      </c>
      <c r="CSF1511" s="8" t="s">
        <v>1335</v>
      </c>
      <c r="CTD1511" s="8" t="s">
        <v>689</v>
      </c>
      <c r="CUB1511" s="8" t="s">
        <v>1335</v>
      </c>
    </row>
    <row r="1512" spans="2:2 1373:2039 2064:3064 3080:3848 7492:7496">
      <c r="B1512" s="10"/>
      <c r="BKB1512" s="8" t="s">
        <v>2364</v>
      </c>
      <c r="BLX1512" s="8" t="s">
        <v>1936</v>
      </c>
      <c r="BPP1512" s="8" t="s">
        <v>665</v>
      </c>
      <c r="BRL1512" s="8" t="s">
        <v>665</v>
      </c>
      <c r="BTH1512" s="8" t="s">
        <v>665</v>
      </c>
      <c r="BVD1512" s="8" t="s">
        <v>665</v>
      </c>
      <c r="CON1512" s="8" t="s">
        <v>690</v>
      </c>
      <c r="CUB1512" s="8" t="s">
        <v>1336</v>
      </c>
      <c r="CUR1512" s="8" t="s">
        <v>690</v>
      </c>
      <c r="CUZ1512" s="8" t="s">
        <v>1336</v>
      </c>
      <c r="CWV1512" s="8" t="s">
        <v>1336</v>
      </c>
    </row>
    <row r="1513" spans="2:2 1373:2039 2064:3064 3080:3848 7492:7496">
      <c r="B1513" s="10"/>
      <c r="BKB1513" s="8" t="s">
        <v>1337</v>
      </c>
      <c r="BKC1513" s="8" t="s">
        <v>691</v>
      </c>
      <c r="BNM1513" s="8" t="s">
        <v>2365</v>
      </c>
      <c r="BPI1513" s="8" t="s">
        <v>1937</v>
      </c>
      <c r="BTA1513" s="8" t="s">
        <v>1542</v>
      </c>
      <c r="BUW1513" s="8" t="s">
        <v>1542</v>
      </c>
      <c r="BWS1513" s="8" t="s">
        <v>1542</v>
      </c>
      <c r="BYO1513" s="8" t="s">
        <v>1542</v>
      </c>
      <c r="CRH1513" s="8" t="s">
        <v>691</v>
      </c>
      <c r="CWV1513" s="8" t="s">
        <v>691</v>
      </c>
      <c r="EFX1513" s="8" t="s">
        <v>1337</v>
      </c>
      <c r="EHT1513" s="8" t="s">
        <v>1337</v>
      </c>
    </row>
    <row r="1514" spans="2:2 1373:2039 2064:3064 3080:3848 7492:7496">
      <c r="B1514" s="10"/>
      <c r="BNT1514" s="8" t="s">
        <v>2366</v>
      </c>
      <c r="BOR1514" s="8" t="s">
        <v>692</v>
      </c>
      <c r="BPP1514" s="8" t="s">
        <v>1938</v>
      </c>
      <c r="BTH1514" s="8" t="s">
        <v>666</v>
      </c>
      <c r="BVD1514" s="8" t="s">
        <v>666</v>
      </c>
      <c r="BWZ1514" s="8" t="s">
        <v>666</v>
      </c>
      <c r="BYV1514" s="8" t="s">
        <v>666</v>
      </c>
      <c r="DYN1514" s="8" t="s">
        <v>1338</v>
      </c>
      <c r="DYT1514" s="8" t="s">
        <v>692</v>
      </c>
      <c r="ECF1514" s="8" t="s">
        <v>692</v>
      </c>
      <c r="EHT1514" s="8" t="s">
        <v>692</v>
      </c>
      <c r="EPD1514" s="8" t="s">
        <v>1338</v>
      </c>
      <c r="EQZ1514" s="8" t="s">
        <v>1338</v>
      </c>
    </row>
    <row r="1515" spans="2:2 1373:2039 2064:3064 3080:3848 7492:7496">
      <c r="B1515" s="10"/>
      <c r="BOI1515" s="8" t="s">
        <v>2367</v>
      </c>
      <c r="BQE1515" s="8" t="s">
        <v>1939</v>
      </c>
      <c r="BSJ1515" s="8" t="s">
        <v>693</v>
      </c>
      <c r="BTH1515" s="8" t="s">
        <v>693</v>
      </c>
      <c r="BTW1515" s="8" t="s">
        <v>667</v>
      </c>
      <c r="BUF1515" s="8" t="s">
        <v>1414</v>
      </c>
      <c r="BVS1515" s="8" t="s">
        <v>667</v>
      </c>
      <c r="BXO1515" s="8" t="s">
        <v>667</v>
      </c>
      <c r="BZK1515" s="8" t="s">
        <v>667</v>
      </c>
      <c r="ELL1515" s="8" t="s">
        <v>693</v>
      </c>
      <c r="EQZ1515" s="8" t="s">
        <v>693</v>
      </c>
      <c r="KBD1515" s="8" t="s">
        <v>693</v>
      </c>
      <c r="KBH1515" s="8" t="s">
        <v>1414</v>
      </c>
    </row>
    <row r="1516" spans="2:2 1373:2039 2064:3064 3080:3848 7492:7496">
      <c r="B1516" s="10"/>
      <c r="BRL1516" s="8" t="s">
        <v>2368</v>
      </c>
      <c r="BTH1516" s="8" t="s">
        <v>1940</v>
      </c>
      <c r="BWZ1516" s="8" t="s">
        <v>1489</v>
      </c>
      <c r="BYV1516" s="8" t="s">
        <v>1489</v>
      </c>
      <c r="CAR1516" s="8" t="s">
        <v>1489</v>
      </c>
      <c r="CCN1516" s="8" t="s">
        <v>1489</v>
      </c>
    </row>
    <row r="1517" spans="2:2 1373:2039 2064:3064 3080:3848 7492:7496">
      <c r="B1517" s="10"/>
      <c r="CJX1517" s="8" t="s">
        <v>2369</v>
      </c>
      <c r="CLT1517" s="8" t="s">
        <v>1941</v>
      </c>
      <c r="CPL1517" s="8" t="s">
        <v>808</v>
      </c>
      <c r="CRH1517" s="8" t="s">
        <v>808</v>
      </c>
      <c r="CTD1517" s="8" t="s">
        <v>808</v>
      </c>
      <c r="CUZ1517" s="8" t="s">
        <v>808</v>
      </c>
    </row>
    <row r="1518" spans="2:2 1373:2039 2064:3064 3080:3848 7492:7496">
      <c r="B1518" s="10"/>
      <c r="BAV1518" s="8" t="s">
        <v>670</v>
      </c>
      <c r="DMV1518" s="8" t="s">
        <v>2370</v>
      </c>
      <c r="DOR1518" s="8" t="s">
        <v>1942</v>
      </c>
      <c r="DSJ1518" s="8" t="s">
        <v>668</v>
      </c>
      <c r="DUF1518" s="8" t="s">
        <v>668</v>
      </c>
      <c r="DWB1518" s="8" t="s">
        <v>668</v>
      </c>
      <c r="DXX1518" s="8" t="s">
        <v>668</v>
      </c>
    </row>
    <row r="1519" spans="2:2 1373:2039 2064:3064 3080:3848 7492:7496">
      <c r="B1519" s="10"/>
      <c r="BKB1519" s="8" t="s">
        <v>671</v>
      </c>
      <c r="DNL1519" s="8" t="s">
        <v>2371</v>
      </c>
      <c r="DPH1519" s="8" t="s">
        <v>1943</v>
      </c>
      <c r="DSZ1519" s="8" t="s">
        <v>669</v>
      </c>
      <c r="DUV1519" s="8" t="s">
        <v>669</v>
      </c>
      <c r="DWR1519" s="8" t="s">
        <v>669</v>
      </c>
      <c r="DYN1519" s="8" t="s">
        <v>669</v>
      </c>
    </row>
    <row r="1520" spans="2:2 1373:2039 2064:3064 3080:3848 7492:7496">
      <c r="B1520" s="10"/>
      <c r="BYV1520" s="8" t="s">
        <v>672</v>
      </c>
    </row>
    <row r="1521" spans="2:2 2461:2840 3368:3368 4280:4280">
      <c r="B1521" s="10"/>
      <c r="CPQ1521" s="8" t="s">
        <v>673</v>
      </c>
    </row>
    <row r="1522" spans="2:2 2461:2840 3368:3368 4280:4280">
      <c r="B1522" s="10"/>
      <c r="DEF1522" s="8" t="s">
        <v>674</v>
      </c>
    </row>
    <row r="1523" spans="2:2 2461:2840 3368:3368 4280:4280">
      <c r="B1523" s="10"/>
      <c r="DYN1523" s="8" t="s">
        <v>675</v>
      </c>
    </row>
    <row r="1524" spans="2:2 2461:2840 3368:3368 4280:4280">
      <c r="B1524" s="10"/>
      <c r="FHP1524" s="8" t="s">
        <v>676</v>
      </c>
    </row>
    <row r="1525" spans="2:2 2461:2840 3368:3368 4280:4280">
      <c r="B1525" s="10"/>
    </row>
    <row r="1526" spans="2:2 2461:2840 3368:3368 4280:4280">
      <c r="B1526" s="10"/>
    </row>
    <row r="1527" spans="2:2 2461:2840 3368:3368 4280:4280">
      <c r="B1527" s="10"/>
    </row>
    <row r="1528" spans="2:2 2461:2840 3368:3368 4280:4280">
      <c r="B1528" s="10"/>
    </row>
    <row r="1529" spans="2:2 2461:2840 3368:3368 4280:4280">
      <c r="B1529" s="10"/>
    </row>
    <row r="1530" spans="2:2 2461:2840 3368:3368 4280:4280">
      <c r="B1530" s="10"/>
    </row>
    <row r="1531" spans="2:2 2461:2840 3368:3368 4280:4280">
      <c r="B1531" s="10"/>
    </row>
    <row r="1532" spans="2:2 2461:2840 3368:3368 4280:4280">
      <c r="B1532" s="10"/>
    </row>
    <row r="1533" spans="2:2 2461:2840 3368:3368 4280:4280">
      <c r="B1533" s="10"/>
    </row>
    <row r="1534" spans="2:2 2461:2840 3368:3368 4280:4280">
      <c r="B1534" s="10"/>
    </row>
    <row r="1535" spans="2:2 2461:2840 3368:3368 4280:4280">
      <c r="B1535" s="10"/>
    </row>
    <row r="1536" spans="2:2 2461:2840 3368:3368 4280:4280">
      <c r="B1536" s="10"/>
    </row>
    <row r="1537" spans="2:2 1352:1784 2120:2648 3752:4040">
      <c r="B1537" s="10"/>
    </row>
    <row r="1538" spans="2:2 1352:1784 2120:2648 3752:4040">
      <c r="B1538" s="10"/>
    </row>
    <row r="1539" spans="2:2 1352:1784 2120:2648 3752:4040">
      <c r="B1539" s="10"/>
    </row>
    <row r="1540" spans="2:2 1352:1784 2120:2648 3752:4040">
      <c r="B1540" s="10"/>
    </row>
    <row r="1541" spans="2:2 1352:1784 2120:2648 3752:4040">
      <c r="B1541" s="10"/>
    </row>
    <row r="1542" spans="2:2 1352:1784 2120:2648 3752:4040">
      <c r="B1542" s="10"/>
    </row>
    <row r="1543" spans="2:2 1352:1784 2120:2648 3752:4040">
      <c r="B1543" s="10"/>
    </row>
    <row r="1544" spans="2:2 1352:1784 2120:2648 3752:4040">
      <c r="B1544" s="10"/>
    </row>
    <row r="1545" spans="2:2 1352:1784 2120:2648 3752:4040">
      <c r="B1545" s="10"/>
    </row>
    <row r="1546" spans="2:2 1352:1784 2120:2648 3752:4040">
      <c r="B1546" s="10"/>
      <c r="AYZ1546" s="8" t="s">
        <v>672</v>
      </c>
      <c r="BAV1546" s="8" t="s">
        <v>672</v>
      </c>
    </row>
    <row r="1547" spans="2:2 1352:1784 2120:2648 3752:4040">
      <c r="B1547" s="10"/>
      <c r="BEN1547" s="8" t="s">
        <v>2372</v>
      </c>
      <c r="BGJ1547" s="8" t="s">
        <v>1944</v>
      </c>
      <c r="BKB1547" s="8" t="s">
        <v>673</v>
      </c>
      <c r="BLX1547" s="8" t="s">
        <v>673</v>
      </c>
      <c r="BNT1547" s="8" t="s">
        <v>673</v>
      </c>
      <c r="BPP1547" s="8" t="s">
        <v>673</v>
      </c>
    </row>
    <row r="1548" spans="2:2 1352:1784 2120:2648 3752:4040">
      <c r="B1548" s="10"/>
      <c r="CCN1548" s="8" t="s">
        <v>2373</v>
      </c>
      <c r="CEJ1548" s="8" t="s">
        <v>1945</v>
      </c>
      <c r="CIB1548" s="8" t="s">
        <v>1543</v>
      </c>
      <c r="CJX1548" s="8" t="s">
        <v>1543</v>
      </c>
      <c r="CLT1548" s="8" t="s">
        <v>1543</v>
      </c>
      <c r="CNP1548" s="8" t="s">
        <v>1543</v>
      </c>
    </row>
    <row r="1549" spans="2:2 1352:1784 2120:2648 3752:4040">
      <c r="B1549" s="10"/>
      <c r="BDP1549" s="8" t="s">
        <v>694</v>
      </c>
      <c r="CJX1549" s="8" t="s">
        <v>2374</v>
      </c>
      <c r="CLT1549" s="8" t="s">
        <v>1946</v>
      </c>
      <c r="CPL1549" s="8" t="s">
        <v>675</v>
      </c>
      <c r="CRH1549" s="8" t="s">
        <v>675</v>
      </c>
      <c r="CTD1549" s="8" t="s">
        <v>675</v>
      </c>
      <c r="CUZ1549" s="8" t="s">
        <v>675</v>
      </c>
    </row>
    <row r="1550" spans="2:2 1352:1784 2120:2648 3752:4040">
      <c r="B1550" s="10"/>
      <c r="CNU1550" s="8" t="s">
        <v>695</v>
      </c>
      <c r="ENH1550" s="8" t="s">
        <v>2375</v>
      </c>
      <c r="EPD1550" s="8" t="s">
        <v>1947</v>
      </c>
      <c r="ESV1550" s="8" t="s">
        <v>677</v>
      </c>
      <c r="EUR1550" s="8" t="s">
        <v>677</v>
      </c>
      <c r="EWN1550" s="8" t="s">
        <v>677</v>
      </c>
      <c r="EYJ1550" s="8" t="s">
        <v>677</v>
      </c>
    </row>
    <row r="1551" spans="2:2 1352:1784 2120:2648 3752:4040">
      <c r="B1551" s="10"/>
      <c r="CTD1551" s="8" t="s">
        <v>696</v>
      </c>
    </row>
    <row r="1552" spans="2:2 1352:1784 2120:2648 3752:4040">
      <c r="B1552" s="10"/>
      <c r="CWV1552" s="8" t="s">
        <v>697</v>
      </c>
    </row>
    <row r="1553" spans="2:2 1355:1640 2269:2888 5691:5720">
      <c r="B1553" s="10"/>
      <c r="DGB1553" s="8" t="s">
        <v>698</v>
      </c>
    </row>
    <row r="1554" spans="2:2 1355:1640 2269:2888 5691:5720">
      <c r="B1554" s="10"/>
    </row>
    <row r="1555" spans="2:2 1355:1640 2269:2888 5691:5720">
      <c r="B1555" s="10"/>
    </row>
    <row r="1556" spans="2:2 1355:1640 2269:2888 5691:5720">
      <c r="B1556" s="10"/>
    </row>
    <row r="1557" spans="2:2 1355:1640 2269:2888 5691:5720">
      <c r="B1557" s="10"/>
    </row>
    <row r="1558" spans="2:2 1355:1640 2269:2888 5691:5720">
      <c r="B1558" s="10"/>
    </row>
    <row r="1559" spans="2:2 1355:1640 2269:2888 5691:5720">
      <c r="B1559" s="10"/>
    </row>
    <row r="1560" spans="2:2 1355:1640 2269:2888 5691:5720">
      <c r="B1560" s="10"/>
    </row>
    <row r="1561" spans="2:2 1355:1640 2269:2888 5691:5720">
      <c r="B1561" s="10"/>
    </row>
    <row r="1562" spans="2:2 1355:1640 2269:2888 5691:5720">
      <c r="B1562" s="10"/>
    </row>
    <row r="1563" spans="2:2 1355:1640 2269:2888 5691:5720">
      <c r="B1563" s="10"/>
      <c r="BBT1563" s="8" t="s">
        <v>1339</v>
      </c>
      <c r="BDP1563" s="8" t="s">
        <v>1339</v>
      </c>
    </row>
    <row r="1564" spans="2:2 1355:1640 2269:2888 5691:5720">
      <c r="B1564" s="10"/>
      <c r="BDP1564" s="8" t="s">
        <v>695</v>
      </c>
      <c r="CLY1564" s="8" t="s">
        <v>1340</v>
      </c>
      <c r="CNU1564" s="8" t="s">
        <v>1340</v>
      </c>
    </row>
    <row r="1565" spans="2:2 1355:1640 2269:2888 5691:5720">
      <c r="B1565" s="10"/>
      <c r="CIG1565" s="8" t="s">
        <v>696</v>
      </c>
      <c r="CKC1565" s="8" t="s">
        <v>1341</v>
      </c>
      <c r="CLM1565" s="8" t="s">
        <v>696</v>
      </c>
      <c r="CNU1565" s="8" t="s">
        <v>696</v>
      </c>
      <c r="CRH1565" s="8" t="s">
        <v>1341</v>
      </c>
      <c r="CTD1565" s="8" t="s">
        <v>1341</v>
      </c>
    </row>
    <row r="1566" spans="2:2 1355:1640 2269:2888 5691:5720">
      <c r="B1566" s="10"/>
      <c r="BEM1566" s="8" t="s">
        <v>679</v>
      </c>
      <c r="CNP1566" s="8" t="s">
        <v>697</v>
      </c>
      <c r="CPA1566" s="8" t="s">
        <v>697</v>
      </c>
      <c r="CPL1566" s="8" t="s">
        <v>1342</v>
      </c>
      <c r="CTD1566" s="8" t="s">
        <v>697</v>
      </c>
      <c r="CUZ1566" s="8" t="s">
        <v>1342</v>
      </c>
      <c r="CWV1566" s="8" t="s">
        <v>1342</v>
      </c>
    </row>
    <row r="1567" spans="2:2 1355:1640 2269:2888 5691:5720">
      <c r="B1567" s="10"/>
      <c r="AZC1567" s="8" t="s">
        <v>700</v>
      </c>
      <c r="BIB1567" s="8" t="s">
        <v>680</v>
      </c>
      <c r="CNP1567" s="8" t="s">
        <v>1343</v>
      </c>
      <c r="COA1567" s="8" t="s">
        <v>698</v>
      </c>
      <c r="CRH1567" s="8" t="s">
        <v>698</v>
      </c>
      <c r="CWV1567" s="8" t="s">
        <v>698</v>
      </c>
      <c r="DEF1567" s="8" t="s">
        <v>1343</v>
      </c>
      <c r="DGB1567" s="8" t="s">
        <v>1343</v>
      </c>
    </row>
    <row r="1568" spans="2:2 1355:1640 2269:2888 5691:5720">
      <c r="B1568" s="10"/>
      <c r="AZX1568" s="8" t="s">
        <v>699</v>
      </c>
      <c r="BAV1568" s="8" t="s">
        <v>699</v>
      </c>
      <c r="BBT1568" s="8" t="s">
        <v>1415</v>
      </c>
      <c r="BIF1568" s="8" t="s">
        <v>681</v>
      </c>
      <c r="BKB1568" s="8" t="s">
        <v>701</v>
      </c>
      <c r="DAN1568" s="8" t="s">
        <v>699</v>
      </c>
      <c r="DGB1568" s="8" t="s">
        <v>699</v>
      </c>
      <c r="HJW1568" s="8" t="s">
        <v>699</v>
      </c>
      <c r="HKZ1568" s="8" t="s">
        <v>1415</v>
      </c>
    </row>
    <row r="1569" spans="2:2 1352:2039 2072:2648 3608:3848">
      <c r="B1569" s="10"/>
      <c r="BPP1569" s="8" t="s">
        <v>702</v>
      </c>
    </row>
    <row r="1570" spans="2:2 1352:2039 2072:2648 3608:3848">
      <c r="B1570" s="10"/>
      <c r="BUC1570" s="8" t="s">
        <v>703</v>
      </c>
      <c r="BWZ1570" s="8" t="s">
        <v>683</v>
      </c>
    </row>
    <row r="1571" spans="2:2 1352:2039 2072:2648 3608:3848">
      <c r="B1571" s="10"/>
      <c r="BWZ1571" s="8" t="s">
        <v>704</v>
      </c>
      <c r="CCF1571" s="8" t="s">
        <v>684</v>
      </c>
    </row>
    <row r="1572" spans="2:2 1352:2039 2072:2648 3608:3848">
      <c r="B1572" s="10"/>
      <c r="AYZ1572" s="8" t="s">
        <v>659</v>
      </c>
      <c r="CCN1572" s="8" t="s">
        <v>685</v>
      </c>
      <c r="CEJ1572" s="8" t="s">
        <v>705</v>
      </c>
    </row>
    <row r="1573" spans="2:2 1352:2039 2072:2648 3608:3848">
      <c r="B1573" s="10"/>
      <c r="BFN1573" s="8" t="s">
        <v>660</v>
      </c>
      <c r="BHJ1573" s="8" t="s">
        <v>660</v>
      </c>
      <c r="CIB1573" s="8" t="s">
        <v>686</v>
      </c>
      <c r="CTE1573" s="8" t="s">
        <v>706</v>
      </c>
    </row>
    <row r="1574" spans="2:2 1352:2039 2072:2648 3608:3848">
      <c r="B1574" s="10"/>
      <c r="BLQ1574" s="8" t="s">
        <v>661</v>
      </c>
      <c r="BNM1574" s="8" t="s">
        <v>661</v>
      </c>
      <c r="CLT1574" s="8" t="s">
        <v>687</v>
      </c>
    </row>
    <row r="1575" spans="2:2 1352:2039 2072:2648 3608:3848">
      <c r="B1575" s="10"/>
      <c r="BLX1575" s="8" t="s">
        <v>662</v>
      </c>
      <c r="BNT1575" s="8" t="s">
        <v>662</v>
      </c>
      <c r="CTD1575" s="8" t="s">
        <v>688</v>
      </c>
    </row>
    <row r="1576" spans="2:2 1352:2039 2072:2648 3608:3848">
      <c r="B1576" s="10"/>
      <c r="BNT1576" s="8" t="s">
        <v>1487</v>
      </c>
      <c r="BPP1576" s="8" t="s">
        <v>1487</v>
      </c>
      <c r="CUB1576" s="8" t="s">
        <v>689</v>
      </c>
    </row>
    <row r="1577" spans="2:2 1352:2039 2072:2648 3608:3848">
      <c r="B1577" s="10"/>
      <c r="BSB1577" s="8" t="s">
        <v>1488</v>
      </c>
      <c r="BTX1577" s="8" t="s">
        <v>1488</v>
      </c>
      <c r="CWV1577" s="8" t="s">
        <v>690</v>
      </c>
    </row>
    <row r="1578" spans="2:2 1352:2039 2072:2648 3608:3848">
      <c r="B1578" s="10"/>
      <c r="BTH1578" s="8" t="s">
        <v>663</v>
      </c>
      <c r="BVD1578" s="8" t="s">
        <v>663</v>
      </c>
      <c r="EHT1578" s="8" t="s">
        <v>691</v>
      </c>
    </row>
    <row r="1579" spans="2:2 1352:2039 2072:2648 3608:3848">
      <c r="B1579" s="10"/>
      <c r="AYZ1579" s="8" t="s">
        <v>682</v>
      </c>
      <c r="BUZ1579" s="8" t="s">
        <v>664</v>
      </c>
      <c r="BWV1579" s="8" t="s">
        <v>664</v>
      </c>
      <c r="EQZ1579" s="8" t="s">
        <v>692</v>
      </c>
    </row>
    <row r="1580" spans="2:2 1352:2039 2072:2648 3608:3848">
      <c r="B1580" s="10"/>
      <c r="BAV1580" s="8" t="s">
        <v>683</v>
      </c>
      <c r="BCR1580" s="8" t="s">
        <v>683</v>
      </c>
      <c r="BEN1580" s="8" t="s">
        <v>683</v>
      </c>
      <c r="BGJ1580" s="8" t="s">
        <v>683</v>
      </c>
      <c r="BVD1580" s="8" t="s">
        <v>665</v>
      </c>
      <c r="BWZ1580" s="8" t="s">
        <v>665</v>
      </c>
    </row>
    <row r="1581" spans="2:2 1352:2039 2072:2648 3608:3848">
      <c r="B1581" s="10"/>
      <c r="AYZ1581" s="8" t="s">
        <v>678</v>
      </c>
      <c r="BAV1581" s="8" t="s">
        <v>678</v>
      </c>
      <c r="BCR1581" s="8" t="s">
        <v>678</v>
      </c>
      <c r="BEN1581" s="8" t="s">
        <v>678</v>
      </c>
      <c r="BYV1581" s="8" t="s">
        <v>666</v>
      </c>
      <c r="CAR1581" s="8" t="s">
        <v>666</v>
      </c>
    </row>
    <row r="1582" spans="2:2 1352:2039 2072:2648 3608:3848">
      <c r="B1582" s="10"/>
      <c r="BCR1582" s="8" t="s">
        <v>2376</v>
      </c>
      <c r="BEN1582" s="8" t="s">
        <v>1948</v>
      </c>
      <c r="BIF1582" s="8" t="s">
        <v>684</v>
      </c>
      <c r="BKB1582" s="8" t="s">
        <v>684</v>
      </c>
      <c r="BLX1582" s="8" t="s">
        <v>684</v>
      </c>
      <c r="BNT1582" s="8" t="s">
        <v>684</v>
      </c>
      <c r="BZK1582" s="8" t="s">
        <v>667</v>
      </c>
      <c r="CBG1582" s="8" t="s">
        <v>667</v>
      </c>
    </row>
    <row r="1583" spans="2:2 1352:2039 2072:2648 3608:3848">
      <c r="B1583" s="10"/>
      <c r="AZC1583" s="8" t="s">
        <v>1344</v>
      </c>
      <c r="BHX1583" s="8" t="s">
        <v>2377</v>
      </c>
      <c r="BJT1583" s="8" t="s">
        <v>1949</v>
      </c>
      <c r="BNL1583" s="8" t="s">
        <v>685</v>
      </c>
      <c r="BPH1583" s="8" t="s">
        <v>685</v>
      </c>
      <c r="BRD1583" s="8" t="s">
        <v>685</v>
      </c>
      <c r="BSZ1583" s="8" t="s">
        <v>685</v>
      </c>
      <c r="CCN1583" s="8" t="s">
        <v>1489</v>
      </c>
      <c r="CEJ1583" s="8" t="s">
        <v>1489</v>
      </c>
    </row>
    <row r="1584" spans="2:2 1352:2039 2072:2648 3608:3848">
      <c r="B1584" s="10"/>
      <c r="AZC1584" s="8" t="s">
        <v>701</v>
      </c>
      <c r="BIF1584" s="8" t="s">
        <v>2378</v>
      </c>
      <c r="BKB1584" s="8" t="s">
        <v>1950</v>
      </c>
      <c r="BNT1584" s="8" t="s">
        <v>686</v>
      </c>
      <c r="BPP1584" s="8" t="s">
        <v>686</v>
      </c>
      <c r="BRL1584" s="8" t="s">
        <v>686</v>
      </c>
      <c r="BTH1584" s="8" t="s">
        <v>686</v>
      </c>
      <c r="CUZ1584" s="8" t="s">
        <v>808</v>
      </c>
      <c r="CWV1584" s="8" t="s">
        <v>808</v>
      </c>
    </row>
    <row r="1585" spans="2:2 1352:2048 2072:2553 3080:3608 5148:5193">
      <c r="B1585" s="10"/>
      <c r="AYZ1585" s="8" t="s">
        <v>1345</v>
      </c>
      <c r="BEN1585" s="8" t="s">
        <v>702</v>
      </c>
      <c r="BKB1585" s="8" t="s">
        <v>702</v>
      </c>
      <c r="BNT1585" s="8" t="s">
        <v>2379</v>
      </c>
      <c r="BPP1585" s="8" t="s">
        <v>1951</v>
      </c>
      <c r="BSG1585" s="8" t="s">
        <v>1345</v>
      </c>
      <c r="BTH1585" s="8" t="s">
        <v>687</v>
      </c>
      <c r="BUC1585" s="8" t="s">
        <v>1345</v>
      </c>
      <c r="BVD1585" s="8" t="s">
        <v>687</v>
      </c>
      <c r="BWZ1585" s="8" t="s">
        <v>687</v>
      </c>
      <c r="BYV1585" s="8" t="s">
        <v>687</v>
      </c>
      <c r="DXX1585" s="8" t="s">
        <v>668</v>
      </c>
      <c r="DZT1585" s="8" t="s">
        <v>668</v>
      </c>
    </row>
    <row r="1586" spans="2:2 1352:2048 2072:2553 3080:3608 5148:5193">
      <c r="B1586" s="10"/>
      <c r="BOO1586" s="8" t="s">
        <v>704</v>
      </c>
      <c r="BPP1586" s="8" t="s">
        <v>2380</v>
      </c>
      <c r="BRL1586" s="8" t="s">
        <v>1952</v>
      </c>
      <c r="BUC1586" s="8" t="s">
        <v>1346</v>
      </c>
      <c r="BUG1586" s="8" t="s">
        <v>704</v>
      </c>
      <c r="BVD1586" s="8" t="s">
        <v>1544</v>
      </c>
      <c r="BWZ1586" s="8" t="s">
        <v>1544</v>
      </c>
      <c r="BYV1586" s="8" t="s">
        <v>1544</v>
      </c>
      <c r="CAR1586" s="8" t="s">
        <v>1544</v>
      </c>
      <c r="DYN1586" s="8" t="s">
        <v>669</v>
      </c>
      <c r="EAJ1586" s="8" t="s">
        <v>669</v>
      </c>
    </row>
    <row r="1587" spans="2:2 1352:2048 2072:2553 3080:3608 5148:5193">
      <c r="B1587" s="10"/>
      <c r="BPP1587" s="8" t="s">
        <v>1347</v>
      </c>
      <c r="BRL1587" s="8" t="s">
        <v>2381</v>
      </c>
      <c r="BTH1587" s="8" t="s">
        <v>1953</v>
      </c>
      <c r="BWZ1587" s="8" t="s">
        <v>688</v>
      </c>
      <c r="BYV1587" s="8" t="s">
        <v>688</v>
      </c>
      <c r="CAR1587" s="8" t="s">
        <v>688</v>
      </c>
      <c r="CCN1587" s="8" t="s">
        <v>688</v>
      </c>
      <c r="CEJ1587" s="8" t="s">
        <v>1347</v>
      </c>
    </row>
    <row r="1588" spans="2:2 1352:2048 2072:2553 3080:3608 5148:5193">
      <c r="B1588" s="10"/>
      <c r="BNT1588" s="8" t="s">
        <v>1348</v>
      </c>
      <c r="BOP1588" s="8" t="s">
        <v>706</v>
      </c>
      <c r="BYV1588" s="8" t="s">
        <v>2382</v>
      </c>
      <c r="CAR1588" s="8" t="s">
        <v>1954</v>
      </c>
      <c r="CEJ1588" s="8" t="s">
        <v>689</v>
      </c>
      <c r="CGF1588" s="8" t="s">
        <v>689</v>
      </c>
      <c r="CIB1588" s="8" t="s">
        <v>689</v>
      </c>
      <c r="CJX1588" s="8" t="s">
        <v>689</v>
      </c>
      <c r="CRI1588" s="8" t="s">
        <v>1348</v>
      </c>
      <c r="CTE1588" s="8" t="s">
        <v>1348</v>
      </c>
    </row>
    <row r="1589" spans="2:2 1352:2048 2072:2553 3080:3608 5148:5193">
      <c r="B1589" s="10"/>
      <c r="BZT1589" s="8" t="s">
        <v>2383</v>
      </c>
      <c r="CBP1589" s="8" t="s">
        <v>1955</v>
      </c>
      <c r="CFH1589" s="8" t="s">
        <v>690</v>
      </c>
      <c r="CHD1589" s="8" t="s">
        <v>690</v>
      </c>
      <c r="CIZ1589" s="8" t="s">
        <v>690</v>
      </c>
      <c r="CKV1589" s="8" t="s">
        <v>690</v>
      </c>
      <c r="CNQ1589" s="8" t="s">
        <v>707</v>
      </c>
      <c r="CTE1589" s="8" t="s">
        <v>707</v>
      </c>
      <c r="GOZ1589" s="8" t="s">
        <v>707</v>
      </c>
      <c r="GQS1589" s="8" t="s">
        <v>1416</v>
      </c>
    </row>
    <row r="1590" spans="2:2 1352:2048 2072:2553 3080:3608 5148:5193">
      <c r="B1590" s="10"/>
      <c r="CCN1590" s="8" t="s">
        <v>2384</v>
      </c>
      <c r="CEJ1590" s="8" t="s">
        <v>1956</v>
      </c>
      <c r="CIB1590" s="8" t="s">
        <v>691</v>
      </c>
      <c r="CJX1590" s="8" t="s">
        <v>691</v>
      </c>
      <c r="CLT1590" s="8" t="s">
        <v>691</v>
      </c>
      <c r="CNP1590" s="8" t="s">
        <v>691</v>
      </c>
    </row>
    <row r="1591" spans="2:2 1352:2048 2072:2553 3080:3608 5148:5193">
      <c r="B1591" s="10"/>
      <c r="DNL1591" s="8" t="s">
        <v>2385</v>
      </c>
      <c r="DPH1591" s="8" t="s">
        <v>1957</v>
      </c>
      <c r="DSZ1591" s="8" t="s">
        <v>692</v>
      </c>
      <c r="DUV1591" s="8" t="s">
        <v>692</v>
      </c>
      <c r="DWR1591" s="8" t="s">
        <v>692</v>
      </c>
      <c r="DYN1591" s="8" t="s">
        <v>692</v>
      </c>
    </row>
    <row r="1592" spans="2:2 1352:2048 2072:2553 3080:3608 5148:5193">
      <c r="B1592" s="10"/>
      <c r="DSK1592" s="8" t="s">
        <v>2386</v>
      </c>
      <c r="DUG1592" s="8" t="s">
        <v>1958</v>
      </c>
      <c r="DXY1592" s="8" t="s">
        <v>809</v>
      </c>
      <c r="DZU1592" s="8" t="s">
        <v>809</v>
      </c>
      <c r="EBQ1592" s="8" t="s">
        <v>809</v>
      </c>
      <c r="EDM1592" s="8" t="s">
        <v>809</v>
      </c>
    </row>
    <row r="1593" spans="2:2 1352:2048 2072:2553 3080:3608 5148:5193">
      <c r="B1593" s="10"/>
      <c r="DWR1593" s="8" t="s">
        <v>2387</v>
      </c>
      <c r="DYN1593" s="8" t="s">
        <v>1959</v>
      </c>
      <c r="ECF1593" s="8" t="s">
        <v>693</v>
      </c>
      <c r="EEB1593" s="8" t="s">
        <v>693</v>
      </c>
      <c r="EFX1593" s="8" t="s">
        <v>693</v>
      </c>
      <c r="EHT1593" s="8" t="s">
        <v>693</v>
      </c>
    </row>
    <row r="1594" spans="2:2 1352:2048 2072:2553 3080:3608 5148:5193">
      <c r="B1594" s="10"/>
    </row>
    <row r="1595" spans="2:2 1352:2048 2072:2553 3080:3608 5148:5193">
      <c r="B1595" s="10"/>
    </row>
    <row r="1596" spans="2:2 1352:2048 2072:2553 3080:3608 5148:5193">
      <c r="B1596" s="10"/>
    </row>
    <row r="1597" spans="2:2 1352:2048 2072:2553 3080:3608 5148:5193">
      <c r="B1597" s="10"/>
    </row>
    <row r="1598" spans="2:2 1352:2048 2072:2553 3080:3608 5148:5193">
      <c r="B1598" s="10"/>
    </row>
    <row r="1599" spans="2:2 1352:2048 2072:2553 3080:3608 5148:5193">
      <c r="B1599" s="10"/>
    </row>
    <row r="1600" spans="2:2 1352:2048 2072:2553 3080:3608 5148:5193">
      <c r="B1600" s="10"/>
    </row>
    <row r="1601" spans="2:2 1400:2024 2168:2889 3368:3368">
      <c r="B1601" s="10"/>
    </row>
    <row r="1602" spans="2:2 1400:2024 2168:2889 3368:3368">
      <c r="B1602" s="10"/>
    </row>
    <row r="1603" spans="2:2 1400:2024 2168:2889 3368:3368">
      <c r="B1603" s="10"/>
    </row>
    <row r="1604" spans="2:2 1400:2024 2168:2889 3368:3368">
      <c r="B1604" s="10"/>
    </row>
    <row r="1605" spans="2:2 1400:2024 2168:2889 3368:3368">
      <c r="B1605" s="10"/>
    </row>
    <row r="1606" spans="2:2 1400:2024 2168:2889 3368:3368">
      <c r="B1606" s="10"/>
      <c r="BLX1606" s="8" t="s">
        <v>708</v>
      </c>
    </row>
    <row r="1607" spans="2:2 1400:2024 2168:2889 3368:3368">
      <c r="B1607" s="10"/>
      <c r="BYV1607" s="8" t="s">
        <v>709</v>
      </c>
    </row>
    <row r="1608" spans="2:2 1400:2024 2168:2889 3368:3368">
      <c r="B1608" s="10"/>
      <c r="CEJ1608" s="8" t="s">
        <v>710</v>
      </c>
    </row>
    <row r="1609" spans="2:2 1400:2024 2168:2889 3368:3368">
      <c r="B1609" s="10"/>
      <c r="DGC1609" s="8" t="s">
        <v>711</v>
      </c>
    </row>
    <row r="1610" spans="2:2 1400:2024 2168:2889 3368:3368">
      <c r="B1610" s="10"/>
      <c r="DYN1610" s="8" t="s">
        <v>712</v>
      </c>
    </row>
    <row r="1611" spans="2:2 1400:2024 2168:2889 3368:3368">
      <c r="B1611" s="10"/>
    </row>
    <row r="1612" spans="2:2 1400:2024 2168:2889 3368:3368">
      <c r="B1612" s="10"/>
    </row>
    <row r="1613" spans="2:2 1400:2024 2168:2889 3368:3368">
      <c r="B1613" s="10"/>
    </row>
    <row r="1614" spans="2:2 1400:2024 2168:2889 3368:3368">
      <c r="B1614" s="10"/>
    </row>
    <row r="1615" spans="2:2 1400:2024 2168:2889 3368:3368">
      <c r="B1615" s="10"/>
    </row>
    <row r="1616" spans="2:2 1400:2024 2168:2889 3368:3368">
      <c r="B1616" s="10"/>
      <c r="BAV1616" s="8" t="s">
        <v>672</v>
      </c>
      <c r="BCR1616" s="8" t="s">
        <v>672</v>
      </c>
    </row>
    <row r="1617" spans="2:2 1352:2024 2120:2889 3224:4088 6177:6200">
      <c r="B1617" s="10"/>
      <c r="BCG1617" s="8" t="s">
        <v>714</v>
      </c>
      <c r="BPP1617" s="8" t="s">
        <v>673</v>
      </c>
      <c r="BRL1617" s="8" t="s">
        <v>673</v>
      </c>
    </row>
    <row r="1618" spans="2:2 1352:2024 2120:2889 3224:4088 6177:6200">
      <c r="B1618" s="10"/>
      <c r="BHH1618" s="8" t="s">
        <v>715</v>
      </c>
      <c r="CUZ1618" s="8" t="s">
        <v>675</v>
      </c>
      <c r="CWV1618" s="8" t="s">
        <v>675</v>
      </c>
    </row>
    <row r="1619" spans="2:2 1352:2024 2120:2889 3224:4088 6177:6200">
      <c r="B1619" s="10"/>
      <c r="BKK1619" s="8" t="s">
        <v>716</v>
      </c>
      <c r="EYJ1619" s="8" t="s">
        <v>677</v>
      </c>
      <c r="FAF1619" s="8" t="s">
        <v>677</v>
      </c>
    </row>
    <row r="1620" spans="2:2 1352:2024 2120:2889 3224:4088 6177:6200">
      <c r="B1620" s="10"/>
      <c r="BJK1620" s="8" t="s">
        <v>717</v>
      </c>
    </row>
    <row r="1621" spans="2:2 1352:2024 2120:2889 3224:4088 6177:6200">
      <c r="B1621" s="10"/>
      <c r="BJP1621" s="8" t="s">
        <v>718</v>
      </c>
    </row>
    <row r="1622" spans="2:2 1352:2024 2120:2889 3224:4088 6177:6200">
      <c r="B1622" s="10"/>
      <c r="BKB1622" s="8" t="s">
        <v>1349</v>
      </c>
      <c r="BLX1622" s="8" t="s">
        <v>1349</v>
      </c>
      <c r="BNS1622" s="8" t="s">
        <v>719</v>
      </c>
    </row>
    <row r="1623" spans="2:2 1352:2024 2120:2889 3224:4088 6177:6200">
      <c r="B1623" s="10"/>
      <c r="AYZ1623" s="8" t="s">
        <v>1350</v>
      </c>
      <c r="BGJ1623" s="8" t="s">
        <v>709</v>
      </c>
      <c r="BLX1623" s="8" t="s">
        <v>709</v>
      </c>
      <c r="BPT1623" s="8" t="s">
        <v>720</v>
      </c>
      <c r="BWZ1623" s="8" t="s">
        <v>1350</v>
      </c>
      <c r="BYV1623" s="8" t="s">
        <v>1350</v>
      </c>
    </row>
    <row r="1624" spans="2:2 1352:2024 2120:2889 3224:4088 6177:6200">
      <c r="B1624" s="10"/>
      <c r="BTH1624" s="8" t="s">
        <v>710</v>
      </c>
      <c r="BTL1624" s="8" t="s">
        <v>710</v>
      </c>
      <c r="BTW1624" s="8" t="s">
        <v>721</v>
      </c>
      <c r="BYV1624" s="8" t="s">
        <v>710</v>
      </c>
      <c r="CCN1624" s="8" t="s">
        <v>1351</v>
      </c>
      <c r="CEJ1624" s="8" t="s">
        <v>1351</v>
      </c>
    </row>
    <row r="1625" spans="2:2 1352:2024 2120:2889 3224:4088 6177:6200">
      <c r="B1625" s="10"/>
      <c r="BCR1625" s="8" t="s">
        <v>1352</v>
      </c>
      <c r="BCS1625" s="8" t="s">
        <v>711</v>
      </c>
      <c r="BSZ1625" s="8" t="s">
        <v>722</v>
      </c>
      <c r="BYV1625" s="8" t="s">
        <v>711</v>
      </c>
      <c r="CEJ1625" s="8" t="s">
        <v>711</v>
      </c>
      <c r="DEG1625" s="8" t="s">
        <v>1352</v>
      </c>
      <c r="DGC1625" s="8" t="s">
        <v>1352</v>
      </c>
    </row>
    <row r="1626" spans="2:2 1352:2024 2120:2889 3224:4088 6177:6200">
      <c r="B1626" s="10"/>
      <c r="AZX1626" s="8" t="s">
        <v>712</v>
      </c>
      <c r="BAV1626" s="8" t="s">
        <v>712</v>
      </c>
      <c r="BBT1626" s="8" t="s">
        <v>1353</v>
      </c>
      <c r="BXY1626" s="8" t="s">
        <v>723</v>
      </c>
      <c r="CNP1626" s="8" t="s">
        <v>712</v>
      </c>
      <c r="CNQ1626" s="8" t="s">
        <v>1353</v>
      </c>
      <c r="DAO1626" s="8" t="s">
        <v>712</v>
      </c>
      <c r="DGC1626" s="8" t="s">
        <v>712</v>
      </c>
      <c r="DWR1626" s="8" t="s">
        <v>1353</v>
      </c>
      <c r="DYN1626" s="8" t="s">
        <v>1353</v>
      </c>
    </row>
    <row r="1627" spans="2:2 1352:2024 2120:2889 3224:4088 6177:6200">
      <c r="B1627" s="10"/>
      <c r="BJD1627" s="8" t="s">
        <v>713</v>
      </c>
      <c r="BKB1627" s="8" t="s">
        <v>713</v>
      </c>
      <c r="BKZ1627" s="8" t="s">
        <v>1417</v>
      </c>
      <c r="CGG1627" s="8" t="s">
        <v>724</v>
      </c>
      <c r="DSZ1627" s="8" t="s">
        <v>713</v>
      </c>
      <c r="DYN1627" s="8" t="s">
        <v>713</v>
      </c>
      <c r="ICO1627" s="8" t="s">
        <v>713</v>
      </c>
      <c r="IDL1627" s="8" t="s">
        <v>1417</v>
      </c>
    </row>
    <row r="1628" spans="2:2 1352:2024 2120:2889 3224:4088 6177:6200">
      <c r="B1628" s="10"/>
      <c r="COM1628" s="8" t="s">
        <v>725</v>
      </c>
    </row>
    <row r="1629" spans="2:2 1352:2024 2120:2889 3224:4088 6177:6200">
      <c r="B1629" s="10"/>
      <c r="CQN1629" s="8" t="s">
        <v>726</v>
      </c>
    </row>
    <row r="1630" spans="2:2 1352:2024 2120:2889 3224:4088 6177:6200">
      <c r="B1630" s="10"/>
      <c r="BDP1630" s="8" t="s">
        <v>694</v>
      </c>
      <c r="CUQ1630" s="8" t="s">
        <v>727</v>
      </c>
    </row>
    <row r="1631" spans="2:2 1352:2024 2120:2889 3224:4088 6177:6200">
      <c r="B1631" s="10"/>
      <c r="CNU1631" s="8" t="s">
        <v>695</v>
      </c>
      <c r="CYS1631" s="8" t="s">
        <v>728</v>
      </c>
    </row>
    <row r="1632" spans="2:2 1352:2024 2120:2889 3224:4088 6177:6200">
      <c r="B1632" s="10"/>
      <c r="CTD1632" s="8" t="s">
        <v>696</v>
      </c>
      <c r="DEF1632" s="8" t="s">
        <v>729</v>
      </c>
    </row>
    <row r="1633" spans="2:2 1371:2029 2060:2888 3176:3176 4184:4184">
      <c r="B1633" s="10"/>
      <c r="BAK1633" s="8" t="s">
        <v>1354</v>
      </c>
      <c r="BCG1633" s="8" t="s">
        <v>1354</v>
      </c>
      <c r="CWV1633" s="8" t="s">
        <v>697</v>
      </c>
      <c r="DRD1633" s="8" t="s">
        <v>730</v>
      </c>
    </row>
    <row r="1634" spans="2:2 1371:2029 2060:2888 3176:3176 4184:4184">
      <c r="B1634" s="10"/>
      <c r="AZS1634" s="8" t="s">
        <v>715</v>
      </c>
      <c r="BAK1634" s="8" t="s">
        <v>1355</v>
      </c>
      <c r="BCG1634" s="8" t="s">
        <v>715</v>
      </c>
      <c r="BFL1634" s="8" t="s">
        <v>1355</v>
      </c>
      <c r="BHH1634" s="8" t="s">
        <v>1355</v>
      </c>
      <c r="DGB1634" s="8" t="s">
        <v>698</v>
      </c>
      <c r="FDX1634" s="8" t="s">
        <v>731</v>
      </c>
    </row>
    <row r="1635" spans="2:2 1371:2029 2060:2888 3176:3176 4184:4184">
      <c r="B1635" s="10"/>
      <c r="BBT1635" s="8" t="s">
        <v>716</v>
      </c>
      <c r="BDP1635" s="8" t="s">
        <v>1356</v>
      </c>
      <c r="BEB1635" s="8" t="s">
        <v>716</v>
      </c>
      <c r="BHH1635" s="8" t="s">
        <v>716</v>
      </c>
      <c r="BIO1635" s="8" t="s">
        <v>1356</v>
      </c>
      <c r="BKK1635" s="8" t="s">
        <v>1356</v>
      </c>
    </row>
    <row r="1636" spans="2:2 1371:2029 2060:2888 3176:3176 4184:4184">
      <c r="B1636" s="10"/>
      <c r="BEW1636" s="8" t="s">
        <v>717</v>
      </c>
      <c r="BHO1636" s="8" t="s">
        <v>1357</v>
      </c>
      <c r="BJK1636" s="8" t="s">
        <v>1357</v>
      </c>
      <c r="BKK1636" s="8" t="s">
        <v>1357</v>
      </c>
    </row>
    <row r="1637" spans="2:2 1371:2029 2060:2888 3176:3176 4184:4184">
      <c r="B1637" s="10"/>
      <c r="BDW1637" s="8" t="s">
        <v>718</v>
      </c>
      <c r="BHT1637" s="8" t="s">
        <v>1358</v>
      </c>
      <c r="BJK1637" s="8" t="s">
        <v>1358</v>
      </c>
      <c r="BJP1637" s="8" t="s">
        <v>1358</v>
      </c>
    </row>
    <row r="1638" spans="2:2 1371:2029 2060:2888 3176:3176 4184:4184">
      <c r="B1638" s="10"/>
      <c r="BEB1638" s="8" t="s">
        <v>719</v>
      </c>
      <c r="BHT1638" s="8" t="s">
        <v>1359</v>
      </c>
      <c r="BHY1638" s="8" t="s">
        <v>719</v>
      </c>
      <c r="BJP1638" s="8" t="s">
        <v>719</v>
      </c>
      <c r="BLW1638" s="8" t="s">
        <v>1359</v>
      </c>
      <c r="BNS1638" s="8" t="s">
        <v>1359</v>
      </c>
    </row>
    <row r="1639" spans="2:2 1371:2029 2060:2888 3176:3176 4184:4184">
      <c r="B1639" s="10"/>
      <c r="BIE1639" s="8" t="s">
        <v>720</v>
      </c>
      <c r="BKA1639" s="8" t="s">
        <v>1360</v>
      </c>
      <c r="BKK1639" s="8" t="s">
        <v>720</v>
      </c>
      <c r="BNS1639" s="8" t="s">
        <v>720</v>
      </c>
      <c r="BNX1639" s="8" t="s">
        <v>1360</v>
      </c>
      <c r="BPT1639" s="8" t="s">
        <v>1360</v>
      </c>
    </row>
    <row r="1640" spans="2:2 1371:2029 2060:2888 3176:3176 4184:4184">
      <c r="B1640" s="10"/>
      <c r="BKF1640" s="8" t="s">
        <v>721</v>
      </c>
      <c r="BKK1640" s="8" t="s">
        <v>721</v>
      </c>
      <c r="BMB1640" s="8" t="s">
        <v>1361</v>
      </c>
      <c r="BPT1640" s="8" t="s">
        <v>721</v>
      </c>
      <c r="BSA1640" s="8" t="s">
        <v>1361</v>
      </c>
      <c r="BTW1640" s="8" t="s">
        <v>1361</v>
      </c>
    </row>
    <row r="1641" spans="2:2 1371:2029 2060:2888 3176:3176 4184:4184">
      <c r="B1641" s="10"/>
      <c r="BOI1641" s="8" t="s">
        <v>722</v>
      </c>
      <c r="BRD1641" s="8" t="s">
        <v>1362</v>
      </c>
      <c r="BSZ1641" s="8" t="s">
        <v>1362</v>
      </c>
      <c r="BTW1641" s="8" t="s">
        <v>1362</v>
      </c>
      <c r="BVA1641" s="8" t="s">
        <v>722</v>
      </c>
    </row>
    <row r="1642" spans="2:2 1371:2029 2060:2888 3176:3176 4184:4184">
      <c r="B1642" s="10"/>
      <c r="BCR1642" s="8" t="s">
        <v>2388</v>
      </c>
      <c r="BEN1642" s="8" t="s">
        <v>1960</v>
      </c>
      <c r="BIF1642" s="8" t="s">
        <v>1545</v>
      </c>
      <c r="BKB1642" s="8" t="s">
        <v>1545</v>
      </c>
      <c r="BLX1642" s="8" t="s">
        <v>1545</v>
      </c>
      <c r="BNL1642" s="8" t="s">
        <v>723</v>
      </c>
      <c r="BNT1642" s="8" t="s">
        <v>1545</v>
      </c>
      <c r="BON1642" s="8" t="s">
        <v>723</v>
      </c>
      <c r="BPH1642" s="8" t="s">
        <v>1363</v>
      </c>
      <c r="BSZ1642" s="8" t="s">
        <v>723</v>
      </c>
      <c r="BWC1642" s="8" t="s">
        <v>1363</v>
      </c>
      <c r="BXY1642" s="8" t="s">
        <v>1363</v>
      </c>
    </row>
    <row r="1643" spans="2:2 1371:2029 2060:2888 3176:3176 4184:4184">
      <c r="B1643" s="10"/>
      <c r="BQO1643" s="8" t="s">
        <v>1364</v>
      </c>
      <c r="BRM1643" s="8" t="s">
        <v>724</v>
      </c>
      <c r="BSK1643" s="8" t="s">
        <v>724</v>
      </c>
      <c r="BTM1643" s="8" t="s">
        <v>2389</v>
      </c>
      <c r="BVI1643" s="8" t="s">
        <v>1961</v>
      </c>
      <c r="BXY1643" s="8" t="s">
        <v>724</v>
      </c>
      <c r="BZA1643" s="8" t="s">
        <v>696</v>
      </c>
      <c r="CAW1643" s="8" t="s">
        <v>696</v>
      </c>
      <c r="CCS1643" s="8" t="s">
        <v>696</v>
      </c>
      <c r="CEK1643" s="8" t="s">
        <v>1364</v>
      </c>
      <c r="CEO1643" s="8" t="s">
        <v>696</v>
      </c>
      <c r="CGG1643" s="8" t="s">
        <v>1364</v>
      </c>
    </row>
    <row r="1644" spans="2:2 1371:2029 2060:2888 3176:3176 4184:4184">
      <c r="B1644" s="10"/>
      <c r="BWA1644" s="8" t="s">
        <v>725</v>
      </c>
      <c r="BXA1644" s="8" t="s">
        <v>1365</v>
      </c>
      <c r="BYJ1644" s="8" t="s">
        <v>2390</v>
      </c>
      <c r="CAF1644" s="8" t="s">
        <v>1962</v>
      </c>
      <c r="CAS1644" s="8" t="s">
        <v>725</v>
      </c>
      <c r="CDX1644" s="8" t="s">
        <v>1546</v>
      </c>
      <c r="CFT1644" s="8" t="s">
        <v>1546</v>
      </c>
      <c r="CGG1644" s="8" t="s">
        <v>725</v>
      </c>
      <c r="CHP1644" s="8" t="s">
        <v>1546</v>
      </c>
      <c r="CJL1644" s="8" t="s">
        <v>1546</v>
      </c>
      <c r="CMQ1644" s="8" t="s">
        <v>1365</v>
      </c>
      <c r="COM1644" s="8" t="s">
        <v>1365</v>
      </c>
    </row>
    <row r="1645" spans="2:2 1371:2029 2060:2888 3176:3176 4184:4184">
      <c r="B1645" s="10"/>
      <c r="BYV1645" s="8" t="s">
        <v>2391</v>
      </c>
      <c r="CAR1645" s="8" t="s">
        <v>1963</v>
      </c>
      <c r="CEJ1645" s="8" t="s">
        <v>697</v>
      </c>
      <c r="CGF1645" s="8" t="s">
        <v>697</v>
      </c>
      <c r="CIB1645" s="8" t="s">
        <v>697</v>
      </c>
      <c r="CIY1645" s="8" t="s">
        <v>726</v>
      </c>
      <c r="CJX1645" s="8" t="s">
        <v>697</v>
      </c>
      <c r="CKU1645" s="8" t="s">
        <v>1366</v>
      </c>
      <c r="CLE1645" s="8" t="s">
        <v>726</v>
      </c>
      <c r="COM1645" s="8" t="s">
        <v>726</v>
      </c>
      <c r="COR1645" s="8" t="s">
        <v>1366</v>
      </c>
      <c r="CQN1645" s="8" t="s">
        <v>1366</v>
      </c>
    </row>
    <row r="1646" spans="2:2 1371:2029 2060:2888 3176:3176 4184:4184">
      <c r="B1646" s="10"/>
      <c r="CCN1646" s="8" t="s">
        <v>2392</v>
      </c>
      <c r="CEJ1646" s="8" t="s">
        <v>1964</v>
      </c>
      <c r="CIB1646" s="8" t="s">
        <v>698</v>
      </c>
      <c r="CJX1646" s="8" t="s">
        <v>698</v>
      </c>
      <c r="CKZ1646" s="8" t="s">
        <v>727</v>
      </c>
      <c r="CLT1646" s="8" t="s">
        <v>698</v>
      </c>
      <c r="CNP1646" s="8" t="s">
        <v>698</v>
      </c>
      <c r="COR1646" s="8" t="s">
        <v>1367</v>
      </c>
      <c r="COW1646" s="8" t="s">
        <v>727</v>
      </c>
      <c r="CQN1646" s="8" t="s">
        <v>727</v>
      </c>
      <c r="CSU1646" s="8" t="s">
        <v>1367</v>
      </c>
      <c r="CUQ1646" s="8" t="s">
        <v>1367</v>
      </c>
    </row>
    <row r="1647" spans="2:2 1371:2029 2060:2888 3176:3176 4184:4184">
      <c r="B1647" s="10"/>
      <c r="CLT1647" s="8" t="s">
        <v>2393</v>
      </c>
      <c r="CNP1647" s="8" t="s">
        <v>1965</v>
      </c>
      <c r="CPC1647" s="8" t="s">
        <v>728</v>
      </c>
      <c r="CQY1647" s="8" t="s">
        <v>1368</v>
      </c>
      <c r="CRH1647" s="8" t="s">
        <v>699</v>
      </c>
      <c r="CRI1647" s="8" t="s">
        <v>728</v>
      </c>
      <c r="CTD1647" s="8" t="s">
        <v>699</v>
      </c>
      <c r="CUQ1647" s="8" t="s">
        <v>728</v>
      </c>
      <c r="CUZ1647" s="8" t="s">
        <v>699</v>
      </c>
      <c r="CWV1647" s="8" t="s">
        <v>699</v>
      </c>
      <c r="CWW1647" s="8" t="s">
        <v>1368</v>
      </c>
      <c r="CYS1647" s="8" t="s">
        <v>1368</v>
      </c>
    </row>
    <row r="1648" spans="2:2 1371:2029 2060:2888 3176:3176 4184:4184">
      <c r="B1648" s="10"/>
      <c r="CRI1648" s="8" t="s">
        <v>1369</v>
      </c>
      <c r="CRM1648" s="8" t="s">
        <v>729</v>
      </c>
      <c r="CTE1648" s="8" t="s">
        <v>729</v>
      </c>
      <c r="CYS1648" s="8" t="s">
        <v>729</v>
      </c>
      <c r="DCJ1648" s="8" t="s">
        <v>1369</v>
      </c>
      <c r="DEF1648" s="8" t="s">
        <v>1369</v>
      </c>
    </row>
    <row r="1649" spans="2:2 1352:2048 2072:3032 3128:4040 4136:4184 8078:8120">
      <c r="B1649" s="10"/>
      <c r="AYZ1649" s="8" t="s">
        <v>730</v>
      </c>
      <c r="AZC1649" s="8" t="s">
        <v>700</v>
      </c>
      <c r="AZX1649" s="8" t="s">
        <v>730</v>
      </c>
      <c r="BAV1649" s="8" t="s">
        <v>1370</v>
      </c>
      <c r="CRH1649" s="8" t="s">
        <v>1370</v>
      </c>
      <c r="CYR1649" s="8" t="s">
        <v>730</v>
      </c>
      <c r="DEF1649" s="8" t="s">
        <v>730</v>
      </c>
      <c r="DPH1649" s="8" t="s">
        <v>1370</v>
      </c>
      <c r="DRD1649" s="8" t="s">
        <v>1370</v>
      </c>
    </row>
    <row r="1650" spans="2:2 1352:2048 2072:3032 3128:4040 4136:4184 8078:8120">
      <c r="B1650" s="10"/>
      <c r="BFL1650" s="8" t="s">
        <v>731</v>
      </c>
      <c r="BGJ1650" s="8" t="s">
        <v>731</v>
      </c>
      <c r="BHH1650" s="8" t="s">
        <v>1371</v>
      </c>
      <c r="BKB1650" s="8" t="s">
        <v>701</v>
      </c>
      <c r="CEJ1650" s="8" t="s">
        <v>1371</v>
      </c>
      <c r="DLP1650" s="8" t="s">
        <v>731</v>
      </c>
      <c r="DRD1650" s="8" t="s">
        <v>731</v>
      </c>
      <c r="FCB1650" s="8" t="s">
        <v>1371</v>
      </c>
      <c r="FDX1650" s="8" t="s">
        <v>1371</v>
      </c>
    </row>
    <row r="1651" spans="2:2 1352:2048 2072:3032 3128:4040 4136:4184 8078:8120">
      <c r="B1651" s="10"/>
      <c r="BPP1651" s="8" t="s">
        <v>702</v>
      </c>
      <c r="BYV1651" s="8" t="s">
        <v>732</v>
      </c>
      <c r="BZT1651" s="8" t="s">
        <v>732</v>
      </c>
      <c r="CAR1651" s="8" t="s">
        <v>1418</v>
      </c>
      <c r="EYJ1651" s="8" t="s">
        <v>732</v>
      </c>
      <c r="FDX1651" s="8" t="s">
        <v>732</v>
      </c>
      <c r="KXR1651" s="8" t="s">
        <v>732</v>
      </c>
      <c r="KZH1651" s="8" t="s">
        <v>1418</v>
      </c>
    </row>
    <row r="1652" spans="2:2 1352:2048 2072:3032 3128:4040 4136:4184 8078:8120">
      <c r="B1652" s="10"/>
      <c r="BUC1652" s="8" t="s">
        <v>703</v>
      </c>
    </row>
    <row r="1653" spans="2:2 1352:2048 2072:3032 3128:4040 4136:4184 8078:8120">
      <c r="B1653" s="10"/>
      <c r="BWZ1653" s="8" t="s">
        <v>704</v>
      </c>
    </row>
    <row r="1654" spans="2:2 1352:2048 2072:3032 3128:4040 4136:4184 8078:8120">
      <c r="B1654" s="10"/>
      <c r="CEJ1654" s="8" t="s">
        <v>705</v>
      </c>
    </row>
    <row r="1655" spans="2:2 1352:2048 2072:3032 3128:4040 4136:4184 8078:8120">
      <c r="B1655" s="10"/>
      <c r="CTE1655" s="8" t="s">
        <v>706</v>
      </c>
    </row>
    <row r="1656" spans="2:2 1352:2048 2072:3032 3128:4040 4136:4184 8078:8120">
      <c r="B1656" s="10"/>
    </row>
    <row r="1657" spans="2:2 1352:2048 2072:3032 3128:4040 4136:4184 8078:8120">
      <c r="B1657" s="10"/>
    </row>
    <row r="1658" spans="2:2 1352:2048 2072:3032 3128:4040 4136:4184 8078:8120">
      <c r="B1658" s="10"/>
      <c r="BAR1658" s="19" t="s">
        <v>681</v>
      </c>
    </row>
    <row r="1659" spans="2:2 1352:2048 2072:3032 3128:4040 4136:4184 8078:8120">
      <c r="B1659" s="10"/>
      <c r="AYZ1659" s="8" t="s">
        <v>682</v>
      </c>
      <c r="BAV1659" s="8" t="s">
        <v>682</v>
      </c>
    </row>
    <row r="1660" spans="2:2 1352:2048 2072:3032 3128:4040 4136:4184 8078:8120">
      <c r="B1660" s="10"/>
      <c r="BGJ1660" s="8" t="s">
        <v>683</v>
      </c>
      <c r="BIF1660" s="8" t="s">
        <v>683</v>
      </c>
    </row>
    <row r="1661" spans="2:2 1352:2048 2072:3032 3128:4040 4136:4184 8078:8120">
      <c r="B1661" s="10"/>
      <c r="BEN1661" s="8" t="s">
        <v>678</v>
      </c>
      <c r="BGJ1661" s="8" t="s">
        <v>678</v>
      </c>
    </row>
    <row r="1662" spans="2:2 1352:2048 2072:3032 3128:4040 4136:4184 8078:8120">
      <c r="B1662" s="10"/>
      <c r="BNT1662" s="8" t="s">
        <v>684</v>
      </c>
      <c r="BPP1662" s="8" t="s">
        <v>684</v>
      </c>
    </row>
    <row r="1663" spans="2:2 1352:2048 2072:3032 3128:4040 4136:4184 8078:8120">
      <c r="B1663" s="10"/>
      <c r="BSZ1663" s="8" t="s">
        <v>685</v>
      </c>
      <c r="BUV1663" s="8" t="s">
        <v>685</v>
      </c>
    </row>
    <row r="1664" spans="2:2 1352:2048 2072:3032 3128:4040 4136:4184 8078:8120">
      <c r="B1664" s="10"/>
      <c r="BTH1664" s="8" t="s">
        <v>686</v>
      </c>
      <c r="BVD1664" s="8" t="s">
        <v>686</v>
      </c>
    </row>
    <row r="1665" spans="2:2 1352:2025 2072:2456 3368:3656">
      <c r="B1665" s="10"/>
      <c r="BYV1665" s="8" t="s">
        <v>687</v>
      </c>
      <c r="CAR1665" s="8" t="s">
        <v>687</v>
      </c>
    </row>
    <row r="1666" spans="2:2 1352:2025 2072:2456 3368:3656">
      <c r="B1666" s="10"/>
      <c r="CCN1666" s="8" t="s">
        <v>688</v>
      </c>
      <c r="CEJ1666" s="8" t="s">
        <v>688</v>
      </c>
    </row>
    <row r="1667" spans="2:2 1352:2025 2072:2456 3368:3656">
      <c r="B1667" s="10"/>
      <c r="CJX1667" s="8" t="s">
        <v>689</v>
      </c>
      <c r="CLT1667" s="8" t="s">
        <v>689</v>
      </c>
    </row>
    <row r="1668" spans="2:2 1352:2025 2072:2456 3368:3656">
      <c r="B1668" s="10"/>
      <c r="CKV1668" s="8" t="s">
        <v>690</v>
      </c>
      <c r="CMR1668" s="8" t="s">
        <v>690</v>
      </c>
    </row>
    <row r="1669" spans="2:2 1352:2025 2072:2456 3368:3656">
      <c r="B1669" s="10"/>
      <c r="CNP1669" s="8" t="s">
        <v>691</v>
      </c>
      <c r="CPL1669" s="8" t="s">
        <v>691</v>
      </c>
    </row>
    <row r="1670" spans="2:2 1352:2025 2072:2456 3368:3656">
      <c r="B1670" s="10"/>
      <c r="DYN1670" s="8" t="s">
        <v>692</v>
      </c>
      <c r="EAJ1670" s="8" t="s">
        <v>692</v>
      </c>
    </row>
    <row r="1671" spans="2:2 1352:2025 2072:2456 3368:3656">
      <c r="B1671" s="10"/>
      <c r="AYZ1671" s="8" t="s">
        <v>702</v>
      </c>
      <c r="BAV1671" s="8" t="s">
        <v>702</v>
      </c>
      <c r="EDM1671" s="8" t="s">
        <v>809</v>
      </c>
      <c r="EFI1671" s="8" t="s">
        <v>809</v>
      </c>
    </row>
    <row r="1672" spans="2:2 1352:2025 2072:2456 3368:3656">
      <c r="B1672" s="10"/>
      <c r="BCR1672" s="8" t="s">
        <v>2394</v>
      </c>
      <c r="BEN1672" s="8" t="s">
        <v>1966</v>
      </c>
      <c r="BIF1672" s="8" t="s">
        <v>705</v>
      </c>
      <c r="BKB1672" s="8" t="s">
        <v>705</v>
      </c>
      <c r="BLX1672" s="8" t="s">
        <v>705</v>
      </c>
      <c r="BNT1672" s="8" t="s">
        <v>705</v>
      </c>
      <c r="EHT1672" s="8" t="s">
        <v>693</v>
      </c>
      <c r="EJP1672" s="8" t="s">
        <v>693</v>
      </c>
    </row>
    <row r="1673" spans="2:2 1352:2025 2072:2456 3368:3656">
      <c r="B1673" s="10"/>
      <c r="BKB1673" s="8" t="s">
        <v>2395</v>
      </c>
      <c r="BLX1673" s="8" t="s">
        <v>1967</v>
      </c>
      <c r="BPP1673" s="8" t="s">
        <v>706</v>
      </c>
      <c r="BRL1673" s="8" t="s">
        <v>706</v>
      </c>
      <c r="BTH1673" s="8" t="s">
        <v>706</v>
      </c>
      <c r="BVD1673" s="8" t="s">
        <v>706</v>
      </c>
    </row>
    <row r="1674" spans="2:2 1352:2025 2072:2456 3368:3656">
      <c r="B1674" s="10"/>
      <c r="BYW1674" s="8" t="s">
        <v>2396</v>
      </c>
      <c r="CAS1674" s="8" t="s">
        <v>1968</v>
      </c>
      <c r="CEK1674" s="8" t="s">
        <v>707</v>
      </c>
      <c r="CGG1674" s="8" t="s">
        <v>707</v>
      </c>
      <c r="CIC1674" s="8" t="s">
        <v>707</v>
      </c>
      <c r="CJY1674" s="8" t="s">
        <v>707</v>
      </c>
    </row>
    <row r="1675" spans="2:2 1352:2025 2072:2456 3368:3656">
      <c r="B1675" s="10"/>
    </row>
    <row r="1676" spans="2:2 1352:2025 2072:2456 3368:3656">
      <c r="B1676" s="10"/>
    </row>
    <row r="1677" spans="2:2 1352:2025 2072:2456 3368:3656">
      <c r="B1677" s="10"/>
    </row>
    <row r="1678" spans="2:2 1352:2025 2072:2456 3368:3656">
      <c r="B1678" s="10"/>
    </row>
    <row r="1679" spans="2:2 1352:2025 2072:2456 3368:3656">
      <c r="B1679" s="10"/>
    </row>
    <row r="1680" spans="2:2 1352:2025 2072:2456 3368:3656">
      <c r="B1680" s="10"/>
    </row>
    <row r="1681" spans="2:2 1536:2024 2168:2889 3368:3368">
      <c r="B1681" s="10"/>
    </row>
    <row r="1682" spans="2:2 1536:2024 2168:2889 3368:3368">
      <c r="B1682" s="10"/>
    </row>
    <row r="1683" spans="2:2 1536:2024 2168:2889 3368:3368">
      <c r="B1683" s="10"/>
    </row>
    <row r="1684" spans="2:2 1536:2024 2168:2889 3368:3368">
      <c r="B1684" s="10"/>
    </row>
    <row r="1685" spans="2:2 1536:2024 2168:2889 3368:3368">
      <c r="B1685" s="10"/>
    </row>
    <row r="1686" spans="2:2 1536:2024 2168:2889 3368:3368">
      <c r="B1686" s="10"/>
    </row>
    <row r="1687" spans="2:2 1536:2024 2168:2889 3368:3368">
      <c r="B1687" s="10"/>
    </row>
    <row r="1688" spans="2:2 1536:2024 2168:2889 3368:3368">
      <c r="B1688" s="10"/>
      <c r="BGB1688" s="8" t="s">
        <v>733</v>
      </c>
    </row>
    <row r="1689" spans="2:2 1536:2024 2168:2889 3368:3368">
      <c r="B1689" s="10"/>
      <c r="BLX1689" s="8" t="s">
        <v>708</v>
      </c>
      <c r="BPH1689" s="8" t="s">
        <v>734</v>
      </c>
    </row>
    <row r="1690" spans="2:2 1536:2024 2168:2889 3368:3368">
      <c r="B1690" s="10"/>
      <c r="BTH1690" s="8" t="s">
        <v>735</v>
      </c>
      <c r="BYV1690" s="8" t="s">
        <v>709</v>
      </c>
    </row>
    <row r="1691" spans="2:2 1536:2024 2168:2889 3368:3368">
      <c r="B1691" s="10"/>
      <c r="CEJ1691" s="8" t="s">
        <v>710</v>
      </c>
      <c r="CIB1691" s="8" t="s">
        <v>736</v>
      </c>
    </row>
    <row r="1692" spans="2:2 1536:2024 2168:2889 3368:3368">
      <c r="B1692" s="10"/>
      <c r="CQY1692" s="8" t="s">
        <v>737</v>
      </c>
      <c r="DGC1692" s="8" t="s">
        <v>711</v>
      </c>
    </row>
    <row r="1693" spans="2:2 1536:2024 2168:2889 3368:3368">
      <c r="B1693" s="10"/>
      <c r="CUZ1693" s="8" t="s">
        <v>738</v>
      </c>
      <c r="DYN1693" s="8" t="s">
        <v>712</v>
      </c>
    </row>
    <row r="1694" spans="2:2 1536:2024 2168:2889 3368:3368">
      <c r="B1694" s="10"/>
    </row>
    <row r="1695" spans="2:2 1536:2024 2168:2889 3368:3368">
      <c r="B1695" s="10"/>
    </row>
    <row r="1696" spans="2:2 1536:2024 2168:2889 3368:3368">
      <c r="B1696" s="10"/>
    </row>
    <row r="1697" spans="2:2 1392:2001 2216:2484">
      <c r="B1697" s="10"/>
    </row>
    <row r="1698" spans="2:2 1392:2001 2216:2484">
      <c r="B1698" s="10"/>
    </row>
    <row r="1699" spans="2:2 1392:2001 2216:2484">
      <c r="B1699" s="10"/>
    </row>
    <row r="1700" spans="2:2 1392:2001 2216:2484">
      <c r="B1700" s="10"/>
      <c r="BCG1700" s="8" t="s">
        <v>714</v>
      </c>
    </row>
    <row r="1701" spans="2:2 1392:2001 2216:2484">
      <c r="B1701" s="10"/>
      <c r="BHH1701" s="8" t="s">
        <v>715</v>
      </c>
    </row>
    <row r="1702" spans="2:2 1392:2001 2216:2484">
      <c r="B1702" s="10"/>
      <c r="BKK1702" s="8" t="s">
        <v>716</v>
      </c>
    </row>
    <row r="1703" spans="2:2 1392:2001 2216:2484">
      <c r="B1703" s="10"/>
      <c r="BJK1703" s="8" t="s">
        <v>717</v>
      </c>
    </row>
    <row r="1704" spans="2:2 1392:2001 2216:2484">
      <c r="B1704" s="10"/>
      <c r="BJP1704" s="8" t="s">
        <v>718</v>
      </c>
    </row>
    <row r="1705" spans="2:2 1392:2001 2216:2484">
      <c r="B1705" s="10"/>
      <c r="BNS1705" s="8" t="s">
        <v>719</v>
      </c>
    </row>
    <row r="1706" spans="2:2 1392:2001 2216:2484">
      <c r="B1706" s="10"/>
      <c r="BPT1706" s="8" t="s">
        <v>720</v>
      </c>
    </row>
    <row r="1707" spans="2:2 1392:2001 2216:2484">
      <c r="B1707" s="10"/>
      <c r="BTW1707" s="8" t="s">
        <v>721</v>
      </c>
    </row>
    <row r="1708" spans="2:2 1392:2001 2216:2484">
      <c r="B1708" s="10"/>
      <c r="BSZ1708" s="8" t="s">
        <v>722</v>
      </c>
    </row>
    <row r="1709" spans="2:2 1392:2001 2216:2484">
      <c r="B1709" s="10"/>
      <c r="BEF1709" s="8" t="s">
        <v>1372</v>
      </c>
      <c r="BGB1709" s="8" t="s">
        <v>1372</v>
      </c>
      <c r="BXY1709" s="8" t="s">
        <v>723</v>
      </c>
    </row>
    <row r="1710" spans="2:2 1392:2001 2216:2484">
      <c r="B1710" s="10"/>
      <c r="BAN1710" s="8" t="s">
        <v>734</v>
      </c>
      <c r="BGB1710" s="8" t="s">
        <v>734</v>
      </c>
      <c r="BNL1710" s="8" t="s">
        <v>1373</v>
      </c>
      <c r="BPH1710" s="8" t="s">
        <v>1373</v>
      </c>
      <c r="CGG1710" s="8" t="s">
        <v>724</v>
      </c>
    </row>
    <row r="1711" spans="2:2 1392:2001 2216:2484">
      <c r="B1711" s="10"/>
      <c r="BJT1711" s="8" t="s">
        <v>735</v>
      </c>
      <c r="BLP1711" s="8" t="s">
        <v>1374</v>
      </c>
      <c r="BMB1711" s="8" t="s">
        <v>735</v>
      </c>
      <c r="BPH1711" s="8" t="s">
        <v>735</v>
      </c>
      <c r="BRL1711" s="8" t="s">
        <v>1374</v>
      </c>
      <c r="BTH1711" s="8" t="s">
        <v>1374</v>
      </c>
      <c r="COM1711" s="8" t="s">
        <v>725</v>
      </c>
    </row>
    <row r="1712" spans="2:2 1392:2001 2216:2484">
      <c r="B1712" s="10"/>
      <c r="BEN1712" s="8" t="s">
        <v>1375</v>
      </c>
      <c r="BGJ1712" s="8" t="s">
        <v>739</v>
      </c>
      <c r="BNT1712" s="8" t="s">
        <v>736</v>
      </c>
      <c r="BTH1712" s="8" t="s">
        <v>736</v>
      </c>
      <c r="CGF1712" s="8" t="s">
        <v>1375</v>
      </c>
      <c r="CIB1712" s="8" t="s">
        <v>1375</v>
      </c>
      <c r="CQN1712" s="8" t="s">
        <v>726</v>
      </c>
    </row>
    <row r="1713" spans="2:2 1352:2024 2120:3032 3080:3176 4184:4847">
      <c r="B1713" s="10"/>
      <c r="BYM1713" s="8" t="s">
        <v>737</v>
      </c>
      <c r="BYV1713" s="8" t="s">
        <v>1376</v>
      </c>
      <c r="CCN1713" s="8" t="s">
        <v>737</v>
      </c>
      <c r="CIB1713" s="8" t="s">
        <v>737</v>
      </c>
      <c r="CPC1713" s="8" t="s">
        <v>1376</v>
      </c>
      <c r="CQY1713" s="8" t="s">
        <v>1376</v>
      </c>
      <c r="CUQ1713" s="8" t="s">
        <v>727</v>
      </c>
      <c r="DJT1713" s="8" t="s">
        <v>740</v>
      </c>
    </row>
    <row r="1714" spans="2:2 1352:2024 2120:3032 3080:3176 4184:4847">
      <c r="B1714" s="10"/>
      <c r="CLK1714" s="8" t="s">
        <v>738</v>
      </c>
      <c r="CQY1714" s="8" t="s">
        <v>738</v>
      </c>
      <c r="CYS1714" s="8" t="s">
        <v>728</v>
      </c>
      <c r="DRD1714" s="8" t="s">
        <v>741</v>
      </c>
      <c r="GCG1714" s="8" t="s">
        <v>738</v>
      </c>
      <c r="GDK1714" s="8" t="s">
        <v>1419</v>
      </c>
    </row>
    <row r="1715" spans="2:2 1352:2024 2120:3032 3080:3176 4184:4847">
      <c r="B1715" s="10"/>
      <c r="DEF1715" s="8" t="s">
        <v>729</v>
      </c>
    </row>
    <row r="1716" spans="2:2 1352:2024 2120:3032 3080:3176 4184:4847">
      <c r="B1716" s="10"/>
      <c r="DRD1716" s="8" t="s">
        <v>730</v>
      </c>
    </row>
    <row r="1717" spans="2:2 1352:2024 2120:3032 3080:3176 4184:4847">
      <c r="B1717" s="10"/>
      <c r="AYZ1717" s="8" t="s">
        <v>709</v>
      </c>
      <c r="BAV1717" s="8" t="s">
        <v>709</v>
      </c>
      <c r="BCR1717" s="8" t="s">
        <v>709</v>
      </c>
      <c r="FDX1717" s="8" t="s">
        <v>731</v>
      </c>
    </row>
    <row r="1718" spans="2:2 1352:2024 2120:3032 3080:3176 4184:4847">
      <c r="B1718" s="10"/>
      <c r="BEN1718" s="8" t="s">
        <v>2397</v>
      </c>
      <c r="BGJ1718" s="8" t="s">
        <v>1969</v>
      </c>
      <c r="BKB1718" s="8" t="s">
        <v>710</v>
      </c>
      <c r="BLX1718" s="8" t="s">
        <v>710</v>
      </c>
      <c r="BNT1718" s="8" t="s">
        <v>710</v>
      </c>
      <c r="BPP1718" s="8" t="s">
        <v>710</v>
      </c>
    </row>
    <row r="1719" spans="2:2 1352:2024 2120:3032 3080:3176 4184:4847">
      <c r="B1719" s="10"/>
      <c r="BKB1719" s="8" t="s">
        <v>2398</v>
      </c>
      <c r="BLX1719" s="8" t="s">
        <v>1970</v>
      </c>
      <c r="BPP1719" s="8" t="s">
        <v>711</v>
      </c>
      <c r="BRL1719" s="8" t="s">
        <v>711</v>
      </c>
      <c r="BTH1719" s="8" t="s">
        <v>711</v>
      </c>
      <c r="BVD1719" s="8" t="s">
        <v>711</v>
      </c>
    </row>
    <row r="1720" spans="2:2 1352:2024 2120:3032 3080:3176 4184:4847">
      <c r="B1720" s="10"/>
      <c r="CLU1720" s="8" t="s">
        <v>2399</v>
      </c>
      <c r="CNQ1720" s="8" t="s">
        <v>1971</v>
      </c>
      <c r="CRI1720" s="8" t="s">
        <v>712</v>
      </c>
      <c r="CTE1720" s="8" t="s">
        <v>712</v>
      </c>
      <c r="CVA1720" s="8" t="s">
        <v>712</v>
      </c>
      <c r="CWW1720" s="8" t="s">
        <v>712</v>
      </c>
    </row>
    <row r="1721" spans="2:2 1352:2024 2120:3032 3080:3176 4184:4847">
      <c r="B1721" s="10"/>
      <c r="CEO1721" s="8" t="s">
        <v>696</v>
      </c>
      <c r="CGK1721" s="8" t="s">
        <v>696</v>
      </c>
      <c r="DEF1721" s="8" t="s">
        <v>2400</v>
      </c>
      <c r="DGB1721" s="8" t="s">
        <v>1972</v>
      </c>
      <c r="DJT1721" s="8" t="s">
        <v>713</v>
      </c>
      <c r="DLP1721" s="8" t="s">
        <v>713</v>
      </c>
      <c r="DNL1721" s="8" t="s">
        <v>713</v>
      </c>
      <c r="DPH1721" s="8" t="s">
        <v>713</v>
      </c>
    </row>
    <row r="1722" spans="2:2 1352:2024 2120:3032 3080:3176 4184:4847">
      <c r="B1722" s="10"/>
      <c r="CJX1722" s="8" t="s">
        <v>697</v>
      </c>
      <c r="CLT1722" s="8" t="s">
        <v>697</v>
      </c>
    </row>
    <row r="1723" spans="2:2 1352:2024 2120:3032 3080:3176 4184:4847">
      <c r="B1723" s="10"/>
      <c r="CNP1723" s="8" t="s">
        <v>698</v>
      </c>
      <c r="CPL1723" s="8" t="s">
        <v>698</v>
      </c>
    </row>
    <row r="1724" spans="2:2 1352:2024 2120:3032 3080:3176 4184:4847">
      <c r="B1724" s="10"/>
      <c r="CWV1724" s="8" t="s">
        <v>699</v>
      </c>
      <c r="CYR1724" s="8" t="s">
        <v>699</v>
      </c>
    </row>
    <row r="1725" spans="2:2 1352:2024 2120:3032 3080:3176 4184:4847">
      <c r="B1725" s="10"/>
    </row>
    <row r="1726" spans="2:2 1352:2024 2120:3032 3080:3176 4184:4847">
      <c r="B1726" s="10"/>
    </row>
    <row r="1727" spans="2:2 1352:2024 2120:3032 3080:3176 4184:4847">
      <c r="B1727" s="10"/>
    </row>
    <row r="1728" spans="2:2 1352:2024 2120:3032 3080:3176 4184:4847">
      <c r="B1728" s="10"/>
    </row>
    <row r="1729" spans="2:2 1351:2047 2063:3032 3128:4040 4136:4280 6449:6488">
      <c r="B1729" s="10"/>
      <c r="AZI1729" s="8" t="s">
        <v>717</v>
      </c>
      <c r="BBE1729" s="8" t="s">
        <v>717</v>
      </c>
    </row>
    <row r="1730" spans="2:2 1351:2047 2063:3032 3128:4040 4136:4280 6449:6488">
      <c r="B1730" s="10"/>
      <c r="BAE1730" s="8" t="s">
        <v>718</v>
      </c>
    </row>
    <row r="1731" spans="2:2 1351:2047 2063:3032 3128:4040 4136:4280 6449:6488">
      <c r="B1731" s="10"/>
      <c r="BAJ1731" s="8" t="s">
        <v>719</v>
      </c>
    </row>
    <row r="1732" spans="2:2 1351:2047 2063:3032 3128:4040 4136:4280 6449:6488">
      <c r="B1732" s="10"/>
      <c r="AYY1732" s="8" t="s">
        <v>720</v>
      </c>
      <c r="BAU1732" s="8" t="s">
        <v>720</v>
      </c>
      <c r="BCQ1732" s="8" t="s">
        <v>720</v>
      </c>
      <c r="BEM1732" s="8" t="s">
        <v>720</v>
      </c>
    </row>
    <row r="1733" spans="2:2 1351:2047 2063:3032 3128:4040 4136:4280 6449:6488">
      <c r="B1733" s="10"/>
      <c r="BAZ1733" s="8" t="s">
        <v>721</v>
      </c>
      <c r="BCV1733" s="8" t="s">
        <v>721</v>
      </c>
      <c r="BEN1733" s="8" t="s">
        <v>1377</v>
      </c>
      <c r="BER1733" s="8" t="s">
        <v>721</v>
      </c>
      <c r="BGJ1733" s="8" t="s">
        <v>1377</v>
      </c>
      <c r="BGN1733" s="8" t="s">
        <v>721</v>
      </c>
    </row>
    <row r="1734" spans="2:2 1351:2047 2063:3032 3128:4040 4136:4280 6449:6488">
      <c r="B1734" s="10"/>
      <c r="BAN1734" s="8" t="s">
        <v>1973</v>
      </c>
      <c r="BAV1734" s="8" t="s">
        <v>740</v>
      </c>
      <c r="BEF1734" s="8" t="s">
        <v>723</v>
      </c>
      <c r="BGB1734" s="8" t="s">
        <v>723</v>
      </c>
      <c r="BGJ1734" s="8" t="s">
        <v>740</v>
      </c>
      <c r="BHX1734" s="8" t="s">
        <v>723</v>
      </c>
      <c r="BJT1734" s="8" t="s">
        <v>723</v>
      </c>
      <c r="DHX1734" s="8" t="s">
        <v>1378</v>
      </c>
      <c r="DJT1734" s="8" t="s">
        <v>1378</v>
      </c>
    </row>
    <row r="1735" spans="2:2 1351:2047 2063:3032 3128:4040 4136:4280 6449:6488">
      <c r="B1735" s="10"/>
      <c r="BBT1735" s="8" t="s">
        <v>741</v>
      </c>
      <c r="BCR1735" s="8" t="s">
        <v>741</v>
      </c>
      <c r="BDP1735" s="8" t="s">
        <v>1379</v>
      </c>
      <c r="BDQ1735" s="8" t="s">
        <v>2401</v>
      </c>
      <c r="BFM1735" s="8" t="s">
        <v>1974</v>
      </c>
      <c r="BJE1735" s="8" t="s">
        <v>724</v>
      </c>
      <c r="BLA1735" s="8" t="s">
        <v>724</v>
      </c>
      <c r="BMW1735" s="8" t="s">
        <v>724</v>
      </c>
      <c r="BOS1735" s="8" t="s">
        <v>724</v>
      </c>
      <c r="DCJ1735" s="8" t="s">
        <v>1379</v>
      </c>
      <c r="DDH1735" s="8" t="s">
        <v>741</v>
      </c>
      <c r="DEF1735" s="8" t="s">
        <v>741</v>
      </c>
      <c r="DJT1735" s="8" t="s">
        <v>741</v>
      </c>
      <c r="DPH1735" s="8" t="s">
        <v>1379</v>
      </c>
      <c r="DRD1735" s="8" t="s">
        <v>1379</v>
      </c>
    </row>
    <row r="1736" spans="2:2 1351:2047 2063:3032 3128:4040 4136:4280 6449:6488">
      <c r="B1736" s="10"/>
      <c r="BFL1736" s="8" t="s">
        <v>742</v>
      </c>
      <c r="BGJ1736" s="8" t="s">
        <v>742</v>
      </c>
      <c r="BHH1736" s="8" t="s">
        <v>1420</v>
      </c>
      <c r="BLY1736" s="8" t="s">
        <v>2402</v>
      </c>
      <c r="BNU1736" s="8" t="s">
        <v>1975</v>
      </c>
      <c r="BRM1736" s="8" t="s">
        <v>725</v>
      </c>
      <c r="BTI1736" s="8" t="s">
        <v>725</v>
      </c>
      <c r="BVE1736" s="8" t="s">
        <v>725</v>
      </c>
      <c r="BXA1736" s="8" t="s">
        <v>725</v>
      </c>
      <c r="DLP1736" s="8" t="s">
        <v>742</v>
      </c>
      <c r="DRD1736" s="8" t="s">
        <v>742</v>
      </c>
      <c r="INA1736" s="8" t="s">
        <v>742</v>
      </c>
      <c r="ION1736" s="8" t="s">
        <v>1420</v>
      </c>
    </row>
    <row r="1737" spans="2:2 1351:2047 2063:3032 3128:4040 4136:4280 6449:6488">
      <c r="B1737" s="10"/>
      <c r="BUE1737" s="8" t="s">
        <v>2403</v>
      </c>
      <c r="BWA1737" s="8" t="s">
        <v>1976</v>
      </c>
      <c r="BZS1737" s="8" t="s">
        <v>726</v>
      </c>
      <c r="CBO1737" s="8" t="s">
        <v>726</v>
      </c>
      <c r="CDK1737" s="8" t="s">
        <v>726</v>
      </c>
      <c r="CFG1737" s="8" t="s">
        <v>726</v>
      </c>
    </row>
    <row r="1738" spans="2:2 1351:2047 2063:3032 3128:4040 4136:4280 6449:6488">
      <c r="B1738" s="10"/>
      <c r="BWF1738" s="8" t="s">
        <v>2404</v>
      </c>
      <c r="BYB1738" s="8" t="s">
        <v>1977</v>
      </c>
      <c r="CBT1738" s="8" t="s">
        <v>727</v>
      </c>
      <c r="CDP1738" s="8" t="s">
        <v>727</v>
      </c>
      <c r="CFL1738" s="8" t="s">
        <v>727</v>
      </c>
      <c r="CHH1738" s="8" t="s">
        <v>727</v>
      </c>
    </row>
    <row r="1739" spans="2:2 1351:2047 2063:3032 3128:4040 4136:4280 6449:6488">
      <c r="B1739" s="10"/>
      <c r="CAI1739" s="8" t="s">
        <v>2405</v>
      </c>
      <c r="CCE1739" s="8" t="s">
        <v>1978</v>
      </c>
      <c r="CFW1739" s="8" t="s">
        <v>728</v>
      </c>
      <c r="CHS1739" s="8" t="s">
        <v>728</v>
      </c>
      <c r="CJO1739" s="8" t="s">
        <v>728</v>
      </c>
      <c r="CLK1739" s="8" t="s">
        <v>728</v>
      </c>
    </row>
    <row r="1740" spans="2:2 1351:2047 2063:3032 3128:4040 4136:4280 6449:6488">
      <c r="B1740" s="10"/>
      <c r="CEK1740" s="8" t="s">
        <v>2406</v>
      </c>
      <c r="CGG1740" s="8" t="s">
        <v>1979</v>
      </c>
      <c r="CJY1740" s="8" t="s">
        <v>729</v>
      </c>
      <c r="CLU1740" s="8" t="s">
        <v>729</v>
      </c>
      <c r="CNQ1740" s="8" t="s">
        <v>729</v>
      </c>
      <c r="CPM1740" s="8" t="s">
        <v>729</v>
      </c>
    </row>
    <row r="1741" spans="2:2 1351:2047 2063:3032 3128:4040 4136:4280 6449:6488">
      <c r="B1741" s="10"/>
      <c r="CJX1741" s="8" t="s">
        <v>2407</v>
      </c>
      <c r="CLT1741" s="8" t="s">
        <v>1980</v>
      </c>
      <c r="CPL1741" s="8" t="s">
        <v>730</v>
      </c>
      <c r="CRH1741" s="8" t="s">
        <v>730</v>
      </c>
      <c r="CTD1741" s="8" t="s">
        <v>730</v>
      </c>
      <c r="CUZ1741" s="8" t="s">
        <v>730</v>
      </c>
    </row>
    <row r="1742" spans="2:2 1351:2047 2063:3032 3128:4040 4136:4280 6449:6488">
      <c r="B1742" s="10"/>
      <c r="CWV1742" s="8" t="s">
        <v>2408</v>
      </c>
      <c r="CYR1742" s="8" t="s">
        <v>1981</v>
      </c>
      <c r="DCJ1742" s="8" t="s">
        <v>731</v>
      </c>
      <c r="DEF1742" s="8" t="s">
        <v>731</v>
      </c>
      <c r="DGB1742" s="8" t="s">
        <v>731</v>
      </c>
      <c r="DHX1742" s="8" t="s">
        <v>731</v>
      </c>
    </row>
    <row r="1743" spans="2:2 1351:2047 2063:3032 3128:4040 4136:4280 6449:6488">
      <c r="B1743" s="10"/>
      <c r="EJP1743" s="8" t="s">
        <v>2409</v>
      </c>
      <c r="ELL1743" s="8" t="s">
        <v>1982</v>
      </c>
      <c r="EPD1743" s="8" t="s">
        <v>732</v>
      </c>
      <c r="EQZ1743" s="8" t="s">
        <v>732</v>
      </c>
      <c r="ESV1743" s="8" t="s">
        <v>732</v>
      </c>
      <c r="EUR1743" s="8" t="s">
        <v>732</v>
      </c>
    </row>
    <row r="1744" spans="2:2 1351:2047 2063:3032 3128:4040 4136:4280 6449:6488">
      <c r="B1744" s="10"/>
      <c r="EWN1744" s="8" t="s">
        <v>2410</v>
      </c>
      <c r="EYJ1744" s="8" t="s">
        <v>1983</v>
      </c>
      <c r="FCB1744" s="8" t="s">
        <v>1490</v>
      </c>
      <c r="FDX1744" s="8" t="s">
        <v>1490</v>
      </c>
      <c r="FFT1744" s="8" t="s">
        <v>1490</v>
      </c>
      <c r="FHP1744" s="8" t="s">
        <v>1490</v>
      </c>
    </row>
    <row r="1745" spans="2:2 1400:1976 2313:2600 3512:4040 4136:4280">
      <c r="B1745" s="10"/>
      <c r="EWN1745" s="8" t="s">
        <v>2411</v>
      </c>
      <c r="EYJ1745" s="8" t="s">
        <v>1984</v>
      </c>
      <c r="FCB1745" s="8" t="s">
        <v>1491</v>
      </c>
      <c r="FDX1745" s="8" t="s">
        <v>1491</v>
      </c>
      <c r="FFT1745" s="8" t="s">
        <v>1491</v>
      </c>
      <c r="FHP1745" s="8" t="s">
        <v>1491</v>
      </c>
    </row>
    <row r="1746" spans="2:2 1400:1976 2313:2600 3512:4040 4136:4280">
      <c r="B1746" s="10"/>
      <c r="BGJ1746" s="8" t="s">
        <v>755</v>
      </c>
    </row>
    <row r="1747" spans="2:2 1400:1976 2313:2600 3512:4040 4136:4280">
      <c r="B1747" s="10"/>
      <c r="BPP1747" s="8" t="s">
        <v>756</v>
      </c>
    </row>
    <row r="1748" spans="2:2 1400:1976 2313:2600 3512:4040 4136:4280">
      <c r="B1748" s="10"/>
      <c r="CUZ1748" s="8" t="s">
        <v>757</v>
      </c>
    </row>
    <row r="1749" spans="2:2 1400:1976 2313:2600 3512:4040 4136:4280">
      <c r="B1749" s="10"/>
      <c r="BAV1749" s="8" t="s">
        <v>702</v>
      </c>
      <c r="BCR1749" s="8" t="s">
        <v>702</v>
      </c>
      <c r="EEB1749" s="8" t="s">
        <v>758</v>
      </c>
    </row>
    <row r="1750" spans="2:2 1400:1976 2313:2600 3512:4040 4136:4280">
      <c r="B1750" s="10"/>
      <c r="BKW1750" s="8" t="s">
        <v>704</v>
      </c>
      <c r="BMS1750" s="8" t="s">
        <v>704</v>
      </c>
    </row>
    <row r="1751" spans="2:2 1400:1976 2313:2600 3512:4040 4136:4280">
      <c r="B1751" s="10"/>
      <c r="BNT1751" s="8" t="s">
        <v>705</v>
      </c>
      <c r="BPP1751" s="8" t="s">
        <v>705</v>
      </c>
    </row>
    <row r="1752" spans="2:2 1400:1976 2313:2600 3512:4040 4136:4280">
      <c r="B1752" s="10"/>
      <c r="BVD1752" s="8" t="s">
        <v>706</v>
      </c>
      <c r="BWZ1752" s="8" t="s">
        <v>706</v>
      </c>
    </row>
    <row r="1753" spans="2:2 1400:1976 2313:2600 3512:4040 4136:4280">
      <c r="B1753" s="10"/>
      <c r="CJY1753" s="8" t="s">
        <v>707</v>
      </c>
      <c r="CLU1753" s="8" t="s">
        <v>707</v>
      </c>
    </row>
    <row r="1754" spans="2:2 1400:1976 2313:2600 3512:4040 4136:4280">
      <c r="B1754" s="10"/>
    </row>
    <row r="1755" spans="2:2 1400:1976 2313:2600 3512:4040 4136:4280">
      <c r="B1755" s="10"/>
    </row>
    <row r="1756" spans="2:2 1400:1976 2313:2600 3512:4040 4136:4280">
      <c r="B1756" s="10"/>
    </row>
    <row r="1757" spans="2:2 1400:1976 2313:2600 3512:4040 4136:4280">
      <c r="B1757" s="10"/>
    </row>
    <row r="1758" spans="2:2 1400:1976 2313:2600 3512:4040 4136:4280">
      <c r="B1758" s="10"/>
    </row>
    <row r="1759" spans="2:2 1400:1976 2313:2600 3512:4040 4136:4280">
      <c r="B1759" s="10"/>
    </row>
    <row r="1760" spans="2:2 1400:1976 2313:2600 3512:4040 4136:4280">
      <c r="B1760" s="10"/>
    </row>
    <row r="1761" spans="2:2 1400:1784 2456:2600 3368:3512 7216:7256">
      <c r="B1761" s="10"/>
    </row>
    <row r="1762" spans="2:2 1400:1784 2456:2600 3368:3512 7216:7256">
      <c r="B1762" s="10"/>
    </row>
    <row r="1763" spans="2:2 1400:1784 2456:2600 3368:3512 7216:7256">
      <c r="B1763" s="10"/>
    </row>
    <row r="1764" spans="2:2 1400:1784 2456:2600 3368:3512 7216:7256">
      <c r="B1764" s="10"/>
    </row>
    <row r="1765" spans="2:2 1400:1784 2456:2600 3368:3512 7216:7256">
      <c r="B1765" s="10"/>
    </row>
    <row r="1766" spans="2:2 1400:1784 2456:2600 3368:3512 7216:7256">
      <c r="B1766" s="10"/>
    </row>
    <row r="1767" spans="2:2 1400:1784 2456:2600 3368:3512 7216:7256">
      <c r="B1767" s="10"/>
    </row>
    <row r="1768" spans="2:2 1400:1784 2456:2600 3368:3512 7216:7256">
      <c r="B1768" s="10"/>
      <c r="BEN1768" s="8" t="s">
        <v>1380</v>
      </c>
      <c r="BGJ1768" s="8" t="s">
        <v>1380</v>
      </c>
    </row>
    <row r="1769" spans="2:2 1400:1784 2456:2600 3368:3512 7216:7256">
      <c r="B1769" s="10"/>
      <c r="BAV1769" s="8" t="s">
        <v>756</v>
      </c>
      <c r="BGJ1769" s="8" t="s">
        <v>756</v>
      </c>
      <c r="BNT1769" s="8" t="s">
        <v>1381</v>
      </c>
      <c r="BPP1769" s="8" t="s">
        <v>1381</v>
      </c>
    </row>
    <row r="1770" spans="2:2 1400:1784 2456:2600 3368:3512 7216:7256">
      <c r="B1770" s="10"/>
      <c r="BKB1770" s="8" t="s">
        <v>757</v>
      </c>
      <c r="BPP1770" s="8" t="s">
        <v>757</v>
      </c>
      <c r="CTD1770" s="8" t="s">
        <v>1382</v>
      </c>
      <c r="CUZ1770" s="8" t="s">
        <v>1382</v>
      </c>
    </row>
    <row r="1771" spans="2:2 1400:1784 2456:2600 3368:3512 7216:7256">
      <c r="B1771" s="10"/>
      <c r="BLX1771" s="8" t="s">
        <v>1383</v>
      </c>
      <c r="CPL1771" s="8" t="s">
        <v>758</v>
      </c>
      <c r="CUZ1771" s="8" t="s">
        <v>758</v>
      </c>
      <c r="ECF1771" s="8" t="s">
        <v>1383</v>
      </c>
      <c r="EEB1771" s="8" t="s">
        <v>1383</v>
      </c>
    </row>
    <row r="1772" spans="2:2 1400:1784 2456:2600 3368:3512 7216:7256">
      <c r="B1772" s="10"/>
      <c r="BLX1772" s="8" t="s">
        <v>759</v>
      </c>
      <c r="BMV1772" s="8" t="s">
        <v>759</v>
      </c>
      <c r="BNT1772" s="8" t="s">
        <v>1421</v>
      </c>
      <c r="DYN1772" s="8" t="s">
        <v>759</v>
      </c>
      <c r="EEB1772" s="8" t="s">
        <v>759</v>
      </c>
      <c r="JQN1772" s="8" t="s">
        <v>759</v>
      </c>
      <c r="JSB1772" s="8" t="s">
        <v>1421</v>
      </c>
    </row>
    <row r="1773" spans="2:2 1400:1784 2456:2600 3368:3512 7216:7256">
      <c r="B1773" s="10"/>
    </row>
    <row r="1774" spans="2:2 1400:1784 2456:2600 3368:3512 7216:7256">
      <c r="B1774" s="10"/>
    </row>
    <row r="1775" spans="2:2 1400:1784 2456:2600 3368:3512 7216:7256">
      <c r="B1775" s="10"/>
    </row>
    <row r="1776" spans="2:2 1400:1784 2456:2600 3368:3512 7216:7256">
      <c r="B1776" s="10"/>
      <c r="BGB1776" s="8" t="s">
        <v>733</v>
      </c>
    </row>
    <row r="1777" spans="2:2 1776:1880 2264:2600">
      <c r="B1777" s="10"/>
      <c r="BPH1777" s="8" t="s">
        <v>734</v>
      </c>
    </row>
    <row r="1778" spans="2:2 1776:1880 2264:2600">
      <c r="B1778" s="10"/>
      <c r="BTH1778" s="8" t="s">
        <v>735</v>
      </c>
    </row>
    <row r="1779" spans="2:2 1776:1880 2264:2600">
      <c r="B1779" s="10"/>
      <c r="CIB1779" s="8" t="s">
        <v>736</v>
      </c>
    </row>
    <row r="1780" spans="2:2 1776:1880 2264:2600">
      <c r="B1780" s="10"/>
      <c r="CQY1780" s="8" t="s">
        <v>737</v>
      </c>
    </row>
    <row r="1781" spans="2:2 1776:1880 2264:2600">
      <c r="B1781" s="10"/>
      <c r="CUZ1781" s="8" t="s">
        <v>738</v>
      </c>
    </row>
    <row r="1782" spans="2:2 1776:1880 2264:2600">
      <c r="B1782" s="10"/>
    </row>
    <row r="1783" spans="2:2 1776:1880 2264:2600">
      <c r="B1783" s="10"/>
    </row>
    <row r="1784" spans="2:2 1776:1880 2264:2600">
      <c r="B1784" s="10"/>
    </row>
    <row r="1785" spans="2:2 1776:1880 2264:2600">
      <c r="B1785" s="10"/>
    </row>
    <row r="1786" spans="2:2 1776:1880 2264:2600">
      <c r="B1786" s="10"/>
    </row>
    <row r="1787" spans="2:2 1776:1880 2264:2600">
      <c r="B1787" s="10"/>
    </row>
    <row r="1788" spans="2:2 1776:1880 2264:2600">
      <c r="B1788" s="10"/>
    </row>
    <row r="1789" spans="2:2 1776:1880 2264:2600">
      <c r="B1789" s="10"/>
    </row>
    <row r="1790" spans="2:2 1776:1880 2264:2600">
      <c r="B1790" s="10"/>
    </row>
    <row r="1791" spans="2:2 1776:1880 2264:2600">
      <c r="B1791" s="10"/>
    </row>
    <row r="1792" spans="2:2 1776:1880 2264:2600">
      <c r="B1792" s="10"/>
    </row>
    <row r="1793" spans="2:2 1352:1976 2168:2697 3128:3176">
      <c r="B1793" s="10"/>
    </row>
    <row r="1794" spans="2:2 1352:1976 2168:2697 3128:3176">
      <c r="B1794" s="10"/>
    </row>
    <row r="1795" spans="2:2 1352:1976 2168:2697 3128:3176">
      <c r="B1795" s="10"/>
    </row>
    <row r="1796" spans="2:2 1352:1976 2168:2697 3128:3176">
      <c r="B1796" s="10"/>
      <c r="BCR1796" s="8" t="s">
        <v>709</v>
      </c>
      <c r="BEN1796" s="8" t="s">
        <v>709</v>
      </c>
    </row>
    <row r="1797" spans="2:2 1352:1976 2168:2697 3128:3176">
      <c r="B1797" s="10"/>
      <c r="BPP1797" s="8" t="s">
        <v>710</v>
      </c>
      <c r="BRL1797" s="8" t="s">
        <v>710</v>
      </c>
    </row>
    <row r="1798" spans="2:2 1352:1976 2168:2697 3128:3176">
      <c r="B1798" s="10"/>
      <c r="BVD1798" s="8" t="s">
        <v>711</v>
      </c>
      <c r="BWZ1798" s="8" t="s">
        <v>711</v>
      </c>
    </row>
    <row r="1799" spans="2:2 1352:1976 2168:2697 3128:3176">
      <c r="B1799" s="10"/>
      <c r="CWW1799" s="8" t="s">
        <v>712</v>
      </c>
      <c r="CYS1799" s="8" t="s">
        <v>712</v>
      </c>
    </row>
    <row r="1800" spans="2:2 1352:1976 2168:2697 3128:3176">
      <c r="B1800" s="10"/>
      <c r="DPH1800" s="8" t="s">
        <v>713</v>
      </c>
      <c r="DRD1800" s="8" t="s">
        <v>713</v>
      </c>
    </row>
    <row r="1801" spans="2:2 1352:1976 2168:2697 3128:3176">
      <c r="B1801" s="10"/>
    </row>
    <row r="1802" spans="2:2 1352:1976 2168:2697 3128:3176">
      <c r="B1802" s="10"/>
      <c r="BHU1802" s="8" t="s">
        <v>796</v>
      </c>
    </row>
    <row r="1803" spans="2:2 1352:1976 2168:2697 3128:3176">
      <c r="B1803" s="10"/>
      <c r="BTH1803" s="8" t="s">
        <v>797</v>
      </c>
    </row>
    <row r="1804" spans="2:2 1352:1976 2168:2697 3128:3176">
      <c r="B1804" s="10"/>
      <c r="CEJ1804" s="8" t="s">
        <v>798</v>
      </c>
    </row>
    <row r="1805" spans="2:2 1352:1976 2168:2697 3128:3176">
      <c r="B1805" s="10"/>
      <c r="CHT1805" s="8" t="s">
        <v>799</v>
      </c>
    </row>
    <row r="1806" spans="2:2 1352:1976 2168:2697 3128:3176">
      <c r="B1806" s="10"/>
      <c r="CIB1806" s="8" t="s">
        <v>800</v>
      </c>
    </row>
    <row r="1807" spans="2:2 1352:1976 2168:2697 3128:3176">
      <c r="B1807" s="10"/>
    </row>
    <row r="1808" spans="2:2 1352:1976 2168:2697 3128:3176">
      <c r="B1808" s="10"/>
      <c r="AYZ1808" s="8" t="s">
        <v>1492</v>
      </c>
      <c r="BGJ1808" s="8" t="s">
        <v>739</v>
      </c>
    </row>
    <row r="1809" spans="2:2 1352:2025 2111:2984 3176:3944">
      <c r="B1809" s="10"/>
      <c r="AZX1809" s="8" t="s">
        <v>716</v>
      </c>
      <c r="BAN1809" s="8" t="s">
        <v>735</v>
      </c>
      <c r="BCJ1809" s="8" t="s">
        <v>735</v>
      </c>
      <c r="BEF1809" s="8" t="s">
        <v>735</v>
      </c>
      <c r="BGB1809" s="8" t="s">
        <v>735</v>
      </c>
      <c r="DJT1809" s="8" t="s">
        <v>740</v>
      </c>
    </row>
    <row r="1810" spans="2:2 1352:2025 2111:2984 3176:3944">
      <c r="B1810" s="10"/>
      <c r="BBE1810" s="8" t="s">
        <v>717</v>
      </c>
      <c r="BDA1810" s="8" t="s">
        <v>717</v>
      </c>
      <c r="BNT1810" s="8" t="s">
        <v>2412</v>
      </c>
      <c r="BPP1810" s="8" t="s">
        <v>1985</v>
      </c>
      <c r="BTH1810" s="8" t="s">
        <v>737</v>
      </c>
      <c r="BVD1810" s="8" t="s">
        <v>737</v>
      </c>
      <c r="BWZ1810" s="8" t="s">
        <v>737</v>
      </c>
      <c r="BYV1810" s="8" t="s">
        <v>737</v>
      </c>
      <c r="DRD1810" s="8" t="s">
        <v>741</v>
      </c>
    </row>
    <row r="1811" spans="2:2 1352:2025 2111:2984 3176:3944">
      <c r="B1811" s="10"/>
      <c r="BAE1811" s="8" t="s">
        <v>718</v>
      </c>
      <c r="BCA1811" s="8" t="s">
        <v>718</v>
      </c>
      <c r="BWQ1811" s="8" t="s">
        <v>2413</v>
      </c>
      <c r="BYM1811" s="8" t="s">
        <v>1986</v>
      </c>
      <c r="CCE1811" s="8" t="s">
        <v>738</v>
      </c>
      <c r="CEA1811" s="8" t="s">
        <v>738</v>
      </c>
      <c r="CFW1811" s="8" t="s">
        <v>738</v>
      </c>
      <c r="CHS1811" s="8" t="s">
        <v>738</v>
      </c>
    </row>
    <row r="1812" spans="2:2 1352:2025 2111:2984 3176:3944">
      <c r="B1812" s="10"/>
      <c r="BAJ1812" s="8" t="s">
        <v>719</v>
      </c>
      <c r="BCF1812" s="8" t="s">
        <v>719</v>
      </c>
      <c r="EJP1812" s="8" t="s">
        <v>2414</v>
      </c>
      <c r="ELL1812" s="8" t="s">
        <v>1987</v>
      </c>
      <c r="EPD1812" s="8" t="s">
        <v>1493</v>
      </c>
      <c r="EQZ1812" s="8" t="s">
        <v>1493</v>
      </c>
      <c r="ESV1812" s="8" t="s">
        <v>1493</v>
      </c>
      <c r="EUR1812" s="8" t="s">
        <v>1493</v>
      </c>
    </row>
    <row r="1813" spans="2:2 1352:2025 2111:2984 3176:3944">
      <c r="B1813" s="10"/>
      <c r="BEM1813" s="8" t="s">
        <v>720</v>
      </c>
      <c r="BGI1813" s="8" t="s">
        <v>720</v>
      </c>
    </row>
    <row r="1814" spans="2:2 1352:2025 2111:2984 3176:3944">
      <c r="B1814" s="10"/>
      <c r="BGN1814" s="8" t="s">
        <v>721</v>
      </c>
      <c r="BIJ1814" s="8" t="s">
        <v>721</v>
      </c>
    </row>
    <row r="1815" spans="2:2 1352:2025 2111:2984 3176:3944">
      <c r="B1815" s="10"/>
      <c r="BKQ1815" s="8" t="s">
        <v>722</v>
      </c>
      <c r="BMM1815" s="8" t="s">
        <v>722</v>
      </c>
    </row>
    <row r="1816" spans="2:2 1352:2025 2111:2984 3176:3944">
      <c r="B1816" s="10"/>
      <c r="BJT1816" s="8" t="s">
        <v>723</v>
      </c>
      <c r="BLP1816" s="8" t="s">
        <v>723</v>
      </c>
    </row>
    <row r="1817" spans="2:2 1352:2025 2111:2984 3176:3944">
      <c r="B1817" s="10"/>
      <c r="BOS1817" s="8" t="s">
        <v>724</v>
      </c>
      <c r="BQO1817" s="8" t="s">
        <v>724</v>
      </c>
    </row>
    <row r="1818" spans="2:2 1352:2025 2111:2984 3176:3944">
      <c r="B1818" s="10"/>
      <c r="BXA1818" s="8" t="s">
        <v>725</v>
      </c>
      <c r="BYW1818" s="8" t="s">
        <v>725</v>
      </c>
    </row>
    <row r="1819" spans="2:2 1352:2025 2111:2984 3176:3944">
      <c r="B1819" s="10"/>
      <c r="CFG1819" s="8" t="s">
        <v>726</v>
      </c>
      <c r="CHC1819" s="8" t="s">
        <v>726</v>
      </c>
    </row>
    <row r="1820" spans="2:2 1352:2025 2111:2984 3176:3944">
      <c r="B1820" s="10"/>
      <c r="CHH1820" s="8" t="s">
        <v>727</v>
      </c>
      <c r="CJD1820" s="8" t="s">
        <v>727</v>
      </c>
    </row>
    <row r="1821" spans="2:2 1352:2025 2111:2984 3176:3944">
      <c r="B1821" s="10"/>
      <c r="CLK1821" s="8" t="s">
        <v>728</v>
      </c>
      <c r="CNG1821" s="8" t="s">
        <v>728</v>
      </c>
    </row>
    <row r="1822" spans="2:2 1352:2025 2111:2984 3176:3944">
      <c r="B1822" s="10"/>
      <c r="BCR1822" s="8" t="s">
        <v>1384</v>
      </c>
      <c r="BEN1822" s="8" t="s">
        <v>1384</v>
      </c>
      <c r="CPM1822" s="8" t="s">
        <v>729</v>
      </c>
      <c r="CRI1822" s="8" t="s">
        <v>729</v>
      </c>
    </row>
    <row r="1823" spans="2:2 1352:2025 2111:2984 3176:3944">
      <c r="B1823" s="10"/>
      <c r="AYZ1823" s="8" t="s">
        <v>842</v>
      </c>
      <c r="BAM1823" s="8" t="s">
        <v>842</v>
      </c>
      <c r="BAV1823" s="8" t="s">
        <v>1385</v>
      </c>
      <c r="BEN1823" s="8" t="s">
        <v>842</v>
      </c>
      <c r="BFY1823" s="8" t="s">
        <v>1385</v>
      </c>
      <c r="BHU1823" s="8" t="s">
        <v>1385</v>
      </c>
      <c r="CUZ1823" s="8" t="s">
        <v>730</v>
      </c>
      <c r="CWV1823" s="8" t="s">
        <v>730</v>
      </c>
    </row>
    <row r="1824" spans="2:2 1352:2025 2111:2984 3176:3944">
      <c r="B1824" s="10"/>
      <c r="BCG1824" s="8" t="s">
        <v>797</v>
      </c>
      <c r="BHU1824" s="8" t="s">
        <v>797</v>
      </c>
      <c r="BRL1824" s="8" t="s">
        <v>1386</v>
      </c>
      <c r="BTH1824" s="8" t="s">
        <v>1386</v>
      </c>
      <c r="DHX1824" s="8" t="s">
        <v>731</v>
      </c>
      <c r="DJT1824" s="8" t="s">
        <v>731</v>
      </c>
    </row>
    <row r="1825" spans="2:2 1592:2046 2072:2936 3656:3992 4280:4328">
      <c r="B1825" s="10"/>
      <c r="BIF1825" s="8" t="s">
        <v>1387</v>
      </c>
      <c r="BIH1825" s="8" t="s">
        <v>798</v>
      </c>
      <c r="BNT1825" s="8" t="s">
        <v>798</v>
      </c>
      <c r="BTH1825" s="8" t="s">
        <v>798</v>
      </c>
      <c r="CCN1825" s="8" t="s">
        <v>1387</v>
      </c>
      <c r="CEJ1825" s="8" t="s">
        <v>1387</v>
      </c>
      <c r="EUR1825" s="8" t="s">
        <v>732</v>
      </c>
      <c r="EWN1825" s="8" t="s">
        <v>732</v>
      </c>
    </row>
    <row r="1826" spans="2:2 1592:2046 2072:2936 3656:3992 4280:4328">
      <c r="B1826" s="10"/>
      <c r="BYV1826" s="8" t="s">
        <v>799</v>
      </c>
      <c r="BZR1826" s="8" t="s">
        <v>799</v>
      </c>
      <c r="CAR1826" s="8" t="s">
        <v>1388</v>
      </c>
      <c r="CEJ1826" s="8" t="s">
        <v>799</v>
      </c>
      <c r="CFX1826" s="8" t="s">
        <v>1388</v>
      </c>
      <c r="CHT1826" s="8" t="s">
        <v>1388</v>
      </c>
      <c r="FHP1826" s="8" t="s">
        <v>1490</v>
      </c>
      <c r="FJL1826" s="8" t="s">
        <v>1490</v>
      </c>
    </row>
    <row r="1827" spans="2:2 1592:2046 2072:2936 3656:3992 4280:4328">
      <c r="B1827" s="10"/>
      <c r="CCF1827" s="8" t="s">
        <v>800</v>
      </c>
      <c r="CGF1827" s="8" t="s">
        <v>1389</v>
      </c>
      <c r="CHT1827" s="8" t="s">
        <v>1389</v>
      </c>
      <c r="CIB1827" s="8" t="s">
        <v>1389</v>
      </c>
      <c r="CIR1827" s="8" t="s">
        <v>800</v>
      </c>
      <c r="FHP1827" s="8" t="s">
        <v>1491</v>
      </c>
      <c r="FJL1827" s="8" t="s">
        <v>1491</v>
      </c>
    </row>
    <row r="1828" spans="2:2 1592:2046 2072:2936 3656:3992 4280:4328">
      <c r="B1828" s="10"/>
      <c r="CCN1828" s="8" t="s">
        <v>801</v>
      </c>
      <c r="CIB1828" s="8" t="s">
        <v>801</v>
      </c>
      <c r="ENH1828" s="8" t="s">
        <v>1390</v>
      </c>
      <c r="EPD1828" s="8" t="s">
        <v>1390</v>
      </c>
    </row>
    <row r="1829" spans="2:2 1592:2046 2072:2936 3656:3992 4280:4328">
      <c r="B1829" s="10"/>
      <c r="BRL1829" s="8" t="s">
        <v>843</v>
      </c>
      <c r="BSJ1829" s="8" t="s">
        <v>843</v>
      </c>
      <c r="BTH1829" s="8" t="s">
        <v>1422</v>
      </c>
      <c r="EJP1829" s="8" t="s">
        <v>843</v>
      </c>
      <c r="EPD1829" s="8" t="s">
        <v>843</v>
      </c>
    </row>
    <row r="1830" spans="2:2 1592:2046 2072:2936 3656:3992 4280:4328">
      <c r="B1830" s="10"/>
    </row>
    <row r="1831" spans="2:2 1592:2046 2072:2936 3656:3992 4280:4328">
      <c r="B1831" s="10"/>
    </row>
    <row r="1832" spans="2:2 1592:2046 2072:2936 3656:3992 4280:4328">
      <c r="B1832" s="10"/>
    </row>
    <row r="1833" spans="2:2 1592:2046 2072:2936 3656:3992 4280:4328">
      <c r="B1833" s="10"/>
    </row>
    <row r="1834" spans="2:2 1592:2046 2072:2936 3656:3992 4280:4328">
      <c r="B1834" s="10"/>
    </row>
    <row r="1835" spans="2:2 1592:2046 2072:2936 3656:3992 4280:4328">
      <c r="B1835" s="10"/>
    </row>
    <row r="1836" spans="2:2 1592:2046 2072:2936 3656:3992 4280:4328">
      <c r="B1836" s="10"/>
      <c r="CPL1836" s="8" t="s">
        <v>2415</v>
      </c>
      <c r="CRH1836" s="8" t="s">
        <v>1988</v>
      </c>
      <c r="CUZ1836" s="8" t="s">
        <v>741</v>
      </c>
      <c r="CWV1836" s="8" t="s">
        <v>741</v>
      </c>
      <c r="CYR1836" s="8" t="s">
        <v>741</v>
      </c>
      <c r="DAN1836" s="8" t="s">
        <v>741</v>
      </c>
    </row>
    <row r="1837" spans="2:2 1592:2046 2072:2936 3656:3992 4280:4328">
      <c r="B1837" s="10"/>
      <c r="CWV1837" s="8" t="s">
        <v>2416</v>
      </c>
      <c r="CYR1837" s="8" t="s">
        <v>1989</v>
      </c>
      <c r="DCJ1837" s="8" t="s">
        <v>742</v>
      </c>
      <c r="DEF1837" s="8" t="s">
        <v>742</v>
      </c>
      <c r="DGB1837" s="8" t="s">
        <v>742</v>
      </c>
      <c r="DHX1837" s="8" t="s">
        <v>742</v>
      </c>
    </row>
    <row r="1838" spans="2:2 1592:2046 2072:2936 3656:3992 4280:4328">
      <c r="B1838" s="10"/>
    </row>
    <row r="1839" spans="2:2 1592:2046 2072:2936 3656:3992 4280:4328">
      <c r="B1839" s="10"/>
    </row>
    <row r="1840" spans="2:2 1592:2046 2072:2936 3656:3992 4280:4328">
      <c r="B1840" s="10"/>
    </row>
    <row r="1841" spans="2:2 1544:1784 2600:2600 3512:3512">
      <c r="B1841" s="10"/>
    </row>
    <row r="1842" spans="2:2 1544:1784 2600:2600 3512:3512">
      <c r="B1842" s="10"/>
    </row>
    <row r="1843" spans="2:2 1544:1784 2600:2600 3512:3512">
      <c r="B1843" s="10"/>
    </row>
    <row r="1844" spans="2:2 1544:1784 2600:2600 3512:3512">
      <c r="B1844" s="10"/>
      <c r="BGJ1844" s="8" t="s">
        <v>755</v>
      </c>
    </row>
    <row r="1845" spans="2:2 1544:1784 2600:2600 3512:3512">
      <c r="B1845" s="10"/>
      <c r="BPP1845" s="8" t="s">
        <v>756</v>
      </c>
    </row>
    <row r="1846" spans="2:2 1544:1784 2600:2600 3512:3512">
      <c r="B1846" s="10"/>
      <c r="CUZ1846" s="8" t="s">
        <v>757</v>
      </c>
    </row>
    <row r="1847" spans="2:2 1544:1784 2600:2600 3512:3512">
      <c r="B1847" s="10"/>
      <c r="EEB1847" s="8" t="s">
        <v>758</v>
      </c>
    </row>
    <row r="1848" spans="2:2 1544:1784 2600:2600 3512:3512">
      <c r="B1848" s="10"/>
    </row>
    <row r="1849" spans="2:2 1544:1784 2600:2600 3512:3512">
      <c r="B1849" s="10"/>
    </row>
    <row r="1850" spans="2:2 1544:1784 2600:2600 3512:3512">
      <c r="B1850" s="10"/>
    </row>
    <row r="1851" spans="2:2 1544:1784 2600:2600 3512:3512">
      <c r="B1851" s="10"/>
    </row>
    <row r="1852" spans="2:2 1544:1784 2600:2600 3512:3512">
      <c r="B1852" s="10"/>
    </row>
    <row r="1853" spans="2:2 1544:1784 2600:2600 3512:3512">
      <c r="B1853" s="10"/>
    </row>
    <row r="1854" spans="2:2 1544:1784 2600:2600 3512:3512">
      <c r="B1854" s="10"/>
    </row>
    <row r="1855" spans="2:2 1544:1784 2600:2600 3512:3512">
      <c r="B1855" s="10"/>
    </row>
    <row r="1856" spans="2:2 1544:1784 2600:2600 3512:3512">
      <c r="B1856" s="10"/>
    </row>
    <row r="1857" spans="2:2 1833:1833">
      <c r="B1857" s="10"/>
    </row>
    <row r="1858" spans="2:2 1833:1833">
      <c r="B1858" s="10"/>
    </row>
    <row r="1859" spans="2:2 1833:1833">
      <c r="B1859" s="10"/>
    </row>
    <row r="1860" spans="2:2 1833:1833">
      <c r="B1860" s="10"/>
    </row>
    <row r="1861" spans="2:2 1833:1833">
      <c r="B1861" s="10"/>
    </row>
    <row r="1862" spans="2:2 1833:1833">
      <c r="B1862" s="10"/>
    </row>
    <row r="1863" spans="2:2 1833:1833">
      <c r="B1863" s="10"/>
    </row>
    <row r="1864" spans="2:2 1833:1833">
      <c r="B1864" s="10"/>
    </row>
    <row r="1865" spans="2:2 1833:1833">
      <c r="B1865" s="10"/>
    </row>
    <row r="1866" spans="2:2 1833:1833">
      <c r="B1866" s="10"/>
    </row>
    <row r="1867" spans="2:2 1833:1833">
      <c r="B1867" s="10"/>
    </row>
    <row r="1868" spans="2:2 1833:1833">
      <c r="B1868" s="10"/>
    </row>
    <row r="1869" spans="2:2 1833:1833">
      <c r="B1869" s="10"/>
    </row>
    <row r="1870" spans="2:2 1833:1833">
      <c r="B1870" s="10"/>
    </row>
    <row r="1871" spans="2:2 1833:1833">
      <c r="B1871" s="10"/>
    </row>
    <row r="1872" spans="2:2 1833:1833">
      <c r="B1872" s="10"/>
      <c r="BRM1872" s="8" t="s">
        <v>195</v>
      </c>
    </row>
    <row r="1873" spans="2:2 1400:1544 2063:3032 3128:3272">
      <c r="B1873" s="10"/>
      <c r="BAV1873" s="8" t="s">
        <v>757</v>
      </c>
      <c r="BCR1873" s="8" t="s">
        <v>757</v>
      </c>
      <c r="BEN1873" s="8" t="s">
        <v>757</v>
      </c>
      <c r="BGJ1873" s="8" t="s">
        <v>757</v>
      </c>
    </row>
    <row r="1874" spans="2:2 1400:1544 2063:3032 3128:3272">
      <c r="B1874" s="10"/>
      <c r="CAI1874" s="8" t="s">
        <v>2417</v>
      </c>
      <c r="CCE1874" s="8" t="s">
        <v>1990</v>
      </c>
      <c r="CFW1874" s="8" t="s">
        <v>1494</v>
      </c>
      <c r="CHS1874" s="8" t="s">
        <v>1494</v>
      </c>
      <c r="CJO1874" s="8" t="s">
        <v>1494</v>
      </c>
      <c r="CLK1874" s="8" t="s">
        <v>1494</v>
      </c>
    </row>
    <row r="1875" spans="2:2 1400:1544 2063:3032 3128:3272">
      <c r="B1875" s="10"/>
      <c r="CAR1875" s="8" t="s">
        <v>2418</v>
      </c>
      <c r="CCN1875" s="8" t="s">
        <v>1991</v>
      </c>
      <c r="CGF1875" s="8" t="s">
        <v>758</v>
      </c>
      <c r="CIB1875" s="8" t="s">
        <v>758</v>
      </c>
      <c r="CJX1875" s="8" t="s">
        <v>758</v>
      </c>
      <c r="CLT1875" s="8" t="s">
        <v>758</v>
      </c>
    </row>
    <row r="1876" spans="2:2 1400:1544 2063:3032 3128:3272">
      <c r="B1876" s="10"/>
      <c r="CAR1876" s="8" t="s">
        <v>2419</v>
      </c>
      <c r="CCN1876" s="8" t="s">
        <v>1992</v>
      </c>
      <c r="CGF1876" s="8" t="s">
        <v>751</v>
      </c>
      <c r="CIB1876" s="8" t="s">
        <v>751</v>
      </c>
      <c r="CJX1876" s="8" t="s">
        <v>751</v>
      </c>
      <c r="CLT1876" s="8" t="s">
        <v>751</v>
      </c>
    </row>
    <row r="1877" spans="2:2 1400:1544 2063:3032 3128:3272">
      <c r="B1877" s="10"/>
      <c r="DJT1877" s="8" t="s">
        <v>2420</v>
      </c>
      <c r="DLP1877" s="8" t="s">
        <v>1993</v>
      </c>
      <c r="DPH1877" s="8" t="s">
        <v>759</v>
      </c>
      <c r="DRD1877" s="8" t="s">
        <v>759</v>
      </c>
      <c r="DSZ1877" s="8" t="s">
        <v>759</v>
      </c>
      <c r="DUV1877" s="8" t="s">
        <v>759</v>
      </c>
    </row>
    <row r="1878" spans="2:2 1400:1544 2063:3032 3128:3272">
      <c r="B1878" s="10"/>
    </row>
    <row r="1879" spans="2:2 1400:1544 2063:3032 3128:3272">
      <c r="B1879" s="10"/>
    </row>
    <row r="1880" spans="2:2 1400:1544 2063:3032 3128:3272">
      <c r="B1880" s="10"/>
    </row>
    <row r="1881" spans="2:2 1400:1544 2063:3032 3128:3272">
      <c r="B1881" s="10"/>
    </row>
    <row r="1882" spans="2:2 1400:1544 2063:3032 3128:3272">
      <c r="B1882" s="10"/>
    </row>
    <row r="1883" spans="2:2 1400:1544 2063:3032 3128:3272">
      <c r="B1883" s="10"/>
    </row>
    <row r="1884" spans="2:2 1400:1544 2063:3032 3128:3272">
      <c r="B1884" s="10"/>
    </row>
    <row r="1885" spans="2:2 1400:1544 2063:3032 3128:3272">
      <c r="B1885" s="10"/>
    </row>
    <row r="1886" spans="2:2 1400:1544 2063:3032 3128:3272">
      <c r="B1886" s="10"/>
    </row>
    <row r="1887" spans="2:2 1400:1544 2063:3032 3128:3272">
      <c r="B1887" s="10"/>
    </row>
    <row r="1888" spans="2:2 1400:1544 2063:3032 3128:3272">
      <c r="B1888" s="10"/>
    </row>
    <row r="1889" spans="2:2 1352:2024 2072:2303 3944:3992">
      <c r="B1889" s="10"/>
    </row>
    <row r="1890" spans="2:2 1352:2024 2072:2303 3944:3992">
      <c r="B1890" s="10"/>
    </row>
    <row r="1891" spans="2:2 1352:2024 2072:2303 3944:3992">
      <c r="B1891" s="10"/>
    </row>
    <row r="1892" spans="2:2 1352:2024 2072:2303 3944:3992">
      <c r="B1892" s="10"/>
    </row>
    <row r="1893" spans="2:2 1352:2024 2072:2303 3944:3992">
      <c r="B1893" s="10"/>
    </row>
    <row r="1894" spans="2:2 1352:2024 2072:2303 3944:3992">
      <c r="B1894" s="10"/>
    </row>
    <row r="1895" spans="2:2 1352:2024 2072:2303 3944:3992">
      <c r="B1895" s="10"/>
    </row>
    <row r="1896" spans="2:2 1352:2024 2072:2303 3944:3992">
      <c r="B1896" s="10"/>
    </row>
    <row r="1897" spans="2:2 1352:2024 2072:2303 3944:3992">
      <c r="B1897" s="10"/>
    </row>
    <row r="1898" spans="2:2 1352:2024 2072:2303 3944:3992">
      <c r="B1898" s="10"/>
      <c r="AYZ1898" s="8" t="s">
        <v>1492</v>
      </c>
      <c r="BAV1898" s="8" t="s">
        <v>1492</v>
      </c>
    </row>
    <row r="1899" spans="2:2 1352:2024 2072:2303 3944:3992">
      <c r="B1899" s="10"/>
      <c r="BGB1899" s="8" t="s">
        <v>735</v>
      </c>
      <c r="BHX1899" s="8" t="s">
        <v>735</v>
      </c>
    </row>
    <row r="1900" spans="2:2 1352:2024 2072:2303 3944:3992">
      <c r="B1900" s="10"/>
      <c r="BKB1900" s="8" t="s">
        <v>736</v>
      </c>
      <c r="BLX1900" s="8" t="s">
        <v>736</v>
      </c>
    </row>
    <row r="1901" spans="2:2 1352:2024 2072:2303 3944:3992">
      <c r="B1901" s="10"/>
      <c r="BYV1901" s="8" t="s">
        <v>737</v>
      </c>
      <c r="CAR1901" s="8" t="s">
        <v>737</v>
      </c>
    </row>
    <row r="1902" spans="2:2 1352:2024 2072:2303 3944:3992">
      <c r="B1902" s="10"/>
      <c r="CHS1902" s="8" t="s">
        <v>738</v>
      </c>
      <c r="CJO1902" s="8" t="s">
        <v>738</v>
      </c>
    </row>
    <row r="1903" spans="2:2 1352:2024 2072:2303 3944:3992">
      <c r="B1903" s="10"/>
      <c r="EUR1903" s="8" t="s">
        <v>1493</v>
      </c>
      <c r="EWN1903" s="8" t="s">
        <v>1493</v>
      </c>
    </row>
    <row r="1904" spans="2:2 1352:2024 2072:2303 3944:3992">
      <c r="B1904" s="10"/>
    </row>
    <row r="1905" spans="2:2 1581:1880 2168:2264">
      <c r="B1905" s="10"/>
    </row>
    <row r="1906" spans="2:2 1581:1880 2168:2264">
      <c r="B1906" s="10"/>
    </row>
    <row r="1907" spans="2:2 1581:1880 2168:2264">
      <c r="B1907" s="10"/>
    </row>
    <row r="1908" spans="2:2 1581:1880 2168:2264">
      <c r="B1908" s="10"/>
    </row>
    <row r="1909" spans="2:2 1581:1880 2168:2264">
      <c r="B1909" s="10"/>
      <c r="BHU1909" s="8" t="s">
        <v>796</v>
      </c>
    </row>
    <row r="1910" spans="2:2 1581:1880 2168:2264">
      <c r="B1910" s="10"/>
      <c r="BTH1910" s="8" t="s">
        <v>797</v>
      </c>
    </row>
    <row r="1911" spans="2:2 1581:1880 2168:2264">
      <c r="B1911" s="10"/>
      <c r="CEJ1911" s="8" t="s">
        <v>798</v>
      </c>
    </row>
    <row r="1912" spans="2:2 1581:1880 2168:2264">
      <c r="B1912" s="10"/>
      <c r="CHT1912" s="8" t="s">
        <v>799</v>
      </c>
    </row>
    <row r="1913" spans="2:2 1581:1880 2168:2264">
      <c r="B1913" s="10"/>
      <c r="CIB1913" s="8" t="s">
        <v>800</v>
      </c>
    </row>
    <row r="1914" spans="2:2 1581:1880 2168:2264">
      <c r="B1914" s="10"/>
    </row>
    <row r="1915" spans="2:2 1581:1880 2168:2264">
      <c r="B1915" s="10"/>
    </row>
    <row r="1916" spans="2:2 1581:1880 2168:2264">
      <c r="B1916" s="10"/>
    </row>
    <row r="1917" spans="2:2 1581:1880 2168:2264">
      <c r="B1917" s="10"/>
    </row>
    <row r="1918" spans="2:2 1581:1880 2168:2264">
      <c r="B1918" s="10"/>
    </row>
    <row r="1919" spans="2:2 1581:1880 2168:2264">
      <c r="B1919" s="10"/>
    </row>
    <row r="1920" spans="2:2 1581:1880 2168:2264">
      <c r="B1920" s="10"/>
    </row>
    <row r="1921" spans="2:2 1352:2024 2744:2984 3272:3560">
      <c r="B1921" s="10"/>
    </row>
    <row r="1922" spans="2:2 1352:2024 2744:2984 3272:3560">
      <c r="B1922" s="10"/>
    </row>
    <row r="1923" spans="2:2 1352:2024 2744:2984 3272:3560">
      <c r="B1923" s="10"/>
      <c r="BJP1923" s="8" t="s">
        <v>2421</v>
      </c>
      <c r="BLL1923" s="8" t="s">
        <v>1994</v>
      </c>
      <c r="BPD1923" s="8" t="s">
        <v>1495</v>
      </c>
      <c r="BQZ1923" s="8" t="s">
        <v>1495</v>
      </c>
      <c r="BSV1923" s="8" t="s">
        <v>1495</v>
      </c>
      <c r="BUR1923" s="8" t="s">
        <v>1495</v>
      </c>
    </row>
    <row r="1924" spans="2:2 1352:2024 2744:2984 3272:3560">
      <c r="B1924" s="10"/>
      <c r="BJT1924" s="8" t="s">
        <v>2422</v>
      </c>
      <c r="BLP1924" s="8" t="s">
        <v>1995</v>
      </c>
      <c r="BPH1924" s="8" t="s">
        <v>1496</v>
      </c>
      <c r="BRD1924" s="8" t="s">
        <v>1496</v>
      </c>
      <c r="BSZ1924" s="8" t="s">
        <v>1496</v>
      </c>
      <c r="BUV1924" s="8" t="s">
        <v>1496</v>
      </c>
    </row>
    <row r="1925" spans="2:2 1352:2024 2744:2984 3272:3560">
      <c r="B1925" s="10"/>
      <c r="BNL1925" s="8" t="s">
        <v>2423</v>
      </c>
      <c r="BPH1925" s="8" t="s">
        <v>1996</v>
      </c>
      <c r="BSZ1925" s="8" t="s">
        <v>800</v>
      </c>
      <c r="BUV1925" s="8" t="s">
        <v>800</v>
      </c>
      <c r="BWR1925" s="8" t="s">
        <v>800</v>
      </c>
      <c r="BYN1925" s="8" t="s">
        <v>800</v>
      </c>
    </row>
    <row r="1926" spans="2:2 1352:2024 2744:2984 3272:3560">
      <c r="B1926" s="10"/>
      <c r="BNT1926" s="8" t="s">
        <v>2424</v>
      </c>
      <c r="BPP1926" s="8" t="s">
        <v>1997</v>
      </c>
      <c r="BTH1926" s="8" t="s">
        <v>801</v>
      </c>
      <c r="BVD1926" s="8" t="s">
        <v>801</v>
      </c>
      <c r="BWZ1926" s="8" t="s">
        <v>801</v>
      </c>
      <c r="BYV1926" s="8" t="s">
        <v>801</v>
      </c>
    </row>
    <row r="1927" spans="2:2 1352:2024 2744:2984 3272:3560">
      <c r="B1927" s="10"/>
      <c r="DUV1927" s="8" t="s">
        <v>2425</v>
      </c>
      <c r="DWR1927" s="8" t="s">
        <v>1998</v>
      </c>
      <c r="EAJ1927" s="8" t="s">
        <v>843</v>
      </c>
      <c r="ECF1927" s="8" t="s">
        <v>843</v>
      </c>
      <c r="EEB1927" s="8" t="s">
        <v>843</v>
      </c>
      <c r="EFX1927" s="8" t="s">
        <v>843</v>
      </c>
    </row>
    <row r="1928" spans="2:2 1352:2024 2744:2984 3272:3560">
      <c r="B1928" s="10"/>
    </row>
    <row r="1929" spans="2:2 1352:2024 2744:2984 3272:3560">
      <c r="B1929" s="10"/>
    </row>
    <row r="1930" spans="2:2 1352:2024 2744:2984 3272:3560">
      <c r="B1930" s="10"/>
    </row>
    <row r="1931" spans="2:2 1352:2024 2744:2984 3272:3560">
      <c r="B1931" s="10"/>
      <c r="AYZ1931" s="8" t="s">
        <v>740</v>
      </c>
    </row>
    <row r="1932" spans="2:2 1352:2024 2744:2984 3272:3560">
      <c r="B1932" s="10"/>
      <c r="DAN1932" s="8" t="s">
        <v>741</v>
      </c>
      <c r="DCJ1932" s="8" t="s">
        <v>741</v>
      </c>
    </row>
    <row r="1933" spans="2:2 1352:2024 2744:2984 3272:3560">
      <c r="B1933" s="10"/>
      <c r="DHX1933" s="8" t="s">
        <v>742</v>
      </c>
      <c r="DJT1933" s="8" t="s">
        <v>742</v>
      </c>
    </row>
    <row r="1934" spans="2:2 1352:2024 2744:2984 3272:3560">
      <c r="B1934" s="10"/>
    </row>
    <row r="1935" spans="2:2 1352:2024 2744:2984 3272:3560">
      <c r="B1935" s="10"/>
    </row>
    <row r="1936" spans="2:2 1352:2024 2744:2984 3272:3560">
      <c r="B1936" s="10"/>
    </row>
    <row r="1937" spans="2:2 1360:1616">
      <c r="B1937" s="10"/>
    </row>
    <row r="1938" spans="2:2 1360:1616">
      <c r="B1938" s="10"/>
    </row>
    <row r="1939" spans="2:2 1360:1616">
      <c r="B1939" s="10"/>
    </row>
    <row r="1940" spans="2:2 1360:1616">
      <c r="B1940" s="10"/>
    </row>
    <row r="1941" spans="2:2 1360:1616">
      <c r="B1941" s="10"/>
    </row>
    <row r="1942" spans="2:2 1360:1616">
      <c r="B1942" s="10"/>
    </row>
    <row r="1943" spans="2:2 1360:1616">
      <c r="B1943" s="10"/>
      <c r="AZH1943" s="8" t="s">
        <v>213</v>
      </c>
    </row>
    <row r="1944" spans="2:2 1360:1616">
      <c r="B1944" s="10"/>
      <c r="AZQ1944" s="8" t="s">
        <v>214</v>
      </c>
    </row>
    <row r="1945" spans="2:2 1360:1616">
      <c r="B1945" s="10"/>
      <c r="AZY1945" s="8" t="s">
        <v>215</v>
      </c>
    </row>
    <row r="1946" spans="2:2 1360:1616">
      <c r="B1946" s="10"/>
      <c r="BCB1946" s="8" t="s">
        <v>216</v>
      </c>
    </row>
    <row r="1947" spans="2:2 1360:1616">
      <c r="B1947" s="10"/>
      <c r="BCK1947" s="8" t="s">
        <v>217</v>
      </c>
    </row>
    <row r="1948" spans="2:2 1360:1616">
      <c r="B1948" s="10"/>
      <c r="BCS1948" s="8" t="s">
        <v>218</v>
      </c>
    </row>
    <row r="1949" spans="2:2 1360:1616">
      <c r="B1949" s="10"/>
      <c r="BHI1949" s="8" t="s">
        <v>219</v>
      </c>
    </row>
    <row r="1950" spans="2:2 1360:1616">
      <c r="B1950" s="10"/>
      <c r="BIF1950" s="8" t="s">
        <v>220</v>
      </c>
    </row>
    <row r="1951" spans="2:2 1360:1616">
      <c r="B1951" s="10"/>
      <c r="BIV1951" s="8" t="s">
        <v>221</v>
      </c>
    </row>
    <row r="1952" spans="2:2 1360:1616">
      <c r="B1952" s="10"/>
      <c r="BJD1952" s="8" t="s">
        <v>222</v>
      </c>
    </row>
    <row r="1953" spans="2:2 1715:2041 2049:2120">
      <c r="B1953" s="10"/>
      <c r="BMY1953" s="8" t="s">
        <v>223</v>
      </c>
    </row>
    <row r="1954" spans="2:2 1715:2041 2049:2120">
      <c r="B1954" s="10"/>
      <c r="BNU1954" s="8" t="s">
        <v>224</v>
      </c>
    </row>
    <row r="1955" spans="2:2 1715:2041 2049:2120">
      <c r="B1955" s="10"/>
      <c r="BQN1955" s="8" t="s">
        <v>225</v>
      </c>
    </row>
    <row r="1956" spans="2:2 1715:2041 2049:2120">
      <c r="B1956" s="10"/>
      <c r="BUG1956" s="8" t="s">
        <v>226</v>
      </c>
    </row>
    <row r="1957" spans="2:2 1715:2041 2049:2120">
      <c r="B1957" s="10"/>
      <c r="BYM1957" s="8" t="s">
        <v>227</v>
      </c>
    </row>
    <row r="1958" spans="2:2 1715:2041 2049:2120">
      <c r="B1958" s="10"/>
      <c r="BZM1958" s="8" t="s">
        <v>228</v>
      </c>
    </row>
    <row r="1959" spans="2:2 1715:2041 2049:2120">
      <c r="B1959" s="10"/>
      <c r="BZU1959" s="8" t="s">
        <v>229</v>
      </c>
    </row>
    <row r="1960" spans="2:2 1715:2041 2049:2120">
      <c r="B1960" s="10"/>
      <c r="CCN1960" s="8" t="s">
        <v>230</v>
      </c>
    </row>
    <row r="1961" spans="2:2 1715:2041 2049:2120">
      <c r="B1961" s="10"/>
    </row>
    <row r="1962" spans="2:2 1715:2041 2049:2120">
      <c r="B1962" s="10"/>
    </row>
    <row r="1963" spans="2:2 1715:2041 2049:2120">
      <c r="B1963" s="10"/>
    </row>
    <row r="1964" spans="2:2 1715:2041 2049:2120">
      <c r="B1964" s="10"/>
    </row>
    <row r="1965" spans="2:2 1715:2041 2049:2120">
      <c r="B1965" s="10"/>
    </row>
    <row r="1966" spans="2:2 1715:2041 2049:2120">
      <c r="B1966" s="10"/>
    </row>
    <row r="1967" spans="2:2 1715:2041 2049:2120">
      <c r="B1967" s="10"/>
    </row>
    <row r="1968" spans="2:2 1715:2041 2049:2120">
      <c r="B1968" s="10"/>
    </row>
    <row r="1969" spans="2:2 1352:1592 2351:2408 3272:3320">
      <c r="B1969" s="10"/>
    </row>
    <row r="1970" spans="2:2 1352:1592 2351:2408 3272:3320">
      <c r="B1970" s="10"/>
    </row>
    <row r="1971" spans="2:2 1352:1592 2351:2408 3272:3320">
      <c r="B1971" s="10"/>
    </row>
    <row r="1972" spans="2:2 1352:1592 2351:2408 3272:3320">
      <c r="B1972" s="10"/>
    </row>
    <row r="1973" spans="2:2 1352:1592 2351:2408 3272:3320">
      <c r="B1973" s="10"/>
      <c r="AYZ1973" s="8" t="s">
        <v>756</v>
      </c>
    </row>
    <row r="1974" spans="2:2 1352:1592 2351:2408 3272:3320">
      <c r="B1974" s="10"/>
      <c r="BGJ1974" s="8" t="s">
        <v>757</v>
      </c>
      <c r="BIF1974" s="8" t="s">
        <v>757</v>
      </c>
    </row>
    <row r="1975" spans="2:2 1352:1592 2351:2408 3272:3320">
      <c r="B1975" s="10"/>
      <c r="CLK1975" s="8" t="s">
        <v>1494</v>
      </c>
      <c r="CNG1975" s="8" t="s">
        <v>1494</v>
      </c>
    </row>
    <row r="1976" spans="2:2 1352:1592 2351:2408 3272:3320">
      <c r="B1976" s="10"/>
      <c r="CLT1976" s="8" t="s">
        <v>758</v>
      </c>
      <c r="CNP1976" s="8" t="s">
        <v>758</v>
      </c>
    </row>
    <row r="1977" spans="2:2 1352:1592 2351:2408 3272:3320">
      <c r="B1977" s="10"/>
      <c r="DUV1977" s="8" t="s">
        <v>759</v>
      </c>
      <c r="DWR1977" s="8" t="s">
        <v>759</v>
      </c>
    </row>
    <row r="1978" spans="2:2 1352:1592 2351:2408 3272:3320">
      <c r="B1978" s="10"/>
    </row>
    <row r="1979" spans="2:2 1352:1592 2351:2408 3272:3320">
      <c r="B1979" s="10"/>
    </row>
    <row r="1980" spans="2:2 1352:1592 2351:2408 3272:3320">
      <c r="B1980" s="10"/>
    </row>
    <row r="1981" spans="2:2 1352:1592 2351:2408 3272:3320">
      <c r="B1981" s="10"/>
    </row>
    <row r="1982" spans="2:2 1352:1592 2351:2408 3272:3320">
      <c r="B1982" s="10"/>
    </row>
    <row r="1983" spans="2:2 1352:1592 2351:2408 3272:3320">
      <c r="B1983" s="10"/>
    </row>
    <row r="1984" spans="2:2 1352:1592 2351:2408 3272:3320">
      <c r="B1984" s="10"/>
    </row>
    <row r="1985" spans="2:2">
      <c r="B1985" s="10"/>
    </row>
    <row r="1986" spans="2:2">
      <c r="B1986" s="10"/>
    </row>
    <row r="1987" spans="2:2">
      <c r="B1987" s="10"/>
    </row>
    <row r="1988" spans="2:2">
      <c r="B1988" s="10"/>
    </row>
    <row r="1989" spans="2:2">
      <c r="B1989" s="10"/>
    </row>
    <row r="1990" spans="2:2">
      <c r="B1990" s="10"/>
    </row>
    <row r="1991" spans="2:2">
      <c r="B1991" s="10"/>
    </row>
    <row r="1992" spans="2:2">
      <c r="B1992" s="10"/>
    </row>
    <row r="1993" spans="2:2">
      <c r="B1993" s="10"/>
    </row>
    <row r="1994" spans="2:2">
      <c r="B1994" s="10"/>
    </row>
    <row r="1995" spans="2:2">
      <c r="B1995" s="10"/>
    </row>
    <row r="1996" spans="2:2">
      <c r="B1996" s="10"/>
    </row>
    <row r="1997" spans="2:2">
      <c r="B1997" s="10"/>
    </row>
    <row r="1998" spans="2:2">
      <c r="B1998" s="10"/>
    </row>
    <row r="1999" spans="2:2">
      <c r="B1999" s="10"/>
    </row>
    <row r="2000" spans="2:2">
      <c r="B2000" s="10"/>
    </row>
    <row r="2001" spans="2:2">
      <c r="B2001" s="10"/>
    </row>
    <row r="2002" spans="2:2">
      <c r="B2002" s="10"/>
    </row>
    <row r="2003" spans="2:2">
      <c r="B2003" s="10"/>
    </row>
    <row r="2004" spans="2:2">
      <c r="B2004" s="10"/>
    </row>
    <row r="2005" spans="2:2">
      <c r="B2005" s="10"/>
    </row>
    <row r="2006" spans="2:2">
      <c r="B2006" s="10"/>
    </row>
    <row r="2007" spans="2:2">
      <c r="B2007" s="10"/>
    </row>
    <row r="2008" spans="2:2">
      <c r="B2008" s="10"/>
    </row>
    <row r="2009" spans="2:2">
      <c r="B2009" s="10"/>
    </row>
    <row r="2010" spans="2:2">
      <c r="B2010" s="10"/>
    </row>
    <row r="2011" spans="2:2">
      <c r="B2011" s="10"/>
    </row>
    <row r="2012" spans="2:2">
      <c r="B2012" s="10"/>
    </row>
    <row r="2013" spans="2:2">
      <c r="B2013" s="10"/>
    </row>
    <row r="2014" spans="2:2">
      <c r="B2014" s="10"/>
    </row>
    <row r="2015" spans="2:2">
      <c r="B2015" s="10"/>
    </row>
    <row r="2016" spans="2:2">
      <c r="B2016" s="10"/>
    </row>
    <row r="2017" spans="2:2">
      <c r="B2017" s="10"/>
    </row>
    <row r="2018" spans="2:2">
      <c r="B2018" s="10"/>
    </row>
    <row r="2019" spans="2:2">
      <c r="B2019" s="10"/>
    </row>
    <row r="2020" spans="2:2">
      <c r="B2020" s="10"/>
    </row>
    <row r="2021" spans="2:2">
      <c r="B2021" s="10"/>
    </row>
    <row r="2022" spans="2:2">
      <c r="B2022" s="10"/>
    </row>
    <row r="2023" spans="2:2">
      <c r="B2023" s="10"/>
    </row>
    <row r="2024" spans="2:2">
      <c r="B2024" s="10"/>
    </row>
    <row r="2025" spans="2:2">
      <c r="B2025" s="10"/>
    </row>
    <row r="2026" spans="2:2">
      <c r="B2026" s="10"/>
    </row>
    <row r="2027" spans="2:2">
      <c r="B2027" s="10"/>
    </row>
    <row r="2028" spans="2:2">
      <c r="B2028" s="10"/>
    </row>
    <row r="2029" spans="2:2">
      <c r="B2029" s="10"/>
    </row>
    <row r="2030" spans="2:2">
      <c r="B2030" s="10"/>
    </row>
    <row r="2031" spans="2:2">
      <c r="B2031" s="10"/>
    </row>
    <row r="2032" spans="2:2">
      <c r="B2032" s="10"/>
    </row>
    <row r="2033" spans="2:2 1389:2024 2064:2072 3560:3608">
      <c r="B2033" s="10"/>
    </row>
    <row r="2034" spans="2:2 1389:2024 2064:2072 3560:3608">
      <c r="B2034" s="10"/>
    </row>
    <row r="2035" spans="2:2 1389:2024 2064:2072 3560:3608">
      <c r="B2035" s="10"/>
      <c r="BAK2035" s="8" t="s">
        <v>797</v>
      </c>
    </row>
    <row r="2036" spans="2:2 1389:2024 2064:2072 3560:3608">
      <c r="B2036" s="10"/>
      <c r="BKB2036" s="8" t="s">
        <v>798</v>
      </c>
      <c r="BLX2036" s="8" t="s">
        <v>798</v>
      </c>
    </row>
    <row r="2037" spans="2:2 1389:2024 2064:2072 3560:3608">
      <c r="B2037" s="10"/>
      <c r="BUR2037" s="8" t="s">
        <v>1495</v>
      </c>
      <c r="BWN2037" s="8" t="s">
        <v>1495</v>
      </c>
    </row>
    <row r="2038" spans="2:2 1389:2024 2064:2072 3560:3608">
      <c r="B2038" s="10"/>
      <c r="BUV2038" s="8" t="s">
        <v>1496</v>
      </c>
      <c r="BWR2038" s="8" t="s">
        <v>1496</v>
      </c>
    </row>
    <row r="2039" spans="2:2 1389:2024 2064:2072 3560:3608">
      <c r="B2039" s="10"/>
      <c r="BYN2039" s="8" t="s">
        <v>800</v>
      </c>
      <c r="CAJ2039" s="8" t="s">
        <v>800</v>
      </c>
    </row>
    <row r="2040" spans="2:2 1389:2024 2064:2072 3560:3608">
      <c r="B2040" s="10"/>
      <c r="BYV2040" s="8" t="s">
        <v>801</v>
      </c>
      <c r="CAR2040" s="8" t="s">
        <v>801</v>
      </c>
    </row>
    <row r="2041" spans="2:2 1389:2024 2064:2072 3560:3608">
      <c r="B2041" s="10"/>
      <c r="EFX2041" s="8" t="s">
        <v>843</v>
      </c>
      <c r="EHT2041" s="8" t="s">
        <v>843</v>
      </c>
    </row>
    <row r="2042" spans="2:2 1389:2024 2064:2072 3560:3608">
      <c r="B2042" s="10"/>
    </row>
    <row r="2043" spans="2:2 1389:2024 2064:2072 3560:3608">
      <c r="B2043" s="10"/>
    </row>
    <row r="2044" spans="2:2 1389:2024 2064:2072 3560:3608">
      <c r="B2044" s="10"/>
    </row>
    <row r="2045" spans="2:2 1389:2024 2064:2072 3560:3608">
      <c r="B2045" s="10"/>
    </row>
    <row r="2046" spans="2:2 1389:2024 2064:2072 3560:3608">
      <c r="B2046" s="10"/>
    </row>
    <row r="2047" spans="2:2 1389:2024 2064:2072 3560:3608">
      <c r="B2047" s="10"/>
    </row>
    <row r="2048" spans="2:2 1389:2024 2064:2072 3560:3608">
      <c r="B2048" s="10"/>
    </row>
    <row r="2049" spans="2:2 1363:1616">
      <c r="B2049" s="10"/>
      <c r="AZK2049" s="8" t="s">
        <v>252</v>
      </c>
    </row>
    <row r="2050" spans="2:2 1363:1616">
      <c r="B2050" s="10"/>
      <c r="BCR2050" s="8" t="s">
        <v>253</v>
      </c>
    </row>
    <row r="2051" spans="2:2 1363:1616">
      <c r="B2051" s="10"/>
      <c r="BJD2051" s="8" t="s">
        <v>254</v>
      </c>
    </row>
    <row r="2052" spans="2:2 1363:1616">
      <c r="B2052" s="10"/>
    </row>
    <row r="2053" spans="2:2 1363:1616">
      <c r="B2053" s="10"/>
    </row>
    <row r="2054" spans="2:2 1363:1616">
      <c r="B2054" s="10"/>
    </row>
    <row r="2055" spans="2:2 1363:1616">
      <c r="B2055" s="10"/>
    </row>
    <row r="2056" spans="2:2 1363:1616">
      <c r="B2056" s="10"/>
    </row>
    <row r="2057" spans="2:2 1363:1616">
      <c r="B2057" s="10"/>
    </row>
    <row r="2058" spans="2:2 1363:1616">
      <c r="B2058" s="10"/>
    </row>
    <row r="2059" spans="2:2 1363:1616">
      <c r="B2059" s="10"/>
    </row>
    <row r="2060" spans="2:2 1363:1616">
      <c r="B2060" s="10"/>
    </row>
    <row r="2061" spans="2:2 1363:1616">
      <c r="B2061" s="10"/>
    </row>
    <row r="2062" spans="2:2 1363:1616">
      <c r="B2062" s="10"/>
    </row>
    <row r="2063" spans="2:2 1363:1616">
      <c r="B2063" s="10"/>
    </row>
    <row r="2064" spans="2:2 1363:1616">
      <c r="B2064" s="10"/>
    </row>
    <row r="2065" spans="2:2">
      <c r="B2065" s="10"/>
    </row>
    <row r="2066" spans="2:2">
      <c r="B2066" s="10"/>
    </row>
    <row r="2067" spans="2:2">
      <c r="B2067" s="10"/>
    </row>
    <row r="2068" spans="2:2">
      <c r="B2068" s="10"/>
    </row>
    <row r="2069" spans="2:2">
      <c r="B2069" s="10"/>
    </row>
    <row r="2070" spans="2:2">
      <c r="B2070" s="10"/>
    </row>
    <row r="2071" spans="2:2">
      <c r="B2071" s="10"/>
    </row>
    <row r="2072" spans="2:2">
      <c r="B2072" s="10"/>
    </row>
    <row r="2073" spans="2:2">
      <c r="B2073" s="10"/>
    </row>
    <row r="2074" spans="2:2">
      <c r="B2074" s="10"/>
    </row>
    <row r="2075" spans="2:2">
      <c r="B2075" s="10"/>
    </row>
    <row r="2076" spans="2:2">
      <c r="B2076" s="10"/>
    </row>
    <row r="2077" spans="2:2">
      <c r="B2077" s="10"/>
    </row>
    <row r="2078" spans="2:2">
      <c r="B2078" s="10"/>
    </row>
    <row r="2079" spans="2:2">
      <c r="B2079" s="10"/>
    </row>
    <row r="2080" spans="2:2">
      <c r="B2080" s="10"/>
    </row>
    <row r="2081" spans="2:2">
      <c r="B2081" s="10"/>
    </row>
    <row r="2082" spans="2:2">
      <c r="B2082" s="10"/>
    </row>
    <row r="2083" spans="2:2">
      <c r="B2083" s="10"/>
    </row>
    <row r="2084" spans="2:2">
      <c r="B2084" s="10"/>
    </row>
    <row r="2085" spans="2:2">
      <c r="B2085" s="10"/>
    </row>
    <row r="2086" spans="2:2">
      <c r="B2086" s="10"/>
    </row>
    <row r="2087" spans="2:2">
      <c r="B2087" s="10"/>
    </row>
    <row r="2088" spans="2:2">
      <c r="B2088" s="10"/>
    </row>
    <row r="2089" spans="2:2">
      <c r="B2089" s="10"/>
    </row>
    <row r="2090" spans="2:2">
      <c r="B2090" s="10"/>
    </row>
    <row r="2091" spans="2:2">
      <c r="B2091" s="10"/>
    </row>
    <row r="2092" spans="2:2">
      <c r="B2092" s="10"/>
    </row>
    <row r="2093" spans="2:2">
      <c r="B2093" s="10"/>
    </row>
    <row r="2094" spans="2:2">
      <c r="B2094" s="10"/>
    </row>
    <row r="2095" spans="2:2">
      <c r="B2095" s="10"/>
    </row>
    <row r="2096" spans="2:2">
      <c r="B2096" s="10"/>
    </row>
    <row r="2097" spans="2:2">
      <c r="B2097" s="10"/>
    </row>
    <row r="2098" spans="2:2">
      <c r="B2098" s="10"/>
    </row>
    <row r="2099" spans="2:2">
      <c r="B2099" s="10"/>
    </row>
    <row r="2100" spans="2:2">
      <c r="B2100" s="10"/>
    </row>
    <row r="2101" spans="2:2">
      <c r="B2101" s="10"/>
    </row>
    <row r="2102" spans="2:2">
      <c r="B2102" s="10"/>
    </row>
    <row r="2103" spans="2:2">
      <c r="B2103" s="10"/>
    </row>
    <row r="2104" spans="2:2">
      <c r="B2104" s="10"/>
    </row>
    <row r="2105" spans="2:2">
      <c r="B2105" s="10"/>
    </row>
    <row r="2106" spans="2:2">
      <c r="B2106" s="10"/>
    </row>
    <row r="2107" spans="2:2">
      <c r="B2107" s="10"/>
    </row>
    <row r="2108" spans="2:2">
      <c r="B2108" s="10"/>
    </row>
    <row r="2109" spans="2:2">
      <c r="B2109" s="10"/>
    </row>
    <row r="2110" spans="2:2">
      <c r="B2110" s="10"/>
    </row>
    <row r="2111" spans="2:2">
      <c r="B2111" s="10"/>
    </row>
    <row r="2112" spans="2:2">
      <c r="B2112" s="10"/>
    </row>
    <row r="2113" spans="2:2">
      <c r="B2113" s="10"/>
    </row>
    <row r="2114" spans="2:2">
      <c r="B2114" s="10"/>
    </row>
    <row r="2115" spans="2:2">
      <c r="B2115" s="10"/>
    </row>
    <row r="2116" spans="2:2">
      <c r="B2116" s="10"/>
    </row>
    <row r="2117" spans="2:2">
      <c r="B2117" s="10"/>
    </row>
    <row r="2118" spans="2:2">
      <c r="B2118" s="10"/>
    </row>
    <row r="2119" spans="2:2">
      <c r="B2119" s="10"/>
    </row>
    <row r="2120" spans="2:2">
      <c r="B2120" s="10"/>
    </row>
    <row r="2121" spans="2:2">
      <c r="B2121" s="10"/>
    </row>
    <row r="2122" spans="2:2">
      <c r="B2122" s="10"/>
    </row>
    <row r="2123" spans="2:2">
      <c r="B2123" s="10"/>
    </row>
    <row r="2124" spans="2:2">
      <c r="B2124" s="10"/>
    </row>
    <row r="2125" spans="2:2">
      <c r="B2125" s="10"/>
    </row>
    <row r="2126" spans="2:2">
      <c r="B2126" s="10"/>
    </row>
    <row r="2127" spans="2:2">
      <c r="B2127" s="10"/>
    </row>
    <row r="2128" spans="2:2">
      <c r="B2128" s="10"/>
    </row>
    <row r="2129" spans="2:2">
      <c r="B2129" s="10"/>
    </row>
    <row r="2130" spans="2:2">
      <c r="B2130" s="10"/>
    </row>
    <row r="2131" spans="2:2">
      <c r="B2131" s="10"/>
    </row>
    <row r="2132" spans="2:2">
      <c r="B2132" s="10"/>
    </row>
    <row r="2133" spans="2:2">
      <c r="B2133" s="10"/>
    </row>
    <row r="2134" spans="2:2">
      <c r="B2134" s="10"/>
    </row>
    <row r="2135" spans="2:2">
      <c r="B2135" s="10"/>
    </row>
    <row r="2136" spans="2:2">
      <c r="B2136" s="10"/>
    </row>
    <row r="2137" spans="2:2">
      <c r="B2137" s="10"/>
    </row>
    <row r="2138" spans="2:2">
      <c r="B2138" s="10"/>
    </row>
    <row r="2139" spans="2:2">
      <c r="B2139" s="10"/>
    </row>
    <row r="2140" spans="2:2">
      <c r="B2140" s="10"/>
    </row>
    <row r="2141" spans="2:2">
      <c r="B2141" s="10"/>
    </row>
    <row r="2142" spans="2:2">
      <c r="B2142" s="10"/>
    </row>
    <row r="2143" spans="2:2">
      <c r="B2143" s="10"/>
    </row>
    <row r="2144" spans="2:2">
      <c r="B2144" s="10"/>
    </row>
    <row r="2145" spans="2:2">
      <c r="B2145" s="10"/>
    </row>
    <row r="2146" spans="2:2">
      <c r="B2146" s="10"/>
    </row>
    <row r="2147" spans="2:2">
      <c r="B2147" s="10"/>
    </row>
    <row r="2148" spans="2:2">
      <c r="B2148" s="10"/>
    </row>
    <row r="2149" spans="2:2">
      <c r="B2149" s="10"/>
    </row>
    <row r="2150" spans="2:2">
      <c r="B2150" s="10"/>
    </row>
    <row r="2151" spans="2:2">
      <c r="B2151" s="10"/>
    </row>
    <row r="2152" spans="2:2">
      <c r="B2152" s="10"/>
    </row>
    <row r="2153" spans="2:2">
      <c r="B2153" s="10"/>
    </row>
    <row r="2154" spans="2:2">
      <c r="B2154" s="10"/>
    </row>
    <row r="2155" spans="2:2">
      <c r="B2155" s="10"/>
    </row>
    <row r="2156" spans="2:2">
      <c r="B2156" s="10"/>
    </row>
    <row r="2157" spans="2:2">
      <c r="B2157" s="10"/>
    </row>
    <row r="2158" spans="2:2">
      <c r="B2158" s="10"/>
    </row>
    <row r="2159" spans="2:2">
      <c r="B2159" s="10"/>
    </row>
    <row r="2160" spans="2:2">
      <c r="B2160" s="10"/>
    </row>
    <row r="2161" spans="2:2">
      <c r="B2161" s="10"/>
    </row>
    <row r="2162" spans="2:2">
      <c r="B2162" s="10"/>
    </row>
    <row r="2163" spans="2:2">
      <c r="B2163" s="10"/>
    </row>
    <row r="2164" spans="2:2">
      <c r="B2164" s="10"/>
    </row>
    <row r="2165" spans="2:2">
      <c r="B2165" s="10"/>
    </row>
    <row r="2166" spans="2:2">
      <c r="B2166" s="10"/>
    </row>
    <row r="2167" spans="2:2">
      <c r="B2167" s="10"/>
    </row>
    <row r="2168" spans="2:2">
      <c r="B2168" s="10"/>
    </row>
    <row r="2169" spans="2:2">
      <c r="B2169" s="10"/>
    </row>
    <row r="2170" spans="2:2">
      <c r="B2170" s="10"/>
    </row>
    <row r="2171" spans="2:2">
      <c r="B2171" s="10"/>
    </row>
    <row r="2172" spans="2:2">
      <c r="B2172" s="10"/>
    </row>
    <row r="2173" spans="2:2">
      <c r="B2173" s="10"/>
    </row>
    <row r="2174" spans="2:2">
      <c r="B2174" s="10"/>
    </row>
    <row r="2175" spans="2:2">
      <c r="B2175" s="10"/>
    </row>
    <row r="2176" spans="2:2">
      <c r="B2176" s="10"/>
    </row>
    <row r="2177" spans="2:2 1468:1471">
      <c r="B2177" s="10"/>
    </row>
    <row r="2178" spans="2:2 1468:1471">
      <c r="B2178" s="10"/>
    </row>
    <row r="2179" spans="2:2 1468:1471">
      <c r="B2179" s="10"/>
    </row>
    <row r="2180" spans="2:2 1468:1471">
      <c r="B2180" s="10"/>
    </row>
    <row r="2181" spans="2:2 1468:1471">
      <c r="B2181" s="10"/>
    </row>
    <row r="2182" spans="2:2 1468:1471">
      <c r="B2182" s="10"/>
    </row>
    <row r="2183" spans="2:2 1468:1471">
      <c r="B2183" s="10"/>
    </row>
    <row r="2184" spans="2:2 1468:1471">
      <c r="B2184" s="10"/>
    </row>
    <row r="2185" spans="2:2 1468:1471">
      <c r="B2185" s="10"/>
    </row>
    <row r="2186" spans="2:2 1468:1471">
      <c r="B2186" s="10"/>
    </row>
    <row r="2187" spans="2:2 1468:1471">
      <c r="B2187" s="10"/>
    </row>
    <row r="2188" spans="2:2 1468:1471">
      <c r="B2188" s="10"/>
    </row>
    <row r="2189" spans="2:2 1468:1471">
      <c r="B2189" s="10"/>
    </row>
    <row r="2190" spans="2:2 1468:1471">
      <c r="B2190" s="10"/>
    </row>
    <row r="2191" spans="2:2 1468:1471">
      <c r="B2191" s="10"/>
      <c r="BDL2191" s="8" t="s">
        <v>266</v>
      </c>
    </row>
    <row r="2192" spans="2:2 1468:1471">
      <c r="B2192" s="10"/>
      <c r="BDO2192" s="8" t="s">
        <v>267</v>
      </c>
    </row>
    <row r="2193" spans="2:2 1665:1665 2120:2120">
      <c r="B2193" s="10"/>
      <c r="BLA2193" s="8" t="s">
        <v>268</v>
      </c>
    </row>
    <row r="2194" spans="2:2 1665:1665 2120:2120">
      <c r="B2194" s="10"/>
      <c r="CCN2194" s="8" t="s">
        <v>269</v>
      </c>
    </row>
    <row r="2195" spans="2:2 1665:1665 2120:2120">
      <c r="B2195" s="10"/>
    </row>
    <row r="2196" spans="2:2 1665:1665 2120:2120">
      <c r="B2196" s="10"/>
    </row>
    <row r="2197" spans="2:2 1665:1665 2120:2120">
      <c r="B2197" s="10"/>
    </row>
    <row r="2198" spans="2:2 1665:1665 2120:2120">
      <c r="B2198" s="10"/>
    </row>
    <row r="2199" spans="2:2 1665:1665 2120:2120">
      <c r="B2199" s="10"/>
    </row>
    <row r="2200" spans="2:2 1665:1665 2120:2120">
      <c r="B2200" s="10"/>
    </row>
    <row r="2201" spans="2:2 1665:1665 2120:2120">
      <c r="B2201" s="10"/>
    </row>
    <row r="2202" spans="2:2 1665:1665 2120:2120">
      <c r="B2202" s="10"/>
    </row>
    <row r="2203" spans="2:2 1665:1665 2120:2120">
      <c r="B2203" s="10"/>
    </row>
    <row r="2204" spans="2:2 1665:1665 2120:2120">
      <c r="B2204" s="10"/>
    </row>
    <row r="2205" spans="2:2 1665:1665 2120:2120">
      <c r="B2205" s="10"/>
    </row>
    <row r="2206" spans="2:2 1665:1665 2120:2120">
      <c r="B2206" s="10"/>
    </row>
    <row r="2207" spans="2:2 1665:1665 2120:2120">
      <c r="B2207" s="10"/>
    </row>
    <row r="2208" spans="2:2 1665:1665 2120:2120">
      <c r="B2208" s="10"/>
    </row>
    <row r="2209" spans="2:2">
      <c r="B2209" s="10"/>
    </row>
    <row r="2210" spans="2:2">
      <c r="B2210" s="10"/>
    </row>
    <row r="2211" spans="2:2">
      <c r="B2211" s="10"/>
    </row>
    <row r="2212" spans="2:2">
      <c r="B2212" s="10"/>
    </row>
    <row r="2213" spans="2:2">
      <c r="B2213" s="10"/>
    </row>
    <row r="2214" spans="2:2">
      <c r="B2214" s="10"/>
    </row>
    <row r="2215" spans="2:2">
      <c r="B2215" s="10"/>
    </row>
    <row r="2216" spans="2:2">
      <c r="B2216" s="10"/>
    </row>
    <row r="2217" spans="2:2">
      <c r="B2217" s="10"/>
    </row>
    <row r="2218" spans="2:2">
      <c r="B2218" s="10"/>
    </row>
    <row r="2219" spans="2:2">
      <c r="B2219" s="10"/>
    </row>
    <row r="2220" spans="2:2">
      <c r="B2220" s="10"/>
    </row>
    <row r="2221" spans="2:2">
      <c r="B2221" s="10"/>
    </row>
    <row r="2222" spans="2:2">
      <c r="B2222" s="10"/>
    </row>
    <row r="2223" spans="2:2">
      <c r="B2223" s="10"/>
    </row>
    <row r="2224" spans="2:2">
      <c r="B2224" s="10"/>
    </row>
    <row r="2225" spans="2:2">
      <c r="B2225" s="10"/>
    </row>
    <row r="2226" spans="2:2">
      <c r="B2226" s="10"/>
    </row>
    <row r="2227" spans="2:2">
      <c r="B2227" s="10"/>
    </row>
    <row r="2228" spans="2:2">
      <c r="B2228" s="10"/>
    </row>
    <row r="2229" spans="2:2">
      <c r="B2229" s="10"/>
    </row>
    <row r="2230" spans="2:2">
      <c r="B2230" s="10"/>
    </row>
    <row r="2231" spans="2:2">
      <c r="B2231" s="10"/>
    </row>
    <row r="2232" spans="2:2">
      <c r="B2232" s="10"/>
    </row>
    <row r="2233" spans="2:2">
      <c r="B2233" s="10"/>
    </row>
    <row r="2234" spans="2:2">
      <c r="B2234" s="10"/>
    </row>
    <row r="2235" spans="2:2">
      <c r="B2235" s="10"/>
    </row>
    <row r="2236" spans="2:2">
      <c r="B2236" s="10"/>
    </row>
    <row r="2237" spans="2:2">
      <c r="B2237" s="10"/>
    </row>
    <row r="2238" spans="2:2">
      <c r="B2238" s="10"/>
    </row>
    <row r="2239" spans="2:2">
      <c r="B2239" s="10"/>
    </row>
    <row r="2240" spans="2:2">
      <c r="B2240" s="10"/>
    </row>
    <row r="2241" spans="2:2">
      <c r="B2241" s="10"/>
    </row>
    <row r="2242" spans="2:2">
      <c r="B2242" s="10"/>
    </row>
    <row r="2243" spans="2:2">
      <c r="B2243" s="10"/>
    </row>
    <row r="2244" spans="2:2">
      <c r="B2244" s="10"/>
    </row>
    <row r="2245" spans="2:2">
      <c r="B2245" s="10"/>
    </row>
    <row r="2246" spans="2:2">
      <c r="B2246" s="10"/>
    </row>
    <row r="2247" spans="2:2">
      <c r="B2247" s="10"/>
    </row>
    <row r="2248" spans="2:2">
      <c r="B2248" s="10"/>
    </row>
    <row r="2249" spans="2:2">
      <c r="B2249" s="10"/>
    </row>
    <row r="2250" spans="2:2">
      <c r="B2250" s="10"/>
    </row>
    <row r="2251" spans="2:2">
      <c r="B2251" s="10"/>
    </row>
    <row r="2252" spans="2:2">
      <c r="B2252" s="10"/>
    </row>
    <row r="2253" spans="2:2">
      <c r="B2253" s="10"/>
    </row>
    <row r="2254" spans="2:2">
      <c r="B2254" s="10"/>
    </row>
    <row r="2255" spans="2:2">
      <c r="B2255" s="10"/>
    </row>
    <row r="2256" spans="2:2">
      <c r="B2256" s="10"/>
    </row>
    <row r="2257" spans="2:2 1449:1568">
      <c r="B2257" s="10"/>
    </row>
    <row r="2258" spans="2:2 1449:1568">
      <c r="B2258" s="10"/>
    </row>
    <row r="2259" spans="2:2 1449:1568">
      <c r="B2259" s="10"/>
    </row>
    <row r="2260" spans="2:2 1449:1568">
      <c r="B2260" s="10"/>
    </row>
    <row r="2261" spans="2:2 1449:1568">
      <c r="B2261" s="10"/>
    </row>
    <row r="2262" spans="2:2 1449:1568">
      <c r="B2262" s="10"/>
    </row>
    <row r="2263" spans="2:2 1449:1568">
      <c r="B2263" s="10"/>
    </row>
    <row r="2264" spans="2:2 1449:1568">
      <c r="B2264" s="10"/>
    </row>
    <row r="2265" spans="2:2 1449:1568">
      <c r="B2265" s="10"/>
    </row>
    <row r="2266" spans="2:2 1449:1568">
      <c r="B2266" s="10"/>
    </row>
    <row r="2267" spans="2:2 1449:1568">
      <c r="B2267" s="10"/>
    </row>
    <row r="2268" spans="2:2 1449:1568">
      <c r="B2268" s="10"/>
    </row>
    <row r="2269" spans="2:2 1449:1568">
      <c r="B2269" s="10"/>
    </row>
    <row r="2270" spans="2:2 1449:1568">
      <c r="B2270" s="10"/>
      <c r="BCS2270" s="8" t="s">
        <v>302</v>
      </c>
    </row>
    <row r="2271" spans="2:2 1449:1568">
      <c r="B2271" s="10"/>
      <c r="BDP2271" s="8" t="s">
        <v>303</v>
      </c>
    </row>
    <row r="2272" spans="2:2 1449:1568">
      <c r="B2272" s="10"/>
      <c r="BHH2272" s="8" t="s">
        <v>304</v>
      </c>
    </row>
    <row r="2273" spans="2:2 1568:1949">
      <c r="B2273" s="10"/>
      <c r="BHH2273" s="8" t="s">
        <v>305</v>
      </c>
    </row>
    <row r="2274" spans="2:2 1568:1949">
      <c r="B2274" s="10"/>
      <c r="BMV2274" s="8" t="s">
        <v>306</v>
      </c>
    </row>
    <row r="2275" spans="2:2 1568:1949">
      <c r="B2275" s="10"/>
      <c r="BQN2275" s="8" t="s">
        <v>307</v>
      </c>
    </row>
    <row r="2276" spans="2:2 1568:1949">
      <c r="B2276" s="10"/>
      <c r="BTI2276" s="8" t="s">
        <v>308</v>
      </c>
    </row>
    <row r="2277" spans="2:2 1568:1949">
      <c r="B2277" s="10"/>
      <c r="BVY2277" s="8" t="s">
        <v>309</v>
      </c>
    </row>
    <row r="2278" spans="2:2 1568:1949">
      <c r="B2278" s="10"/>
    </row>
    <row r="2279" spans="2:2 1568:1949">
      <c r="B2279" s="10"/>
    </row>
    <row r="2280" spans="2:2 1568:1949">
      <c r="B2280" s="10"/>
    </row>
    <row r="2281" spans="2:2 1568:1949">
      <c r="B2281" s="10"/>
    </row>
    <row r="2282" spans="2:2 1568:1949">
      <c r="B2282" s="10"/>
    </row>
    <row r="2283" spans="2:2 1568:1949">
      <c r="B2283" s="10"/>
    </row>
    <row r="2284" spans="2:2 1568:1949">
      <c r="B2284" s="10"/>
    </row>
    <row r="2285" spans="2:2 1568:1949">
      <c r="B2285" s="10"/>
    </row>
    <row r="2286" spans="2:2 1568:1949">
      <c r="B2286" s="10"/>
    </row>
    <row r="2287" spans="2:2 1568:1949">
      <c r="B2287" s="10"/>
    </row>
    <row r="2288" spans="2:2 1568:1949">
      <c r="B2288" s="10"/>
    </row>
    <row r="2289" spans="2:2">
      <c r="B2289" s="10"/>
    </row>
    <row r="2290" spans="2:2">
      <c r="B2290" s="10"/>
    </row>
    <row r="2291" spans="2:2">
      <c r="B2291" s="10"/>
    </row>
    <row r="2292" spans="2:2">
      <c r="B2292" s="10"/>
    </row>
    <row r="2293" spans="2:2">
      <c r="B2293" s="10"/>
    </row>
    <row r="2294" spans="2:2">
      <c r="B2294" s="10"/>
    </row>
    <row r="2295" spans="2:2">
      <c r="B2295" s="10"/>
    </row>
    <row r="2296" spans="2:2">
      <c r="B2296" s="10"/>
    </row>
    <row r="2297" spans="2:2">
      <c r="B2297" s="10"/>
    </row>
    <row r="2298" spans="2:2">
      <c r="B2298" s="10"/>
    </row>
    <row r="2299" spans="2:2">
      <c r="B2299" s="10"/>
    </row>
    <row r="2300" spans="2:2">
      <c r="B2300" s="10"/>
    </row>
    <row r="2301" spans="2:2">
      <c r="B2301" s="10"/>
    </row>
    <row r="2302" spans="2:2">
      <c r="B2302" s="10"/>
    </row>
    <row r="2303" spans="2:2">
      <c r="B2303" s="10"/>
    </row>
    <row r="2304" spans="2:2">
      <c r="B2304" s="10"/>
    </row>
    <row r="2305" spans="2:2">
      <c r="B2305" s="10"/>
    </row>
    <row r="2306" spans="2:2">
      <c r="B2306" s="10"/>
    </row>
    <row r="2307" spans="2:2">
      <c r="B2307" s="10"/>
    </row>
    <row r="2308" spans="2:2">
      <c r="B2308" s="10"/>
    </row>
    <row r="2309" spans="2:2">
      <c r="B2309" s="10"/>
    </row>
    <row r="2310" spans="2:2">
      <c r="B2310" s="10"/>
    </row>
    <row r="2311" spans="2:2">
      <c r="B2311" s="10"/>
    </row>
    <row r="2312" spans="2:2">
      <c r="B2312" s="10"/>
    </row>
    <row r="2313" spans="2:2">
      <c r="B2313" s="10"/>
    </row>
    <row r="2314" spans="2:2">
      <c r="B2314" s="10"/>
    </row>
    <row r="2315" spans="2:2">
      <c r="B2315" s="10"/>
    </row>
    <row r="2316" spans="2:2">
      <c r="B2316" s="10"/>
    </row>
    <row r="2317" spans="2:2">
      <c r="B2317" s="10"/>
    </row>
    <row r="2318" spans="2:2">
      <c r="B2318" s="10"/>
    </row>
    <row r="2319" spans="2:2">
      <c r="B2319" s="10"/>
    </row>
    <row r="2320" spans="2:2">
      <c r="B2320" s="10"/>
    </row>
    <row r="2321" spans="2:2">
      <c r="B2321" s="10"/>
    </row>
    <row r="2322" spans="2:2">
      <c r="B2322" s="10"/>
    </row>
    <row r="2323" spans="2:2">
      <c r="B2323" s="10"/>
    </row>
    <row r="2324" spans="2:2">
      <c r="B2324" s="10"/>
    </row>
    <row r="2325" spans="2:2">
      <c r="B2325" s="10"/>
    </row>
    <row r="2326" spans="2:2">
      <c r="B2326" s="10"/>
    </row>
    <row r="2327" spans="2:2">
      <c r="B2327" s="10"/>
    </row>
    <row r="2328" spans="2:2">
      <c r="B2328" s="10"/>
    </row>
    <row r="2329" spans="2:2">
      <c r="B2329" s="10"/>
    </row>
    <row r="2330" spans="2:2">
      <c r="B2330" s="10"/>
    </row>
    <row r="2331" spans="2:2">
      <c r="B2331" s="10"/>
    </row>
    <row r="2332" spans="2:2">
      <c r="B2332" s="10"/>
    </row>
    <row r="2333" spans="2:2">
      <c r="B2333" s="10"/>
    </row>
    <row r="2334" spans="2:2">
      <c r="B2334" s="10"/>
    </row>
    <row r="2335" spans="2:2">
      <c r="B2335" s="10"/>
    </row>
    <row r="2336" spans="2:2">
      <c r="B2336" s="10"/>
    </row>
    <row r="2337" spans="2:2">
      <c r="B2337" s="10"/>
    </row>
    <row r="2338" spans="2:2">
      <c r="B2338" s="10"/>
    </row>
    <row r="2339" spans="2:2">
      <c r="B2339" s="10"/>
    </row>
    <row r="2340" spans="2:2">
      <c r="B2340" s="10"/>
    </row>
    <row r="2341" spans="2:2">
      <c r="B2341" s="10"/>
    </row>
    <row r="2342" spans="2:2">
      <c r="B2342" s="10"/>
    </row>
    <row r="2343" spans="2:2">
      <c r="B2343" s="10"/>
    </row>
    <row r="2344" spans="2:2">
      <c r="B2344" s="10"/>
    </row>
    <row r="2345" spans="2:2">
      <c r="B2345" s="10"/>
    </row>
    <row r="2346" spans="2:2">
      <c r="B2346" s="10"/>
    </row>
    <row r="2347" spans="2:2">
      <c r="B2347" s="10"/>
    </row>
    <row r="2348" spans="2:2">
      <c r="B2348" s="10"/>
    </row>
    <row r="2349" spans="2:2">
      <c r="B2349" s="10"/>
    </row>
    <row r="2350" spans="2:2">
      <c r="B2350" s="10"/>
    </row>
    <row r="2351" spans="2:2">
      <c r="B2351" s="10"/>
    </row>
    <row r="2352" spans="2:2">
      <c r="B2352" s="10"/>
    </row>
    <row r="2353" spans="2:2 1688:1736">
      <c r="B2353" s="10"/>
    </row>
    <row r="2354" spans="2:2 1688:1736">
      <c r="B2354" s="10"/>
    </row>
    <row r="2355" spans="2:2 1688:1736">
      <c r="B2355" s="10"/>
    </row>
    <row r="2356" spans="2:2 1688:1736">
      <c r="B2356" s="10"/>
    </row>
    <row r="2357" spans="2:2 1688:1736">
      <c r="B2357" s="10"/>
    </row>
    <row r="2358" spans="2:2 1688:1736">
      <c r="B2358" s="10"/>
    </row>
    <row r="2359" spans="2:2 1688:1736">
      <c r="B2359" s="10"/>
    </row>
    <row r="2360" spans="2:2 1688:1736">
      <c r="B2360" s="10"/>
    </row>
    <row r="2361" spans="2:2 1688:1736">
      <c r="B2361" s="10"/>
    </row>
    <row r="2362" spans="2:2 1688:1736">
      <c r="B2362" s="10"/>
    </row>
    <row r="2363" spans="2:2 1688:1736">
      <c r="B2363" s="10"/>
    </row>
    <row r="2364" spans="2:2 1688:1736">
      <c r="B2364" s="10"/>
    </row>
    <row r="2365" spans="2:2 1688:1736">
      <c r="B2365" s="10"/>
    </row>
    <row r="2366" spans="2:2 1688:1736">
      <c r="B2366" s="10"/>
    </row>
    <row r="2367" spans="2:2 1688:1736">
      <c r="B2367" s="10"/>
      <c r="BLX2367" s="8" t="s">
        <v>333</v>
      </c>
    </row>
    <row r="2368" spans="2:2 1688:1736">
      <c r="B2368" s="10"/>
      <c r="BNT2368" s="8" t="s">
        <v>334</v>
      </c>
    </row>
    <row r="2369" spans="2:2">
      <c r="B2369" s="10"/>
    </row>
    <row r="2370" spans="2:2">
      <c r="B2370" s="10"/>
    </row>
    <row r="2371" spans="2:2">
      <c r="B2371" s="10"/>
    </row>
    <row r="2372" spans="2:2">
      <c r="B2372" s="10"/>
    </row>
    <row r="2373" spans="2:2">
      <c r="B2373" s="10"/>
    </row>
    <row r="2374" spans="2:2">
      <c r="B2374" s="10"/>
    </row>
    <row r="2375" spans="2:2">
      <c r="B2375" s="10"/>
    </row>
    <row r="2376" spans="2:2">
      <c r="B2376" s="10"/>
    </row>
    <row r="2377" spans="2:2">
      <c r="B2377" s="10"/>
    </row>
    <row r="2378" spans="2:2">
      <c r="B2378" s="10"/>
    </row>
    <row r="2379" spans="2:2">
      <c r="B2379" s="10"/>
    </row>
    <row r="2380" spans="2:2">
      <c r="B2380" s="10"/>
    </row>
    <row r="2381" spans="2:2">
      <c r="B2381" s="10"/>
    </row>
    <row r="2382" spans="2:2">
      <c r="B2382" s="10"/>
    </row>
    <row r="2383" spans="2:2">
      <c r="B2383" s="10"/>
    </row>
    <row r="2384" spans="2:2">
      <c r="B2384" s="10"/>
    </row>
    <row r="2385" spans="2:2">
      <c r="B2385" s="10"/>
    </row>
    <row r="2386" spans="2:2">
      <c r="B2386" s="10"/>
    </row>
    <row r="2387" spans="2:2">
      <c r="B2387" s="10"/>
    </row>
    <row r="2388" spans="2:2">
      <c r="B2388" s="10"/>
    </row>
    <row r="2389" spans="2:2">
      <c r="B2389" s="10"/>
    </row>
    <row r="2390" spans="2:2">
      <c r="B2390" s="10"/>
    </row>
    <row r="2391" spans="2:2">
      <c r="B2391" s="10"/>
    </row>
    <row r="2392" spans="2:2">
      <c r="B2392" s="10"/>
    </row>
    <row r="2393" spans="2:2">
      <c r="B2393" s="10"/>
    </row>
    <row r="2394" spans="2:2">
      <c r="B2394" s="10"/>
    </row>
    <row r="2395" spans="2:2">
      <c r="B2395" s="10"/>
    </row>
    <row r="2396" spans="2:2">
      <c r="B2396" s="10"/>
    </row>
    <row r="2397" spans="2:2">
      <c r="B2397" s="10"/>
    </row>
    <row r="2398" spans="2:2">
      <c r="B2398" s="10"/>
    </row>
    <row r="2399" spans="2:2">
      <c r="B2399" s="10"/>
    </row>
    <row r="2400" spans="2:2">
      <c r="B2400" s="10"/>
    </row>
    <row r="2401" spans="2:2">
      <c r="B2401" s="10"/>
    </row>
    <row r="2402" spans="2:2">
      <c r="B2402" s="10"/>
    </row>
    <row r="2403" spans="2:2">
      <c r="B2403" s="10"/>
    </row>
    <row r="2404" spans="2:2">
      <c r="B2404" s="10"/>
    </row>
    <row r="2405" spans="2:2">
      <c r="B2405" s="10"/>
    </row>
    <row r="2406" spans="2:2">
      <c r="B2406" s="10"/>
    </row>
    <row r="2407" spans="2:2">
      <c r="B2407" s="10"/>
    </row>
    <row r="2408" spans="2:2">
      <c r="B2408" s="10"/>
    </row>
    <row r="2409" spans="2:2">
      <c r="B2409" s="10"/>
    </row>
    <row r="2410" spans="2:2">
      <c r="B2410" s="10"/>
    </row>
    <row r="2411" spans="2:2">
      <c r="B2411" s="10"/>
    </row>
    <row r="2412" spans="2:2">
      <c r="B2412" s="10"/>
    </row>
    <row r="2413" spans="2:2">
      <c r="B2413" s="10"/>
    </row>
    <row r="2414" spans="2:2">
      <c r="B2414" s="10"/>
    </row>
    <row r="2415" spans="2:2">
      <c r="B2415" s="10"/>
    </row>
    <row r="2416" spans="2:2">
      <c r="B2416" s="10"/>
    </row>
    <row r="2417" spans="2:2">
      <c r="B2417" s="10"/>
    </row>
    <row r="2418" spans="2:2">
      <c r="B2418" s="10"/>
    </row>
    <row r="2419" spans="2:2">
      <c r="B2419" s="10"/>
    </row>
    <row r="2420" spans="2:2">
      <c r="B2420" s="10"/>
    </row>
    <row r="2421" spans="2:2">
      <c r="B2421" s="10"/>
    </row>
    <row r="2422" spans="2:2">
      <c r="B2422" s="10"/>
    </row>
    <row r="2423" spans="2:2">
      <c r="B2423" s="10"/>
    </row>
    <row r="2424" spans="2:2">
      <c r="B2424" s="10"/>
    </row>
    <row r="2425" spans="2:2">
      <c r="B2425" s="10"/>
    </row>
    <row r="2426" spans="2:2">
      <c r="B2426" s="10"/>
    </row>
    <row r="2427" spans="2:2">
      <c r="B2427" s="10"/>
    </row>
    <row r="2428" spans="2:2">
      <c r="B2428" s="10"/>
    </row>
    <row r="2429" spans="2:2">
      <c r="B2429" s="10"/>
    </row>
    <row r="2430" spans="2:2">
      <c r="B2430" s="10"/>
    </row>
    <row r="2431" spans="2:2">
      <c r="B2431" s="10"/>
    </row>
    <row r="2432" spans="2:2">
      <c r="B2432" s="10"/>
    </row>
    <row r="2433" spans="2:2">
      <c r="B2433" s="10"/>
    </row>
    <row r="2434" spans="2:2">
      <c r="B2434" s="10"/>
    </row>
    <row r="2435" spans="2:2">
      <c r="B2435" s="10"/>
    </row>
    <row r="2436" spans="2:2">
      <c r="B2436" s="10"/>
    </row>
    <row r="2437" spans="2:2">
      <c r="B2437" s="10"/>
    </row>
    <row r="2438" spans="2:2">
      <c r="B2438" s="10"/>
    </row>
    <row r="2439" spans="2:2">
      <c r="B2439" s="10"/>
    </row>
    <row r="2440" spans="2:2">
      <c r="B2440" s="10"/>
    </row>
    <row r="2441" spans="2:2">
      <c r="B2441" s="10"/>
    </row>
    <row r="2442" spans="2:2">
      <c r="B2442" s="10"/>
    </row>
    <row r="2443" spans="2:2">
      <c r="B2443" s="10"/>
    </row>
    <row r="2444" spans="2:2">
      <c r="B2444" s="10"/>
    </row>
    <row r="2445" spans="2:2">
      <c r="B2445" s="10"/>
    </row>
    <row r="2446" spans="2:2">
      <c r="B2446" s="10"/>
    </row>
    <row r="2447" spans="2:2">
      <c r="B2447" s="10"/>
    </row>
    <row r="2448" spans="2:2">
      <c r="B2448" s="10"/>
    </row>
    <row r="2449" spans="2:2">
      <c r="B2449" s="10"/>
    </row>
    <row r="2450" spans="2:2">
      <c r="B2450" s="10"/>
    </row>
    <row r="2451" spans="2:2">
      <c r="B2451" s="10"/>
    </row>
    <row r="2452" spans="2:2">
      <c r="B2452" s="10"/>
    </row>
    <row r="2453" spans="2:2">
      <c r="B2453" s="10"/>
    </row>
    <row r="2454" spans="2:2">
      <c r="B2454" s="10"/>
    </row>
    <row r="2455" spans="2:2">
      <c r="B2455" s="10"/>
    </row>
    <row r="2456" spans="2:2">
      <c r="B2456" s="10"/>
    </row>
    <row r="2457" spans="2:2">
      <c r="B2457" s="10"/>
    </row>
    <row r="2458" spans="2:2">
      <c r="B2458" s="10"/>
    </row>
    <row r="2459" spans="2:2">
      <c r="B2459" s="10"/>
    </row>
    <row r="2460" spans="2:2">
      <c r="B2460" s="10"/>
    </row>
    <row r="2461" spans="2:2">
      <c r="B2461" s="10"/>
    </row>
    <row r="2462" spans="2:2">
      <c r="B2462" s="10"/>
    </row>
    <row r="2463" spans="2:2">
      <c r="B2463" s="10"/>
    </row>
    <row r="2464" spans="2:2">
      <c r="B2464" s="10"/>
    </row>
    <row r="2465" spans="2:2">
      <c r="B2465" s="10"/>
    </row>
    <row r="2466" spans="2:2">
      <c r="B2466" s="10"/>
    </row>
    <row r="2467" spans="2:2">
      <c r="B2467" s="10"/>
    </row>
    <row r="2468" spans="2:2">
      <c r="B2468" s="10"/>
    </row>
    <row r="2469" spans="2:2">
      <c r="B2469" s="10"/>
    </row>
    <row r="2470" spans="2:2">
      <c r="B2470" s="10"/>
    </row>
    <row r="2471" spans="2:2">
      <c r="B2471" s="10"/>
    </row>
    <row r="2472" spans="2:2">
      <c r="B2472" s="10"/>
    </row>
    <row r="2473" spans="2:2">
      <c r="B2473" s="10"/>
    </row>
    <row r="2474" spans="2:2">
      <c r="B2474" s="10"/>
    </row>
    <row r="2475" spans="2:2">
      <c r="B2475" s="10"/>
    </row>
    <row r="2476" spans="2:2">
      <c r="B2476" s="10"/>
    </row>
    <row r="2477" spans="2:2">
      <c r="B2477" s="10"/>
    </row>
    <row r="2478" spans="2:2">
      <c r="B2478" s="10"/>
    </row>
    <row r="2479" spans="2:2">
      <c r="B2479" s="10"/>
    </row>
    <row r="2480" spans="2:2">
      <c r="B2480" s="10"/>
    </row>
    <row r="2481" spans="2:2">
      <c r="B2481" s="10"/>
    </row>
    <row r="2482" spans="2:2">
      <c r="B2482" s="10"/>
    </row>
    <row r="2483" spans="2:2">
      <c r="B2483" s="10"/>
    </row>
    <row r="2484" spans="2:2">
      <c r="B2484" s="10"/>
    </row>
    <row r="2485" spans="2:2">
      <c r="B2485" s="10"/>
    </row>
    <row r="2486" spans="2:2">
      <c r="B2486" s="10"/>
    </row>
    <row r="2487" spans="2:2">
      <c r="B2487" s="10"/>
    </row>
    <row r="2488" spans="2:2">
      <c r="B2488" s="10"/>
    </row>
    <row r="2489" spans="2:2">
      <c r="B2489" s="10"/>
    </row>
    <row r="2490" spans="2:2">
      <c r="B2490" s="10"/>
    </row>
    <row r="2491" spans="2:2">
      <c r="B2491" s="10"/>
    </row>
    <row r="2492" spans="2:2">
      <c r="B2492" s="10"/>
    </row>
    <row r="2493" spans="2:2">
      <c r="B2493" s="10"/>
    </row>
    <row r="2494" spans="2:2">
      <c r="B2494" s="10"/>
    </row>
    <row r="2495" spans="2:2">
      <c r="B2495" s="10"/>
    </row>
    <row r="2496" spans="2:2">
      <c r="B2496" s="10"/>
    </row>
    <row r="2497" spans="2:2 1437:1904">
      <c r="B2497" s="10"/>
    </row>
    <row r="2498" spans="2:2 1437:1904">
      <c r="B2498" s="10"/>
    </row>
    <row r="2499" spans="2:2 1437:1904">
      <c r="B2499" s="10"/>
    </row>
    <row r="2500" spans="2:2 1437:1904">
      <c r="B2500" s="10"/>
    </row>
    <row r="2501" spans="2:2 1437:1904">
      <c r="B2501" s="10"/>
    </row>
    <row r="2502" spans="2:2 1437:1904">
      <c r="B2502" s="10"/>
    </row>
    <row r="2503" spans="2:2 1437:1904">
      <c r="B2503" s="10"/>
    </row>
    <row r="2504" spans="2:2 1437:1904">
      <c r="B2504" s="10"/>
    </row>
    <row r="2505" spans="2:2 1437:1904">
      <c r="B2505" s="10"/>
    </row>
    <row r="2506" spans="2:2 1437:1904">
      <c r="B2506" s="10"/>
    </row>
    <row r="2507" spans="2:2 1437:1904">
      <c r="B2507" s="10"/>
      <c r="BCG2507" s="8" t="s">
        <v>827</v>
      </c>
    </row>
    <row r="2508" spans="2:2 1437:1904">
      <c r="B2508" s="10"/>
      <c r="BCN2508" s="8" t="s">
        <v>360</v>
      </c>
    </row>
    <row r="2509" spans="2:2 1437:1904">
      <c r="B2509" s="10"/>
      <c r="BCR2509" s="8" t="s">
        <v>107</v>
      </c>
    </row>
    <row r="2510" spans="2:2 1437:1904">
      <c r="B2510" s="10"/>
      <c r="BMV2510" s="8" t="s">
        <v>109</v>
      </c>
    </row>
    <row r="2511" spans="2:2 1437:1904">
      <c r="B2511" s="10"/>
      <c r="BOR2511" s="8" t="s">
        <v>361</v>
      </c>
    </row>
    <row r="2512" spans="2:2 1437:1904">
      <c r="B2512" s="10"/>
      <c r="BUF2512" s="8" t="s">
        <v>803</v>
      </c>
    </row>
    <row r="2513" spans="2:2 2024:2024">
      <c r="B2513" s="10"/>
      <c r="BYV2513" s="8" t="s">
        <v>362</v>
      </c>
    </row>
    <row r="2514" spans="2:2 2024:2024">
      <c r="B2514" s="10"/>
    </row>
    <row r="2515" spans="2:2 2024:2024">
      <c r="B2515" s="10"/>
    </row>
    <row r="2516" spans="2:2 2024:2024">
      <c r="B2516" s="10"/>
    </row>
    <row r="2517" spans="2:2 2024:2024">
      <c r="B2517" s="10"/>
    </row>
    <row r="2518" spans="2:2 2024:2024">
      <c r="B2518" s="10"/>
    </row>
    <row r="2519" spans="2:2 2024:2024">
      <c r="B2519" s="10"/>
    </row>
    <row r="2520" spans="2:2 2024:2024">
      <c r="B2520" s="10"/>
    </row>
    <row r="2521" spans="2:2 2024:2024">
      <c r="B2521" s="10"/>
    </row>
    <row r="2522" spans="2:2 2024:2024">
      <c r="B2522" s="10"/>
    </row>
    <row r="2523" spans="2:2 2024:2024">
      <c r="B2523" s="10"/>
    </row>
    <row r="2524" spans="2:2 2024:2024">
      <c r="B2524" s="10"/>
    </row>
    <row r="2525" spans="2:2 2024:2024">
      <c r="B2525" s="10"/>
    </row>
    <row r="2526" spans="2:2 2024:2024">
      <c r="B2526" s="10"/>
    </row>
    <row r="2527" spans="2:2 2024:2024">
      <c r="B2527" s="10"/>
    </row>
    <row r="2528" spans="2:2 2024:2024">
      <c r="B2528" s="10"/>
    </row>
    <row r="2529" spans="2:2 1400:1400">
      <c r="B2529" s="10"/>
    </row>
    <row r="2530" spans="2:2 1400:1400">
      <c r="B2530" s="10"/>
    </row>
    <row r="2531" spans="2:2 1400:1400">
      <c r="B2531" s="10"/>
    </row>
    <row r="2532" spans="2:2 1400:1400">
      <c r="B2532" s="10"/>
    </row>
    <row r="2533" spans="2:2 1400:1400">
      <c r="B2533" s="10"/>
    </row>
    <row r="2534" spans="2:2 1400:1400">
      <c r="B2534" s="10"/>
    </row>
    <row r="2535" spans="2:2 1400:1400">
      <c r="B2535" s="10"/>
    </row>
    <row r="2536" spans="2:2 1400:1400">
      <c r="B2536" s="10"/>
    </row>
    <row r="2537" spans="2:2 1400:1400">
      <c r="B2537" s="10"/>
    </row>
    <row r="2538" spans="2:2 1400:1400">
      <c r="B2538" s="10"/>
    </row>
    <row r="2539" spans="2:2 1400:1400">
      <c r="B2539" s="10"/>
    </row>
    <row r="2540" spans="2:2 1400:1400">
      <c r="B2540" s="10"/>
    </row>
    <row r="2541" spans="2:2 1400:1400">
      <c r="B2541" s="10"/>
    </row>
    <row r="2542" spans="2:2 1400:1400">
      <c r="B2542" s="10"/>
    </row>
    <row r="2543" spans="2:2 1400:1400">
      <c r="B2543" s="10"/>
    </row>
    <row r="2544" spans="2:2 1400:1400">
      <c r="B2544" s="10"/>
      <c r="BAV2544" s="8" t="s">
        <v>387</v>
      </c>
    </row>
    <row r="2545" spans="2:2 1400:1911">
      <c r="B2545" s="10"/>
      <c r="BAV2545" s="8" t="s">
        <v>388</v>
      </c>
    </row>
    <row r="2546" spans="2:2 1400:1911">
      <c r="B2546" s="10"/>
      <c r="BHH2546" s="8" t="s">
        <v>389</v>
      </c>
    </row>
    <row r="2547" spans="2:2 1400:1911">
      <c r="B2547" s="10"/>
      <c r="BHH2547" s="8" t="s">
        <v>390</v>
      </c>
    </row>
    <row r="2548" spans="2:2 1400:1911">
      <c r="B2548" s="10"/>
      <c r="BHH2548" s="8" t="s">
        <v>391</v>
      </c>
    </row>
    <row r="2549" spans="2:2 1400:1911">
      <c r="B2549" s="10"/>
      <c r="BNT2549" s="8" t="s">
        <v>392</v>
      </c>
    </row>
    <row r="2550" spans="2:2 1400:1911">
      <c r="B2550" s="10"/>
      <c r="BNT2550" s="8" t="s">
        <v>393</v>
      </c>
    </row>
    <row r="2551" spans="2:2 1400:1911">
      <c r="B2551" s="10"/>
      <c r="BUM2551" s="8" t="s">
        <v>394</v>
      </c>
    </row>
    <row r="2552" spans="2:2 1400:1911">
      <c r="B2552" s="10"/>
    </row>
    <row r="2553" spans="2:2 1400:1911">
      <c r="B2553" s="10"/>
    </row>
    <row r="2554" spans="2:2 1400:1911">
      <c r="B2554" s="10"/>
    </row>
    <row r="2555" spans="2:2 1400:1911">
      <c r="B2555" s="10"/>
    </row>
    <row r="2556" spans="2:2 1400:1911">
      <c r="B2556" s="10"/>
    </row>
    <row r="2557" spans="2:2 1400:1911">
      <c r="B2557" s="10"/>
    </row>
    <row r="2558" spans="2:2 1400:1911">
      <c r="B2558" s="10"/>
    </row>
    <row r="2559" spans="2:2 1400:1911">
      <c r="B2559" s="10"/>
    </row>
    <row r="2560" spans="2:2 1400:1911">
      <c r="B2560" s="10"/>
    </row>
    <row r="2561" spans="2:2">
      <c r="B2561" s="10"/>
    </row>
    <row r="2562" spans="2:2">
      <c r="B2562" s="10"/>
    </row>
    <row r="2563" spans="2:2">
      <c r="B2563" s="10"/>
    </row>
    <row r="2564" spans="2:2">
      <c r="B2564" s="10"/>
    </row>
    <row r="2565" spans="2:2">
      <c r="B2565" s="10"/>
    </row>
    <row r="2566" spans="2:2">
      <c r="B2566" s="10"/>
    </row>
    <row r="2567" spans="2:2">
      <c r="B2567" s="10"/>
    </row>
    <row r="2568" spans="2:2">
      <c r="B2568" s="10"/>
    </row>
    <row r="2569" spans="2:2">
      <c r="B2569" s="10"/>
    </row>
    <row r="2570" spans="2:2">
      <c r="B2570" s="10"/>
    </row>
    <row r="2571" spans="2:2">
      <c r="B2571" s="10"/>
    </row>
    <row r="2572" spans="2:2">
      <c r="B2572" s="10"/>
    </row>
    <row r="2573" spans="2:2">
      <c r="B2573" s="10"/>
    </row>
    <row r="2574" spans="2:2">
      <c r="B2574" s="10"/>
    </row>
    <row r="2575" spans="2:2">
      <c r="B2575" s="10"/>
    </row>
    <row r="2576" spans="2:2">
      <c r="B2576" s="10"/>
    </row>
    <row r="2577" spans="2:2">
      <c r="B2577" s="10"/>
    </row>
    <row r="2578" spans="2:2">
      <c r="B2578" s="10"/>
    </row>
    <row r="2579" spans="2:2">
      <c r="B2579" s="10"/>
    </row>
    <row r="2580" spans="2:2">
      <c r="B2580" s="10"/>
    </row>
    <row r="2581" spans="2:2">
      <c r="B2581" s="10"/>
    </row>
    <row r="2582" spans="2:2">
      <c r="B2582" s="10"/>
    </row>
    <row r="2583" spans="2:2">
      <c r="B2583" s="10"/>
    </row>
    <row r="2584" spans="2:2">
      <c r="B2584" s="10"/>
    </row>
    <row r="2585" spans="2:2">
      <c r="B2585" s="10"/>
    </row>
    <row r="2586" spans="2:2">
      <c r="B2586" s="10"/>
    </row>
    <row r="2587" spans="2:2">
      <c r="B2587" s="10"/>
    </row>
    <row r="2588" spans="2:2">
      <c r="B2588" s="10"/>
    </row>
    <row r="2589" spans="2:2">
      <c r="B2589" s="10"/>
    </row>
    <row r="2590" spans="2:2">
      <c r="B2590" s="10"/>
    </row>
    <row r="2591" spans="2:2">
      <c r="B2591" s="10"/>
    </row>
    <row r="2592" spans="2:2">
      <c r="B2592" s="10"/>
    </row>
    <row r="2593" spans="2:2">
      <c r="B2593" s="10"/>
    </row>
    <row r="2594" spans="2:2">
      <c r="B2594" s="10"/>
    </row>
    <row r="2595" spans="2:2">
      <c r="B2595" s="10"/>
    </row>
    <row r="2596" spans="2:2">
      <c r="B2596" s="10"/>
    </row>
    <row r="2597" spans="2:2">
      <c r="B2597" s="10"/>
    </row>
    <row r="2598" spans="2:2">
      <c r="B2598" s="10"/>
    </row>
    <row r="2599" spans="2:2">
      <c r="B2599" s="10"/>
    </row>
    <row r="2600" spans="2:2">
      <c r="B2600" s="10"/>
    </row>
    <row r="2601" spans="2:2">
      <c r="B2601" s="10"/>
    </row>
    <row r="2602" spans="2:2">
      <c r="B2602" s="10"/>
    </row>
    <row r="2603" spans="2:2">
      <c r="B2603" s="10"/>
    </row>
    <row r="2604" spans="2:2">
      <c r="B2604" s="10"/>
    </row>
    <row r="2605" spans="2:2">
      <c r="B2605" s="10"/>
    </row>
    <row r="2606" spans="2:2">
      <c r="B2606" s="10"/>
    </row>
    <row r="2607" spans="2:2">
      <c r="B2607" s="10"/>
    </row>
    <row r="2608" spans="2:2">
      <c r="B2608" s="10"/>
    </row>
    <row r="2609" spans="2:2">
      <c r="B2609" s="10"/>
    </row>
    <row r="2610" spans="2:2">
      <c r="B2610" s="10"/>
    </row>
    <row r="2611" spans="2:2">
      <c r="B2611" s="10"/>
    </row>
    <row r="2612" spans="2:2">
      <c r="B2612" s="10"/>
    </row>
    <row r="2613" spans="2:2">
      <c r="B2613" s="10"/>
    </row>
    <row r="2614" spans="2:2">
      <c r="B2614" s="10"/>
    </row>
    <row r="2615" spans="2:2">
      <c r="B2615" s="10"/>
    </row>
    <row r="2616" spans="2:2">
      <c r="B2616" s="10"/>
    </row>
    <row r="2617" spans="2:2">
      <c r="B2617" s="10"/>
    </row>
    <row r="2618" spans="2:2">
      <c r="B2618" s="10"/>
    </row>
    <row r="2619" spans="2:2">
      <c r="B2619" s="10"/>
    </row>
    <row r="2620" spans="2:2">
      <c r="B2620" s="10"/>
    </row>
    <row r="2621" spans="2:2">
      <c r="B2621" s="10"/>
    </row>
    <row r="2622" spans="2:2">
      <c r="B2622" s="10"/>
    </row>
    <row r="2623" spans="2:2">
      <c r="B2623" s="10"/>
    </row>
    <row r="2624" spans="2:2">
      <c r="B2624" s="10"/>
    </row>
    <row r="2625" spans="2:2">
      <c r="B2625" s="10"/>
    </row>
    <row r="2626" spans="2:2">
      <c r="B2626" s="10"/>
    </row>
    <row r="2627" spans="2:2">
      <c r="B2627" s="10"/>
    </row>
    <row r="2628" spans="2:2">
      <c r="B2628" s="10"/>
    </row>
    <row r="2629" spans="2:2">
      <c r="B2629" s="10"/>
    </row>
    <row r="2630" spans="2:2">
      <c r="B2630" s="10"/>
    </row>
    <row r="2631" spans="2:2">
      <c r="B2631" s="10"/>
    </row>
    <row r="2632" spans="2:2">
      <c r="B2632" s="10"/>
    </row>
    <row r="2633" spans="2:2">
      <c r="B2633" s="10"/>
    </row>
    <row r="2634" spans="2:2">
      <c r="B2634" s="10"/>
    </row>
    <row r="2635" spans="2:2">
      <c r="B2635" s="10"/>
    </row>
    <row r="2636" spans="2:2">
      <c r="B2636" s="10"/>
    </row>
    <row r="2637" spans="2:2">
      <c r="B2637" s="10"/>
    </row>
    <row r="2638" spans="2:2">
      <c r="B2638" s="10"/>
    </row>
    <row r="2639" spans="2:2">
      <c r="B2639" s="10"/>
    </row>
    <row r="2640" spans="2:2">
      <c r="B2640" s="10"/>
    </row>
    <row r="2641" spans="2:2 1473:1473">
      <c r="B2641" s="10"/>
    </row>
    <row r="2642" spans="2:2 1473:1473">
      <c r="B2642" s="10"/>
    </row>
    <row r="2643" spans="2:2 1473:1473">
      <c r="B2643" s="10"/>
    </row>
    <row r="2644" spans="2:2 1473:1473">
      <c r="B2644" s="10"/>
    </row>
    <row r="2645" spans="2:2 1473:1473">
      <c r="B2645" s="10"/>
    </row>
    <row r="2646" spans="2:2 1473:1473">
      <c r="B2646" s="10"/>
    </row>
    <row r="2647" spans="2:2 1473:1473">
      <c r="B2647" s="10"/>
    </row>
    <row r="2648" spans="2:2 1473:1473">
      <c r="B2648" s="10"/>
    </row>
    <row r="2649" spans="2:2 1473:1473">
      <c r="B2649" s="10"/>
    </row>
    <row r="2650" spans="2:2 1473:1473">
      <c r="B2650" s="10"/>
    </row>
    <row r="2651" spans="2:2 1473:1473">
      <c r="B2651" s="10"/>
    </row>
    <row r="2652" spans="2:2 1473:1473">
      <c r="B2652" s="10"/>
    </row>
    <row r="2653" spans="2:2 1473:1473">
      <c r="B2653" s="10"/>
    </row>
    <row r="2654" spans="2:2 1473:1473">
      <c r="B2654" s="10"/>
    </row>
    <row r="2655" spans="2:2 1473:1473">
      <c r="B2655" s="10"/>
    </row>
    <row r="2656" spans="2:2 1473:1473">
      <c r="B2656" s="10"/>
      <c r="BDQ2656" s="8" t="s">
        <v>421</v>
      </c>
    </row>
    <row r="2657" spans="2:2 1490:1881">
      <c r="B2657" s="10"/>
      <c r="BEH2657" s="8" t="s">
        <v>422</v>
      </c>
    </row>
    <row r="2658" spans="2:2 1490:1881">
      <c r="B2658" s="10"/>
      <c r="BEX2658" s="8" t="s">
        <v>423</v>
      </c>
    </row>
    <row r="2659" spans="2:2 1490:1881">
      <c r="B2659" s="10"/>
      <c r="BFO2659" s="8" t="s">
        <v>424</v>
      </c>
    </row>
    <row r="2660" spans="2:2 1490:1881">
      <c r="B2660" s="10"/>
      <c r="BFM2660" s="8" t="s">
        <v>425</v>
      </c>
    </row>
    <row r="2661" spans="2:2 1490:1881">
      <c r="B2661" s="10"/>
      <c r="BRM2661" s="8" t="s">
        <v>426</v>
      </c>
    </row>
    <row r="2662" spans="2:2 1490:1881">
      <c r="B2662" s="10"/>
      <c r="BTI2662" s="8" t="s">
        <v>427</v>
      </c>
    </row>
    <row r="2663" spans="2:2 1490:1881">
      <c r="B2663" s="10"/>
    </row>
    <row r="2664" spans="2:2 1490:1881">
      <c r="B2664" s="10"/>
    </row>
    <row r="2665" spans="2:2 1490:1881">
      <c r="B2665" s="10"/>
    </row>
    <row r="2666" spans="2:2 1490:1881">
      <c r="B2666" s="10"/>
    </row>
    <row r="2667" spans="2:2 1490:1881">
      <c r="B2667" s="10"/>
    </row>
    <row r="2668" spans="2:2 1490:1881">
      <c r="B2668" s="10"/>
    </row>
    <row r="2669" spans="2:2 1490:1881">
      <c r="B2669" s="10"/>
    </row>
    <row r="2670" spans="2:2 1490:1881">
      <c r="B2670" s="10"/>
    </row>
    <row r="2671" spans="2:2 1490:1881">
      <c r="B2671" s="10"/>
    </row>
    <row r="2672" spans="2:2 1490:1881">
      <c r="B2672" s="10"/>
    </row>
    <row r="2673" spans="2:2">
      <c r="B2673" s="10"/>
    </row>
    <row r="2674" spans="2:2">
      <c r="B2674" s="10"/>
    </row>
    <row r="2675" spans="2:2">
      <c r="B2675" s="10"/>
    </row>
    <row r="2676" spans="2:2">
      <c r="B2676" s="10"/>
    </row>
    <row r="2677" spans="2:2">
      <c r="B2677" s="10"/>
    </row>
    <row r="2678" spans="2:2">
      <c r="B2678" s="10"/>
    </row>
    <row r="2679" spans="2:2">
      <c r="B2679" s="10"/>
    </row>
    <row r="2680" spans="2:2">
      <c r="B2680" s="10"/>
    </row>
    <row r="2681" spans="2:2">
      <c r="B2681" s="10"/>
    </row>
    <row r="2682" spans="2:2">
      <c r="B2682" s="10"/>
    </row>
    <row r="2683" spans="2:2">
      <c r="B2683" s="10"/>
    </row>
    <row r="2684" spans="2:2">
      <c r="B2684" s="10"/>
    </row>
    <row r="2685" spans="2:2">
      <c r="B2685" s="10"/>
    </row>
    <row r="2686" spans="2:2">
      <c r="B2686" s="10"/>
    </row>
    <row r="2687" spans="2:2">
      <c r="B2687" s="10"/>
    </row>
    <row r="2688" spans="2:2">
      <c r="B2688" s="10"/>
    </row>
    <row r="2689" spans="2:2">
      <c r="B2689" s="10"/>
    </row>
    <row r="2690" spans="2:2">
      <c r="B2690" s="10"/>
    </row>
    <row r="2691" spans="2:2">
      <c r="B2691" s="10"/>
    </row>
    <row r="2692" spans="2:2">
      <c r="B2692" s="10"/>
    </row>
    <row r="2693" spans="2:2">
      <c r="B2693" s="10"/>
    </row>
    <row r="2694" spans="2:2">
      <c r="B2694" s="10"/>
    </row>
    <row r="2695" spans="2:2">
      <c r="B2695" s="10"/>
    </row>
    <row r="2696" spans="2:2">
      <c r="B2696" s="10"/>
    </row>
    <row r="2697" spans="2:2">
      <c r="B2697" s="10"/>
    </row>
    <row r="2698" spans="2:2">
      <c r="B2698" s="10"/>
    </row>
    <row r="2699" spans="2:2">
      <c r="B2699" s="10"/>
    </row>
    <row r="2700" spans="2:2">
      <c r="B2700" s="10"/>
    </row>
    <row r="2701" spans="2:2">
      <c r="B2701" s="10"/>
    </row>
    <row r="2702" spans="2:2">
      <c r="B2702" s="10"/>
    </row>
    <row r="2703" spans="2:2">
      <c r="B2703" s="10"/>
    </row>
    <row r="2704" spans="2:2">
      <c r="B2704" s="10"/>
    </row>
    <row r="2705" spans="2:2 1423:1423">
      <c r="B2705" s="10"/>
    </row>
    <row r="2706" spans="2:2 1423:1423">
      <c r="B2706" s="10"/>
    </row>
    <row r="2707" spans="2:2 1423:1423">
      <c r="B2707" s="10"/>
    </row>
    <row r="2708" spans="2:2 1423:1423">
      <c r="B2708" s="10"/>
    </row>
    <row r="2709" spans="2:2 1423:1423">
      <c r="B2709" s="10"/>
    </row>
    <row r="2710" spans="2:2 1423:1423">
      <c r="B2710" s="10"/>
    </row>
    <row r="2711" spans="2:2 1423:1423">
      <c r="B2711" s="10"/>
    </row>
    <row r="2712" spans="2:2 1423:1423">
      <c r="B2712" s="10"/>
    </row>
    <row r="2713" spans="2:2 1423:1423">
      <c r="B2713" s="10"/>
    </row>
    <row r="2714" spans="2:2 1423:1423">
      <c r="B2714" s="10"/>
    </row>
    <row r="2715" spans="2:2 1423:1423">
      <c r="B2715" s="10"/>
    </row>
    <row r="2716" spans="2:2 1423:1423">
      <c r="B2716" s="10"/>
    </row>
    <row r="2717" spans="2:2 1423:1423">
      <c r="B2717" s="10"/>
    </row>
    <row r="2718" spans="2:2 1423:1423">
      <c r="B2718" s="10"/>
    </row>
    <row r="2719" spans="2:2 1423:1423">
      <c r="B2719" s="10"/>
    </row>
    <row r="2720" spans="2:2 1423:1423">
      <c r="B2720" s="10"/>
      <c r="BBS2720" s="8" t="s">
        <v>446</v>
      </c>
    </row>
    <row r="2721" spans="2:2 1440:1952 2200:2200">
      <c r="B2721" s="10"/>
      <c r="BCJ2721" s="8" t="s">
        <v>447</v>
      </c>
    </row>
    <row r="2722" spans="2:2 1440:1952 2200:2200">
      <c r="B2722" s="10"/>
      <c r="BCZ2722" s="8" t="s">
        <v>448</v>
      </c>
    </row>
    <row r="2723" spans="2:2 1440:1952 2200:2200">
      <c r="B2723" s="10"/>
      <c r="BDQ2723" s="8" t="s">
        <v>449</v>
      </c>
    </row>
    <row r="2724" spans="2:2 1440:1952 2200:2200">
      <c r="B2724" s="10"/>
      <c r="BEH2724" s="8" t="s">
        <v>450</v>
      </c>
    </row>
    <row r="2725" spans="2:2 1440:1952 2200:2200">
      <c r="B2725" s="10"/>
      <c r="BEX2725" s="8" t="s">
        <v>451</v>
      </c>
    </row>
    <row r="2726" spans="2:2 1440:1952 2200:2200">
      <c r="B2726" s="10"/>
      <c r="BFO2726" s="8" t="s">
        <v>452</v>
      </c>
    </row>
    <row r="2727" spans="2:2 1440:1952 2200:2200">
      <c r="B2727" s="10"/>
      <c r="BIF2727" s="8" t="s">
        <v>453</v>
      </c>
    </row>
    <row r="2728" spans="2:2 1440:1952 2200:2200">
      <c r="B2728" s="10"/>
      <c r="BWB2728" s="8" t="s">
        <v>454</v>
      </c>
    </row>
    <row r="2729" spans="2:2 1440:1952 2200:2200">
      <c r="B2729" s="10"/>
      <c r="CFP2729" s="8" t="s">
        <v>828</v>
      </c>
    </row>
    <row r="2730" spans="2:2 1440:1952 2200:2200">
      <c r="B2730" s="10"/>
    </row>
    <row r="2731" spans="2:2 1440:1952 2200:2200">
      <c r="B2731" s="10"/>
    </row>
    <row r="2732" spans="2:2 1440:1952 2200:2200">
      <c r="B2732" s="10"/>
    </row>
    <row r="2733" spans="2:2 1440:1952 2200:2200">
      <c r="B2733" s="10"/>
    </row>
    <row r="2734" spans="2:2 1440:1952 2200:2200">
      <c r="B2734" s="10"/>
    </row>
    <row r="2735" spans="2:2 1440:1952 2200:2200">
      <c r="B2735" s="10"/>
    </row>
    <row r="2736" spans="2:2 1440:1952 2200:2200">
      <c r="B2736" s="10"/>
    </row>
    <row r="2737" spans="2:2">
      <c r="B2737" s="10"/>
    </row>
    <row r="2738" spans="2:2">
      <c r="B2738" s="10"/>
    </row>
    <row r="2739" spans="2:2">
      <c r="B2739" s="10"/>
    </row>
    <row r="2740" spans="2:2">
      <c r="B2740" s="10"/>
    </row>
    <row r="2741" spans="2:2">
      <c r="B2741" s="10"/>
    </row>
    <row r="2742" spans="2:2">
      <c r="B2742" s="10"/>
    </row>
    <row r="2743" spans="2:2">
      <c r="B2743" s="10"/>
    </row>
    <row r="2744" spans="2:2">
      <c r="B2744" s="10"/>
    </row>
    <row r="2745" spans="2:2">
      <c r="B2745" s="10"/>
    </row>
    <row r="2746" spans="2:2">
      <c r="B2746" s="10"/>
    </row>
    <row r="2747" spans="2:2">
      <c r="B2747" s="10"/>
    </row>
    <row r="2748" spans="2:2">
      <c r="B2748" s="10"/>
    </row>
    <row r="2749" spans="2:2">
      <c r="B2749" s="10"/>
    </row>
    <row r="2750" spans="2:2">
      <c r="B2750" s="10"/>
    </row>
    <row r="2751" spans="2:2">
      <c r="B2751" s="10"/>
    </row>
    <row r="2752" spans="2:2">
      <c r="B2752" s="10"/>
    </row>
    <row r="2753" spans="2:2 1524:1524">
      <c r="B2753" s="10"/>
    </row>
    <row r="2754" spans="2:2 1524:1524">
      <c r="B2754" s="10"/>
    </row>
    <row r="2755" spans="2:2 1524:1524">
      <c r="B2755" s="10"/>
    </row>
    <row r="2756" spans="2:2 1524:1524">
      <c r="B2756" s="10"/>
    </row>
    <row r="2757" spans="2:2 1524:1524">
      <c r="B2757" s="10"/>
    </row>
    <row r="2758" spans="2:2 1524:1524">
      <c r="B2758" s="10"/>
    </row>
    <row r="2759" spans="2:2 1524:1524">
      <c r="B2759" s="10"/>
    </row>
    <row r="2760" spans="2:2 1524:1524">
      <c r="B2760" s="10"/>
      <c r="BFP2760" s="8" t="s">
        <v>463</v>
      </c>
    </row>
    <row r="2761" spans="2:2 1524:1524">
      <c r="B2761" s="10"/>
    </row>
    <row r="2762" spans="2:2 1524:1524">
      <c r="B2762" s="10"/>
    </row>
    <row r="2763" spans="2:2 1524:1524">
      <c r="B2763" s="10"/>
    </row>
    <row r="2764" spans="2:2 1524:1524">
      <c r="B2764" s="10"/>
    </row>
    <row r="2765" spans="2:2 1524:1524">
      <c r="B2765" s="10"/>
    </row>
    <row r="2766" spans="2:2 1524:1524">
      <c r="B2766" s="10"/>
    </row>
    <row r="2767" spans="2:2 1524:1524">
      <c r="B2767" s="10"/>
    </row>
    <row r="2768" spans="2:2 1524:1524">
      <c r="B2768" s="10"/>
    </row>
    <row r="2769" spans="2:2">
      <c r="B2769" s="10"/>
    </row>
    <row r="2770" spans="2:2">
      <c r="B2770" s="10"/>
    </row>
    <row r="2771" spans="2:2">
      <c r="B2771" s="10"/>
    </row>
    <row r="2772" spans="2:2">
      <c r="B2772" s="10"/>
    </row>
    <row r="2773" spans="2:2">
      <c r="B2773" s="10"/>
    </row>
    <row r="2774" spans="2:2">
      <c r="B2774" s="10"/>
    </row>
    <row r="2775" spans="2:2">
      <c r="B2775" s="10"/>
    </row>
    <row r="2776" spans="2:2">
      <c r="B2776" s="10"/>
    </row>
    <row r="2777" spans="2:2">
      <c r="B2777" s="10"/>
    </row>
    <row r="2778" spans="2:2">
      <c r="B2778" s="10"/>
    </row>
    <row r="2779" spans="2:2">
      <c r="B2779" s="10"/>
    </row>
    <row r="2780" spans="2:2">
      <c r="B2780" s="10"/>
    </row>
    <row r="2781" spans="2:2">
      <c r="B2781" s="10"/>
    </row>
    <row r="2782" spans="2:2">
      <c r="B2782" s="10"/>
    </row>
    <row r="2783" spans="2:2">
      <c r="B2783" s="10"/>
    </row>
    <row r="2784" spans="2:2">
      <c r="B2784" s="10"/>
    </row>
    <row r="2785" spans="2:2 1449:1545">
      <c r="B2785" s="10"/>
    </row>
    <row r="2786" spans="2:2 1449:1545">
      <c r="B2786" s="10"/>
    </row>
    <row r="2787" spans="2:2 1449:1545">
      <c r="B2787" s="10"/>
    </row>
    <row r="2788" spans="2:2 1449:1545">
      <c r="B2788" s="10"/>
    </row>
    <row r="2789" spans="2:2 1449:1545">
      <c r="B2789" s="10"/>
    </row>
    <row r="2790" spans="2:2 1449:1545">
      <c r="B2790" s="10"/>
    </row>
    <row r="2791" spans="2:2 1449:1545">
      <c r="B2791" s="10"/>
    </row>
    <row r="2792" spans="2:2 1449:1545">
      <c r="B2792" s="10"/>
    </row>
    <row r="2793" spans="2:2 1449:1545">
      <c r="B2793" s="10"/>
    </row>
    <row r="2794" spans="2:2 1449:1545">
      <c r="B2794" s="10"/>
    </row>
    <row r="2795" spans="2:2 1449:1545">
      <c r="B2795" s="10"/>
    </row>
    <row r="2796" spans="2:2 1449:1545">
      <c r="B2796" s="10"/>
    </row>
    <row r="2797" spans="2:2 1449:1545">
      <c r="B2797" s="10"/>
    </row>
    <row r="2798" spans="2:2 1449:1545">
      <c r="B2798" s="10"/>
    </row>
    <row r="2799" spans="2:2 1449:1545">
      <c r="B2799" s="10"/>
      <c r="BCS2799" s="8" t="s">
        <v>474</v>
      </c>
    </row>
    <row r="2800" spans="2:2 1449:1545">
      <c r="B2800" s="10"/>
      <c r="BGK2800" s="8" t="s">
        <v>475</v>
      </c>
    </row>
    <row r="2801" spans="2:2 1616:1737">
      <c r="B2801" s="10"/>
      <c r="BJD2801" s="8" t="s">
        <v>476</v>
      </c>
    </row>
    <row r="2802" spans="2:2 1616:1737">
      <c r="B2802" s="10"/>
      <c r="BNU2802" s="8" t="s">
        <v>477</v>
      </c>
    </row>
    <row r="2803" spans="2:2 1616:1737">
      <c r="B2803" s="10"/>
    </row>
    <row r="2804" spans="2:2 1616:1737">
      <c r="B2804" s="10"/>
    </row>
    <row r="2805" spans="2:2 1616:1737">
      <c r="B2805" s="10"/>
    </row>
    <row r="2806" spans="2:2 1616:1737">
      <c r="B2806" s="10"/>
    </row>
    <row r="2807" spans="2:2 1616:1737">
      <c r="B2807" s="10"/>
    </row>
    <row r="2808" spans="2:2 1616:1737">
      <c r="B2808" s="10"/>
    </row>
    <row r="2809" spans="2:2 1616:1737">
      <c r="B2809" s="10"/>
    </row>
    <row r="2810" spans="2:2 1616:1737">
      <c r="B2810" s="10"/>
    </row>
    <row r="2811" spans="2:2 1616:1737">
      <c r="B2811" s="10"/>
    </row>
    <row r="2812" spans="2:2 1616:1737">
      <c r="B2812" s="10"/>
    </row>
    <row r="2813" spans="2:2 1616:1737">
      <c r="B2813" s="10"/>
    </row>
    <row r="2814" spans="2:2 1616:1737">
      <c r="B2814" s="10"/>
    </row>
    <row r="2815" spans="2:2 1616:1737">
      <c r="B2815" s="10"/>
    </row>
    <row r="2816" spans="2:2 1616:1737">
      <c r="B2816" s="10"/>
    </row>
    <row r="2817" spans="2:2">
      <c r="B2817" s="10"/>
    </row>
    <row r="2818" spans="2:2">
      <c r="B2818" s="10"/>
    </row>
    <row r="2819" spans="2:2">
      <c r="B2819" s="10"/>
    </row>
    <row r="2820" spans="2:2">
      <c r="B2820" s="10"/>
    </row>
    <row r="2821" spans="2:2">
      <c r="B2821" s="10"/>
    </row>
    <row r="2822" spans="2:2">
      <c r="B2822" s="10"/>
    </row>
    <row r="2823" spans="2:2">
      <c r="B2823" s="10"/>
    </row>
    <row r="2824" spans="2:2">
      <c r="B2824" s="10"/>
    </row>
    <row r="2825" spans="2:2">
      <c r="B2825" s="10"/>
    </row>
    <row r="2826" spans="2:2">
      <c r="B2826" s="10"/>
    </row>
    <row r="2827" spans="2:2">
      <c r="B2827" s="10"/>
    </row>
    <row r="2828" spans="2:2">
      <c r="B2828" s="10"/>
    </row>
    <row r="2829" spans="2:2">
      <c r="B2829" s="10"/>
    </row>
    <row r="2830" spans="2:2">
      <c r="B2830" s="10"/>
    </row>
    <row r="2831" spans="2:2">
      <c r="B2831" s="10"/>
    </row>
    <row r="2832" spans="2:2">
      <c r="B2832" s="10"/>
    </row>
    <row r="2833" spans="2:2">
      <c r="B2833" s="10"/>
    </row>
    <row r="2834" spans="2:2">
      <c r="B2834" s="10"/>
    </row>
    <row r="2835" spans="2:2">
      <c r="B2835" s="10"/>
    </row>
    <row r="2836" spans="2:2">
      <c r="B2836" s="10"/>
    </row>
    <row r="2837" spans="2:2">
      <c r="B2837" s="10"/>
    </row>
    <row r="2838" spans="2:2">
      <c r="B2838" s="10"/>
    </row>
    <row r="2839" spans="2:2">
      <c r="B2839" s="10"/>
    </row>
    <row r="2840" spans="2:2">
      <c r="B2840" s="10"/>
    </row>
    <row r="2841" spans="2:2">
      <c r="B2841" s="10"/>
    </row>
    <row r="2842" spans="2:2">
      <c r="B2842" s="10"/>
    </row>
    <row r="2843" spans="2:2">
      <c r="B2843" s="10"/>
    </row>
    <row r="2844" spans="2:2">
      <c r="B2844" s="10"/>
    </row>
    <row r="2845" spans="2:2">
      <c r="B2845" s="10"/>
    </row>
    <row r="2846" spans="2:2">
      <c r="B2846" s="10"/>
    </row>
    <row r="2847" spans="2:2">
      <c r="B2847" s="10"/>
    </row>
    <row r="2848" spans="2:2">
      <c r="B2848" s="10"/>
    </row>
    <row r="2849" spans="2:2 1376:1928">
      <c r="B2849" s="10"/>
    </row>
    <row r="2850" spans="2:2 1376:1928">
      <c r="B2850" s="10"/>
      <c r="AZX2850" s="8" t="s">
        <v>498</v>
      </c>
    </row>
    <row r="2851" spans="2:2 1376:1928">
      <c r="B2851" s="10"/>
      <c r="BAV2851" s="8" t="s">
        <v>499</v>
      </c>
    </row>
    <row r="2852" spans="2:2 1376:1928">
      <c r="B2852" s="10"/>
      <c r="BDP2852" s="8" t="s">
        <v>500</v>
      </c>
    </row>
    <row r="2853" spans="2:2 1376:1928">
      <c r="B2853" s="10"/>
      <c r="BEN2853" s="8" t="s">
        <v>501</v>
      </c>
    </row>
    <row r="2854" spans="2:2 1376:1928">
      <c r="B2854" s="10"/>
      <c r="BJD2854" s="8" t="s">
        <v>502</v>
      </c>
    </row>
    <row r="2855" spans="2:2 1376:1928">
      <c r="B2855" s="10"/>
      <c r="BKE2855" s="8" t="s">
        <v>503</v>
      </c>
    </row>
    <row r="2856" spans="2:2 1376:1928">
      <c r="B2856" s="10"/>
      <c r="BQQ2856" s="8" t="s">
        <v>504</v>
      </c>
    </row>
    <row r="2857" spans="2:2 1376:1928">
      <c r="B2857" s="10"/>
      <c r="BRL2857" s="8" t="s">
        <v>505</v>
      </c>
    </row>
    <row r="2858" spans="2:2 1376:1928">
      <c r="B2858" s="10"/>
      <c r="BSJ2858" s="8" t="s">
        <v>506</v>
      </c>
    </row>
    <row r="2859" spans="2:2 1376:1928">
      <c r="B2859" s="10"/>
      <c r="BTH2859" s="8" t="s">
        <v>507</v>
      </c>
    </row>
    <row r="2860" spans="2:2 1376:1928">
      <c r="B2860" s="10"/>
      <c r="BUF2860" s="8" t="s">
        <v>508</v>
      </c>
    </row>
    <row r="2861" spans="2:2 1376:1928">
      <c r="B2861" s="10"/>
      <c r="BVD2861" s="8" t="s">
        <v>509</v>
      </c>
    </row>
    <row r="2862" spans="2:2 1376:1928">
      <c r="B2862" s="10"/>
    </row>
    <row r="2863" spans="2:2 1376:1928">
      <c r="B2863" s="10"/>
    </row>
    <row r="2864" spans="2:2 1376:1928">
      <c r="B2864" s="10"/>
    </row>
    <row r="2865" spans="2:2">
      <c r="B2865" s="10"/>
    </row>
    <row r="2866" spans="2:2">
      <c r="B2866" s="10"/>
    </row>
    <row r="2867" spans="2:2">
      <c r="B2867" s="10"/>
    </row>
    <row r="2868" spans="2:2">
      <c r="B2868" s="10"/>
    </row>
    <row r="2869" spans="2:2">
      <c r="B2869" s="10"/>
    </row>
    <row r="2870" spans="2:2">
      <c r="B2870" s="10"/>
    </row>
    <row r="2871" spans="2:2">
      <c r="B2871" s="10"/>
    </row>
    <row r="2872" spans="2:2">
      <c r="B2872" s="10"/>
    </row>
    <row r="2873" spans="2:2">
      <c r="B2873" s="10"/>
    </row>
    <row r="2874" spans="2:2">
      <c r="B2874" s="10"/>
    </row>
    <row r="2875" spans="2:2">
      <c r="B2875" s="10"/>
    </row>
    <row r="2876" spans="2:2">
      <c r="B2876" s="10"/>
    </row>
    <row r="2877" spans="2:2">
      <c r="B2877" s="10"/>
    </row>
    <row r="2878" spans="2:2">
      <c r="B2878" s="10"/>
    </row>
    <row r="2879" spans="2:2">
      <c r="B2879" s="10"/>
    </row>
    <row r="2880" spans="2:2">
      <c r="B2880" s="10"/>
    </row>
    <row r="2881" spans="2:2">
      <c r="B2881" s="10"/>
    </row>
    <row r="2882" spans="2:2">
      <c r="B2882" s="10"/>
    </row>
    <row r="2883" spans="2:2">
      <c r="B2883" s="10"/>
    </row>
    <row r="2884" spans="2:2">
      <c r="B2884" s="10"/>
    </row>
    <row r="2885" spans="2:2">
      <c r="B2885" s="10"/>
    </row>
    <row r="2886" spans="2:2">
      <c r="B2886" s="10"/>
    </row>
    <row r="2887" spans="2:2">
      <c r="B2887" s="10"/>
    </row>
    <row r="2888" spans="2:2">
      <c r="B2888" s="10"/>
    </row>
    <row r="2889" spans="2:2">
      <c r="B2889" s="10"/>
    </row>
    <row r="2890" spans="2:2">
      <c r="B2890" s="10"/>
    </row>
    <row r="2891" spans="2:2">
      <c r="B2891" s="10"/>
    </row>
    <row r="2892" spans="2:2">
      <c r="B2892" s="10"/>
    </row>
    <row r="2893" spans="2:2">
      <c r="B2893" s="10"/>
    </row>
    <row r="2894" spans="2:2">
      <c r="B2894" s="10"/>
    </row>
    <row r="2895" spans="2:2">
      <c r="B2895" s="10"/>
    </row>
    <row r="2896" spans="2:2">
      <c r="B2896" s="10"/>
    </row>
    <row r="2897" spans="2:2">
      <c r="B2897" s="10"/>
    </row>
    <row r="2898" spans="2:2">
      <c r="B2898" s="10"/>
    </row>
    <row r="2899" spans="2:2">
      <c r="B2899" s="10"/>
    </row>
    <row r="2900" spans="2:2">
      <c r="B2900" s="10"/>
    </row>
    <row r="2901" spans="2:2">
      <c r="B2901" s="10"/>
    </row>
    <row r="2902" spans="2:2">
      <c r="B2902" s="10"/>
    </row>
    <row r="2903" spans="2:2">
      <c r="B2903" s="10"/>
    </row>
    <row r="2904" spans="2:2">
      <c r="B2904" s="10"/>
    </row>
    <row r="2905" spans="2:2">
      <c r="B2905" s="10"/>
    </row>
    <row r="2906" spans="2:2">
      <c r="B2906" s="10"/>
    </row>
    <row r="2907" spans="2:2">
      <c r="B2907" s="10"/>
    </row>
    <row r="2908" spans="2:2">
      <c r="B2908" s="10"/>
    </row>
    <row r="2909" spans="2:2">
      <c r="B2909" s="10"/>
    </row>
    <row r="2910" spans="2:2">
      <c r="B2910" s="10"/>
    </row>
    <row r="2911" spans="2:2">
      <c r="B2911" s="10"/>
    </row>
    <row r="2912" spans="2:2">
      <c r="B2912" s="10"/>
    </row>
    <row r="2913" spans="2:2 1376:1451">
      <c r="B2913" s="10"/>
    </row>
    <row r="2914" spans="2:2 1376:1451">
      <c r="B2914" s="10"/>
    </row>
    <row r="2915" spans="2:2 1376:1451">
      <c r="B2915" s="10"/>
    </row>
    <row r="2916" spans="2:2 1376:1451">
      <c r="B2916" s="10"/>
    </row>
    <row r="2917" spans="2:2 1376:1451">
      <c r="B2917" s="10"/>
    </row>
    <row r="2918" spans="2:2 1376:1451">
      <c r="B2918" s="10"/>
    </row>
    <row r="2919" spans="2:2 1376:1451">
      <c r="B2919" s="10"/>
    </row>
    <row r="2920" spans="2:2 1376:1451">
      <c r="B2920" s="10"/>
    </row>
    <row r="2921" spans="2:2 1376:1451">
      <c r="B2921" s="10"/>
    </row>
    <row r="2922" spans="2:2 1376:1451">
      <c r="B2922" s="10"/>
      <c r="AZX2922" s="8" t="s">
        <v>532</v>
      </c>
    </row>
    <row r="2923" spans="2:2 1376:1451">
      <c r="B2923" s="10"/>
      <c r="BCL2923" s="8" t="s">
        <v>533</v>
      </c>
    </row>
    <row r="2924" spans="2:2 1376:1451">
      <c r="B2924" s="10"/>
      <c r="BCU2924" s="8" t="s">
        <v>534</v>
      </c>
    </row>
    <row r="2925" spans="2:2 1376:1451">
      <c r="B2925" s="10"/>
    </row>
    <row r="2926" spans="2:2 1376:1451">
      <c r="B2926" s="10"/>
    </row>
    <row r="2927" spans="2:2 1376:1451">
      <c r="B2927" s="10"/>
    </row>
    <row r="2928" spans="2:2 1376:1451">
      <c r="B2928" s="10"/>
    </row>
    <row r="2929" spans="2:2">
      <c r="B2929" s="10"/>
    </row>
    <row r="2930" spans="2:2">
      <c r="B2930" s="10"/>
    </row>
    <row r="2931" spans="2:2">
      <c r="B2931" s="10"/>
    </row>
    <row r="2932" spans="2:2">
      <c r="B2932" s="10"/>
    </row>
    <row r="2933" spans="2:2">
      <c r="B2933" s="10"/>
    </row>
    <row r="2934" spans="2:2">
      <c r="B2934" s="10"/>
    </row>
    <row r="2935" spans="2:2">
      <c r="B2935" s="10"/>
    </row>
    <row r="2936" spans="2:2">
      <c r="B2936" s="10"/>
    </row>
    <row r="2937" spans="2:2">
      <c r="B2937" s="10"/>
    </row>
    <row r="2938" spans="2:2">
      <c r="B2938" s="10"/>
    </row>
    <row r="2939" spans="2:2">
      <c r="B2939" s="10"/>
    </row>
    <row r="2940" spans="2:2">
      <c r="B2940" s="10"/>
    </row>
    <row r="2941" spans="2:2">
      <c r="B2941" s="10"/>
    </row>
    <row r="2942" spans="2:2">
      <c r="B2942" s="10"/>
    </row>
    <row r="2943" spans="2:2">
      <c r="B2943" s="10"/>
    </row>
    <row r="2944" spans="2:2">
      <c r="B2944" s="10"/>
    </row>
    <row r="2945" spans="2:2">
      <c r="B2945" s="10"/>
    </row>
    <row r="2946" spans="2:2">
      <c r="B2946" s="10"/>
    </row>
    <row r="2947" spans="2:2">
      <c r="B2947" s="10"/>
    </row>
    <row r="2948" spans="2:2">
      <c r="B2948" s="10"/>
    </row>
    <row r="2949" spans="2:2">
      <c r="B2949" s="10"/>
    </row>
    <row r="2950" spans="2:2">
      <c r="B2950" s="10"/>
    </row>
    <row r="2951" spans="2:2">
      <c r="B2951" s="10"/>
    </row>
    <row r="2952" spans="2:2">
      <c r="B2952" s="10"/>
    </row>
    <row r="2953" spans="2:2">
      <c r="B2953" s="10"/>
    </row>
    <row r="2954" spans="2:2">
      <c r="B2954" s="10"/>
    </row>
    <row r="2955" spans="2:2">
      <c r="B2955" s="10"/>
    </row>
    <row r="2956" spans="2:2">
      <c r="B2956" s="10"/>
    </row>
    <row r="2957" spans="2:2">
      <c r="B2957" s="10"/>
    </row>
    <row r="2958" spans="2:2">
      <c r="B2958" s="10"/>
    </row>
    <row r="2959" spans="2:2">
      <c r="B2959" s="10"/>
    </row>
    <row r="2960" spans="2:2">
      <c r="B2960" s="10"/>
    </row>
    <row r="2961" spans="2:2 1445:1544">
      <c r="B2961" s="10"/>
    </row>
    <row r="2962" spans="2:2 1445:1544">
      <c r="B2962" s="10"/>
    </row>
    <row r="2963" spans="2:2 1445:1544">
      <c r="B2963" s="10"/>
    </row>
    <row r="2964" spans="2:2 1445:1544">
      <c r="B2964" s="10"/>
    </row>
    <row r="2965" spans="2:2 1445:1544">
      <c r="B2965" s="10"/>
    </row>
    <row r="2966" spans="2:2 1445:1544">
      <c r="B2966" s="10"/>
    </row>
    <row r="2967" spans="2:2 1445:1544">
      <c r="B2967" s="10"/>
    </row>
    <row r="2968" spans="2:2 1445:1544">
      <c r="B2968" s="10"/>
    </row>
    <row r="2969" spans="2:2 1445:1544">
      <c r="B2969" s="10"/>
    </row>
    <row r="2970" spans="2:2 1445:1544">
      <c r="B2970" s="10"/>
      <c r="BCO2970" s="8" t="s">
        <v>556</v>
      </c>
    </row>
    <row r="2971" spans="2:2 1445:1544">
      <c r="B2971" s="10"/>
      <c r="BDG2971" s="8" t="s">
        <v>557</v>
      </c>
    </row>
    <row r="2972" spans="2:2 1445:1544">
      <c r="B2972" s="10"/>
      <c r="BDV2972" s="8" t="s">
        <v>558</v>
      </c>
    </row>
    <row r="2973" spans="2:2 1445:1544">
      <c r="B2973" s="10"/>
      <c r="BEK2973" s="8" t="s">
        <v>559</v>
      </c>
    </row>
    <row r="2974" spans="2:2 1445:1544">
      <c r="B2974" s="10"/>
      <c r="BEZ2974" s="8" t="s">
        <v>560</v>
      </c>
    </row>
    <row r="2975" spans="2:2 1445:1544">
      <c r="B2975" s="10"/>
      <c r="BFO2975" s="8" t="s">
        <v>561</v>
      </c>
    </row>
    <row r="2976" spans="2:2 1445:1544">
      <c r="B2976" s="10"/>
      <c r="BGJ2976" s="8" t="s">
        <v>562</v>
      </c>
    </row>
    <row r="2977" spans="2:2 1568:1977">
      <c r="B2977" s="10"/>
      <c r="BHH2977" s="8" t="s">
        <v>563</v>
      </c>
    </row>
    <row r="2978" spans="2:2 1568:1977">
      <c r="B2978" s="10"/>
      <c r="BIF2978" s="8" t="s">
        <v>564</v>
      </c>
    </row>
    <row r="2979" spans="2:2 1568:1977">
      <c r="B2979" s="10"/>
      <c r="BJD2979" s="8" t="s">
        <v>565</v>
      </c>
    </row>
    <row r="2980" spans="2:2 1568:1977">
      <c r="B2980" s="10"/>
      <c r="BOC2980" s="8" t="s">
        <v>566</v>
      </c>
    </row>
    <row r="2981" spans="2:2 1568:1977">
      <c r="B2981" s="10"/>
      <c r="BPP2981" s="8" t="s">
        <v>567</v>
      </c>
    </row>
    <row r="2982" spans="2:2 1568:1977">
      <c r="B2982" s="10"/>
      <c r="BQN2982" s="8" t="s">
        <v>568</v>
      </c>
    </row>
    <row r="2983" spans="2:2 1568:1977">
      <c r="B2983" s="10"/>
      <c r="BXA2983" s="8" t="s">
        <v>569</v>
      </c>
    </row>
    <row r="2984" spans="2:2 1568:1977">
      <c r="B2984" s="10"/>
    </row>
    <row r="2985" spans="2:2 1568:1977">
      <c r="B2985" s="10"/>
    </row>
    <row r="2986" spans="2:2 1568:1977">
      <c r="B2986" s="10"/>
    </row>
    <row r="2987" spans="2:2 1568:1977">
      <c r="B2987" s="10"/>
    </row>
    <row r="2988" spans="2:2 1568:1977">
      <c r="B2988" s="10"/>
    </row>
    <row r="2989" spans="2:2 1568:1977">
      <c r="B2989" s="10"/>
    </row>
    <row r="2990" spans="2:2 1568:1977">
      <c r="B2990" s="10"/>
    </row>
    <row r="2991" spans="2:2 1568:1977">
      <c r="B2991" s="10"/>
    </row>
    <row r="2992" spans="2:2 1568:1977">
      <c r="B2992" s="10"/>
    </row>
    <row r="2993" spans="2:2">
      <c r="B2993" s="10"/>
    </row>
    <row r="2994" spans="2:2">
      <c r="B2994" s="10"/>
    </row>
    <row r="2995" spans="2:2">
      <c r="B2995" s="10"/>
    </row>
    <row r="2996" spans="2:2">
      <c r="B2996" s="10"/>
    </row>
    <row r="2997" spans="2:2">
      <c r="B2997" s="10"/>
    </row>
    <row r="2998" spans="2:2">
      <c r="B2998" s="10"/>
    </row>
    <row r="2999" spans="2:2">
      <c r="B2999" s="10"/>
    </row>
    <row r="3000" spans="2:2">
      <c r="B3000" s="10"/>
    </row>
    <row r="3001" spans="2:2">
      <c r="B3001" s="10"/>
    </row>
    <row r="3002" spans="2:2">
      <c r="B3002" s="10"/>
    </row>
    <row r="3003" spans="2:2">
      <c r="B3003" s="10"/>
    </row>
    <row r="3004" spans="2:2">
      <c r="B3004" s="10"/>
    </row>
    <row r="3005" spans="2:2">
      <c r="B3005" s="10"/>
    </row>
    <row r="3006" spans="2:2">
      <c r="B3006" s="10"/>
    </row>
    <row r="3007" spans="2:2">
      <c r="B3007" s="10"/>
    </row>
    <row r="3008" spans="2:2">
      <c r="B3008" s="10"/>
    </row>
    <row r="3009" spans="2:2">
      <c r="B3009" s="10"/>
    </row>
    <row r="3010" spans="2:2">
      <c r="B3010" s="10"/>
    </row>
    <row r="3011" spans="2:2">
      <c r="B3011" s="10"/>
    </row>
    <row r="3012" spans="2:2">
      <c r="B3012" s="10"/>
    </row>
    <row r="3013" spans="2:2">
      <c r="B3013" s="10"/>
    </row>
    <row r="3014" spans="2:2">
      <c r="B3014" s="10"/>
    </row>
    <row r="3015" spans="2:2">
      <c r="B3015" s="10"/>
    </row>
    <row r="3016" spans="2:2">
      <c r="B3016" s="10"/>
    </row>
    <row r="3017" spans="2:2">
      <c r="B3017" s="10"/>
    </row>
    <row r="3018" spans="2:2">
      <c r="B3018" s="10"/>
    </row>
    <row r="3019" spans="2:2">
      <c r="B3019" s="10"/>
    </row>
    <row r="3020" spans="2:2">
      <c r="B3020" s="10"/>
    </row>
    <row r="3021" spans="2:2">
      <c r="B3021" s="10"/>
    </row>
    <row r="3022" spans="2:2">
      <c r="B3022" s="10"/>
    </row>
    <row r="3023" spans="2:2">
      <c r="B3023" s="10"/>
    </row>
    <row r="3024" spans="2:2">
      <c r="B3024" s="10"/>
    </row>
    <row r="3025" spans="2:2">
      <c r="B3025" s="10"/>
    </row>
    <row r="3026" spans="2:2">
      <c r="B3026" s="10"/>
    </row>
    <row r="3027" spans="2:2">
      <c r="B3027" s="10"/>
    </row>
    <row r="3028" spans="2:2">
      <c r="B3028" s="10"/>
    </row>
    <row r="3029" spans="2:2">
      <c r="B3029" s="10"/>
    </row>
    <row r="3030" spans="2:2">
      <c r="B3030" s="10"/>
    </row>
    <row r="3031" spans="2:2">
      <c r="B3031" s="10"/>
    </row>
    <row r="3032" spans="2:2">
      <c r="B3032" s="10"/>
    </row>
    <row r="3033" spans="2:2">
      <c r="B3033" s="10"/>
    </row>
    <row r="3034" spans="2:2">
      <c r="B3034" s="10"/>
    </row>
    <row r="3035" spans="2:2">
      <c r="B3035" s="10"/>
    </row>
    <row r="3036" spans="2:2">
      <c r="B3036" s="10"/>
    </row>
    <row r="3037" spans="2:2">
      <c r="B3037" s="10"/>
    </row>
    <row r="3038" spans="2:2">
      <c r="B3038" s="10"/>
    </row>
    <row r="3039" spans="2:2">
      <c r="B3039" s="10"/>
    </row>
    <row r="3040" spans="2:2">
      <c r="B3040" s="10"/>
    </row>
    <row r="3041" spans="2:2 1358:1736">
      <c r="B3041" s="10"/>
    </row>
    <row r="3042" spans="2:2 1358:1736">
      <c r="B3042" s="10"/>
    </row>
    <row r="3043" spans="2:2 1358:1736">
      <c r="B3043" s="10"/>
      <c r="AZF3043" s="8" t="s">
        <v>600</v>
      </c>
    </row>
    <row r="3044" spans="2:2 1358:1736">
      <c r="B3044" s="10"/>
      <c r="AZX3044" s="8" t="s">
        <v>601</v>
      </c>
    </row>
    <row r="3045" spans="2:2 1358:1736">
      <c r="B3045" s="10"/>
      <c r="BAV3045" s="8" t="s">
        <v>602</v>
      </c>
    </row>
    <row r="3046" spans="2:2 1358:1736">
      <c r="B3046" s="10"/>
      <c r="BAV3046" s="8" t="s">
        <v>603</v>
      </c>
    </row>
    <row r="3047" spans="2:2 1358:1736">
      <c r="B3047" s="10"/>
      <c r="BBJ3047" s="8" t="s">
        <v>604</v>
      </c>
    </row>
    <row r="3048" spans="2:2 1358:1736">
      <c r="B3048" s="10"/>
      <c r="BCR3048" s="8" t="s">
        <v>605</v>
      </c>
    </row>
    <row r="3049" spans="2:2 1358:1736">
      <c r="B3049" s="10"/>
      <c r="BGL3049" s="8" t="s">
        <v>606</v>
      </c>
    </row>
    <row r="3050" spans="2:2 1358:1736">
      <c r="B3050" s="10"/>
      <c r="BIF3050" s="8" t="s">
        <v>607</v>
      </c>
    </row>
    <row r="3051" spans="2:2 1358:1736">
      <c r="B3051" s="10"/>
      <c r="BJD3051" s="8" t="s">
        <v>608</v>
      </c>
    </row>
    <row r="3052" spans="2:2 1358:1736">
      <c r="B3052" s="10"/>
      <c r="BKB3052" s="8" t="s">
        <v>609</v>
      </c>
    </row>
    <row r="3053" spans="2:2 1358:1736">
      <c r="B3053" s="10"/>
      <c r="BLI3053" s="8" t="s">
        <v>610</v>
      </c>
    </row>
    <row r="3054" spans="2:2 1358:1736">
      <c r="B3054" s="10"/>
      <c r="BMA3054" s="8" t="s">
        <v>611</v>
      </c>
    </row>
    <row r="3055" spans="2:2 1358:1736">
      <c r="B3055" s="10"/>
      <c r="BNB3055" s="8" t="s">
        <v>612</v>
      </c>
    </row>
    <row r="3056" spans="2:2 1358:1736">
      <c r="B3056" s="10"/>
      <c r="BNT3056" s="8" t="s">
        <v>613</v>
      </c>
    </row>
    <row r="3057" spans="2:2 1784:2046 2055:2120">
      <c r="B3057" s="10"/>
      <c r="BPP3057" s="8" t="s">
        <v>614</v>
      </c>
    </row>
    <row r="3058" spans="2:2 1784:2046 2055:2120">
      <c r="B3058" s="10"/>
      <c r="BUG3058" s="8" t="s">
        <v>615</v>
      </c>
    </row>
    <row r="3059" spans="2:2 1784:2046 2055:2120">
      <c r="B3059" s="10"/>
      <c r="BZR3059" s="8" t="s">
        <v>616</v>
      </c>
    </row>
    <row r="3060" spans="2:2 1784:2046 2055:2120">
      <c r="B3060" s="10"/>
      <c r="CAA3060" s="8" t="s">
        <v>617</v>
      </c>
    </row>
    <row r="3061" spans="2:2 1784:2046 2055:2120">
      <c r="B3061" s="10"/>
      <c r="CBP3061" s="8" t="s">
        <v>618</v>
      </c>
    </row>
    <row r="3062" spans="2:2 1784:2046 2055:2120">
      <c r="B3062" s="10"/>
      <c r="CCN3062" s="8" t="s">
        <v>619</v>
      </c>
    </row>
    <row r="3063" spans="2:2 1784:2046 2055:2120">
      <c r="B3063" s="10"/>
    </row>
    <row r="3064" spans="2:2 1784:2046 2055:2120">
      <c r="B3064" s="10"/>
    </row>
    <row r="3065" spans="2:2 1784:2046 2055:2120">
      <c r="B3065" s="10"/>
    </row>
    <row r="3066" spans="2:2 1784:2046 2055:2120">
      <c r="B3066" s="10"/>
    </row>
    <row r="3067" spans="2:2 1784:2046 2055:2120">
      <c r="B3067" s="10"/>
    </row>
    <row r="3068" spans="2:2 1784:2046 2055:2120">
      <c r="B3068" s="10"/>
    </row>
    <row r="3069" spans="2:2 1784:2046 2055:2120">
      <c r="B3069" s="10"/>
    </row>
    <row r="3070" spans="2:2 1784:2046 2055:2120">
      <c r="B3070" s="10"/>
    </row>
    <row r="3071" spans="2:2 1784:2046 2055:2120">
      <c r="B3071" s="10"/>
    </row>
    <row r="3072" spans="2:2 1784:2046 2055:2120">
      <c r="B3072" s="10"/>
    </row>
    <row r="3073" spans="2:2">
      <c r="B3073" s="10"/>
    </row>
    <row r="3074" spans="2:2">
      <c r="B3074" s="10"/>
    </row>
    <row r="3075" spans="2:2">
      <c r="B3075" s="10"/>
    </row>
    <row r="3076" spans="2:2">
      <c r="B3076" s="10"/>
    </row>
    <row r="3077" spans="2:2">
      <c r="B3077" s="10"/>
    </row>
    <row r="3078" spans="2:2">
      <c r="B3078" s="10"/>
    </row>
    <row r="3079" spans="2:2">
      <c r="B3079" s="10"/>
    </row>
    <row r="3080" spans="2:2">
      <c r="B3080" s="10"/>
    </row>
    <row r="3081" spans="2:2">
      <c r="B3081" s="10"/>
    </row>
    <row r="3082" spans="2:2">
      <c r="B3082" s="10"/>
    </row>
    <row r="3083" spans="2:2">
      <c r="B3083" s="10"/>
    </row>
    <row r="3084" spans="2:2">
      <c r="B3084" s="10"/>
    </row>
    <row r="3085" spans="2:2">
      <c r="B3085" s="10"/>
    </row>
    <row r="3086" spans="2:2">
      <c r="B3086" s="10"/>
    </row>
    <row r="3087" spans="2:2">
      <c r="B3087" s="10"/>
    </row>
    <row r="3088" spans="2:2">
      <c r="B3088" s="10"/>
    </row>
    <row r="3089" spans="2:2">
      <c r="B3089" s="10"/>
    </row>
    <row r="3090" spans="2:2">
      <c r="B3090" s="10"/>
    </row>
    <row r="3091" spans="2:2">
      <c r="B3091" s="10"/>
    </row>
    <row r="3092" spans="2:2">
      <c r="B3092" s="10"/>
    </row>
    <row r="3093" spans="2:2">
      <c r="B3093" s="10"/>
    </row>
    <row r="3094" spans="2:2">
      <c r="B3094" s="10"/>
    </row>
    <row r="3095" spans="2:2">
      <c r="B3095" s="10"/>
    </row>
    <row r="3096" spans="2:2">
      <c r="B3096" s="10"/>
    </row>
    <row r="3097" spans="2:2">
      <c r="B3097" s="10"/>
    </row>
    <row r="3098" spans="2:2">
      <c r="B3098" s="10"/>
    </row>
    <row r="3099" spans="2:2">
      <c r="B3099" s="10"/>
    </row>
    <row r="3100" spans="2:2">
      <c r="B3100" s="10"/>
    </row>
    <row r="3101" spans="2:2">
      <c r="B3101" s="10"/>
    </row>
    <row r="3102" spans="2:2">
      <c r="B3102" s="10"/>
    </row>
    <row r="3103" spans="2:2">
      <c r="B3103" s="10"/>
    </row>
    <row r="3104" spans="2:2">
      <c r="B3104" s="10"/>
    </row>
    <row r="3105" spans="2:2">
      <c r="B3105" s="10"/>
    </row>
    <row r="3106" spans="2:2">
      <c r="B3106" s="10"/>
    </row>
    <row r="3107" spans="2:2">
      <c r="B3107" s="10"/>
    </row>
    <row r="3108" spans="2:2">
      <c r="B3108" s="10"/>
    </row>
    <row r="3109" spans="2:2">
      <c r="B3109" s="10"/>
    </row>
    <row r="3110" spans="2:2">
      <c r="B3110" s="10"/>
    </row>
    <row r="3111" spans="2:2">
      <c r="B3111" s="10"/>
    </row>
    <row r="3112" spans="2:2">
      <c r="B3112" s="10"/>
    </row>
    <row r="3113" spans="2:2">
      <c r="B3113" s="10"/>
    </row>
    <row r="3114" spans="2:2">
      <c r="B3114" s="10"/>
    </row>
    <row r="3115" spans="2:2">
      <c r="B3115" s="10"/>
    </row>
    <row r="3116" spans="2:2">
      <c r="B3116" s="10"/>
    </row>
    <row r="3117" spans="2:2">
      <c r="B3117" s="10"/>
    </row>
    <row r="3118" spans="2:2">
      <c r="B3118" s="10"/>
    </row>
    <row r="3119" spans="2:2">
      <c r="B3119" s="10"/>
    </row>
    <row r="3120" spans="2:2">
      <c r="B3120" s="10"/>
    </row>
    <row r="3121" spans="2:2">
      <c r="B3121" s="10"/>
    </row>
    <row r="3122" spans="2:2">
      <c r="B3122" s="10"/>
    </row>
    <row r="3123" spans="2:2">
      <c r="B3123" s="10"/>
    </row>
    <row r="3124" spans="2:2">
      <c r="B3124" s="10"/>
    </row>
    <row r="3125" spans="2:2">
      <c r="B3125" s="10"/>
    </row>
    <row r="3126" spans="2:2">
      <c r="B3126" s="10"/>
    </row>
    <row r="3127" spans="2:2">
      <c r="B3127" s="10"/>
    </row>
    <row r="3128" spans="2:2">
      <c r="B3128" s="10"/>
    </row>
    <row r="3129" spans="2:2">
      <c r="B3129" s="10"/>
    </row>
    <row r="3130" spans="2:2">
      <c r="B3130" s="10"/>
    </row>
    <row r="3131" spans="2:2">
      <c r="B3131" s="10"/>
    </row>
    <row r="3132" spans="2:2">
      <c r="B3132" s="10"/>
    </row>
    <row r="3133" spans="2:2">
      <c r="B3133" s="10"/>
    </row>
    <row r="3134" spans="2:2">
      <c r="B3134" s="10"/>
    </row>
    <row r="3135" spans="2:2">
      <c r="B3135" s="10"/>
    </row>
    <row r="3136" spans="2:2">
      <c r="B3136" s="10"/>
    </row>
    <row r="3137" spans="2:2 1361:1546">
      <c r="B3137" s="10"/>
    </row>
    <row r="3138" spans="2:2 1361:1546">
      <c r="B3138" s="10"/>
    </row>
    <row r="3139" spans="2:2 1361:1546">
      <c r="B3139" s="10"/>
    </row>
    <row r="3140" spans="2:2 1361:1546">
      <c r="B3140" s="10"/>
    </row>
    <row r="3141" spans="2:2 1361:1546">
      <c r="B3141" s="10"/>
    </row>
    <row r="3142" spans="2:2 1361:1546">
      <c r="B3142" s="10"/>
    </row>
    <row r="3143" spans="2:2 1361:1546">
      <c r="B3143" s="10"/>
    </row>
    <row r="3144" spans="2:2 1361:1546">
      <c r="B3144" s="10"/>
    </row>
    <row r="3145" spans="2:2 1361:1546">
      <c r="B3145" s="10"/>
    </row>
    <row r="3146" spans="2:2 1361:1546">
      <c r="B3146" s="10"/>
    </row>
    <row r="3147" spans="2:2 1361:1546">
      <c r="B3147" s="10"/>
    </row>
    <row r="3148" spans="2:2 1361:1546">
      <c r="B3148" s="10"/>
      <c r="AZI3148" s="8" t="s">
        <v>643</v>
      </c>
    </row>
    <row r="3149" spans="2:2 1361:1546">
      <c r="B3149" s="10"/>
      <c r="AZX3149" s="8" t="s">
        <v>644</v>
      </c>
    </row>
    <row r="3150" spans="2:2 1361:1546">
      <c r="B3150" s="10"/>
      <c r="BDP3150" s="8" t="s">
        <v>645</v>
      </c>
    </row>
    <row r="3151" spans="2:2 1361:1546">
      <c r="B3151" s="10"/>
      <c r="BFL3151" s="8" t="s">
        <v>646</v>
      </c>
    </row>
    <row r="3152" spans="2:2 1361:1546">
      <c r="B3152" s="10"/>
      <c r="BGL3152" s="8" t="s">
        <v>647</v>
      </c>
    </row>
    <row r="3153" spans="2:2 1688:1904">
      <c r="B3153" s="10"/>
      <c r="BLX3153" s="8" t="s">
        <v>648</v>
      </c>
    </row>
    <row r="3154" spans="2:2 1688:1904">
      <c r="B3154" s="10"/>
      <c r="BMO3154" s="8" t="s">
        <v>649</v>
      </c>
    </row>
    <row r="3155" spans="2:2 1688:1904">
      <c r="B3155" s="10"/>
      <c r="BUF3155" s="8" t="s">
        <v>650</v>
      </c>
    </row>
    <row r="3156" spans="2:2 1688:1904">
      <c r="B3156" s="10"/>
    </row>
    <row r="3157" spans="2:2 1688:1904">
      <c r="B3157" s="10"/>
    </row>
    <row r="3158" spans="2:2 1688:1904">
      <c r="B3158" s="10"/>
    </row>
    <row r="3159" spans="2:2 1688:1904">
      <c r="B3159" s="10"/>
    </row>
    <row r="3160" spans="2:2 1688:1904">
      <c r="B3160" s="10"/>
    </row>
    <row r="3161" spans="2:2 1688:1904">
      <c r="B3161" s="10"/>
    </row>
    <row r="3162" spans="2:2 1688:1904">
      <c r="B3162" s="10"/>
    </row>
    <row r="3163" spans="2:2 1688:1904">
      <c r="B3163" s="10"/>
    </row>
    <row r="3164" spans="2:2 1688:1904">
      <c r="B3164" s="10"/>
    </row>
    <row r="3165" spans="2:2 1688:1904">
      <c r="B3165" s="10"/>
    </row>
    <row r="3166" spans="2:2 1688:1904">
      <c r="B3166" s="10"/>
    </row>
    <row r="3167" spans="2:2 1688:1904">
      <c r="B3167" s="10"/>
    </row>
    <row r="3168" spans="2:2 1688:1904">
      <c r="B3168" s="10"/>
    </row>
    <row r="3169" spans="2:2">
      <c r="B3169" s="10"/>
    </row>
    <row r="3170" spans="2:2">
      <c r="B3170" s="10"/>
    </row>
    <row r="3171" spans="2:2">
      <c r="B3171" s="10"/>
    </row>
    <row r="3172" spans="2:2">
      <c r="B3172" s="10"/>
    </row>
    <row r="3173" spans="2:2">
      <c r="B3173" s="10"/>
    </row>
    <row r="3174" spans="2:2">
      <c r="B3174" s="10"/>
    </row>
    <row r="3175" spans="2:2">
      <c r="B3175" s="10"/>
    </row>
    <row r="3176" spans="2:2">
      <c r="B3176" s="10"/>
    </row>
    <row r="3177" spans="2:2">
      <c r="B3177" s="10"/>
    </row>
    <row r="3178" spans="2:2">
      <c r="B3178" s="10"/>
    </row>
    <row r="3179" spans="2:2">
      <c r="B3179" s="10"/>
    </row>
    <row r="3180" spans="2:2">
      <c r="B3180" s="10"/>
    </row>
    <row r="3181" spans="2:2">
      <c r="B3181" s="10"/>
    </row>
    <row r="3182" spans="2:2">
      <c r="B3182" s="10"/>
    </row>
    <row r="3183" spans="2:2">
      <c r="B3183" s="10"/>
    </row>
    <row r="3184" spans="2:2">
      <c r="B3184" s="10"/>
    </row>
    <row r="3185" spans="2:2">
      <c r="B3185" s="10"/>
    </row>
    <row r="3186" spans="2:2">
      <c r="B3186" s="10"/>
    </row>
    <row r="3187" spans="2:2">
      <c r="B3187" s="10"/>
    </row>
    <row r="3188" spans="2:2">
      <c r="B3188" s="10"/>
    </row>
    <row r="3189" spans="2:2">
      <c r="B3189" s="10"/>
    </row>
    <row r="3190" spans="2:2">
      <c r="B3190" s="10"/>
    </row>
    <row r="3191" spans="2:2">
      <c r="B3191" s="10"/>
    </row>
    <row r="3192" spans="2:2">
      <c r="B3192" s="10"/>
    </row>
    <row r="3193" spans="2:2">
      <c r="B3193" s="10"/>
    </row>
    <row r="3194" spans="2:2">
      <c r="B3194" s="10"/>
    </row>
    <row r="3195" spans="2:2">
      <c r="B3195" s="10"/>
    </row>
    <row r="3196" spans="2:2">
      <c r="B3196" s="10"/>
    </row>
    <row r="3197" spans="2:2">
      <c r="B3197" s="10"/>
    </row>
    <row r="3198" spans="2:2">
      <c r="B3198" s="10"/>
    </row>
    <row r="3199" spans="2:2">
      <c r="B3199" s="10"/>
    </row>
    <row r="3200" spans="2:2">
      <c r="B3200" s="10"/>
    </row>
    <row r="3201" spans="2:2">
      <c r="B3201" s="10"/>
    </row>
    <row r="3202" spans="2:2">
      <c r="B3202" s="10"/>
    </row>
    <row r="3203" spans="2:2">
      <c r="B3203" s="10"/>
    </row>
    <row r="3204" spans="2:2">
      <c r="B3204" s="10"/>
    </row>
    <row r="3205" spans="2:2">
      <c r="B3205" s="10"/>
    </row>
    <row r="3206" spans="2:2">
      <c r="B3206" s="10"/>
    </row>
    <row r="3207" spans="2:2">
      <c r="B3207" s="10"/>
    </row>
    <row r="3208" spans="2:2">
      <c r="B3208" s="10"/>
    </row>
    <row r="3209" spans="2:2">
      <c r="B3209" s="10"/>
    </row>
    <row r="3210" spans="2:2">
      <c r="B3210" s="10"/>
    </row>
    <row r="3211" spans="2:2">
      <c r="B3211" s="10"/>
    </row>
    <row r="3212" spans="2:2">
      <c r="B3212" s="10"/>
    </row>
    <row r="3213" spans="2:2">
      <c r="B3213" s="10"/>
    </row>
    <row r="3214" spans="2:2">
      <c r="B3214" s="10"/>
    </row>
    <row r="3215" spans="2:2">
      <c r="B3215" s="10"/>
    </row>
    <row r="3216" spans="2:2">
      <c r="B3216" s="10"/>
    </row>
    <row r="3217" spans="2:2">
      <c r="B3217" s="10"/>
    </row>
    <row r="3218" spans="2:2">
      <c r="B3218" s="10"/>
    </row>
    <row r="3219" spans="2:2">
      <c r="B3219" s="10"/>
    </row>
    <row r="3220" spans="2:2">
      <c r="B3220" s="10"/>
    </row>
    <row r="3221" spans="2:2">
      <c r="B3221" s="10"/>
    </row>
    <row r="3222" spans="2:2">
      <c r="B3222" s="10"/>
    </row>
    <row r="3223" spans="2:2">
      <c r="B3223" s="10"/>
    </row>
    <row r="3224" spans="2:2">
      <c r="B3224" s="10"/>
    </row>
    <row r="3225" spans="2:2">
      <c r="B3225" s="10"/>
    </row>
    <row r="3226" spans="2:2">
      <c r="B3226" s="10"/>
    </row>
    <row r="3227" spans="2:2">
      <c r="B3227" s="10"/>
    </row>
    <row r="3228" spans="2:2">
      <c r="B3228" s="10"/>
    </row>
    <row r="3229" spans="2:2">
      <c r="B3229" s="10"/>
    </row>
    <row r="3230" spans="2:2">
      <c r="B3230" s="10"/>
    </row>
    <row r="3231" spans="2:2">
      <c r="B3231" s="10"/>
    </row>
    <row r="3232" spans="2:2">
      <c r="B3232" s="10"/>
    </row>
    <row r="3233" spans="2:2">
      <c r="B3233" s="10"/>
    </row>
    <row r="3234" spans="2:2">
      <c r="B3234" s="10"/>
    </row>
    <row r="3235" spans="2:2">
      <c r="B3235" s="10"/>
    </row>
    <row r="3236" spans="2:2">
      <c r="B3236" s="10"/>
    </row>
    <row r="3237" spans="2:2">
      <c r="B3237" s="10"/>
    </row>
    <row r="3238" spans="2:2">
      <c r="B3238" s="10"/>
    </row>
    <row r="3239" spans="2:2">
      <c r="B3239" s="10"/>
    </row>
    <row r="3240" spans="2:2">
      <c r="B3240" s="10"/>
    </row>
    <row r="3241" spans="2:2">
      <c r="B3241" s="10"/>
    </row>
    <row r="3242" spans="2:2">
      <c r="B3242" s="10"/>
    </row>
    <row r="3243" spans="2:2">
      <c r="B3243" s="10"/>
    </row>
    <row r="3244" spans="2:2">
      <c r="B3244" s="10"/>
    </row>
    <row r="3245" spans="2:2">
      <c r="B3245" s="10"/>
    </row>
    <row r="3246" spans="2:2">
      <c r="B3246" s="10"/>
    </row>
    <row r="3247" spans="2:2">
      <c r="B3247" s="10"/>
    </row>
    <row r="3248" spans="2:2">
      <c r="B3248" s="10"/>
    </row>
    <row r="3249" spans="2:2 1400:1784">
      <c r="B3249" s="10"/>
    </row>
    <row r="3250" spans="2:2 1400:1784">
      <c r="B3250" s="10"/>
    </row>
    <row r="3251" spans="2:2 1400:1784">
      <c r="B3251" s="10"/>
    </row>
    <row r="3252" spans="2:2 1400:1784">
      <c r="B3252" s="10"/>
    </row>
    <row r="3253" spans="2:2 1400:1784">
      <c r="B3253" s="10"/>
    </row>
    <row r="3254" spans="2:2 1400:1784">
      <c r="B3254" s="10"/>
    </row>
    <row r="3255" spans="2:2 1400:1784">
      <c r="B3255" s="10"/>
    </row>
    <row r="3256" spans="2:2 1400:1784">
      <c r="B3256" s="10"/>
    </row>
    <row r="3257" spans="2:2 1400:1784">
      <c r="B3257" s="10"/>
      <c r="BAV3257" s="8" t="s">
        <v>808</v>
      </c>
    </row>
    <row r="3258" spans="2:2 1400:1784">
      <c r="B3258" s="10"/>
      <c r="BPH3258" s="8" t="s">
        <v>668</v>
      </c>
    </row>
    <row r="3259" spans="2:2 1400:1784">
      <c r="B3259" s="10"/>
      <c r="BPP3259" s="8" t="s">
        <v>669</v>
      </c>
    </row>
    <row r="3260" spans="2:2 1400:1784">
      <c r="B3260" s="10"/>
    </row>
    <row r="3261" spans="2:2 1400:1784">
      <c r="B3261" s="10"/>
    </row>
    <row r="3262" spans="2:2 1400:1784">
      <c r="B3262" s="10"/>
    </row>
    <row r="3263" spans="2:2 1400:1784">
      <c r="B3263" s="10"/>
    </row>
    <row r="3264" spans="2:2 1400:1784">
      <c r="B3264" s="10"/>
    </row>
    <row r="3265" spans="2:2">
      <c r="B3265" s="10"/>
    </row>
    <row r="3266" spans="2:2">
      <c r="B3266" s="10"/>
    </row>
    <row r="3267" spans="2:2">
      <c r="B3267" s="10"/>
    </row>
    <row r="3268" spans="2:2">
      <c r="B3268" s="10"/>
    </row>
    <row r="3269" spans="2:2">
      <c r="B3269" s="10"/>
    </row>
    <row r="3270" spans="2:2">
      <c r="B3270" s="10"/>
    </row>
    <row r="3271" spans="2:2">
      <c r="B3271" s="10"/>
    </row>
    <row r="3272" spans="2:2">
      <c r="B3272" s="10"/>
    </row>
    <row r="3273" spans="2:2">
      <c r="B3273" s="10"/>
    </row>
    <row r="3274" spans="2:2">
      <c r="B3274" s="10"/>
    </row>
    <row r="3275" spans="2:2">
      <c r="B3275" s="10"/>
    </row>
    <row r="3276" spans="2:2">
      <c r="B3276" s="10"/>
    </row>
    <row r="3277" spans="2:2">
      <c r="B3277" s="10"/>
    </row>
    <row r="3278" spans="2:2">
      <c r="B3278" s="10"/>
    </row>
    <row r="3279" spans="2:2">
      <c r="B3279" s="10"/>
    </row>
    <row r="3280" spans="2:2">
      <c r="B3280" s="10"/>
    </row>
    <row r="3281" spans="2:2 1400:1664 2120:2120">
      <c r="B3281" s="10"/>
    </row>
    <row r="3282" spans="2:2 1400:1664 2120:2120">
      <c r="B3282" s="10"/>
    </row>
    <row r="3283" spans="2:2 1400:1664 2120:2120">
      <c r="B3283" s="10"/>
    </row>
    <row r="3284" spans="2:2 1400:1664 2120:2120">
      <c r="B3284" s="10"/>
    </row>
    <row r="3285" spans="2:2 1400:1664 2120:2120">
      <c r="B3285" s="10"/>
    </row>
    <row r="3286" spans="2:2 1400:1664 2120:2120">
      <c r="B3286" s="10"/>
    </row>
    <row r="3287" spans="2:2 1400:1664 2120:2120">
      <c r="B3287" s="10"/>
    </row>
    <row r="3288" spans="2:2 1400:1664 2120:2120">
      <c r="B3288" s="10"/>
    </row>
    <row r="3289" spans="2:2 1400:1664 2120:2120">
      <c r="B3289" s="10"/>
      <c r="BAV3289" s="8" t="s">
        <v>675</v>
      </c>
    </row>
    <row r="3290" spans="2:2 1400:1664 2120:2120">
      <c r="B3290" s="10"/>
      <c r="BKZ3290" s="8" t="s">
        <v>676</v>
      </c>
    </row>
    <row r="3291" spans="2:2 1400:1664 2120:2120">
      <c r="B3291" s="10"/>
      <c r="CCN3291" s="8" t="s">
        <v>677</v>
      </c>
    </row>
    <row r="3292" spans="2:2 1400:1664 2120:2120">
      <c r="B3292" s="10"/>
    </row>
    <row r="3293" spans="2:2 1400:1664 2120:2120">
      <c r="B3293" s="10"/>
    </row>
    <row r="3294" spans="2:2 1400:1664 2120:2120">
      <c r="B3294" s="10"/>
    </row>
    <row r="3295" spans="2:2 1400:1664 2120:2120">
      <c r="B3295" s="10"/>
    </row>
    <row r="3296" spans="2:2 1400:1664 2120:2120">
      <c r="B3296" s="10"/>
    </row>
    <row r="3297" spans="2:2">
      <c r="B3297" s="10"/>
    </row>
    <row r="3298" spans="2:2">
      <c r="B3298" s="10"/>
    </row>
    <row r="3299" spans="2:2">
      <c r="B3299" s="10"/>
    </row>
    <row r="3300" spans="2:2">
      <c r="B3300" s="10"/>
    </row>
    <row r="3301" spans="2:2">
      <c r="B3301" s="10"/>
    </row>
    <row r="3302" spans="2:2">
      <c r="B3302" s="10"/>
    </row>
    <row r="3303" spans="2:2">
      <c r="B3303" s="10"/>
    </row>
    <row r="3304" spans="2:2">
      <c r="B3304" s="10"/>
    </row>
    <row r="3305" spans="2:2">
      <c r="B3305" s="10"/>
    </row>
    <row r="3306" spans="2:2">
      <c r="B3306" s="10"/>
    </row>
    <row r="3307" spans="2:2">
      <c r="B3307" s="10"/>
    </row>
    <row r="3308" spans="2:2">
      <c r="B3308" s="10"/>
    </row>
    <row r="3309" spans="2:2">
      <c r="B3309" s="10"/>
    </row>
    <row r="3310" spans="2:2">
      <c r="B3310" s="10"/>
    </row>
    <row r="3311" spans="2:2">
      <c r="B3311" s="10"/>
    </row>
    <row r="3312" spans="2:2">
      <c r="B3312" s="10"/>
    </row>
    <row r="3313" spans="2:2">
      <c r="B3313" s="10"/>
    </row>
    <row r="3314" spans="2:2">
      <c r="B3314" s="10"/>
    </row>
    <row r="3315" spans="2:2">
      <c r="B3315" s="10"/>
    </row>
    <row r="3316" spans="2:2">
      <c r="B3316" s="10"/>
    </row>
    <row r="3317" spans="2:2">
      <c r="B3317" s="10"/>
    </row>
    <row r="3318" spans="2:2">
      <c r="B3318" s="10"/>
    </row>
    <row r="3319" spans="2:2">
      <c r="B3319" s="10"/>
    </row>
    <row r="3320" spans="2:2">
      <c r="B3320" s="10"/>
    </row>
    <row r="3321" spans="2:2">
      <c r="B3321" s="10"/>
    </row>
    <row r="3322" spans="2:2">
      <c r="B3322" s="10"/>
    </row>
    <row r="3323" spans="2:2">
      <c r="B3323" s="10"/>
    </row>
    <row r="3324" spans="2:2">
      <c r="B3324" s="10"/>
    </row>
    <row r="3325" spans="2:2">
      <c r="B3325" s="10"/>
    </row>
    <row r="3326" spans="2:2">
      <c r="B3326" s="10"/>
    </row>
    <row r="3327" spans="2:2">
      <c r="B3327" s="10"/>
    </row>
    <row r="3328" spans="2:2">
      <c r="B3328" s="10"/>
    </row>
    <row r="3329" spans="2:2 1784:1904">
      <c r="B3329" s="10"/>
    </row>
    <row r="3330" spans="2:2 1784:1904">
      <c r="B3330" s="10"/>
    </row>
    <row r="3331" spans="2:2 1784:1904">
      <c r="B3331" s="10"/>
    </row>
    <row r="3332" spans="2:2 1784:1904">
      <c r="B3332" s="10"/>
    </row>
    <row r="3333" spans="2:2 1784:1904">
      <c r="B3333" s="10"/>
    </row>
    <row r="3334" spans="2:2 1784:1904">
      <c r="B3334" s="10"/>
    </row>
    <row r="3335" spans="2:2 1784:1904">
      <c r="B3335" s="10"/>
    </row>
    <row r="3336" spans="2:2 1784:1904">
      <c r="B3336" s="10"/>
    </row>
    <row r="3337" spans="2:2 1784:1904">
      <c r="B3337" s="10"/>
    </row>
    <row r="3338" spans="2:2 1784:1904">
      <c r="B3338" s="10"/>
    </row>
    <row r="3339" spans="2:2 1784:1904">
      <c r="B3339" s="10"/>
    </row>
    <row r="3340" spans="2:2 1784:1904">
      <c r="B3340" s="10"/>
    </row>
    <row r="3341" spans="2:2 1784:1904">
      <c r="B3341" s="10"/>
      <c r="BPP3341" s="8" t="s">
        <v>692</v>
      </c>
    </row>
    <row r="3342" spans="2:2 1784:1904">
      <c r="B3342" s="10"/>
      <c r="BUF3342" s="8" t="s">
        <v>693</v>
      </c>
    </row>
    <row r="3343" spans="2:2 1784:1904">
      <c r="B3343" s="10"/>
    </row>
    <row r="3344" spans="2:2 1784:1904">
      <c r="B3344" s="10"/>
    </row>
    <row r="3345" spans="2:2">
      <c r="B3345" s="10"/>
    </row>
    <row r="3346" spans="2:2">
      <c r="B3346" s="10"/>
    </row>
    <row r="3347" spans="2:2">
      <c r="B3347" s="10"/>
    </row>
    <row r="3348" spans="2:2">
      <c r="B3348" s="10"/>
    </row>
    <row r="3349" spans="2:2">
      <c r="B3349" s="10"/>
    </row>
    <row r="3350" spans="2:2">
      <c r="B3350" s="10"/>
    </row>
    <row r="3351" spans="2:2">
      <c r="B3351" s="10"/>
    </row>
    <row r="3352" spans="2:2">
      <c r="B3352" s="10"/>
    </row>
    <row r="3353" spans="2:2">
      <c r="B3353" s="10"/>
    </row>
    <row r="3354" spans="2:2">
      <c r="B3354" s="10"/>
    </row>
    <row r="3355" spans="2:2">
      <c r="B3355" s="10"/>
    </row>
    <row r="3356" spans="2:2">
      <c r="B3356" s="10"/>
    </row>
    <row r="3357" spans="2:2">
      <c r="B3357" s="10"/>
    </row>
    <row r="3358" spans="2:2">
      <c r="B3358" s="10"/>
    </row>
    <row r="3359" spans="2:2">
      <c r="B3359" s="10"/>
    </row>
    <row r="3360" spans="2:2">
      <c r="B3360" s="10"/>
    </row>
    <row r="3361" spans="2:2">
      <c r="B3361" s="10"/>
    </row>
    <row r="3362" spans="2:2">
      <c r="B3362" s="10"/>
    </row>
    <row r="3363" spans="2:2">
      <c r="B3363" s="10"/>
    </row>
    <row r="3364" spans="2:2">
      <c r="B3364" s="10"/>
    </row>
    <row r="3365" spans="2:2">
      <c r="B3365" s="10"/>
    </row>
    <row r="3366" spans="2:2">
      <c r="B3366" s="10"/>
    </row>
    <row r="3367" spans="2:2">
      <c r="B3367" s="10"/>
    </row>
    <row r="3368" spans="2:2">
      <c r="B3368" s="10"/>
    </row>
    <row r="3369" spans="2:2">
      <c r="B3369" s="10"/>
    </row>
    <row r="3370" spans="2:2">
      <c r="B3370" s="10"/>
    </row>
    <row r="3371" spans="2:2">
      <c r="B3371" s="10"/>
    </row>
    <row r="3372" spans="2:2">
      <c r="B3372" s="10"/>
    </row>
    <row r="3373" spans="2:2">
      <c r="B3373" s="10"/>
    </row>
    <row r="3374" spans="2:2">
      <c r="B3374" s="10"/>
    </row>
    <row r="3375" spans="2:2">
      <c r="B3375" s="10"/>
    </row>
    <row r="3376" spans="2:2">
      <c r="B3376" s="10"/>
    </row>
    <row r="3377" spans="2:2">
      <c r="B3377" s="10"/>
    </row>
    <row r="3378" spans="2:2">
      <c r="B3378" s="10"/>
    </row>
    <row r="3379" spans="2:2">
      <c r="B3379" s="10"/>
    </row>
    <row r="3380" spans="2:2">
      <c r="B3380" s="10"/>
    </row>
    <row r="3381" spans="2:2">
      <c r="B3381" s="10"/>
    </row>
    <row r="3382" spans="2:2">
      <c r="B3382" s="10"/>
    </row>
    <row r="3383" spans="2:2">
      <c r="B3383" s="10"/>
    </row>
    <row r="3384" spans="2:2">
      <c r="B3384" s="10"/>
    </row>
    <row r="3385" spans="2:2">
      <c r="B3385" s="10"/>
    </row>
    <row r="3386" spans="2:2">
      <c r="B3386" s="10"/>
    </row>
    <row r="3387" spans="2:2">
      <c r="B3387" s="10"/>
    </row>
    <row r="3388" spans="2:2">
      <c r="B3388" s="10"/>
    </row>
    <row r="3389" spans="2:2">
      <c r="B3389" s="10"/>
    </row>
    <row r="3390" spans="2:2">
      <c r="B3390" s="10"/>
    </row>
    <row r="3391" spans="2:2">
      <c r="B3391" s="10"/>
    </row>
    <row r="3392" spans="2:2">
      <c r="B3392" s="10"/>
    </row>
    <row r="3393" spans="2:2 1424:1424">
      <c r="B3393" s="10"/>
    </row>
    <row r="3394" spans="2:2 1424:1424">
      <c r="B3394" s="10"/>
    </row>
    <row r="3395" spans="2:2 1424:1424">
      <c r="B3395" s="10"/>
      <c r="BBT3395" s="8" t="s">
        <v>699</v>
      </c>
    </row>
    <row r="3396" spans="2:2 1424:1424">
      <c r="B3396" s="10"/>
    </row>
    <row r="3397" spans="2:2 1424:1424">
      <c r="B3397" s="10"/>
    </row>
    <row r="3398" spans="2:2 1424:1424">
      <c r="B3398" s="10"/>
    </row>
    <row r="3399" spans="2:2 1424:1424">
      <c r="B3399" s="10"/>
    </row>
    <row r="3400" spans="2:2 1424:1424">
      <c r="B3400" s="10"/>
    </row>
    <row r="3401" spans="2:2 1424:1424">
      <c r="B3401" s="10"/>
    </row>
    <row r="3402" spans="2:2 1424:1424">
      <c r="B3402" s="10"/>
    </row>
    <row r="3403" spans="2:2 1424:1424">
      <c r="B3403" s="10"/>
    </row>
    <row r="3404" spans="2:2 1424:1424">
      <c r="B3404" s="10"/>
    </row>
    <row r="3405" spans="2:2 1424:1424">
      <c r="B3405" s="10"/>
    </row>
    <row r="3406" spans="2:2 1424:1424">
      <c r="B3406" s="10"/>
    </row>
    <row r="3407" spans="2:2 1424:1424">
      <c r="B3407" s="10"/>
    </row>
    <row r="3408" spans="2:2 1424:1424">
      <c r="B3408" s="10"/>
    </row>
    <row r="3409" spans="2:2">
      <c r="B3409" s="10"/>
    </row>
    <row r="3410" spans="2:2">
      <c r="B3410" s="10"/>
    </row>
    <row r="3411" spans="2:2">
      <c r="B3411" s="10"/>
    </row>
    <row r="3412" spans="2:2">
      <c r="B3412" s="10"/>
    </row>
    <row r="3413" spans="2:2">
      <c r="B3413" s="10"/>
    </row>
    <row r="3414" spans="2:2">
      <c r="B3414" s="10"/>
    </row>
    <row r="3415" spans="2:2">
      <c r="B3415" s="10"/>
    </row>
    <row r="3416" spans="2:2">
      <c r="B3416" s="10"/>
    </row>
    <row r="3417" spans="2:2">
      <c r="B3417" s="10"/>
    </row>
    <row r="3418" spans="2:2">
      <c r="B3418" s="10"/>
    </row>
    <row r="3419" spans="2:2">
      <c r="B3419" s="10"/>
    </row>
    <row r="3420" spans="2:2">
      <c r="B3420" s="10"/>
    </row>
    <row r="3421" spans="2:2">
      <c r="B3421" s="10"/>
    </row>
    <row r="3422" spans="2:2">
      <c r="B3422" s="10"/>
    </row>
    <row r="3423" spans="2:2">
      <c r="B3423" s="10"/>
    </row>
    <row r="3424" spans="2:2">
      <c r="B3424" s="10"/>
    </row>
    <row r="3425" spans="2:2">
      <c r="B3425" s="10"/>
    </row>
    <row r="3426" spans="2:2">
      <c r="B3426" s="10"/>
    </row>
    <row r="3427" spans="2:2">
      <c r="B3427" s="10"/>
    </row>
    <row r="3428" spans="2:2">
      <c r="B3428" s="10"/>
    </row>
    <row r="3429" spans="2:2">
      <c r="B3429" s="10"/>
    </row>
    <row r="3430" spans="2:2">
      <c r="B3430" s="10"/>
    </row>
    <row r="3431" spans="2:2">
      <c r="B3431" s="10"/>
    </row>
    <row r="3432" spans="2:2">
      <c r="B3432" s="10"/>
    </row>
    <row r="3433" spans="2:2">
      <c r="B3433" s="10"/>
    </row>
    <row r="3434" spans="2:2">
      <c r="B3434" s="10"/>
    </row>
    <row r="3435" spans="2:2">
      <c r="B3435" s="10"/>
    </row>
    <row r="3436" spans="2:2">
      <c r="B3436" s="10"/>
    </row>
    <row r="3437" spans="2:2">
      <c r="B3437" s="10"/>
    </row>
    <row r="3438" spans="2:2">
      <c r="B3438" s="10"/>
    </row>
    <row r="3439" spans="2:2">
      <c r="B3439" s="10"/>
    </row>
    <row r="3440" spans="2:2">
      <c r="B3440" s="10"/>
    </row>
    <row r="3441" spans="2:2 1424:1664">
      <c r="B3441" s="10"/>
    </row>
    <row r="3442" spans="2:2 1424:1664">
      <c r="B3442" s="10"/>
    </row>
    <row r="3443" spans="2:2 1424:1664">
      <c r="B3443" s="10"/>
    </row>
    <row r="3444" spans="2:2 1424:1664">
      <c r="B3444" s="10"/>
    </row>
    <row r="3445" spans="2:2 1424:1664">
      <c r="B3445" s="10"/>
    </row>
    <row r="3446" spans="2:2 1424:1664">
      <c r="B3446" s="10"/>
    </row>
    <row r="3447" spans="2:2 1424:1664">
      <c r="B3447" s="10"/>
    </row>
    <row r="3448" spans="2:2 1424:1664">
      <c r="B3448" s="10"/>
    </row>
    <row r="3449" spans="2:2 1424:1664">
      <c r="B3449" s="10"/>
    </row>
    <row r="3450" spans="2:2 1424:1664">
      <c r="B3450" s="10"/>
    </row>
    <row r="3451" spans="2:2 1424:1664">
      <c r="B3451" s="10"/>
    </row>
    <row r="3452" spans="2:2 1424:1664">
      <c r="B3452" s="10"/>
    </row>
    <row r="3453" spans="2:2 1424:1664">
      <c r="B3453" s="10"/>
      <c r="BBT3453" s="8" t="s">
        <v>712</v>
      </c>
    </row>
    <row r="3454" spans="2:2 1424:1664">
      <c r="B3454" s="10"/>
      <c r="BKZ3454" s="8" t="s">
        <v>713</v>
      </c>
    </row>
    <row r="3455" spans="2:2 1424:1664">
      <c r="B3455" s="10"/>
    </row>
    <row r="3456" spans="2:2 1424:1664">
      <c r="B3456" s="10"/>
    </row>
    <row r="3457" spans="2:2">
      <c r="B3457" s="10"/>
    </row>
    <row r="3458" spans="2:2">
      <c r="B3458" s="10"/>
    </row>
    <row r="3459" spans="2:2">
      <c r="B3459" s="10"/>
    </row>
    <row r="3460" spans="2:2">
      <c r="B3460" s="10"/>
    </row>
    <row r="3461" spans="2:2">
      <c r="B3461" s="10"/>
    </row>
    <row r="3462" spans="2:2">
      <c r="B3462" s="10"/>
    </row>
    <row r="3463" spans="2:2">
      <c r="B3463" s="10"/>
    </row>
    <row r="3464" spans="2:2">
      <c r="B3464" s="10"/>
    </row>
    <row r="3465" spans="2:2">
      <c r="B3465" s="10"/>
    </row>
    <row r="3466" spans="2:2">
      <c r="B3466" s="10"/>
    </row>
    <row r="3467" spans="2:2">
      <c r="B3467" s="10"/>
    </row>
    <row r="3468" spans="2:2">
      <c r="B3468" s="10"/>
    </row>
    <row r="3469" spans="2:2">
      <c r="B3469" s="10"/>
    </row>
    <row r="3470" spans="2:2">
      <c r="B3470" s="10"/>
    </row>
    <row r="3471" spans="2:2">
      <c r="B3471" s="10"/>
    </row>
    <row r="3472" spans="2:2">
      <c r="B3472" s="10"/>
    </row>
    <row r="3473" spans="2:2 1400:1568 2072:2072">
      <c r="B3473" s="10"/>
    </row>
    <row r="3474" spans="2:2 1400:1568 2072:2072">
      <c r="B3474" s="10"/>
    </row>
    <row r="3475" spans="2:2 1400:1568 2072:2072">
      <c r="B3475" s="10"/>
    </row>
    <row r="3476" spans="2:2 1400:1568 2072:2072">
      <c r="B3476" s="10"/>
      <c r="BAV3476" s="8" t="s">
        <v>730</v>
      </c>
    </row>
    <row r="3477" spans="2:2 1400:1568 2072:2072">
      <c r="B3477" s="10"/>
      <c r="BHH3477" s="8" t="s">
        <v>731</v>
      </c>
    </row>
    <row r="3478" spans="2:2 1400:1568 2072:2072">
      <c r="B3478" s="10"/>
      <c r="CAR3478" s="8" t="s">
        <v>732</v>
      </c>
    </row>
    <row r="3479" spans="2:2 1400:1568 2072:2072">
      <c r="B3479" s="10"/>
    </row>
    <row r="3480" spans="2:2 1400:1568 2072:2072">
      <c r="B3480" s="10"/>
    </row>
    <row r="3481" spans="2:2 1400:1568 2072:2072">
      <c r="B3481" s="10"/>
    </row>
    <row r="3482" spans="2:2 1400:1568 2072:2072">
      <c r="B3482" s="10"/>
    </row>
    <row r="3483" spans="2:2 1400:1568 2072:2072">
      <c r="B3483" s="10"/>
    </row>
    <row r="3484" spans="2:2 1400:1568 2072:2072">
      <c r="B3484" s="10"/>
    </row>
    <row r="3485" spans="2:2 1400:1568 2072:2072">
      <c r="B3485" s="10"/>
    </row>
    <row r="3486" spans="2:2 1400:1568 2072:2072">
      <c r="B3486" s="10"/>
    </row>
    <row r="3487" spans="2:2 1400:1568 2072:2072">
      <c r="B3487" s="10"/>
    </row>
    <row r="3488" spans="2:2 1400:1568 2072:2072">
      <c r="B3488" s="10"/>
    </row>
    <row r="3489" spans="2:2">
      <c r="B3489" s="10"/>
    </row>
    <row r="3490" spans="2:2">
      <c r="B3490" s="10"/>
    </row>
    <row r="3491" spans="2:2">
      <c r="B3491" s="10"/>
    </row>
    <row r="3492" spans="2:2">
      <c r="B3492" s="10"/>
    </row>
    <row r="3493" spans="2:2">
      <c r="B3493" s="10"/>
    </row>
    <row r="3494" spans="2:2">
      <c r="B3494" s="10"/>
    </row>
    <row r="3495" spans="2:2">
      <c r="B3495" s="10"/>
    </row>
    <row r="3496" spans="2:2">
      <c r="B3496" s="10"/>
    </row>
    <row r="3497" spans="2:2">
      <c r="B3497" s="10"/>
    </row>
    <row r="3498" spans="2:2">
      <c r="B3498" s="10"/>
    </row>
    <row r="3499" spans="2:2">
      <c r="B3499" s="10"/>
    </row>
    <row r="3500" spans="2:2">
      <c r="B3500" s="10"/>
    </row>
    <row r="3501" spans="2:2">
      <c r="B3501" s="10"/>
    </row>
    <row r="3502" spans="2:2">
      <c r="B3502" s="10"/>
    </row>
    <row r="3503" spans="2:2">
      <c r="B3503" s="10"/>
    </row>
    <row r="3504" spans="2:2">
      <c r="B3504" s="10"/>
    </row>
    <row r="3505" spans="2:2">
      <c r="B3505" s="10"/>
    </row>
    <row r="3506" spans="2:2">
      <c r="B3506" s="10"/>
    </row>
    <row r="3507" spans="2:2">
      <c r="B3507" s="10"/>
    </row>
    <row r="3508" spans="2:2">
      <c r="B3508" s="10"/>
    </row>
    <row r="3509" spans="2:2">
      <c r="B3509" s="10"/>
    </row>
    <row r="3510" spans="2:2">
      <c r="B3510" s="10"/>
    </row>
    <row r="3511" spans="2:2">
      <c r="B3511" s="10"/>
    </row>
    <row r="3512" spans="2:2">
      <c r="B3512" s="10"/>
    </row>
    <row r="3513" spans="2:2">
      <c r="B3513" s="10"/>
    </row>
    <row r="3514" spans="2:2">
      <c r="B3514" s="10"/>
    </row>
    <row r="3515" spans="2:2">
      <c r="B3515" s="10"/>
    </row>
    <row r="3516" spans="2:2">
      <c r="B3516" s="10"/>
    </row>
    <row r="3517" spans="2:2">
      <c r="B3517" s="10"/>
    </row>
    <row r="3518" spans="2:2">
      <c r="B3518" s="10"/>
    </row>
    <row r="3519" spans="2:2">
      <c r="B3519" s="10"/>
    </row>
    <row r="3520" spans="2:2">
      <c r="B3520" s="10"/>
    </row>
    <row r="3521" spans="2:2">
      <c r="B3521" s="10"/>
    </row>
    <row r="3522" spans="2:2">
      <c r="B3522" s="10"/>
    </row>
    <row r="3523" spans="2:2">
      <c r="B3523" s="10"/>
    </row>
    <row r="3524" spans="2:2">
      <c r="B3524" s="10"/>
    </row>
    <row r="3525" spans="2:2">
      <c r="B3525" s="10"/>
    </row>
    <row r="3526" spans="2:2">
      <c r="B3526" s="10"/>
    </row>
    <row r="3527" spans="2:2">
      <c r="B3527" s="10"/>
    </row>
    <row r="3528" spans="2:2">
      <c r="B3528" s="10"/>
    </row>
    <row r="3529" spans="2:2">
      <c r="B3529" s="10"/>
    </row>
    <row r="3530" spans="2:2">
      <c r="B3530" s="10"/>
    </row>
    <row r="3531" spans="2:2">
      <c r="B3531" s="10"/>
    </row>
    <row r="3532" spans="2:2">
      <c r="B3532" s="10"/>
    </row>
    <row r="3533" spans="2:2">
      <c r="B3533" s="10"/>
    </row>
    <row r="3534" spans="2:2">
      <c r="B3534" s="10"/>
    </row>
    <row r="3535" spans="2:2">
      <c r="B3535" s="10"/>
    </row>
    <row r="3536" spans="2:2">
      <c r="B3536" s="10"/>
    </row>
    <row r="3537" spans="2:2">
      <c r="B3537" s="10"/>
    </row>
    <row r="3538" spans="2:2">
      <c r="B3538" s="10"/>
    </row>
    <row r="3539" spans="2:2">
      <c r="B3539" s="10"/>
    </row>
    <row r="3540" spans="2:2">
      <c r="B3540" s="10"/>
    </row>
    <row r="3541" spans="2:2">
      <c r="B3541" s="10"/>
    </row>
    <row r="3542" spans="2:2">
      <c r="B3542" s="10"/>
    </row>
    <row r="3543" spans="2:2">
      <c r="B3543" s="10"/>
    </row>
    <row r="3544" spans="2:2">
      <c r="B3544" s="10"/>
    </row>
    <row r="3545" spans="2:2">
      <c r="B3545" s="10"/>
    </row>
    <row r="3546" spans="2:2">
      <c r="B3546" s="10"/>
    </row>
    <row r="3547" spans="2:2">
      <c r="B3547" s="10"/>
    </row>
    <row r="3548" spans="2:2">
      <c r="B3548" s="10"/>
    </row>
    <row r="3549" spans="2:2">
      <c r="B3549" s="10"/>
    </row>
    <row r="3550" spans="2:2">
      <c r="B3550" s="10"/>
    </row>
    <row r="3551" spans="2:2">
      <c r="B3551" s="10"/>
    </row>
    <row r="3552" spans="2:2">
      <c r="B3552" s="10"/>
    </row>
    <row r="3553" spans="2:2 1472:1568">
      <c r="B3553" s="10"/>
    </row>
    <row r="3554" spans="2:2 1472:1568">
      <c r="B3554" s="10"/>
    </row>
    <row r="3555" spans="2:2 1472:1568">
      <c r="B3555" s="10"/>
    </row>
    <row r="3556" spans="2:2 1472:1568">
      <c r="B3556" s="10"/>
    </row>
    <row r="3557" spans="2:2 1472:1568">
      <c r="B3557" s="10"/>
    </row>
    <row r="3558" spans="2:2 1472:1568">
      <c r="B3558" s="10"/>
    </row>
    <row r="3559" spans="2:2 1472:1568">
      <c r="B3559" s="10"/>
    </row>
    <row r="3560" spans="2:2 1472:1568">
      <c r="B3560" s="10"/>
    </row>
    <row r="3561" spans="2:2 1472:1568">
      <c r="B3561" s="10"/>
    </row>
    <row r="3562" spans="2:2 1472:1568">
      <c r="B3562" s="10"/>
      <c r="BDP3562" s="8" t="s">
        <v>741</v>
      </c>
    </row>
    <row r="3563" spans="2:2 1472:1568">
      <c r="B3563" s="10"/>
      <c r="BHH3563" s="8" t="s">
        <v>742</v>
      </c>
    </row>
    <row r="3564" spans="2:2 1472:1568">
      <c r="B3564" s="10"/>
    </row>
    <row r="3565" spans="2:2 1472:1568">
      <c r="B3565" s="10"/>
    </row>
    <row r="3566" spans="2:2 1472:1568">
      <c r="B3566" s="10"/>
    </row>
    <row r="3567" spans="2:2 1472:1568">
      <c r="B3567" s="10"/>
    </row>
    <row r="3568" spans="2:2 1472:1568">
      <c r="B3568" s="10"/>
    </row>
    <row r="3569" spans="2:2">
      <c r="B3569" s="10"/>
    </row>
    <row r="3570" spans="2:2">
      <c r="B3570" s="10"/>
    </row>
    <row r="3571" spans="2:2">
      <c r="B3571" s="10"/>
    </row>
    <row r="3572" spans="2:2">
      <c r="B3572" s="10"/>
    </row>
    <row r="3573" spans="2:2">
      <c r="B3573" s="10"/>
    </row>
    <row r="3574" spans="2:2">
      <c r="B3574" s="10"/>
    </row>
    <row r="3575" spans="2:2">
      <c r="B3575" s="10"/>
    </row>
    <row r="3576" spans="2:2">
      <c r="B3576" s="10"/>
    </row>
    <row r="3577" spans="2:2">
      <c r="B3577" s="10"/>
    </row>
    <row r="3578" spans="2:2">
      <c r="B3578" s="10"/>
    </row>
    <row r="3579" spans="2:2">
      <c r="B3579" s="10"/>
    </row>
    <row r="3580" spans="2:2">
      <c r="B3580" s="10"/>
    </row>
    <row r="3581" spans="2:2">
      <c r="B3581" s="10"/>
    </row>
    <row r="3582" spans="2:2">
      <c r="B3582" s="10"/>
    </row>
    <row r="3583" spans="2:2">
      <c r="B3583" s="10"/>
    </row>
    <row r="3584" spans="2:2">
      <c r="B3584" s="10"/>
    </row>
    <row r="3585" spans="2:2 1736:1736">
      <c r="B3585" s="10"/>
    </row>
    <row r="3586" spans="2:2 1736:1736">
      <c r="B3586" s="10"/>
    </row>
    <row r="3587" spans="2:2 1736:1736">
      <c r="B3587" s="10"/>
    </row>
    <row r="3588" spans="2:2 1736:1736">
      <c r="B3588" s="10"/>
    </row>
    <row r="3589" spans="2:2 1736:1736">
      <c r="B3589" s="10"/>
    </row>
    <row r="3590" spans="2:2 1736:1736">
      <c r="B3590" s="10"/>
    </row>
    <row r="3591" spans="2:2 1736:1736">
      <c r="B3591" s="10"/>
    </row>
    <row r="3592" spans="2:2 1736:1736">
      <c r="B3592" s="10"/>
    </row>
    <row r="3593" spans="2:2 1736:1736">
      <c r="B3593" s="10"/>
    </row>
    <row r="3594" spans="2:2 1736:1736">
      <c r="B3594" s="10"/>
    </row>
    <row r="3595" spans="2:2 1736:1736">
      <c r="B3595" s="10"/>
    </row>
    <row r="3596" spans="2:2 1736:1736">
      <c r="B3596" s="10"/>
    </row>
    <row r="3597" spans="2:2 1736:1736">
      <c r="B3597" s="10"/>
    </row>
    <row r="3598" spans="2:2 1736:1736">
      <c r="B3598" s="10"/>
    </row>
    <row r="3599" spans="2:2 1736:1736">
      <c r="B3599" s="10"/>
      <c r="BNT3599" s="8" t="s">
        <v>759</v>
      </c>
    </row>
    <row r="3600" spans="2:2 1736:1736">
      <c r="B3600" s="10"/>
    </row>
    <row r="3601" spans="2:2">
      <c r="B3601" s="10"/>
    </row>
    <row r="3602" spans="2:2">
      <c r="B3602" s="10"/>
    </row>
    <row r="3603" spans="2:2">
      <c r="B3603" s="10"/>
    </row>
    <row r="3604" spans="2:2">
      <c r="B3604" s="10"/>
    </row>
    <row r="3605" spans="2:2">
      <c r="B3605" s="10"/>
    </row>
    <row r="3606" spans="2:2">
      <c r="B3606" s="10"/>
    </row>
    <row r="3607" spans="2:2">
      <c r="B3607" s="10"/>
    </row>
    <row r="3608" spans="2:2">
      <c r="B3608" s="10"/>
    </row>
    <row r="3609" spans="2:2">
      <c r="B3609" s="10"/>
    </row>
    <row r="3610" spans="2:2">
      <c r="B3610" s="10"/>
    </row>
    <row r="3611" spans="2:2">
      <c r="B3611" s="10"/>
    </row>
    <row r="3612" spans="2:2">
      <c r="B3612" s="10"/>
    </row>
    <row r="3613" spans="2:2">
      <c r="B3613" s="10"/>
    </row>
    <row r="3614" spans="2:2">
      <c r="B3614" s="10"/>
    </row>
    <row r="3615" spans="2:2">
      <c r="B3615" s="10"/>
    </row>
    <row r="3616" spans="2:2">
      <c r="B3616" s="10"/>
    </row>
    <row r="3617" spans="2:2">
      <c r="B3617" s="10"/>
    </row>
    <row r="3618" spans="2:2">
      <c r="B3618" s="10"/>
    </row>
    <row r="3619" spans="2:2">
      <c r="B3619" s="10"/>
    </row>
    <row r="3620" spans="2:2">
      <c r="B3620" s="10"/>
    </row>
    <row r="3621" spans="2:2">
      <c r="B3621" s="10"/>
    </row>
    <row r="3622" spans="2:2">
      <c r="B3622" s="10"/>
    </row>
    <row r="3623" spans="2:2">
      <c r="B3623" s="10"/>
    </row>
    <row r="3624" spans="2:2">
      <c r="B3624" s="10"/>
    </row>
    <row r="3625" spans="2:2">
      <c r="B3625" s="10"/>
    </row>
    <row r="3626" spans="2:2">
      <c r="B3626" s="10"/>
    </row>
    <row r="3627" spans="2:2">
      <c r="B3627" s="10"/>
    </row>
    <row r="3628" spans="2:2">
      <c r="B3628" s="10"/>
    </row>
    <row r="3629" spans="2:2">
      <c r="B3629" s="10"/>
    </row>
    <row r="3630" spans="2:2">
      <c r="B3630" s="10"/>
    </row>
    <row r="3631" spans="2:2">
      <c r="B3631" s="10"/>
    </row>
    <row r="3632" spans="2:2">
      <c r="B3632" s="10"/>
    </row>
    <row r="3633" spans="2:2">
      <c r="B3633" s="10"/>
    </row>
    <row r="3634" spans="2:2">
      <c r="B3634" s="10"/>
    </row>
    <row r="3635" spans="2:2">
      <c r="B3635" s="10"/>
    </row>
    <row r="3636" spans="2:2">
      <c r="B3636" s="10"/>
    </row>
    <row r="3637" spans="2:2">
      <c r="B3637" s="10"/>
    </row>
    <row r="3638" spans="2:2">
      <c r="B3638" s="10"/>
    </row>
    <row r="3639" spans="2:2">
      <c r="B3639" s="10"/>
    </row>
    <row r="3640" spans="2:2">
      <c r="B3640" s="10"/>
    </row>
    <row r="3641" spans="2:2">
      <c r="B3641" s="10"/>
    </row>
    <row r="3642" spans="2:2">
      <c r="B3642" s="10"/>
    </row>
    <row r="3643" spans="2:2">
      <c r="B3643" s="10"/>
    </row>
    <row r="3644" spans="2:2">
      <c r="B3644" s="10"/>
    </row>
    <row r="3645" spans="2:2">
      <c r="B3645" s="10"/>
    </row>
    <row r="3646" spans="2:2">
      <c r="B3646" s="10"/>
    </row>
    <row r="3647" spans="2:2">
      <c r="B3647" s="10"/>
    </row>
    <row r="3648" spans="2:2">
      <c r="B3648" s="10"/>
    </row>
    <row r="3649" spans="2:2 1880:1880">
      <c r="B3649" s="10"/>
    </row>
    <row r="3650" spans="2:2 1880:1880">
      <c r="B3650" s="10"/>
    </row>
    <row r="3651" spans="2:2 1880:1880">
      <c r="B3651" s="10"/>
    </row>
    <row r="3652" spans="2:2 1880:1880">
      <c r="B3652" s="10"/>
    </row>
    <row r="3653" spans="2:2 1880:1880">
      <c r="B3653" s="10"/>
    </row>
    <row r="3654" spans="2:2 1880:1880">
      <c r="B3654" s="10"/>
    </row>
    <row r="3655" spans="2:2 1880:1880">
      <c r="B3655" s="10"/>
    </row>
    <row r="3656" spans="2:2 1880:1880">
      <c r="B3656" s="10"/>
      <c r="BTH3656" s="8" t="s">
        <v>843</v>
      </c>
    </row>
    <row r="3657" spans="2:2 1880:1880">
      <c r="B3657" s="10"/>
    </row>
    <row r="3658" spans="2:2 1880:1880">
      <c r="B3658" s="10"/>
    </row>
    <row r="3659" spans="2:2 1880:1880">
      <c r="B3659" s="10"/>
    </row>
    <row r="3660" spans="2:2 1880:1880">
      <c r="B3660" s="10"/>
    </row>
    <row r="3661" spans="2:2 1880:1880">
      <c r="B3661" s="10"/>
    </row>
    <row r="3662" spans="2:2 1880:1880">
      <c r="B3662" s="10"/>
    </row>
    <row r="3663" spans="2:2 1880:1880">
      <c r="B3663" s="10"/>
    </row>
    <row r="3664" spans="2:2 1880:1880">
      <c r="B3664" s="10"/>
    </row>
    <row r="3665" spans="2:2">
      <c r="B3665" s="10"/>
    </row>
    <row r="3666" spans="2:2">
      <c r="B3666" s="10"/>
    </row>
    <row r="3667" spans="2:2">
      <c r="B3667" s="10"/>
    </row>
    <row r="3668" spans="2:2">
      <c r="B3668" s="10"/>
    </row>
    <row r="3669" spans="2:2">
      <c r="B3669" s="10"/>
    </row>
    <row r="3670" spans="2:2">
      <c r="B3670" s="10"/>
    </row>
    <row r="3671" spans="2:2">
      <c r="B3671" s="10"/>
    </row>
    <row r="3672" spans="2:2">
      <c r="B3672" s="10"/>
    </row>
    <row r="3673" spans="2:2">
      <c r="B3673" s="10"/>
    </row>
    <row r="3674" spans="2:2">
      <c r="B3674" s="10"/>
    </row>
    <row r="3675" spans="2:2">
      <c r="B3675" s="10"/>
    </row>
    <row r="3676" spans="2:2">
      <c r="B3676" s="10"/>
    </row>
    <row r="3677" spans="2:2">
      <c r="B3677" s="10"/>
    </row>
    <row r="3678" spans="2:2">
      <c r="B3678" s="10"/>
    </row>
    <row r="3679" spans="2:2">
      <c r="B3679" s="10"/>
    </row>
    <row r="3680" spans="2:2">
      <c r="B3680" s="10"/>
    </row>
    <row r="3681" spans="2:2">
      <c r="B3681" s="10"/>
    </row>
    <row r="3682" spans="2:2">
      <c r="B3682" s="10"/>
    </row>
    <row r="3683" spans="2:2">
      <c r="B3683" s="10"/>
    </row>
    <row r="3684" spans="2:2">
      <c r="B3684" s="10"/>
    </row>
    <row r="3685" spans="2:2">
      <c r="B3685" s="10"/>
    </row>
    <row r="3686" spans="2:2">
      <c r="B3686" s="10"/>
    </row>
    <row r="3687" spans="2:2">
      <c r="B3687" s="10"/>
    </row>
    <row r="3688" spans="2:2">
      <c r="B3688" s="10"/>
    </row>
    <row r="3689" spans="2:2">
      <c r="B3689" s="10"/>
    </row>
    <row r="3690" spans="2:2">
      <c r="B3690" s="10"/>
    </row>
    <row r="3691" spans="2:2">
      <c r="B3691" s="10"/>
    </row>
    <row r="3692" spans="2:2">
      <c r="B3692" s="10"/>
    </row>
    <row r="3693" spans="2:2">
      <c r="B3693" s="10"/>
    </row>
    <row r="3694" spans="2:2">
      <c r="B3694" s="10"/>
    </row>
    <row r="3695" spans="2:2">
      <c r="B3695" s="10"/>
    </row>
    <row r="3696" spans="2:2">
      <c r="B3696" s="10"/>
    </row>
    <row r="3697" spans="2:2 1833:1833">
      <c r="B3697" s="10"/>
    </row>
    <row r="3698" spans="2:2 1833:1833">
      <c r="B3698" s="10"/>
    </row>
    <row r="3699" spans="2:2 1833:1833">
      <c r="B3699" s="10"/>
      <c r="BRM3699" s="8" t="s">
        <v>195</v>
      </c>
    </row>
    <row r="3700" spans="2:2 1833:1833">
      <c r="B3700" s="10"/>
    </row>
    <row r="3701" spans="2:2 1833:1833">
      <c r="B3701" s="10"/>
    </row>
    <row r="3702" spans="2:2 1833:1833">
      <c r="B3702" s="10"/>
    </row>
    <row r="3703" spans="2:2 1833:1833">
      <c r="B3703" s="10"/>
    </row>
    <row r="3704" spans="2:2 1833:1833">
      <c r="B3704" s="10"/>
    </row>
    <row r="3705" spans="2:2 1833:1833">
      <c r="B3705" s="10"/>
    </row>
    <row r="3706" spans="2:2 1833:1833">
      <c r="B3706" s="10"/>
    </row>
    <row r="3707" spans="2:2 1833:1833">
      <c r="B3707" s="10"/>
    </row>
    <row r="3708" spans="2:2 1833:1833">
      <c r="B3708" s="10"/>
    </row>
    <row r="3709" spans="2:2 1833:1833">
      <c r="B3709" s="10"/>
    </row>
    <row r="3710" spans="2:2 1833:1833">
      <c r="B3710" s="10"/>
    </row>
    <row r="3711" spans="2:2 1833:1833">
      <c r="B3711" s="10"/>
    </row>
    <row r="3712" spans="2:2 1833:1833">
      <c r="B3712" s="10"/>
    </row>
    <row r="3713" spans="2:2">
      <c r="B3713" s="10"/>
    </row>
    <row r="3714" spans="2:2">
      <c r="B3714" s="10"/>
    </row>
    <row r="3715" spans="2:2">
      <c r="B3715" s="10"/>
    </row>
    <row r="3716" spans="2:2">
      <c r="B3716" s="10"/>
    </row>
    <row r="3717" spans="2:2">
      <c r="B3717" s="10"/>
    </row>
    <row r="3718" spans="2:2">
      <c r="B3718" s="10"/>
    </row>
    <row r="3719" spans="2:2">
      <c r="B3719" s="10"/>
    </row>
    <row r="3720" spans="2:2">
      <c r="B3720" s="10"/>
    </row>
    <row r="3721" spans="2:2">
      <c r="B3721" s="10"/>
    </row>
    <row r="3722" spans="2:2">
      <c r="B3722" s="10"/>
    </row>
    <row r="3723" spans="2:2">
      <c r="B3723" s="10"/>
    </row>
    <row r="3724" spans="2:2">
      <c r="B3724" s="10"/>
    </row>
    <row r="3725" spans="2:2">
      <c r="B3725" s="10"/>
    </row>
    <row r="3726" spans="2:2">
      <c r="B3726" s="10"/>
    </row>
    <row r="3727" spans="2:2">
      <c r="B3727" s="10"/>
    </row>
    <row r="3728" spans="2:2">
      <c r="B3728" s="10"/>
    </row>
    <row r="3729" spans="2:2">
      <c r="B3729" s="10"/>
    </row>
    <row r="3730" spans="2:2">
      <c r="B3730" s="10"/>
    </row>
    <row r="3731" spans="2:2">
      <c r="B3731" s="10"/>
    </row>
    <row r="3732" spans="2:2">
      <c r="B3732" s="10"/>
    </row>
    <row r="3733" spans="2:2">
      <c r="B3733" s="10"/>
    </row>
    <row r="3734" spans="2:2">
      <c r="B3734" s="10"/>
    </row>
    <row r="3735" spans="2:2">
      <c r="B3735" s="10"/>
    </row>
    <row r="3736" spans="2:2">
      <c r="B3736" s="10"/>
    </row>
    <row r="3737" spans="2:2">
      <c r="B3737" s="10"/>
    </row>
    <row r="3738" spans="2:2">
      <c r="B3738" s="10"/>
    </row>
    <row r="3739" spans="2:2">
      <c r="B3739" s="10"/>
    </row>
    <row r="3740" spans="2:2">
      <c r="B3740" s="10"/>
    </row>
    <row r="3741" spans="2:2">
      <c r="B3741" s="10"/>
    </row>
    <row r="3742" spans="2:2">
      <c r="B3742" s="10"/>
    </row>
    <row r="3743" spans="2:2">
      <c r="B3743" s="10"/>
    </row>
    <row r="3744" spans="2:2">
      <c r="B3744" s="10"/>
    </row>
    <row r="3745" spans="2:2">
      <c r="B3745" s="10"/>
    </row>
    <row r="3746" spans="2:2">
      <c r="B3746" s="10"/>
    </row>
    <row r="3747" spans="2:2">
      <c r="B3747" s="10"/>
    </row>
    <row r="3748" spans="2:2">
      <c r="B3748" s="10"/>
    </row>
    <row r="3749" spans="2:2">
      <c r="B3749" s="10"/>
    </row>
    <row r="3750" spans="2:2">
      <c r="B3750" s="10"/>
    </row>
    <row r="3751" spans="2:2">
      <c r="B3751" s="10"/>
    </row>
    <row r="3752" spans="2:2">
      <c r="B3752" s="10"/>
    </row>
    <row r="3753" spans="2:2">
      <c r="B3753" s="10"/>
    </row>
    <row r="3754" spans="2:2">
      <c r="B3754" s="10"/>
    </row>
    <row r="3755" spans="2:2">
      <c r="B3755" s="10"/>
    </row>
    <row r="3756" spans="2:2">
      <c r="B3756" s="10"/>
    </row>
    <row r="3757" spans="2:2">
      <c r="B3757" s="10"/>
    </row>
    <row r="3758" spans="2:2">
      <c r="B3758" s="10"/>
    </row>
    <row r="3759" spans="2:2">
      <c r="B3759" s="10"/>
    </row>
    <row r="3760" spans="2:2">
      <c r="B3760" s="10"/>
    </row>
    <row r="3761" spans="2:2 1360:1569">
      <c r="B3761" s="10"/>
    </row>
    <row r="3762" spans="2:2 1360:1569">
      <c r="B3762" s="10"/>
    </row>
    <row r="3763" spans="2:2 1360:1569">
      <c r="B3763" s="10"/>
    </row>
    <row r="3764" spans="2:2 1360:1569">
      <c r="B3764" s="10"/>
    </row>
    <row r="3765" spans="2:2 1360:1569">
      <c r="B3765" s="10"/>
    </row>
    <row r="3766" spans="2:2 1360:1569">
      <c r="B3766" s="10"/>
    </row>
    <row r="3767" spans="2:2 1360:1569">
      <c r="B3767" s="10"/>
    </row>
    <row r="3768" spans="2:2 1360:1569">
      <c r="B3768" s="10"/>
    </row>
    <row r="3769" spans="2:2 1360:1569">
      <c r="B3769" s="10"/>
    </row>
    <row r="3770" spans="2:2 1360:1569">
      <c r="B3770" s="10"/>
      <c r="AZH3770" s="8" t="s">
        <v>213</v>
      </c>
    </row>
    <row r="3771" spans="2:2 1360:1569">
      <c r="B3771" s="10"/>
      <c r="AZQ3771" s="8" t="s">
        <v>214</v>
      </c>
    </row>
    <row r="3772" spans="2:2 1360:1569">
      <c r="B3772" s="10"/>
      <c r="AZY3772" s="8" t="s">
        <v>215</v>
      </c>
    </row>
    <row r="3773" spans="2:2 1360:1569">
      <c r="B3773" s="10"/>
      <c r="BCB3773" s="8" t="s">
        <v>216</v>
      </c>
    </row>
    <row r="3774" spans="2:2 1360:1569">
      <c r="B3774" s="10"/>
      <c r="BCK3774" s="8" t="s">
        <v>217</v>
      </c>
    </row>
    <row r="3775" spans="2:2 1360:1569">
      <c r="B3775" s="10"/>
      <c r="BCS3775" s="8" t="s">
        <v>218</v>
      </c>
    </row>
    <row r="3776" spans="2:2 1360:1569">
      <c r="B3776" s="10"/>
      <c r="BHI3776" s="8" t="s">
        <v>219</v>
      </c>
    </row>
    <row r="3777" spans="2:2 1592:2041 2049:2120">
      <c r="B3777" s="10"/>
      <c r="BIF3777" s="8" t="s">
        <v>220</v>
      </c>
    </row>
    <row r="3778" spans="2:2 1592:2041 2049:2120">
      <c r="B3778" s="10"/>
      <c r="BIV3778" s="8" t="s">
        <v>221</v>
      </c>
    </row>
    <row r="3779" spans="2:2 1592:2041 2049:2120">
      <c r="B3779" s="10"/>
      <c r="BJD3779" s="8" t="s">
        <v>222</v>
      </c>
    </row>
    <row r="3780" spans="2:2 1592:2041 2049:2120">
      <c r="B3780" s="10"/>
      <c r="BMY3780" s="8" t="s">
        <v>223</v>
      </c>
    </row>
    <row r="3781" spans="2:2 1592:2041 2049:2120">
      <c r="B3781" s="10"/>
      <c r="BNU3781" s="8" t="s">
        <v>224</v>
      </c>
    </row>
    <row r="3782" spans="2:2 1592:2041 2049:2120">
      <c r="B3782" s="10"/>
      <c r="BQN3782" s="8" t="s">
        <v>225</v>
      </c>
    </row>
    <row r="3783" spans="2:2 1592:2041 2049:2120">
      <c r="B3783" s="10"/>
      <c r="BUG3783" s="8" t="s">
        <v>226</v>
      </c>
    </row>
    <row r="3784" spans="2:2 1592:2041 2049:2120">
      <c r="B3784" s="10"/>
      <c r="BYM3784" s="8" t="s">
        <v>227</v>
      </c>
    </row>
    <row r="3785" spans="2:2 1592:2041 2049:2120">
      <c r="B3785" s="10"/>
      <c r="BZM3785" s="8" t="s">
        <v>228</v>
      </c>
    </row>
    <row r="3786" spans="2:2 1592:2041 2049:2120">
      <c r="B3786" s="10"/>
      <c r="BZU3786" s="8" t="s">
        <v>229</v>
      </c>
    </row>
    <row r="3787" spans="2:2 1592:2041 2049:2120">
      <c r="B3787" s="10"/>
      <c r="CCN3787" s="8" t="s">
        <v>230</v>
      </c>
    </row>
    <row r="3788" spans="2:2 1592:2041 2049:2120">
      <c r="B3788" s="10"/>
    </row>
    <row r="3789" spans="2:2 1592:2041 2049:2120">
      <c r="B3789" s="10"/>
    </row>
    <row r="3790" spans="2:2 1592:2041 2049:2120">
      <c r="B3790" s="10"/>
    </row>
    <row r="3791" spans="2:2 1592:2041 2049:2120">
      <c r="B3791" s="10"/>
    </row>
    <row r="3792" spans="2:2 1592:2041 2049:2120">
      <c r="B3792" s="10"/>
    </row>
    <row r="3793" spans="2:2">
      <c r="B3793" s="10"/>
    </row>
    <row r="3794" spans="2:2">
      <c r="B3794" s="10"/>
    </row>
    <row r="3795" spans="2:2">
      <c r="B3795" s="10"/>
    </row>
    <row r="3796" spans="2:2">
      <c r="B3796" s="10"/>
    </row>
    <row r="3797" spans="2:2">
      <c r="B3797" s="10"/>
    </row>
    <row r="3798" spans="2:2">
      <c r="B3798" s="10"/>
    </row>
    <row r="3799" spans="2:2">
      <c r="B3799" s="10"/>
    </row>
    <row r="3800" spans="2:2">
      <c r="B3800" s="10"/>
    </row>
    <row r="3801" spans="2:2">
      <c r="B3801" s="10"/>
    </row>
    <row r="3802" spans="2:2">
      <c r="B3802" s="10"/>
    </row>
    <row r="3803" spans="2:2">
      <c r="B3803" s="10"/>
    </row>
    <row r="3804" spans="2:2">
      <c r="B3804" s="10"/>
    </row>
    <row r="3805" spans="2:2">
      <c r="B3805" s="10"/>
    </row>
    <row r="3806" spans="2:2">
      <c r="B3806" s="10"/>
    </row>
    <row r="3807" spans="2:2">
      <c r="B3807" s="10"/>
    </row>
    <row r="3808" spans="2:2">
      <c r="B3808" s="10"/>
    </row>
    <row r="3809" spans="2:2">
      <c r="B3809" s="10"/>
    </row>
    <row r="3810" spans="2:2">
      <c r="B3810" s="10"/>
    </row>
    <row r="3811" spans="2:2">
      <c r="B3811" s="10"/>
    </row>
    <row r="3812" spans="2:2">
      <c r="B3812" s="10"/>
    </row>
    <row r="3813" spans="2:2">
      <c r="B3813" s="10"/>
    </row>
    <row r="3814" spans="2:2">
      <c r="B3814" s="10"/>
    </row>
    <row r="3815" spans="2:2">
      <c r="B3815" s="10"/>
    </row>
    <row r="3816" spans="2:2">
      <c r="B3816" s="10"/>
    </row>
    <row r="3817" spans="2:2">
      <c r="B3817" s="10"/>
    </row>
    <row r="3818" spans="2:2">
      <c r="B3818" s="10"/>
    </row>
    <row r="3819" spans="2:2">
      <c r="B3819" s="10"/>
    </row>
    <row r="3820" spans="2:2">
      <c r="B3820" s="10"/>
    </row>
    <row r="3821" spans="2:2">
      <c r="B3821" s="10"/>
    </row>
    <row r="3822" spans="2:2">
      <c r="B3822" s="10"/>
    </row>
    <row r="3823" spans="2:2">
      <c r="B3823" s="10"/>
    </row>
    <row r="3824" spans="2:2">
      <c r="B3824" s="10"/>
    </row>
    <row r="3825" spans="2:2">
      <c r="B3825" s="10"/>
    </row>
    <row r="3826" spans="2:2">
      <c r="B3826" s="10"/>
    </row>
    <row r="3827" spans="2:2">
      <c r="B3827" s="10"/>
    </row>
    <row r="3828" spans="2:2">
      <c r="B3828" s="10"/>
    </row>
    <row r="3829" spans="2:2">
      <c r="B3829" s="10"/>
    </row>
    <row r="3830" spans="2:2">
      <c r="B3830" s="10"/>
    </row>
    <row r="3831" spans="2:2">
      <c r="B3831" s="10"/>
    </row>
    <row r="3832" spans="2:2">
      <c r="B3832" s="10"/>
    </row>
    <row r="3833" spans="2:2">
      <c r="B3833" s="10"/>
    </row>
    <row r="3834" spans="2:2">
      <c r="B3834" s="10"/>
    </row>
    <row r="3835" spans="2:2">
      <c r="B3835" s="10"/>
    </row>
    <row r="3836" spans="2:2">
      <c r="B3836" s="10"/>
    </row>
    <row r="3837" spans="2:2">
      <c r="B3837" s="10"/>
    </row>
    <row r="3838" spans="2:2">
      <c r="B3838" s="10"/>
    </row>
    <row r="3839" spans="2:2">
      <c r="B3839" s="10"/>
    </row>
    <row r="3840" spans="2:2">
      <c r="B3840" s="10"/>
    </row>
    <row r="3841" spans="2:2">
      <c r="B3841" s="10"/>
    </row>
    <row r="3842" spans="2:2">
      <c r="B3842" s="10"/>
    </row>
    <row r="3843" spans="2:2">
      <c r="B3843" s="10"/>
    </row>
    <row r="3844" spans="2:2">
      <c r="B3844" s="10"/>
    </row>
    <row r="3845" spans="2:2">
      <c r="B3845" s="10"/>
    </row>
    <row r="3846" spans="2:2">
      <c r="B3846" s="10"/>
    </row>
    <row r="3847" spans="2:2">
      <c r="B3847" s="10"/>
    </row>
    <row r="3848" spans="2:2">
      <c r="B3848" s="10"/>
    </row>
    <row r="3849" spans="2:2">
      <c r="B3849" s="10"/>
    </row>
    <row r="3850" spans="2:2">
      <c r="B3850" s="10"/>
    </row>
    <row r="3851" spans="2:2">
      <c r="B3851" s="10"/>
    </row>
    <row r="3852" spans="2:2">
      <c r="B3852" s="10"/>
    </row>
    <row r="3853" spans="2:2">
      <c r="B3853" s="10"/>
    </row>
    <row r="3854" spans="2:2">
      <c r="B3854" s="10"/>
    </row>
    <row r="3855" spans="2:2">
      <c r="B3855" s="10"/>
    </row>
    <row r="3856" spans="2:2">
      <c r="B3856" s="10"/>
    </row>
    <row r="3857" spans="2:2">
      <c r="B3857" s="10"/>
    </row>
    <row r="3858" spans="2:2">
      <c r="B3858" s="10"/>
    </row>
    <row r="3859" spans="2:2">
      <c r="B3859" s="10"/>
    </row>
    <row r="3860" spans="2:2">
      <c r="B3860" s="10"/>
    </row>
    <row r="3861" spans="2:2">
      <c r="B3861" s="10"/>
    </row>
    <row r="3862" spans="2:2">
      <c r="B3862" s="10"/>
    </row>
    <row r="3863" spans="2:2">
      <c r="B3863" s="10"/>
    </row>
    <row r="3864" spans="2:2">
      <c r="B3864" s="10"/>
    </row>
    <row r="3865" spans="2:2">
      <c r="B3865" s="10"/>
    </row>
    <row r="3866" spans="2:2">
      <c r="B3866" s="10"/>
    </row>
    <row r="3867" spans="2:2">
      <c r="B3867" s="10"/>
    </row>
    <row r="3868" spans="2:2">
      <c r="B3868" s="10"/>
    </row>
    <row r="3869" spans="2:2">
      <c r="B3869" s="10"/>
    </row>
    <row r="3870" spans="2:2">
      <c r="B3870" s="10"/>
    </row>
    <row r="3871" spans="2:2">
      <c r="B3871" s="10"/>
    </row>
    <row r="3872" spans="2:2">
      <c r="B3872" s="10"/>
    </row>
    <row r="3873" spans="2:2 1363:1616">
      <c r="B3873" s="10"/>
    </row>
    <row r="3874" spans="2:2 1363:1616">
      <c r="B3874" s="10"/>
    </row>
    <row r="3875" spans="2:2 1363:1616">
      <c r="B3875" s="10"/>
    </row>
    <row r="3876" spans="2:2 1363:1616">
      <c r="B3876" s="10"/>
      <c r="AZK3876" s="8" t="s">
        <v>252</v>
      </c>
    </row>
    <row r="3877" spans="2:2 1363:1616">
      <c r="B3877" s="10"/>
      <c r="BCR3877" s="8" t="s">
        <v>253</v>
      </c>
    </row>
    <row r="3878" spans="2:2 1363:1616">
      <c r="B3878" s="10"/>
      <c r="BJD3878" s="8" t="s">
        <v>254</v>
      </c>
    </row>
    <row r="3879" spans="2:2 1363:1616">
      <c r="B3879" s="10"/>
    </row>
    <row r="3880" spans="2:2 1363:1616">
      <c r="B3880" s="10"/>
    </row>
    <row r="3881" spans="2:2 1363:1616">
      <c r="B3881" s="10"/>
    </row>
    <row r="3882" spans="2:2 1363:1616">
      <c r="B3882" s="10"/>
    </row>
    <row r="3883" spans="2:2 1363:1616">
      <c r="B3883" s="10"/>
    </row>
    <row r="3884" spans="2:2 1363:1616">
      <c r="B3884" s="10"/>
    </row>
    <row r="3885" spans="2:2 1363:1616">
      <c r="B3885" s="10"/>
    </row>
    <row r="3886" spans="2:2 1363:1616">
      <c r="B3886" s="10"/>
    </row>
    <row r="3887" spans="2:2 1363:1616">
      <c r="B3887" s="10"/>
    </row>
    <row r="3888" spans="2:2 1363:1616">
      <c r="B3888" s="10"/>
    </row>
    <row r="3889" spans="2:2">
      <c r="B3889" s="10"/>
    </row>
    <row r="3890" spans="2:2">
      <c r="B3890" s="10"/>
    </row>
    <row r="3891" spans="2:2">
      <c r="B3891" s="10"/>
    </row>
    <row r="3892" spans="2:2">
      <c r="B3892" s="10"/>
    </row>
    <row r="3893" spans="2:2">
      <c r="B3893" s="10"/>
    </row>
    <row r="3894" spans="2:2">
      <c r="B3894" s="10"/>
    </row>
    <row r="3895" spans="2:2">
      <c r="B3895" s="10"/>
    </row>
    <row r="3896" spans="2:2">
      <c r="B3896" s="10"/>
    </row>
    <row r="3897" spans="2:2">
      <c r="B3897" s="10"/>
    </row>
    <row r="3898" spans="2:2">
      <c r="B3898" s="10"/>
    </row>
    <row r="3899" spans="2:2">
      <c r="B3899" s="10"/>
    </row>
    <row r="3900" spans="2:2">
      <c r="B3900" s="10"/>
    </row>
    <row r="3901" spans="2:2">
      <c r="B3901" s="10"/>
    </row>
    <row r="3902" spans="2:2">
      <c r="B3902" s="10"/>
    </row>
    <row r="3903" spans="2:2">
      <c r="B3903" s="10"/>
    </row>
    <row r="3904" spans="2:2">
      <c r="B3904" s="10"/>
    </row>
    <row r="3905" spans="2:2">
      <c r="B3905" s="10"/>
    </row>
    <row r="3906" spans="2:2">
      <c r="B3906" s="10"/>
    </row>
    <row r="3907" spans="2:2">
      <c r="B3907" s="10"/>
    </row>
    <row r="3908" spans="2:2">
      <c r="B3908" s="10"/>
    </row>
    <row r="3909" spans="2:2">
      <c r="B3909" s="10"/>
    </row>
    <row r="3910" spans="2:2">
      <c r="B3910" s="10"/>
    </row>
    <row r="3911" spans="2:2">
      <c r="B3911" s="10"/>
    </row>
    <row r="3912" spans="2:2">
      <c r="B3912" s="10"/>
    </row>
    <row r="3913" spans="2:2">
      <c r="B3913" s="10"/>
    </row>
    <row r="3914" spans="2:2">
      <c r="B3914" s="10"/>
    </row>
    <row r="3915" spans="2:2">
      <c r="B3915" s="10"/>
    </row>
    <row r="3916" spans="2:2">
      <c r="B3916" s="10"/>
    </row>
    <row r="3917" spans="2:2">
      <c r="B3917" s="10"/>
    </row>
    <row r="3918" spans="2:2">
      <c r="B3918" s="10"/>
    </row>
    <row r="3919" spans="2:2">
      <c r="B3919" s="10"/>
    </row>
    <row r="3920" spans="2:2">
      <c r="B3920" s="10"/>
    </row>
    <row r="3921" spans="2:2">
      <c r="B3921" s="10"/>
    </row>
    <row r="3922" spans="2:2">
      <c r="B3922" s="10"/>
    </row>
    <row r="3923" spans="2:2">
      <c r="B3923" s="10"/>
    </row>
    <row r="3924" spans="2:2">
      <c r="B3924" s="10"/>
    </row>
    <row r="3925" spans="2:2">
      <c r="B3925" s="10"/>
    </row>
    <row r="3926" spans="2:2">
      <c r="B3926" s="10"/>
    </row>
    <row r="3927" spans="2:2">
      <c r="B3927" s="10"/>
    </row>
    <row r="3928" spans="2:2">
      <c r="B3928" s="10"/>
    </row>
    <row r="3929" spans="2:2">
      <c r="B3929" s="10"/>
    </row>
    <row r="3930" spans="2:2">
      <c r="B3930" s="10"/>
    </row>
    <row r="3931" spans="2:2">
      <c r="B3931" s="10"/>
    </row>
    <row r="3932" spans="2:2">
      <c r="B3932" s="10"/>
    </row>
    <row r="3933" spans="2:2">
      <c r="B3933" s="10"/>
    </row>
    <row r="3934" spans="2:2">
      <c r="B3934" s="10"/>
    </row>
    <row r="3935" spans="2:2">
      <c r="B3935" s="10"/>
    </row>
    <row r="3936" spans="2:2">
      <c r="B3936" s="10"/>
    </row>
    <row r="3937" spans="2:2">
      <c r="B3937" s="10"/>
    </row>
    <row r="3938" spans="2:2">
      <c r="B3938" s="10"/>
    </row>
    <row r="3939" spans="2:2">
      <c r="B3939" s="10"/>
    </row>
    <row r="3940" spans="2:2">
      <c r="B3940" s="10"/>
    </row>
    <row r="3941" spans="2:2">
      <c r="B3941" s="10"/>
    </row>
    <row r="3942" spans="2:2">
      <c r="B3942" s="10"/>
    </row>
    <row r="3943" spans="2:2">
      <c r="B3943" s="10"/>
    </row>
    <row r="3944" spans="2:2">
      <c r="B3944" s="10"/>
    </row>
    <row r="3945" spans="2:2">
      <c r="B3945" s="10"/>
    </row>
    <row r="3946" spans="2:2">
      <c r="B3946" s="10"/>
    </row>
    <row r="3947" spans="2:2">
      <c r="B3947" s="10"/>
    </row>
    <row r="3948" spans="2:2">
      <c r="B3948" s="10"/>
    </row>
    <row r="3949" spans="2:2">
      <c r="B3949" s="10"/>
    </row>
    <row r="3950" spans="2:2">
      <c r="B3950" s="10"/>
    </row>
    <row r="3951" spans="2:2">
      <c r="B3951" s="10"/>
    </row>
    <row r="3952" spans="2:2">
      <c r="B3952" s="10"/>
    </row>
    <row r="3953" spans="2:2">
      <c r="B3953" s="10"/>
    </row>
    <row r="3954" spans="2:2">
      <c r="B3954" s="10"/>
    </row>
    <row r="3955" spans="2:2">
      <c r="B3955" s="10"/>
    </row>
    <row r="3956" spans="2:2">
      <c r="B3956" s="10"/>
    </row>
    <row r="3957" spans="2:2">
      <c r="B3957" s="10"/>
    </row>
    <row r="3958" spans="2:2">
      <c r="B3958" s="10"/>
    </row>
    <row r="3959" spans="2:2">
      <c r="B3959" s="10"/>
    </row>
    <row r="3960" spans="2:2">
      <c r="B3960" s="10"/>
    </row>
    <row r="3961" spans="2:2">
      <c r="B3961" s="10"/>
    </row>
    <row r="3962" spans="2:2">
      <c r="B3962" s="10"/>
    </row>
    <row r="3963" spans="2:2">
      <c r="B3963" s="10"/>
    </row>
    <row r="3964" spans="2:2">
      <c r="B3964" s="10"/>
    </row>
    <row r="3965" spans="2:2">
      <c r="B3965" s="10"/>
    </row>
    <row r="3966" spans="2:2">
      <c r="B3966" s="10"/>
    </row>
    <row r="3967" spans="2:2">
      <c r="B3967" s="10"/>
    </row>
    <row r="3968" spans="2:2">
      <c r="B3968" s="10"/>
    </row>
    <row r="3969" spans="2:2">
      <c r="B3969" s="10"/>
    </row>
    <row r="3970" spans="2:2">
      <c r="B3970" s="10"/>
    </row>
    <row r="3971" spans="2:2">
      <c r="B3971" s="10"/>
    </row>
    <row r="3972" spans="2:2">
      <c r="B3972" s="10"/>
    </row>
    <row r="3973" spans="2:2">
      <c r="B3973" s="10"/>
    </row>
    <row r="3974" spans="2:2">
      <c r="B3974" s="10"/>
    </row>
    <row r="3975" spans="2:2">
      <c r="B3975" s="10"/>
    </row>
    <row r="3976" spans="2:2">
      <c r="B3976" s="10"/>
    </row>
    <row r="3977" spans="2:2">
      <c r="B3977" s="10"/>
    </row>
    <row r="3978" spans="2:2">
      <c r="B3978" s="10"/>
    </row>
    <row r="3979" spans="2:2">
      <c r="B3979" s="10"/>
    </row>
    <row r="3980" spans="2:2">
      <c r="B3980" s="10"/>
    </row>
    <row r="3981" spans="2:2">
      <c r="B3981" s="10"/>
    </row>
    <row r="3982" spans="2:2">
      <c r="B3982" s="10"/>
    </row>
    <row r="3983" spans="2:2">
      <c r="B3983" s="10"/>
    </row>
    <row r="3984" spans="2:2">
      <c r="B3984" s="10"/>
    </row>
    <row r="3985" spans="2:2">
      <c r="B3985" s="10"/>
    </row>
    <row r="3986" spans="2:2">
      <c r="B3986" s="10"/>
    </row>
    <row r="3987" spans="2:2">
      <c r="B3987" s="10"/>
    </row>
    <row r="3988" spans="2:2">
      <c r="B3988" s="10"/>
    </row>
    <row r="3989" spans="2:2">
      <c r="B3989" s="10"/>
    </row>
    <row r="3990" spans="2:2">
      <c r="B3990" s="10"/>
    </row>
    <row r="3991" spans="2:2">
      <c r="B3991" s="10"/>
    </row>
    <row r="3992" spans="2:2">
      <c r="B3992" s="10"/>
    </row>
    <row r="3993" spans="2:2">
      <c r="B3993" s="10"/>
    </row>
    <row r="3994" spans="2:2">
      <c r="B3994" s="10"/>
    </row>
    <row r="3995" spans="2:2">
      <c r="B3995" s="10"/>
    </row>
    <row r="3996" spans="2:2">
      <c r="B3996" s="10"/>
    </row>
    <row r="3997" spans="2:2">
      <c r="B3997" s="10"/>
    </row>
    <row r="3998" spans="2:2">
      <c r="B3998" s="10"/>
    </row>
    <row r="3999" spans="2:2">
      <c r="B3999" s="10"/>
    </row>
    <row r="4000" spans="2:2">
      <c r="B4000" s="10"/>
    </row>
    <row r="4001" spans="2:2">
      <c r="B4001" s="10"/>
    </row>
    <row r="4002" spans="2:2">
      <c r="B4002" s="10"/>
    </row>
    <row r="4003" spans="2:2">
      <c r="B4003" s="10"/>
    </row>
    <row r="4004" spans="2:2">
      <c r="B4004" s="10"/>
    </row>
    <row r="4005" spans="2:2">
      <c r="B4005" s="10"/>
    </row>
    <row r="4006" spans="2:2">
      <c r="B4006" s="10"/>
    </row>
    <row r="4007" spans="2:2">
      <c r="B4007" s="10"/>
    </row>
    <row r="4008" spans="2:2">
      <c r="B4008" s="10"/>
    </row>
    <row r="4009" spans="2:2">
      <c r="B4009" s="10"/>
    </row>
    <row r="4010" spans="2:2">
      <c r="B4010" s="10"/>
    </row>
    <row r="4011" spans="2:2">
      <c r="B4011" s="10"/>
    </row>
    <row r="4012" spans="2:2">
      <c r="B4012" s="10"/>
    </row>
    <row r="4013" spans="2:2">
      <c r="B4013" s="10"/>
    </row>
    <row r="4014" spans="2:2">
      <c r="B4014" s="10"/>
    </row>
    <row r="4015" spans="2:2">
      <c r="B4015" s="10"/>
    </row>
    <row r="4016" spans="2:2">
      <c r="B4016" s="10"/>
    </row>
    <row r="4017" spans="2:2 1468:1665 2120:2120">
      <c r="B4017" s="10"/>
    </row>
    <row r="4018" spans="2:2 1468:1665 2120:2120">
      <c r="B4018" s="10"/>
      <c r="BDL4018" s="8" t="s">
        <v>266</v>
      </c>
    </row>
    <row r="4019" spans="2:2 1468:1665 2120:2120">
      <c r="B4019" s="10"/>
      <c r="BDO4019" s="8" t="s">
        <v>267</v>
      </c>
    </row>
    <row r="4020" spans="2:2 1468:1665 2120:2120">
      <c r="B4020" s="10"/>
      <c r="BLA4020" s="8" t="s">
        <v>268</v>
      </c>
    </row>
    <row r="4021" spans="2:2 1468:1665 2120:2120">
      <c r="B4021" s="10"/>
      <c r="CCN4021" s="8" t="s">
        <v>269</v>
      </c>
    </row>
    <row r="4022" spans="2:2 1468:1665 2120:2120">
      <c r="B4022" s="10"/>
    </row>
    <row r="4023" spans="2:2 1468:1665 2120:2120">
      <c r="B4023" s="10"/>
    </row>
    <row r="4024" spans="2:2 1468:1665 2120:2120">
      <c r="B4024" s="10"/>
    </row>
    <row r="4025" spans="2:2 1468:1665 2120:2120">
      <c r="B4025" s="10"/>
    </row>
    <row r="4026" spans="2:2 1468:1665 2120:2120">
      <c r="B4026" s="10"/>
    </row>
    <row r="4027" spans="2:2 1468:1665 2120:2120">
      <c r="B4027" s="10"/>
    </row>
    <row r="4028" spans="2:2 1468:1665 2120:2120">
      <c r="B4028" s="10"/>
    </row>
    <row r="4029" spans="2:2 1468:1665 2120:2120">
      <c r="B4029" s="10"/>
    </row>
    <row r="4030" spans="2:2 1468:1665 2120:2120">
      <c r="B4030" s="10"/>
    </row>
    <row r="4031" spans="2:2 1468:1665 2120:2120">
      <c r="B4031" s="10"/>
    </row>
    <row r="4032" spans="2:2 1468:1665 2120:2120">
      <c r="B4032" s="10"/>
    </row>
    <row r="4033" spans="2:2">
      <c r="B4033" s="10"/>
    </row>
    <row r="4034" spans="2:2">
      <c r="B4034" s="10"/>
    </row>
    <row r="4035" spans="2:2">
      <c r="B4035" s="10"/>
    </row>
    <row r="4036" spans="2:2">
      <c r="B4036" s="10"/>
    </row>
    <row r="4037" spans="2:2">
      <c r="B4037" s="10"/>
    </row>
    <row r="4038" spans="2:2">
      <c r="B4038" s="10"/>
    </row>
    <row r="4039" spans="2:2">
      <c r="B4039" s="10"/>
    </row>
    <row r="4040" spans="2:2">
      <c r="B4040" s="10"/>
    </row>
    <row r="4041" spans="2:2">
      <c r="B4041" s="10"/>
    </row>
    <row r="4042" spans="2:2">
      <c r="B4042" s="10"/>
    </row>
    <row r="4043" spans="2:2">
      <c r="B4043" s="10"/>
    </row>
    <row r="4044" spans="2:2">
      <c r="B4044" s="10"/>
    </row>
    <row r="4045" spans="2:2">
      <c r="B4045" s="10"/>
    </row>
    <row r="4046" spans="2:2">
      <c r="B4046" s="10"/>
    </row>
    <row r="4047" spans="2:2">
      <c r="B4047" s="10"/>
    </row>
    <row r="4048" spans="2:2">
      <c r="B4048" s="10"/>
    </row>
    <row r="4049" spans="2:2">
      <c r="B4049" s="10"/>
    </row>
    <row r="4050" spans="2:2">
      <c r="B4050" s="10"/>
    </row>
    <row r="4051" spans="2:2">
      <c r="B4051" s="10"/>
    </row>
    <row r="4052" spans="2:2">
      <c r="B4052" s="10"/>
    </row>
    <row r="4053" spans="2:2">
      <c r="B4053" s="10"/>
    </row>
    <row r="4054" spans="2:2">
      <c r="B4054" s="10"/>
    </row>
    <row r="4055" spans="2:2">
      <c r="B4055" s="10"/>
    </row>
    <row r="4056" spans="2:2">
      <c r="B4056" s="10"/>
    </row>
    <row r="4057" spans="2:2">
      <c r="B4057" s="10"/>
    </row>
    <row r="4058" spans="2:2">
      <c r="B4058" s="10"/>
    </row>
    <row r="4059" spans="2:2">
      <c r="B4059" s="10"/>
    </row>
    <row r="4060" spans="2:2">
      <c r="B4060" s="10"/>
    </row>
    <row r="4061" spans="2:2">
      <c r="B4061" s="10"/>
    </row>
    <row r="4062" spans="2:2">
      <c r="B4062" s="10"/>
    </row>
    <row r="4063" spans="2:2">
      <c r="B4063" s="10"/>
    </row>
    <row r="4064" spans="2:2">
      <c r="B4064" s="10"/>
    </row>
    <row r="4065" spans="2:2">
      <c r="B4065" s="10"/>
    </row>
    <row r="4066" spans="2:2">
      <c r="B4066" s="10"/>
    </row>
    <row r="4067" spans="2:2">
      <c r="B4067" s="10"/>
    </row>
    <row r="4068" spans="2:2">
      <c r="B4068" s="10"/>
    </row>
    <row r="4069" spans="2:2">
      <c r="B4069" s="10"/>
    </row>
    <row r="4070" spans="2:2">
      <c r="B4070" s="10"/>
    </row>
    <row r="4071" spans="2:2">
      <c r="B4071" s="10"/>
    </row>
    <row r="4072" spans="2:2">
      <c r="B4072" s="10"/>
    </row>
    <row r="4073" spans="2:2">
      <c r="B4073" s="10"/>
    </row>
    <row r="4074" spans="2:2">
      <c r="B4074" s="10"/>
    </row>
    <row r="4075" spans="2:2">
      <c r="B4075" s="10"/>
    </row>
    <row r="4076" spans="2:2">
      <c r="B4076" s="10"/>
    </row>
    <row r="4077" spans="2:2">
      <c r="B4077" s="10"/>
    </row>
    <row r="4078" spans="2:2">
      <c r="B4078" s="10"/>
    </row>
    <row r="4079" spans="2:2">
      <c r="B4079" s="10"/>
    </row>
    <row r="4080" spans="2:2">
      <c r="B4080" s="10"/>
    </row>
    <row r="4081" spans="2:2">
      <c r="B4081" s="10"/>
    </row>
    <row r="4082" spans="2:2">
      <c r="B4082" s="10"/>
    </row>
    <row r="4083" spans="2:2">
      <c r="B4083" s="10"/>
    </row>
    <row r="4084" spans="2:2">
      <c r="B4084" s="10"/>
    </row>
    <row r="4085" spans="2:2">
      <c r="B4085" s="10"/>
    </row>
    <row r="4086" spans="2:2">
      <c r="B4086" s="10"/>
    </row>
    <row r="4087" spans="2:2">
      <c r="B4087" s="10"/>
    </row>
    <row r="4088" spans="2:2">
      <c r="B4088" s="10"/>
    </row>
    <row r="4089" spans="2:2">
      <c r="B4089" s="10"/>
    </row>
    <row r="4090" spans="2:2">
      <c r="B4090" s="10"/>
    </row>
    <row r="4091" spans="2:2">
      <c r="B4091" s="10"/>
    </row>
    <row r="4092" spans="2:2">
      <c r="B4092" s="10"/>
    </row>
    <row r="4093" spans="2:2">
      <c r="B4093" s="10"/>
    </row>
    <row r="4094" spans="2:2">
      <c r="B4094" s="10"/>
    </row>
    <row r="4095" spans="2:2">
      <c r="B4095" s="10"/>
    </row>
    <row r="4096" spans="2:2">
      <c r="B4096" s="10"/>
    </row>
    <row r="4097" spans="2:2 1449:1949">
      <c r="B4097" s="10"/>
      <c r="BCS4097" s="8" t="s">
        <v>302</v>
      </c>
    </row>
    <row r="4098" spans="2:2 1449:1949">
      <c r="B4098" s="10"/>
      <c r="BDP4098" s="8" t="s">
        <v>303</v>
      </c>
    </row>
    <row r="4099" spans="2:2 1449:1949">
      <c r="B4099" s="10"/>
      <c r="BHH4099" s="8" t="s">
        <v>304</v>
      </c>
    </row>
    <row r="4100" spans="2:2 1449:1949">
      <c r="B4100" s="10"/>
      <c r="BHH4100" s="8" t="s">
        <v>305</v>
      </c>
    </row>
    <row r="4101" spans="2:2 1449:1949">
      <c r="B4101" s="10"/>
      <c r="BMV4101" s="8" t="s">
        <v>306</v>
      </c>
    </row>
    <row r="4102" spans="2:2 1449:1949">
      <c r="B4102" s="10"/>
      <c r="BQN4102" s="8" t="s">
        <v>307</v>
      </c>
    </row>
    <row r="4103" spans="2:2 1449:1949">
      <c r="B4103" s="10"/>
      <c r="BTI4103" s="8" t="s">
        <v>308</v>
      </c>
    </row>
    <row r="4104" spans="2:2 1449:1949">
      <c r="B4104" s="10"/>
      <c r="BVY4104" s="8" t="s">
        <v>309</v>
      </c>
    </row>
    <row r="4105" spans="2:2 1449:1949">
      <c r="B4105" s="10"/>
    </row>
    <row r="4106" spans="2:2 1449:1949">
      <c r="B4106" s="10"/>
    </row>
    <row r="4107" spans="2:2 1449:1949">
      <c r="B4107" s="10"/>
    </row>
    <row r="4108" spans="2:2 1449:1949">
      <c r="B4108" s="10"/>
    </row>
    <row r="4109" spans="2:2 1449:1949">
      <c r="B4109" s="10"/>
    </row>
    <row r="4110" spans="2:2 1449:1949">
      <c r="B4110" s="10"/>
    </row>
    <row r="4111" spans="2:2 1449:1949">
      <c r="B4111" s="10"/>
    </row>
    <row r="4112" spans="2:2 1449:1949">
      <c r="B4112" s="10"/>
    </row>
    <row r="4113" spans="2:2">
      <c r="B4113" s="10"/>
    </row>
    <row r="4114" spans="2:2">
      <c r="B4114" s="10"/>
    </row>
    <row r="4115" spans="2:2">
      <c r="B4115" s="10"/>
    </row>
    <row r="4116" spans="2:2">
      <c r="B4116" s="10"/>
    </row>
    <row r="4117" spans="2:2">
      <c r="B4117" s="10"/>
    </row>
    <row r="4118" spans="2:2">
      <c r="B4118" s="10"/>
    </row>
    <row r="4119" spans="2:2">
      <c r="B4119" s="10"/>
    </row>
    <row r="4120" spans="2:2">
      <c r="B4120" s="10"/>
    </row>
    <row r="4121" spans="2:2">
      <c r="B4121" s="10"/>
    </row>
    <row r="4122" spans="2:2">
      <c r="B4122" s="10"/>
    </row>
    <row r="4123" spans="2:2">
      <c r="B4123" s="10"/>
    </row>
    <row r="4124" spans="2:2">
      <c r="B4124" s="10"/>
    </row>
    <row r="4125" spans="2:2">
      <c r="B4125" s="10"/>
    </row>
    <row r="4126" spans="2:2">
      <c r="B4126" s="10"/>
    </row>
    <row r="4127" spans="2:2">
      <c r="B4127" s="10"/>
    </row>
    <row r="4128" spans="2:2">
      <c r="B4128" s="10"/>
    </row>
    <row r="4129" spans="2:2">
      <c r="B4129" s="10"/>
    </row>
    <row r="4130" spans="2:2">
      <c r="B4130" s="10"/>
    </row>
    <row r="4131" spans="2:2">
      <c r="B4131" s="10"/>
    </row>
    <row r="4132" spans="2:2">
      <c r="B4132" s="10"/>
    </row>
    <row r="4133" spans="2:2">
      <c r="B4133" s="10"/>
    </row>
    <row r="4134" spans="2:2">
      <c r="B4134" s="10"/>
    </row>
    <row r="4135" spans="2:2">
      <c r="B4135" s="10"/>
    </row>
    <row r="4136" spans="2:2">
      <c r="B4136" s="10"/>
    </row>
    <row r="4137" spans="2:2">
      <c r="B4137" s="10"/>
    </row>
    <row r="4138" spans="2:2">
      <c r="B4138" s="10"/>
    </row>
    <row r="4139" spans="2:2">
      <c r="B4139" s="10"/>
    </row>
    <row r="4140" spans="2:2">
      <c r="B4140" s="10"/>
    </row>
    <row r="4141" spans="2:2">
      <c r="B4141" s="10"/>
    </row>
    <row r="4142" spans="2:2">
      <c r="B4142" s="10"/>
    </row>
    <row r="4143" spans="2:2">
      <c r="B4143" s="10"/>
    </row>
    <row r="4144" spans="2:2">
      <c r="B4144" s="10"/>
    </row>
    <row r="4145" spans="2:2">
      <c r="B4145" s="10"/>
    </row>
    <row r="4146" spans="2:2">
      <c r="B4146" s="10"/>
    </row>
    <row r="4147" spans="2:2">
      <c r="B4147" s="10"/>
    </row>
    <row r="4148" spans="2:2">
      <c r="B4148" s="10"/>
    </row>
    <row r="4149" spans="2:2">
      <c r="B4149" s="10"/>
    </row>
    <row r="4150" spans="2:2">
      <c r="B4150" s="10"/>
    </row>
    <row r="4151" spans="2:2">
      <c r="B4151" s="10"/>
    </row>
    <row r="4152" spans="2:2">
      <c r="B4152" s="10"/>
    </row>
    <row r="4153" spans="2:2">
      <c r="B4153" s="10"/>
    </row>
    <row r="4154" spans="2:2">
      <c r="B4154" s="10"/>
    </row>
    <row r="4155" spans="2:2">
      <c r="B4155" s="10"/>
    </row>
    <row r="4156" spans="2:2">
      <c r="B4156" s="10"/>
    </row>
    <row r="4157" spans="2:2">
      <c r="B4157" s="10"/>
    </row>
    <row r="4158" spans="2:2">
      <c r="B4158" s="10"/>
    </row>
    <row r="4159" spans="2:2">
      <c r="B4159" s="10"/>
    </row>
    <row r="4160" spans="2:2">
      <c r="B4160" s="10"/>
    </row>
    <row r="4161" spans="2:2">
      <c r="B4161" s="10"/>
    </row>
    <row r="4162" spans="2:2">
      <c r="B4162" s="10"/>
    </row>
    <row r="4163" spans="2:2">
      <c r="B4163" s="10"/>
    </row>
    <row r="4164" spans="2:2">
      <c r="B4164" s="10"/>
    </row>
    <row r="4165" spans="2:2">
      <c r="B4165" s="10"/>
    </row>
    <row r="4166" spans="2:2">
      <c r="B4166" s="10"/>
    </row>
    <row r="4167" spans="2:2">
      <c r="B4167" s="10"/>
    </row>
    <row r="4168" spans="2:2">
      <c r="B4168" s="10"/>
    </row>
    <row r="4169" spans="2:2">
      <c r="B4169" s="10"/>
    </row>
    <row r="4170" spans="2:2">
      <c r="B4170" s="10"/>
    </row>
    <row r="4171" spans="2:2">
      <c r="B4171" s="10"/>
    </row>
    <row r="4172" spans="2:2">
      <c r="B4172" s="10"/>
    </row>
    <row r="4173" spans="2:2">
      <c r="B4173" s="10"/>
    </row>
    <row r="4174" spans="2:2">
      <c r="B4174" s="10"/>
    </row>
    <row r="4175" spans="2:2">
      <c r="B4175" s="10"/>
    </row>
    <row r="4176" spans="2:2">
      <c r="B4176" s="10"/>
    </row>
    <row r="4177" spans="2:2">
      <c r="B4177" s="10"/>
    </row>
    <row r="4178" spans="2:2">
      <c r="B4178" s="10"/>
    </row>
    <row r="4179" spans="2:2">
      <c r="B4179" s="10"/>
    </row>
    <row r="4180" spans="2:2">
      <c r="B4180" s="10"/>
    </row>
    <row r="4181" spans="2:2">
      <c r="B4181" s="10"/>
    </row>
    <row r="4182" spans="2:2">
      <c r="B4182" s="10"/>
    </row>
    <row r="4183" spans="2:2">
      <c r="B4183" s="10"/>
    </row>
    <row r="4184" spans="2:2">
      <c r="B4184" s="10"/>
    </row>
    <row r="4185" spans="2:2">
      <c r="B4185" s="10"/>
    </row>
    <row r="4186" spans="2:2">
      <c r="B4186" s="10"/>
    </row>
    <row r="4187" spans="2:2">
      <c r="B4187" s="10"/>
    </row>
    <row r="4188" spans="2:2">
      <c r="B4188" s="10"/>
    </row>
    <row r="4189" spans="2:2">
      <c r="B4189" s="10"/>
    </row>
    <row r="4190" spans="2:2">
      <c r="B4190" s="10"/>
    </row>
    <row r="4191" spans="2:2">
      <c r="B4191" s="10"/>
    </row>
    <row r="4192" spans="2:2">
      <c r="B4192" s="10"/>
    </row>
    <row r="4193" spans="2:2 1688:1736">
      <c r="B4193" s="10"/>
    </row>
    <row r="4194" spans="2:2 1688:1736">
      <c r="B4194" s="10"/>
      <c r="BLX4194" s="8" t="s">
        <v>333</v>
      </c>
    </row>
    <row r="4195" spans="2:2 1688:1736">
      <c r="B4195" s="10"/>
      <c r="BNT4195" s="8" t="s">
        <v>334</v>
      </c>
    </row>
    <row r="4196" spans="2:2 1688:1736">
      <c r="B4196" s="10"/>
    </row>
    <row r="4197" spans="2:2 1688:1736">
      <c r="B4197" s="10"/>
    </row>
    <row r="4198" spans="2:2 1688:1736">
      <c r="B4198" s="10"/>
    </row>
    <row r="4199" spans="2:2 1688:1736">
      <c r="B4199" s="10"/>
    </row>
    <row r="4200" spans="2:2 1688:1736">
      <c r="B4200" s="10"/>
    </row>
    <row r="4201" spans="2:2 1688:1736">
      <c r="B4201" s="10"/>
    </row>
    <row r="4202" spans="2:2 1688:1736">
      <c r="B4202" s="10"/>
    </row>
    <row r="4203" spans="2:2 1688:1736">
      <c r="B4203" s="10"/>
    </row>
    <row r="4204" spans="2:2 1688:1736">
      <c r="B4204" s="10"/>
    </row>
    <row r="4205" spans="2:2 1688:1736">
      <c r="B4205" s="10"/>
    </row>
    <row r="4206" spans="2:2 1688:1736">
      <c r="B4206" s="10"/>
    </row>
    <row r="4207" spans="2:2 1688:1736">
      <c r="B4207" s="10"/>
    </row>
    <row r="4208" spans="2:2 1688:1736">
      <c r="B4208" s="10"/>
    </row>
    <row r="4209" spans="2:2">
      <c r="B4209" s="10"/>
    </row>
    <row r="4210" spans="2:2">
      <c r="B4210" s="10"/>
    </row>
    <row r="4211" spans="2:2">
      <c r="B4211" s="10"/>
    </row>
    <row r="4212" spans="2:2">
      <c r="B4212" s="10"/>
    </row>
    <row r="4213" spans="2:2">
      <c r="B4213" s="10"/>
    </row>
    <row r="4214" spans="2:2">
      <c r="B4214" s="10"/>
    </row>
    <row r="4215" spans="2:2">
      <c r="B4215" s="10"/>
    </row>
    <row r="4216" spans="2:2">
      <c r="B4216" s="10"/>
    </row>
    <row r="4217" spans="2:2">
      <c r="B4217" s="10"/>
    </row>
    <row r="4218" spans="2:2">
      <c r="B4218" s="10"/>
    </row>
    <row r="4219" spans="2:2">
      <c r="B4219" s="10"/>
    </row>
    <row r="4220" spans="2:2">
      <c r="B4220" s="10"/>
    </row>
    <row r="4221" spans="2:2">
      <c r="B4221" s="10"/>
    </row>
    <row r="4222" spans="2:2">
      <c r="B4222" s="10"/>
    </row>
    <row r="4223" spans="2:2">
      <c r="B4223" s="10"/>
    </row>
    <row r="4224" spans="2:2">
      <c r="B4224" s="10"/>
    </row>
    <row r="4225" spans="2:2">
      <c r="B4225" s="10"/>
    </row>
    <row r="4226" spans="2:2">
      <c r="B4226" s="10"/>
    </row>
    <row r="4227" spans="2:2">
      <c r="B4227" s="10"/>
    </row>
    <row r="4228" spans="2:2">
      <c r="B4228" s="10"/>
    </row>
    <row r="4229" spans="2:2">
      <c r="B4229" s="10"/>
    </row>
    <row r="4230" spans="2:2">
      <c r="B4230" s="10"/>
    </row>
    <row r="4231" spans="2:2">
      <c r="B4231" s="10"/>
    </row>
    <row r="4232" spans="2:2">
      <c r="B4232" s="10"/>
    </row>
    <row r="4233" spans="2:2">
      <c r="B4233" s="10"/>
    </row>
    <row r="4234" spans="2:2">
      <c r="B4234" s="10"/>
    </row>
    <row r="4235" spans="2:2">
      <c r="B4235" s="10"/>
    </row>
    <row r="4236" spans="2:2">
      <c r="B4236" s="10"/>
    </row>
    <row r="4237" spans="2:2">
      <c r="B4237" s="10"/>
    </row>
    <row r="4238" spans="2:2">
      <c r="B4238" s="10"/>
    </row>
    <row r="4239" spans="2:2">
      <c r="B4239" s="10"/>
    </row>
    <row r="4240" spans="2:2">
      <c r="B4240" s="10"/>
    </row>
    <row r="4241" spans="2:2">
      <c r="B4241" s="10"/>
    </row>
    <row r="4242" spans="2:2">
      <c r="B4242" s="10"/>
    </row>
    <row r="4243" spans="2:2">
      <c r="B4243" s="10"/>
    </row>
    <row r="4244" spans="2:2">
      <c r="B4244" s="10"/>
    </row>
    <row r="4245" spans="2:2">
      <c r="B4245" s="10"/>
    </row>
    <row r="4246" spans="2:2">
      <c r="B4246" s="10"/>
    </row>
    <row r="4247" spans="2:2">
      <c r="B4247" s="10"/>
    </row>
    <row r="4248" spans="2:2">
      <c r="B4248" s="10"/>
    </row>
    <row r="4249" spans="2:2">
      <c r="B4249" s="10"/>
    </row>
    <row r="4250" spans="2:2">
      <c r="B4250" s="10"/>
    </row>
    <row r="4251" spans="2:2">
      <c r="B4251" s="10"/>
    </row>
    <row r="4252" spans="2:2">
      <c r="B4252" s="10"/>
    </row>
    <row r="4253" spans="2:2">
      <c r="B4253" s="10"/>
    </row>
    <row r="4254" spans="2:2">
      <c r="B4254" s="10"/>
    </row>
    <row r="4255" spans="2:2">
      <c r="B4255" s="10"/>
    </row>
    <row r="4256" spans="2:2">
      <c r="B4256" s="10"/>
    </row>
    <row r="4257" spans="2:2">
      <c r="B4257" s="10"/>
    </row>
    <row r="4258" spans="2:2">
      <c r="B4258" s="10"/>
    </row>
    <row r="4259" spans="2:2">
      <c r="B4259" s="10"/>
    </row>
    <row r="4260" spans="2:2">
      <c r="B4260" s="10"/>
    </row>
    <row r="4261" spans="2:2">
      <c r="B4261" s="10"/>
    </row>
    <row r="4262" spans="2:2">
      <c r="B4262" s="10"/>
    </row>
    <row r="4263" spans="2:2">
      <c r="B4263" s="10"/>
    </row>
    <row r="4264" spans="2:2">
      <c r="B4264" s="10"/>
    </row>
    <row r="4265" spans="2:2">
      <c r="B4265" s="10"/>
    </row>
    <row r="4266" spans="2:2">
      <c r="B4266" s="10"/>
    </row>
    <row r="4267" spans="2:2">
      <c r="B4267" s="10"/>
    </row>
    <row r="4268" spans="2:2">
      <c r="B4268" s="10"/>
    </row>
    <row r="4269" spans="2:2">
      <c r="B4269" s="10"/>
    </row>
    <row r="4270" spans="2:2">
      <c r="B4270" s="10"/>
    </row>
    <row r="4271" spans="2:2">
      <c r="B4271" s="10"/>
    </row>
    <row r="4272" spans="2:2">
      <c r="B4272" s="10"/>
    </row>
    <row r="4273" spans="2:2">
      <c r="B4273" s="10"/>
    </row>
    <row r="4274" spans="2:2">
      <c r="B4274" s="10"/>
    </row>
    <row r="4275" spans="2:2">
      <c r="B4275" s="10"/>
    </row>
    <row r="4276" spans="2:2">
      <c r="B4276" s="10"/>
    </row>
    <row r="4277" spans="2:2">
      <c r="B4277" s="10"/>
    </row>
    <row r="4278" spans="2:2">
      <c r="B4278" s="10"/>
    </row>
    <row r="4279" spans="2:2">
      <c r="B4279" s="10"/>
    </row>
    <row r="4280" spans="2:2">
      <c r="B4280" s="10"/>
    </row>
    <row r="4281" spans="2:2">
      <c r="B4281" s="10"/>
    </row>
    <row r="4282" spans="2:2">
      <c r="B4282" s="10"/>
    </row>
    <row r="4283" spans="2:2">
      <c r="B4283" s="10"/>
    </row>
    <row r="4284" spans="2:2">
      <c r="B4284" s="10"/>
    </row>
    <row r="4285" spans="2:2">
      <c r="B4285" s="10"/>
    </row>
    <row r="4286" spans="2:2">
      <c r="B4286" s="10"/>
    </row>
    <row r="4287" spans="2:2">
      <c r="B4287" s="10"/>
    </row>
    <row r="4288" spans="2:2">
      <c r="B4288" s="10"/>
    </row>
    <row r="4289" spans="2:2">
      <c r="B4289" s="10"/>
    </row>
    <row r="4290" spans="2:2">
      <c r="B4290" s="10"/>
    </row>
    <row r="4291" spans="2:2">
      <c r="B4291" s="10"/>
    </row>
    <row r="4292" spans="2:2">
      <c r="B4292" s="10"/>
    </row>
    <row r="4293" spans="2:2">
      <c r="B4293" s="10"/>
    </row>
    <row r="4294" spans="2:2">
      <c r="B4294" s="10"/>
    </row>
    <row r="4295" spans="2:2">
      <c r="B4295" s="10"/>
    </row>
    <row r="4296" spans="2:2">
      <c r="B4296" s="10"/>
    </row>
    <row r="4297" spans="2:2">
      <c r="B4297" s="10"/>
    </row>
    <row r="4298" spans="2:2">
      <c r="B4298" s="10"/>
    </row>
    <row r="4299" spans="2:2">
      <c r="B4299" s="10"/>
    </row>
    <row r="4300" spans="2:2">
      <c r="B4300" s="10"/>
    </row>
    <row r="4301" spans="2:2">
      <c r="B4301" s="10"/>
    </row>
    <row r="4302" spans="2:2">
      <c r="B4302" s="10"/>
    </row>
    <row r="4303" spans="2:2">
      <c r="B4303" s="10"/>
    </row>
    <row r="4304" spans="2:2">
      <c r="B4304" s="10"/>
    </row>
    <row r="4305" spans="2:2">
      <c r="B4305" s="10"/>
    </row>
    <row r="4306" spans="2:2">
      <c r="B4306" s="10"/>
    </row>
    <row r="4307" spans="2:2">
      <c r="B4307" s="10"/>
    </row>
    <row r="4308" spans="2:2">
      <c r="B4308" s="10"/>
    </row>
    <row r="4309" spans="2:2">
      <c r="B4309" s="10"/>
    </row>
    <row r="4310" spans="2:2">
      <c r="B4310" s="10"/>
    </row>
    <row r="4311" spans="2:2">
      <c r="B4311" s="10"/>
    </row>
    <row r="4312" spans="2:2">
      <c r="B4312" s="10"/>
    </row>
    <row r="4313" spans="2:2">
      <c r="B4313" s="10"/>
    </row>
    <row r="4314" spans="2:2">
      <c r="B4314" s="10"/>
    </row>
    <row r="4315" spans="2:2">
      <c r="B4315" s="10"/>
    </row>
    <row r="4316" spans="2:2">
      <c r="B4316" s="10"/>
    </row>
    <row r="4317" spans="2:2">
      <c r="B4317" s="10"/>
    </row>
    <row r="4318" spans="2:2">
      <c r="B4318" s="10"/>
    </row>
    <row r="4319" spans="2:2">
      <c r="B4319" s="10"/>
    </row>
    <row r="4320" spans="2:2">
      <c r="B4320" s="10"/>
    </row>
    <row r="4321" spans="2:2 1437:1448">
      <c r="B4321" s="10"/>
    </row>
    <row r="4322" spans="2:2 1437:1448">
      <c r="B4322" s="10"/>
    </row>
    <row r="4323" spans="2:2 1437:1448">
      <c r="B4323" s="10"/>
    </row>
    <row r="4324" spans="2:2 1437:1448">
      <c r="B4324" s="10"/>
    </row>
    <row r="4325" spans="2:2 1437:1448">
      <c r="B4325" s="10"/>
    </row>
    <row r="4326" spans="2:2 1437:1448">
      <c r="B4326" s="10"/>
    </row>
    <row r="4327" spans="2:2 1437:1448">
      <c r="B4327" s="10"/>
    </row>
    <row r="4328" spans="2:2 1437:1448">
      <c r="B4328" s="10"/>
    </row>
    <row r="4329" spans="2:2 1437:1448">
      <c r="B4329" s="10"/>
    </row>
    <row r="4330" spans="2:2 1437:1448">
      <c r="B4330" s="10"/>
    </row>
    <row r="4331" spans="2:2 1437:1448">
      <c r="B4331" s="10"/>
    </row>
    <row r="4332" spans="2:2 1437:1448">
      <c r="B4332" s="10"/>
    </row>
    <row r="4333" spans="2:2 1437:1448">
      <c r="B4333" s="10"/>
    </row>
    <row r="4334" spans="2:2 1437:1448">
      <c r="B4334" s="10"/>
      <c r="BCG4334" s="8" t="s">
        <v>827</v>
      </c>
    </row>
    <row r="4335" spans="2:2 1437:1448">
      <c r="B4335" s="10"/>
      <c r="BCN4335" s="8" t="s">
        <v>360</v>
      </c>
    </row>
    <row r="4336" spans="2:2 1437:1448">
      <c r="B4336" s="10"/>
      <c r="BCR4336" s="8" t="s">
        <v>107</v>
      </c>
    </row>
    <row r="4337" spans="2:2 1712:2024">
      <c r="B4337" s="10"/>
      <c r="BMV4337" s="8" t="s">
        <v>109</v>
      </c>
    </row>
    <row r="4338" spans="2:2 1712:2024">
      <c r="B4338" s="10"/>
      <c r="BOR4338" s="8" t="s">
        <v>361</v>
      </c>
    </row>
    <row r="4339" spans="2:2 1712:2024">
      <c r="B4339" s="10"/>
      <c r="BUF4339" s="8" t="s">
        <v>803</v>
      </c>
    </row>
    <row r="4340" spans="2:2 1712:2024">
      <c r="B4340" s="10"/>
      <c r="BYV4340" s="8" t="s">
        <v>362</v>
      </c>
    </row>
    <row r="4341" spans="2:2 1712:2024">
      <c r="B4341" s="10"/>
    </row>
    <row r="4342" spans="2:2 1712:2024">
      <c r="B4342" s="10"/>
    </row>
    <row r="4343" spans="2:2 1712:2024">
      <c r="B4343" s="10"/>
    </row>
    <row r="4344" spans="2:2 1712:2024">
      <c r="B4344" s="10"/>
    </row>
    <row r="4345" spans="2:2 1712:2024">
      <c r="B4345" s="10"/>
    </row>
    <row r="4346" spans="2:2 1712:2024">
      <c r="B4346" s="10"/>
    </row>
    <row r="4347" spans="2:2 1712:2024">
      <c r="B4347" s="10"/>
    </row>
    <row r="4348" spans="2:2 1712:2024">
      <c r="B4348" s="10"/>
    </row>
    <row r="4349" spans="2:2 1712:2024">
      <c r="B4349" s="10"/>
    </row>
    <row r="4350" spans="2:2 1712:2024">
      <c r="B4350" s="10"/>
    </row>
    <row r="4351" spans="2:2 1712:2024">
      <c r="B4351" s="10"/>
    </row>
    <row r="4352" spans="2:2 1712:2024">
      <c r="B4352" s="10"/>
    </row>
    <row r="4353" spans="2:2">
      <c r="B4353" s="10"/>
    </row>
    <row r="4354" spans="2:2">
      <c r="B4354" s="10"/>
    </row>
    <row r="4355" spans="2:2">
      <c r="B4355" s="10"/>
    </row>
    <row r="4356" spans="2:2">
      <c r="B4356" s="10"/>
    </row>
    <row r="4357" spans="2:2">
      <c r="B4357" s="10"/>
    </row>
    <row r="4358" spans="2:2">
      <c r="B4358" s="10"/>
    </row>
    <row r="4359" spans="2:2">
      <c r="B4359" s="10"/>
    </row>
    <row r="4360" spans="2:2">
      <c r="B4360" s="10"/>
    </row>
    <row r="4361" spans="2:2">
      <c r="B4361" s="10"/>
    </row>
    <row r="4362" spans="2:2">
      <c r="B4362" s="10"/>
    </row>
    <row r="4363" spans="2:2">
      <c r="B4363" s="10"/>
    </row>
    <row r="4364" spans="2:2">
      <c r="B4364" s="10"/>
    </row>
    <row r="4365" spans="2:2">
      <c r="B4365" s="10"/>
    </row>
    <row r="4366" spans="2:2">
      <c r="B4366" s="10"/>
    </row>
    <row r="4367" spans="2:2">
      <c r="B4367" s="10"/>
    </row>
    <row r="4368" spans="2:2">
      <c r="B4368" s="10"/>
    </row>
    <row r="4369" spans="2:2 1400:1911">
      <c r="B4369" s="10"/>
    </row>
    <row r="4370" spans="2:2 1400:1911">
      <c r="B4370" s="10"/>
    </row>
    <row r="4371" spans="2:2 1400:1911">
      <c r="B4371" s="10"/>
      <c r="BAV4371" s="8" t="s">
        <v>387</v>
      </c>
    </row>
    <row r="4372" spans="2:2 1400:1911">
      <c r="B4372" s="10"/>
      <c r="BAV4372" s="8" t="s">
        <v>388</v>
      </c>
    </row>
    <row r="4373" spans="2:2 1400:1911">
      <c r="B4373" s="10"/>
      <c r="BHH4373" s="8" t="s">
        <v>389</v>
      </c>
    </row>
    <row r="4374" spans="2:2 1400:1911">
      <c r="B4374" s="10"/>
      <c r="BHH4374" s="8" t="s">
        <v>390</v>
      </c>
    </row>
    <row r="4375" spans="2:2 1400:1911">
      <c r="B4375" s="10"/>
      <c r="BHH4375" s="8" t="s">
        <v>391</v>
      </c>
    </row>
    <row r="4376" spans="2:2 1400:1911">
      <c r="B4376" s="10"/>
      <c r="BNT4376" s="8" t="s">
        <v>392</v>
      </c>
    </row>
    <row r="4377" spans="2:2 1400:1911">
      <c r="B4377" s="10"/>
      <c r="BNT4377" s="8" t="s">
        <v>393</v>
      </c>
    </row>
    <row r="4378" spans="2:2 1400:1911">
      <c r="B4378" s="10"/>
      <c r="BUM4378" s="8" t="s">
        <v>394</v>
      </c>
    </row>
    <row r="4379" spans="2:2 1400:1911">
      <c r="B4379" s="10"/>
    </row>
    <row r="4380" spans="2:2 1400:1911">
      <c r="B4380" s="10"/>
    </row>
    <row r="4381" spans="2:2 1400:1911">
      <c r="B4381" s="10"/>
    </row>
    <row r="4382" spans="2:2 1400:1911">
      <c r="B4382" s="10"/>
    </row>
    <row r="4383" spans="2:2 1400:1911">
      <c r="B4383" s="10"/>
    </row>
    <row r="4384" spans="2:2 1400:1911">
      <c r="B4384" s="10"/>
    </row>
    <row r="4385" spans="2:2">
      <c r="B4385" s="10"/>
    </row>
    <row r="4386" spans="2:2">
      <c r="B4386" s="10"/>
    </row>
    <row r="4387" spans="2:2">
      <c r="B4387" s="10"/>
    </row>
    <row r="4388" spans="2:2">
      <c r="B4388" s="10"/>
    </row>
    <row r="4389" spans="2:2">
      <c r="B4389" s="10"/>
    </row>
    <row r="4390" spans="2:2">
      <c r="B4390" s="10"/>
    </row>
    <row r="4391" spans="2:2">
      <c r="B4391" s="10"/>
    </row>
    <row r="4392" spans="2:2">
      <c r="B4392" s="10"/>
    </row>
    <row r="4393" spans="2:2">
      <c r="B4393" s="10"/>
    </row>
    <row r="4394" spans="2:2">
      <c r="B4394" s="10"/>
    </row>
    <row r="4395" spans="2:2">
      <c r="B4395" s="10"/>
    </row>
    <row r="4396" spans="2:2">
      <c r="B4396" s="10"/>
    </row>
    <row r="4397" spans="2:2">
      <c r="B4397" s="10"/>
    </row>
    <row r="4398" spans="2:2">
      <c r="B4398" s="10"/>
    </row>
    <row r="4399" spans="2:2">
      <c r="B4399" s="10"/>
    </row>
    <row r="4400" spans="2:2">
      <c r="B4400" s="10"/>
    </row>
    <row r="4401" spans="2:2">
      <c r="B4401" s="10"/>
    </row>
    <row r="4402" spans="2:2">
      <c r="B4402" s="10"/>
    </row>
    <row r="4403" spans="2:2">
      <c r="B4403" s="10"/>
    </row>
    <row r="4404" spans="2:2">
      <c r="B4404" s="10"/>
    </row>
    <row r="4405" spans="2:2">
      <c r="B4405" s="10"/>
    </row>
    <row r="4406" spans="2:2">
      <c r="B4406" s="10"/>
    </row>
    <row r="4407" spans="2:2">
      <c r="B4407" s="10"/>
    </row>
    <row r="4408" spans="2:2">
      <c r="B4408" s="10"/>
    </row>
    <row r="4409" spans="2:2">
      <c r="B4409" s="10"/>
    </row>
    <row r="4410" spans="2:2">
      <c r="B4410" s="10"/>
    </row>
    <row r="4411" spans="2:2">
      <c r="B4411" s="10"/>
    </row>
    <row r="4412" spans="2:2">
      <c r="B4412" s="10"/>
    </row>
    <row r="4413" spans="2:2">
      <c r="B4413" s="10"/>
    </row>
    <row r="4414" spans="2:2">
      <c r="B4414" s="10"/>
    </row>
    <row r="4415" spans="2:2">
      <c r="B4415" s="10"/>
    </row>
    <row r="4416" spans="2:2">
      <c r="B4416" s="10"/>
    </row>
    <row r="4417" spans="2:2">
      <c r="B4417" s="10"/>
    </row>
    <row r="4418" spans="2:2">
      <c r="B4418" s="10"/>
    </row>
    <row r="4419" spans="2:2">
      <c r="B4419" s="10"/>
    </row>
    <row r="4420" spans="2:2">
      <c r="B4420" s="10"/>
    </row>
    <row r="4421" spans="2:2">
      <c r="B4421" s="10"/>
    </row>
    <row r="4422" spans="2:2">
      <c r="B4422" s="10"/>
    </row>
    <row r="4423" spans="2:2">
      <c r="B4423" s="10"/>
    </row>
    <row r="4424" spans="2:2">
      <c r="B4424" s="10"/>
    </row>
    <row r="4425" spans="2:2">
      <c r="B4425" s="10"/>
    </row>
    <row r="4426" spans="2:2">
      <c r="B4426" s="10"/>
    </row>
    <row r="4427" spans="2:2">
      <c r="B4427" s="10"/>
    </row>
    <row r="4428" spans="2:2">
      <c r="B4428" s="10"/>
    </row>
    <row r="4429" spans="2:2">
      <c r="B4429" s="10"/>
    </row>
    <row r="4430" spans="2:2">
      <c r="B4430" s="10"/>
    </row>
    <row r="4431" spans="2:2">
      <c r="B4431" s="10"/>
    </row>
    <row r="4432" spans="2:2">
      <c r="B4432" s="10"/>
    </row>
    <row r="4433" spans="2:2">
      <c r="B4433" s="10"/>
    </row>
    <row r="4434" spans="2:2">
      <c r="B4434" s="10"/>
    </row>
    <row r="4435" spans="2:2">
      <c r="B4435" s="10"/>
    </row>
    <row r="4436" spans="2:2">
      <c r="B4436" s="10"/>
    </row>
    <row r="4437" spans="2:2">
      <c r="B4437" s="10"/>
    </row>
    <row r="4438" spans="2:2">
      <c r="B4438" s="10"/>
    </row>
    <row r="4439" spans="2:2">
      <c r="B4439" s="10"/>
    </row>
    <row r="4440" spans="2:2">
      <c r="B4440" s="10"/>
    </row>
    <row r="4441" spans="2:2">
      <c r="B4441" s="10"/>
    </row>
    <row r="4442" spans="2:2">
      <c r="B4442" s="10"/>
    </row>
    <row r="4443" spans="2:2">
      <c r="B4443" s="10"/>
    </row>
    <row r="4444" spans="2:2">
      <c r="B4444" s="10"/>
    </row>
    <row r="4445" spans="2:2">
      <c r="B4445" s="10"/>
    </row>
    <row r="4446" spans="2:2">
      <c r="B4446" s="10"/>
    </row>
    <row r="4447" spans="2:2">
      <c r="B4447" s="10"/>
    </row>
    <row r="4448" spans="2:2">
      <c r="B4448" s="10"/>
    </row>
    <row r="4449" spans="2:2">
      <c r="B4449" s="10"/>
    </row>
    <row r="4450" spans="2:2">
      <c r="B4450" s="10"/>
    </row>
    <row r="4451" spans="2:2">
      <c r="B4451" s="10"/>
    </row>
    <row r="4452" spans="2:2">
      <c r="B4452" s="10"/>
    </row>
    <row r="4453" spans="2:2">
      <c r="B4453" s="10"/>
    </row>
    <row r="4454" spans="2:2">
      <c r="B4454" s="10"/>
    </row>
    <row r="4455" spans="2:2">
      <c r="B4455" s="10"/>
    </row>
    <row r="4456" spans="2:2">
      <c r="B4456" s="10"/>
    </row>
    <row r="4457" spans="2:2">
      <c r="B4457" s="10"/>
    </row>
    <row r="4458" spans="2:2">
      <c r="B4458" s="10"/>
    </row>
    <row r="4459" spans="2:2">
      <c r="B4459" s="10"/>
    </row>
    <row r="4460" spans="2:2">
      <c r="B4460" s="10"/>
    </row>
    <row r="4461" spans="2:2">
      <c r="B4461" s="10"/>
    </row>
    <row r="4462" spans="2:2">
      <c r="B4462" s="10"/>
    </row>
    <row r="4463" spans="2:2">
      <c r="B4463" s="10"/>
    </row>
    <row r="4464" spans="2:2">
      <c r="B4464" s="10"/>
    </row>
    <row r="4465" spans="2:2">
      <c r="B4465" s="10"/>
    </row>
    <row r="4466" spans="2:2">
      <c r="B4466" s="10"/>
    </row>
    <row r="4467" spans="2:2">
      <c r="B4467" s="10"/>
    </row>
    <row r="4468" spans="2:2">
      <c r="B4468" s="10"/>
    </row>
    <row r="4469" spans="2:2">
      <c r="B4469" s="10"/>
    </row>
    <row r="4470" spans="2:2">
      <c r="B4470" s="10"/>
    </row>
    <row r="4471" spans="2:2">
      <c r="B4471" s="10"/>
    </row>
    <row r="4472" spans="2:2">
      <c r="B4472" s="10"/>
    </row>
    <row r="4473" spans="2:2">
      <c r="B4473" s="10"/>
    </row>
    <row r="4474" spans="2:2">
      <c r="B4474" s="10"/>
    </row>
    <row r="4475" spans="2:2">
      <c r="B4475" s="10"/>
    </row>
    <row r="4476" spans="2:2">
      <c r="B4476" s="10"/>
    </row>
    <row r="4477" spans="2:2">
      <c r="B4477" s="10"/>
    </row>
    <row r="4478" spans="2:2">
      <c r="B4478" s="10"/>
    </row>
    <row r="4479" spans="2:2">
      <c r="B4479" s="10"/>
    </row>
    <row r="4480" spans="2:2">
      <c r="B4480" s="10"/>
    </row>
    <row r="4481" spans="2:2 1473:1881">
      <c r="B4481" s="10"/>
    </row>
    <row r="4482" spans="2:2 1473:1881">
      <c r="B4482" s="10"/>
    </row>
    <row r="4483" spans="2:2 1473:1881">
      <c r="B4483" s="10"/>
      <c r="BDQ4483" s="8" t="s">
        <v>421</v>
      </c>
    </row>
    <row r="4484" spans="2:2 1473:1881">
      <c r="B4484" s="10"/>
      <c r="BEH4484" s="8" t="s">
        <v>422</v>
      </c>
    </row>
    <row r="4485" spans="2:2 1473:1881">
      <c r="B4485" s="10"/>
      <c r="BEX4485" s="8" t="s">
        <v>423</v>
      </c>
    </row>
    <row r="4486" spans="2:2 1473:1881">
      <c r="B4486" s="10"/>
      <c r="BFO4486" s="8" t="s">
        <v>424</v>
      </c>
    </row>
    <row r="4487" spans="2:2 1473:1881">
      <c r="B4487" s="10"/>
      <c r="BFM4487" s="8" t="s">
        <v>425</v>
      </c>
    </row>
    <row r="4488" spans="2:2 1473:1881">
      <c r="B4488" s="10"/>
      <c r="BRM4488" s="8" t="s">
        <v>426</v>
      </c>
    </row>
    <row r="4489" spans="2:2 1473:1881">
      <c r="B4489" s="10"/>
      <c r="BTI4489" s="8" t="s">
        <v>427</v>
      </c>
    </row>
    <row r="4490" spans="2:2 1473:1881">
      <c r="B4490" s="10"/>
    </row>
    <row r="4491" spans="2:2 1473:1881">
      <c r="B4491" s="10"/>
    </row>
    <row r="4492" spans="2:2 1473:1881">
      <c r="B4492" s="10"/>
    </row>
    <row r="4493" spans="2:2 1473:1881">
      <c r="B4493" s="10"/>
    </row>
    <row r="4494" spans="2:2 1473:1881">
      <c r="B4494" s="10"/>
    </row>
    <row r="4495" spans="2:2 1473:1881">
      <c r="B4495" s="10"/>
    </row>
    <row r="4496" spans="2:2 1473:1881">
      <c r="B4496" s="10"/>
    </row>
    <row r="4497" spans="2:2">
      <c r="B4497" s="10"/>
    </row>
    <row r="4498" spans="2:2">
      <c r="B4498" s="10"/>
    </row>
    <row r="4499" spans="2:2">
      <c r="B4499" s="10"/>
    </row>
    <row r="4500" spans="2:2">
      <c r="B4500" s="10"/>
    </row>
    <row r="4501" spans="2:2">
      <c r="B4501" s="10"/>
    </row>
    <row r="4502" spans="2:2">
      <c r="B4502" s="10"/>
    </row>
    <row r="4503" spans="2:2">
      <c r="B4503" s="10"/>
    </row>
    <row r="4504" spans="2:2">
      <c r="B4504" s="10"/>
    </row>
    <row r="4505" spans="2:2">
      <c r="B4505" s="10"/>
    </row>
    <row r="4506" spans="2:2">
      <c r="B4506" s="10"/>
    </row>
    <row r="4507" spans="2:2">
      <c r="B4507" s="10"/>
    </row>
    <row r="4508" spans="2:2">
      <c r="B4508" s="10"/>
    </row>
    <row r="4509" spans="2:2">
      <c r="B4509" s="10"/>
    </row>
    <row r="4510" spans="2:2">
      <c r="B4510" s="10"/>
    </row>
    <row r="4511" spans="2:2">
      <c r="B4511" s="10"/>
    </row>
    <row r="4512" spans="2:2">
      <c r="B4512" s="10"/>
    </row>
    <row r="4513" spans="2:2">
      <c r="B4513" s="10"/>
    </row>
    <row r="4514" spans="2:2">
      <c r="B4514" s="10"/>
    </row>
    <row r="4515" spans="2:2">
      <c r="B4515" s="10"/>
    </row>
    <row r="4516" spans="2:2">
      <c r="B4516" s="10"/>
    </row>
    <row r="4517" spans="2:2">
      <c r="B4517" s="10"/>
    </row>
    <row r="4518" spans="2:2">
      <c r="B4518" s="10"/>
    </row>
    <row r="4519" spans="2:2">
      <c r="B4519" s="10"/>
    </row>
    <row r="4520" spans="2:2">
      <c r="B4520" s="10"/>
    </row>
    <row r="4521" spans="2:2">
      <c r="B4521" s="10"/>
    </row>
    <row r="4522" spans="2:2">
      <c r="B4522" s="10"/>
    </row>
    <row r="4523" spans="2:2">
      <c r="B4523" s="10"/>
    </row>
    <row r="4524" spans="2:2">
      <c r="B4524" s="10"/>
    </row>
    <row r="4525" spans="2:2">
      <c r="B4525" s="10"/>
    </row>
    <row r="4526" spans="2:2">
      <c r="B4526" s="10"/>
    </row>
    <row r="4527" spans="2:2">
      <c r="B4527" s="10"/>
    </row>
    <row r="4528" spans="2:2">
      <c r="B4528" s="10"/>
    </row>
    <row r="4529" spans="2:2">
      <c r="B4529" s="10"/>
    </row>
    <row r="4530" spans="2:2">
      <c r="B4530" s="10"/>
    </row>
    <row r="4531" spans="2:2">
      <c r="B4531" s="10"/>
    </row>
    <row r="4532" spans="2:2">
      <c r="B4532" s="10"/>
    </row>
    <row r="4533" spans="2:2">
      <c r="B4533" s="10"/>
    </row>
    <row r="4534" spans="2:2">
      <c r="B4534" s="10"/>
    </row>
    <row r="4535" spans="2:2">
      <c r="B4535" s="10"/>
    </row>
    <row r="4536" spans="2:2">
      <c r="B4536" s="10"/>
    </row>
    <row r="4537" spans="2:2">
      <c r="B4537" s="10"/>
    </row>
    <row r="4538" spans="2:2">
      <c r="B4538" s="10"/>
    </row>
    <row r="4539" spans="2:2">
      <c r="B4539" s="10"/>
    </row>
    <row r="4540" spans="2:2">
      <c r="B4540" s="10"/>
    </row>
    <row r="4541" spans="2:2">
      <c r="B4541" s="10"/>
    </row>
    <row r="4542" spans="2:2">
      <c r="B4542" s="10"/>
    </row>
    <row r="4543" spans="2:2">
      <c r="B4543" s="10"/>
    </row>
    <row r="4544" spans="2:2">
      <c r="B4544" s="10"/>
    </row>
    <row r="4545" spans="2:2 1423:1952 2200:2200">
      <c r="B4545" s="10"/>
    </row>
    <row r="4546" spans="2:2 1423:1952 2200:2200">
      <c r="B4546" s="10"/>
    </row>
    <row r="4547" spans="2:2 1423:1952 2200:2200">
      <c r="B4547" s="10"/>
      <c r="BBS4547" s="8" t="s">
        <v>446</v>
      </c>
    </row>
    <row r="4548" spans="2:2 1423:1952 2200:2200">
      <c r="B4548" s="10"/>
      <c r="BCJ4548" s="8" t="s">
        <v>447</v>
      </c>
    </row>
    <row r="4549" spans="2:2 1423:1952 2200:2200">
      <c r="B4549" s="10"/>
      <c r="BCZ4549" s="8" t="s">
        <v>448</v>
      </c>
    </row>
    <row r="4550" spans="2:2 1423:1952 2200:2200">
      <c r="B4550" s="10"/>
      <c r="BDQ4550" s="8" t="s">
        <v>449</v>
      </c>
    </row>
    <row r="4551" spans="2:2 1423:1952 2200:2200">
      <c r="B4551" s="10"/>
      <c r="BEH4551" s="8" t="s">
        <v>450</v>
      </c>
    </row>
    <row r="4552" spans="2:2 1423:1952 2200:2200">
      <c r="B4552" s="10"/>
      <c r="BEX4552" s="8" t="s">
        <v>451</v>
      </c>
    </row>
    <row r="4553" spans="2:2 1423:1952 2200:2200">
      <c r="B4553" s="10"/>
      <c r="BFO4553" s="8" t="s">
        <v>452</v>
      </c>
    </row>
    <row r="4554" spans="2:2 1423:1952 2200:2200">
      <c r="B4554" s="10"/>
      <c r="BIF4554" s="8" t="s">
        <v>453</v>
      </c>
    </row>
    <row r="4555" spans="2:2 1423:1952 2200:2200">
      <c r="B4555" s="10"/>
      <c r="BWB4555" s="8" t="s">
        <v>454</v>
      </c>
    </row>
    <row r="4556" spans="2:2 1423:1952 2200:2200">
      <c r="B4556" s="10"/>
      <c r="CFP4556" s="8" t="s">
        <v>828</v>
      </c>
    </row>
    <row r="4557" spans="2:2 1423:1952 2200:2200">
      <c r="B4557" s="10"/>
    </row>
    <row r="4558" spans="2:2 1423:1952 2200:2200">
      <c r="B4558" s="10"/>
    </row>
    <row r="4559" spans="2:2 1423:1952 2200:2200">
      <c r="B4559" s="10"/>
    </row>
    <row r="4560" spans="2:2 1423:1952 2200:2200">
      <c r="B4560" s="10"/>
    </row>
    <row r="4561" spans="2:2">
      <c r="B4561" s="10"/>
    </row>
    <row r="4562" spans="2:2">
      <c r="B4562" s="10"/>
    </row>
    <row r="4563" spans="2:2">
      <c r="B4563" s="10"/>
    </row>
    <row r="4564" spans="2:2">
      <c r="B4564" s="10"/>
    </row>
    <row r="4565" spans="2:2">
      <c r="B4565" s="10"/>
    </row>
    <row r="4566" spans="2:2">
      <c r="B4566" s="10"/>
    </row>
    <row r="4567" spans="2:2">
      <c r="B4567" s="10"/>
    </row>
    <row r="4568" spans="2:2">
      <c r="B4568" s="10"/>
    </row>
    <row r="4569" spans="2:2">
      <c r="B4569" s="10"/>
    </row>
    <row r="4570" spans="2:2">
      <c r="B4570" s="10"/>
    </row>
    <row r="4571" spans="2:2">
      <c r="B4571" s="10"/>
    </row>
    <row r="4572" spans="2:2">
      <c r="B4572" s="10"/>
    </row>
    <row r="4573" spans="2:2">
      <c r="B4573" s="10"/>
    </row>
    <row r="4574" spans="2:2">
      <c r="B4574" s="10"/>
    </row>
    <row r="4575" spans="2:2">
      <c r="B4575" s="10"/>
    </row>
    <row r="4576" spans="2:2">
      <c r="B4576" s="10"/>
    </row>
    <row r="4577" spans="2:2 1524:1524">
      <c r="B4577" s="10"/>
    </row>
    <row r="4578" spans="2:2 1524:1524">
      <c r="B4578" s="10"/>
    </row>
    <row r="4579" spans="2:2 1524:1524">
      <c r="B4579" s="10"/>
    </row>
    <row r="4580" spans="2:2 1524:1524">
      <c r="B4580" s="10"/>
    </row>
    <row r="4581" spans="2:2 1524:1524">
      <c r="B4581" s="10"/>
    </row>
    <row r="4582" spans="2:2 1524:1524">
      <c r="B4582" s="10"/>
    </row>
    <row r="4583" spans="2:2 1524:1524">
      <c r="B4583" s="10"/>
    </row>
    <row r="4584" spans="2:2 1524:1524">
      <c r="B4584" s="10"/>
    </row>
    <row r="4585" spans="2:2 1524:1524">
      <c r="B4585" s="10"/>
    </row>
    <row r="4586" spans="2:2 1524:1524">
      <c r="B4586" s="10"/>
    </row>
    <row r="4587" spans="2:2 1524:1524">
      <c r="B4587" s="10"/>
      <c r="BFP4587" s="8" t="s">
        <v>463</v>
      </c>
    </row>
    <row r="4588" spans="2:2 1524:1524">
      <c r="B4588" s="10"/>
    </row>
    <row r="4589" spans="2:2 1524:1524">
      <c r="B4589" s="10"/>
    </row>
    <row r="4590" spans="2:2 1524:1524">
      <c r="B4590" s="10"/>
    </row>
    <row r="4591" spans="2:2 1524:1524">
      <c r="B4591" s="10"/>
    </row>
    <row r="4592" spans="2:2 1524:1524">
      <c r="B4592" s="10"/>
    </row>
    <row r="4593" spans="2:2">
      <c r="B4593" s="10"/>
    </row>
    <row r="4594" spans="2:2">
      <c r="B4594" s="10"/>
    </row>
    <row r="4595" spans="2:2">
      <c r="B4595" s="10"/>
    </row>
    <row r="4596" spans="2:2">
      <c r="B4596" s="10"/>
    </row>
    <row r="4597" spans="2:2">
      <c r="B4597" s="10"/>
    </row>
    <row r="4598" spans="2:2">
      <c r="B4598" s="10"/>
    </row>
    <row r="4599" spans="2:2">
      <c r="B4599" s="10"/>
    </row>
    <row r="4600" spans="2:2">
      <c r="B4600" s="10"/>
    </row>
    <row r="4601" spans="2:2">
      <c r="B4601" s="10"/>
    </row>
    <row r="4602" spans="2:2">
      <c r="B4602" s="10"/>
    </row>
    <row r="4603" spans="2:2">
      <c r="B4603" s="10"/>
    </row>
    <row r="4604" spans="2:2">
      <c r="B4604" s="10"/>
    </row>
    <row r="4605" spans="2:2">
      <c r="B4605" s="10"/>
    </row>
    <row r="4606" spans="2:2">
      <c r="B4606" s="10"/>
    </row>
    <row r="4607" spans="2:2">
      <c r="B4607" s="10"/>
    </row>
    <row r="4608" spans="2:2">
      <c r="B4608" s="10"/>
    </row>
    <row r="4609" spans="2:2">
      <c r="B4609" s="10"/>
    </row>
    <row r="4610" spans="2:2">
      <c r="B4610" s="10"/>
    </row>
    <row r="4611" spans="2:2">
      <c r="B4611" s="10"/>
    </row>
    <row r="4612" spans="2:2">
      <c r="B4612" s="10"/>
    </row>
    <row r="4613" spans="2:2">
      <c r="B4613" s="10"/>
    </row>
    <row r="4614" spans="2:2">
      <c r="B4614" s="10"/>
    </row>
    <row r="4615" spans="2:2">
      <c r="B4615" s="10"/>
    </row>
    <row r="4616" spans="2:2">
      <c r="B4616" s="10"/>
    </row>
    <row r="4617" spans="2:2">
      <c r="B4617" s="10"/>
    </row>
    <row r="4618" spans="2:2">
      <c r="B4618" s="10"/>
    </row>
    <row r="4619" spans="2:2">
      <c r="B4619" s="10"/>
    </row>
    <row r="4620" spans="2:2">
      <c r="B4620" s="10"/>
    </row>
    <row r="4621" spans="2:2">
      <c r="B4621" s="10"/>
    </row>
    <row r="4622" spans="2:2">
      <c r="B4622" s="10"/>
    </row>
    <row r="4623" spans="2:2">
      <c r="B4623" s="10"/>
    </row>
    <row r="4624" spans="2:2">
      <c r="B4624" s="10"/>
    </row>
    <row r="4625" spans="2:2 1449:1737">
      <c r="B4625" s="10"/>
    </row>
    <row r="4626" spans="2:2 1449:1737">
      <c r="B4626" s="10"/>
      <c r="BCS4626" s="8" t="s">
        <v>474</v>
      </c>
    </row>
    <row r="4627" spans="2:2 1449:1737">
      <c r="B4627" s="10"/>
      <c r="BGK4627" s="8" t="s">
        <v>475</v>
      </c>
    </row>
    <row r="4628" spans="2:2 1449:1737">
      <c r="B4628" s="10"/>
      <c r="BJD4628" s="8" t="s">
        <v>476</v>
      </c>
    </row>
    <row r="4629" spans="2:2 1449:1737">
      <c r="B4629" s="10"/>
      <c r="BNU4629" s="8" t="s">
        <v>477</v>
      </c>
    </row>
    <row r="4630" spans="2:2 1449:1737">
      <c r="B4630" s="10"/>
    </row>
    <row r="4631" spans="2:2 1449:1737">
      <c r="B4631" s="10"/>
    </row>
    <row r="4632" spans="2:2 1449:1737">
      <c r="B4632" s="10"/>
    </row>
    <row r="4633" spans="2:2 1449:1737">
      <c r="B4633" s="10"/>
    </row>
    <row r="4634" spans="2:2 1449:1737">
      <c r="B4634" s="10"/>
    </row>
    <row r="4635" spans="2:2 1449:1737">
      <c r="B4635" s="10"/>
    </row>
    <row r="4636" spans="2:2 1449:1737">
      <c r="B4636" s="10"/>
    </row>
    <row r="4637" spans="2:2 1449:1737">
      <c r="B4637" s="10"/>
    </row>
    <row r="4638" spans="2:2 1449:1737">
      <c r="B4638" s="10"/>
    </row>
    <row r="4639" spans="2:2 1449:1737">
      <c r="B4639" s="10"/>
    </row>
    <row r="4640" spans="2:2 1449:1737">
      <c r="B4640" s="10"/>
    </row>
    <row r="4641" spans="2:2">
      <c r="B4641" s="10"/>
    </row>
    <row r="4642" spans="2:2">
      <c r="B4642" s="10"/>
    </row>
    <row r="4643" spans="2:2">
      <c r="B4643" s="10"/>
    </row>
    <row r="4644" spans="2:2">
      <c r="B4644" s="10"/>
    </row>
    <row r="4645" spans="2:2">
      <c r="B4645" s="10"/>
    </row>
    <row r="4646" spans="2:2">
      <c r="B4646" s="10"/>
    </row>
    <row r="4647" spans="2:2">
      <c r="B4647" s="10"/>
    </row>
    <row r="4648" spans="2:2">
      <c r="B4648" s="10"/>
    </row>
    <row r="4649" spans="2:2">
      <c r="B4649" s="10"/>
    </row>
    <row r="4650" spans="2:2">
      <c r="B4650" s="10"/>
    </row>
    <row r="4651" spans="2:2">
      <c r="B4651" s="10"/>
    </row>
    <row r="4652" spans="2:2">
      <c r="B4652" s="10"/>
    </row>
    <row r="4653" spans="2:2">
      <c r="B4653" s="10"/>
    </row>
    <row r="4654" spans="2:2">
      <c r="B4654" s="10"/>
    </row>
    <row r="4655" spans="2:2">
      <c r="B4655" s="10"/>
    </row>
    <row r="4656" spans="2:2">
      <c r="B4656" s="10"/>
    </row>
    <row r="4657" spans="2:2">
      <c r="B4657" s="10"/>
    </row>
    <row r="4658" spans="2:2">
      <c r="B4658" s="10"/>
    </row>
    <row r="4659" spans="2:2">
      <c r="B4659" s="10"/>
    </row>
    <row r="4660" spans="2:2">
      <c r="B4660" s="10"/>
    </row>
    <row r="4661" spans="2:2">
      <c r="B4661" s="10"/>
    </row>
    <row r="4662" spans="2:2">
      <c r="B4662" s="10"/>
    </row>
    <row r="4663" spans="2:2">
      <c r="B4663" s="10"/>
    </row>
    <row r="4664" spans="2:2">
      <c r="B4664" s="10"/>
    </row>
    <row r="4665" spans="2:2">
      <c r="B4665" s="10"/>
    </row>
    <row r="4666" spans="2:2">
      <c r="B4666" s="10"/>
    </row>
    <row r="4667" spans="2:2">
      <c r="B4667" s="10"/>
    </row>
    <row r="4668" spans="2:2">
      <c r="B4668" s="10"/>
    </row>
    <row r="4669" spans="2:2">
      <c r="B4669" s="10"/>
    </row>
    <row r="4670" spans="2:2">
      <c r="B4670" s="10"/>
    </row>
    <row r="4671" spans="2:2">
      <c r="B4671" s="10"/>
    </row>
    <row r="4672" spans="2:2">
      <c r="B4672" s="10"/>
    </row>
    <row r="4673" spans="2:2 1376:1928">
      <c r="B4673" s="10"/>
    </row>
    <row r="4674" spans="2:2 1376:1928">
      <c r="B4674" s="10"/>
    </row>
    <row r="4675" spans="2:2 1376:1928">
      <c r="B4675" s="10"/>
    </row>
    <row r="4676" spans="2:2 1376:1928">
      <c r="B4676" s="10"/>
    </row>
    <row r="4677" spans="2:2 1376:1928">
      <c r="B4677" s="10"/>
      <c r="AZX4677" s="8" t="s">
        <v>498</v>
      </c>
    </row>
    <row r="4678" spans="2:2 1376:1928">
      <c r="B4678" s="10"/>
      <c r="BAV4678" s="8" t="s">
        <v>499</v>
      </c>
    </row>
    <row r="4679" spans="2:2 1376:1928">
      <c r="B4679" s="10"/>
      <c r="BDP4679" s="8" t="s">
        <v>500</v>
      </c>
    </row>
    <row r="4680" spans="2:2 1376:1928">
      <c r="B4680" s="10"/>
      <c r="BEN4680" s="8" t="s">
        <v>501</v>
      </c>
    </row>
    <row r="4681" spans="2:2 1376:1928">
      <c r="B4681" s="10"/>
      <c r="BJD4681" s="8" t="s">
        <v>502</v>
      </c>
    </row>
    <row r="4682" spans="2:2 1376:1928">
      <c r="B4682" s="10"/>
      <c r="BKE4682" s="8" t="s">
        <v>503</v>
      </c>
    </row>
    <row r="4683" spans="2:2 1376:1928">
      <c r="B4683" s="10"/>
      <c r="BQQ4683" s="8" t="s">
        <v>504</v>
      </c>
    </row>
    <row r="4684" spans="2:2 1376:1928">
      <c r="B4684" s="10"/>
      <c r="BRL4684" s="8" t="s">
        <v>505</v>
      </c>
    </row>
    <row r="4685" spans="2:2 1376:1928">
      <c r="B4685" s="10"/>
      <c r="BSJ4685" s="8" t="s">
        <v>506</v>
      </c>
    </row>
    <row r="4686" spans="2:2 1376:1928">
      <c r="B4686" s="10"/>
      <c r="BTH4686" s="8" t="s">
        <v>507</v>
      </c>
    </row>
    <row r="4687" spans="2:2 1376:1928">
      <c r="B4687" s="10"/>
      <c r="BUF4687" s="8" t="s">
        <v>508</v>
      </c>
    </row>
    <row r="4688" spans="2:2 1376:1928">
      <c r="B4688" s="10"/>
      <c r="BVD4688" s="8" t="s">
        <v>509</v>
      </c>
    </row>
    <row r="4689" spans="2:2">
      <c r="B4689" s="10"/>
    </row>
    <row r="4690" spans="2:2">
      <c r="B4690" s="10"/>
    </row>
    <row r="4691" spans="2:2">
      <c r="B4691" s="10"/>
    </row>
    <row r="4692" spans="2:2">
      <c r="B4692" s="10"/>
    </row>
    <row r="4693" spans="2:2">
      <c r="B4693" s="10"/>
    </row>
    <row r="4694" spans="2:2">
      <c r="B4694" s="10"/>
    </row>
    <row r="4695" spans="2:2">
      <c r="B4695" s="10"/>
    </row>
    <row r="4696" spans="2:2">
      <c r="B4696" s="10"/>
    </row>
    <row r="4697" spans="2:2">
      <c r="B4697" s="10"/>
    </row>
    <row r="4698" spans="2:2">
      <c r="B4698" s="10"/>
    </row>
    <row r="4699" spans="2:2">
      <c r="B4699" s="10"/>
    </row>
    <row r="4700" spans="2:2">
      <c r="B4700" s="10"/>
    </row>
    <row r="4701" spans="2:2">
      <c r="B4701" s="10"/>
    </row>
    <row r="4702" spans="2:2">
      <c r="B4702" s="10"/>
    </row>
    <row r="4703" spans="2:2">
      <c r="B4703" s="10"/>
    </row>
    <row r="4704" spans="2:2">
      <c r="B4704" s="10"/>
    </row>
    <row r="4705" spans="2:2">
      <c r="B4705" s="10"/>
    </row>
    <row r="4706" spans="2:2">
      <c r="B4706" s="10"/>
    </row>
    <row r="4707" spans="2:2">
      <c r="B4707" s="10"/>
    </row>
    <row r="4708" spans="2:2">
      <c r="B4708" s="10"/>
    </row>
    <row r="4709" spans="2:2">
      <c r="B4709" s="10"/>
    </row>
    <row r="4710" spans="2:2">
      <c r="B4710" s="10"/>
    </row>
    <row r="4711" spans="2:2">
      <c r="B4711" s="10"/>
    </row>
    <row r="4712" spans="2:2">
      <c r="B4712" s="10"/>
    </row>
    <row r="4713" spans="2:2">
      <c r="B4713" s="10"/>
    </row>
    <row r="4714" spans="2:2">
      <c r="B4714" s="10"/>
    </row>
    <row r="4715" spans="2:2">
      <c r="B4715" s="10"/>
    </row>
    <row r="4716" spans="2:2">
      <c r="B4716" s="10"/>
    </row>
    <row r="4717" spans="2:2">
      <c r="B4717" s="10"/>
    </row>
    <row r="4718" spans="2:2">
      <c r="B4718" s="10"/>
    </row>
    <row r="4719" spans="2:2">
      <c r="B4719" s="10"/>
    </row>
    <row r="4720" spans="2:2">
      <c r="B4720" s="10"/>
    </row>
    <row r="4721" spans="2:2">
      <c r="B4721" s="10"/>
    </row>
    <row r="4722" spans="2:2">
      <c r="B4722" s="10"/>
    </row>
    <row r="4723" spans="2:2">
      <c r="B4723" s="10"/>
    </row>
    <row r="4724" spans="2:2">
      <c r="B4724" s="10"/>
    </row>
    <row r="4725" spans="2:2">
      <c r="B4725" s="10"/>
    </row>
    <row r="4726" spans="2:2">
      <c r="B4726" s="10"/>
    </row>
    <row r="4727" spans="2:2">
      <c r="B4727" s="10"/>
    </row>
    <row r="4728" spans="2:2">
      <c r="B4728" s="10"/>
    </row>
    <row r="4729" spans="2:2">
      <c r="B4729" s="10"/>
    </row>
    <row r="4730" spans="2:2">
      <c r="B4730" s="10"/>
    </row>
    <row r="4731" spans="2:2">
      <c r="B4731" s="10"/>
    </row>
    <row r="4732" spans="2:2">
      <c r="B4732" s="10"/>
    </row>
    <row r="4733" spans="2:2">
      <c r="B4733" s="10"/>
    </row>
    <row r="4734" spans="2:2">
      <c r="B4734" s="10"/>
    </row>
    <row r="4735" spans="2:2">
      <c r="B4735" s="10"/>
    </row>
    <row r="4736" spans="2:2">
      <c r="B4736" s="10"/>
    </row>
    <row r="4737" spans="2:2 1376:1451">
      <c r="B4737" s="10"/>
    </row>
    <row r="4738" spans="2:2 1376:1451">
      <c r="B4738" s="10"/>
    </row>
    <row r="4739" spans="2:2 1376:1451">
      <c r="B4739" s="10"/>
    </row>
    <row r="4740" spans="2:2 1376:1451">
      <c r="B4740" s="10"/>
    </row>
    <row r="4741" spans="2:2 1376:1451">
      <c r="B4741" s="10"/>
    </row>
    <row r="4742" spans="2:2 1376:1451">
      <c r="B4742" s="10"/>
    </row>
    <row r="4743" spans="2:2 1376:1451">
      <c r="B4743" s="10"/>
    </row>
    <row r="4744" spans="2:2 1376:1451">
      <c r="B4744" s="10"/>
    </row>
    <row r="4745" spans="2:2 1376:1451">
      <c r="B4745" s="10"/>
    </row>
    <row r="4746" spans="2:2 1376:1451">
      <c r="B4746" s="10"/>
    </row>
    <row r="4747" spans="2:2 1376:1451">
      <c r="B4747" s="10"/>
    </row>
    <row r="4748" spans="2:2 1376:1451">
      <c r="B4748" s="10"/>
    </row>
    <row r="4749" spans="2:2 1376:1451">
      <c r="B4749" s="10"/>
      <c r="AZX4749" s="8" t="s">
        <v>532</v>
      </c>
    </row>
    <row r="4750" spans="2:2 1376:1451">
      <c r="B4750" s="10"/>
      <c r="BCL4750" s="8" t="s">
        <v>533</v>
      </c>
    </row>
    <row r="4751" spans="2:2 1376:1451">
      <c r="B4751" s="10"/>
      <c r="BCU4751" s="8" t="s">
        <v>534</v>
      </c>
    </row>
    <row r="4752" spans="2:2 1376:1451">
      <c r="B4752" s="10"/>
    </row>
    <row r="4753" spans="2:2">
      <c r="B4753" s="10"/>
    </row>
    <row r="4754" spans="2:2">
      <c r="B4754" s="10"/>
    </row>
    <row r="4755" spans="2:2">
      <c r="B4755" s="10"/>
    </row>
    <row r="4756" spans="2:2">
      <c r="B4756" s="10"/>
    </row>
    <row r="4757" spans="2:2">
      <c r="B4757" s="10"/>
    </row>
    <row r="4758" spans="2:2">
      <c r="B4758" s="10"/>
    </row>
    <row r="4759" spans="2:2">
      <c r="B4759" s="10"/>
    </row>
    <row r="4760" spans="2:2">
      <c r="B4760" s="10"/>
    </row>
    <row r="4761" spans="2:2">
      <c r="B4761" s="10"/>
    </row>
    <row r="4762" spans="2:2">
      <c r="B4762" s="10"/>
    </row>
    <row r="4763" spans="2:2">
      <c r="B4763" s="10"/>
    </row>
    <row r="4764" spans="2:2">
      <c r="B4764" s="10"/>
    </row>
    <row r="4765" spans="2:2">
      <c r="B4765" s="10"/>
    </row>
    <row r="4766" spans="2:2">
      <c r="B4766" s="10"/>
    </row>
    <row r="4767" spans="2:2">
      <c r="B4767" s="10"/>
    </row>
    <row r="4768" spans="2:2">
      <c r="B4768" s="10"/>
    </row>
    <row r="4769" spans="2:2">
      <c r="B4769" s="10"/>
    </row>
    <row r="4770" spans="2:2">
      <c r="B4770" s="10"/>
    </row>
    <row r="4771" spans="2:2">
      <c r="B4771" s="10"/>
    </row>
    <row r="4772" spans="2:2">
      <c r="B4772" s="10"/>
    </row>
    <row r="4773" spans="2:2">
      <c r="B4773" s="10"/>
    </row>
    <row r="4774" spans="2:2">
      <c r="B4774" s="10"/>
    </row>
    <row r="4775" spans="2:2">
      <c r="B4775" s="10"/>
    </row>
    <row r="4776" spans="2:2">
      <c r="B4776" s="10"/>
    </row>
    <row r="4777" spans="2:2">
      <c r="B4777" s="10"/>
    </row>
    <row r="4778" spans="2:2">
      <c r="B4778" s="10"/>
    </row>
    <row r="4779" spans="2:2">
      <c r="B4779" s="10"/>
    </row>
    <row r="4780" spans="2:2">
      <c r="B4780" s="10"/>
    </row>
    <row r="4781" spans="2:2">
      <c r="B4781" s="10"/>
    </row>
    <row r="4782" spans="2:2">
      <c r="B4782" s="10"/>
    </row>
    <row r="4783" spans="2:2">
      <c r="B4783" s="10"/>
    </row>
    <row r="4784" spans="2:2">
      <c r="B4784" s="10"/>
    </row>
    <row r="4785" spans="2:2 1445:1493">
      <c r="B4785" s="10"/>
    </row>
    <row r="4786" spans="2:2 1445:1493">
      <c r="B4786" s="10"/>
    </row>
    <row r="4787" spans="2:2 1445:1493">
      <c r="B4787" s="10"/>
    </row>
    <row r="4788" spans="2:2 1445:1493">
      <c r="B4788" s="10"/>
    </row>
    <row r="4789" spans="2:2 1445:1493">
      <c r="B4789" s="10"/>
    </row>
    <row r="4790" spans="2:2 1445:1493">
      <c r="B4790" s="10"/>
    </row>
    <row r="4791" spans="2:2 1445:1493">
      <c r="B4791" s="10"/>
    </row>
    <row r="4792" spans="2:2 1445:1493">
      <c r="B4792" s="10"/>
    </row>
    <row r="4793" spans="2:2 1445:1493">
      <c r="B4793" s="10"/>
    </row>
    <row r="4794" spans="2:2 1445:1493">
      <c r="B4794" s="10"/>
    </row>
    <row r="4795" spans="2:2 1445:1493">
      <c r="B4795" s="10"/>
    </row>
    <row r="4796" spans="2:2 1445:1493">
      <c r="B4796" s="10"/>
    </row>
    <row r="4797" spans="2:2 1445:1493">
      <c r="B4797" s="10"/>
      <c r="BCO4797" s="8" t="s">
        <v>556</v>
      </c>
    </row>
    <row r="4798" spans="2:2 1445:1493">
      <c r="B4798" s="10"/>
      <c r="BDG4798" s="8" t="s">
        <v>557</v>
      </c>
    </row>
    <row r="4799" spans="2:2 1445:1493">
      <c r="B4799" s="10"/>
      <c r="BDV4799" s="8" t="s">
        <v>558</v>
      </c>
    </row>
    <row r="4800" spans="2:2 1445:1493">
      <c r="B4800" s="10"/>
      <c r="BEK4800" s="8" t="s">
        <v>559</v>
      </c>
    </row>
    <row r="4801" spans="2:2 1508:1977">
      <c r="B4801" s="10"/>
      <c r="BEZ4801" s="8" t="s">
        <v>560</v>
      </c>
    </row>
    <row r="4802" spans="2:2 1508:1977">
      <c r="B4802" s="10"/>
      <c r="BFO4802" s="8" t="s">
        <v>561</v>
      </c>
    </row>
    <row r="4803" spans="2:2 1508:1977">
      <c r="B4803" s="10"/>
      <c r="BGJ4803" s="8" t="s">
        <v>562</v>
      </c>
    </row>
    <row r="4804" spans="2:2 1508:1977">
      <c r="B4804" s="10"/>
      <c r="BHH4804" s="8" t="s">
        <v>563</v>
      </c>
    </row>
    <row r="4805" spans="2:2 1508:1977">
      <c r="B4805" s="10"/>
      <c r="BIF4805" s="8" t="s">
        <v>564</v>
      </c>
    </row>
    <row r="4806" spans="2:2 1508:1977">
      <c r="B4806" s="10"/>
      <c r="BJD4806" s="8" t="s">
        <v>565</v>
      </c>
    </row>
    <row r="4807" spans="2:2 1508:1977">
      <c r="B4807" s="10"/>
      <c r="BOC4807" s="8" t="s">
        <v>566</v>
      </c>
    </row>
    <row r="4808" spans="2:2 1508:1977">
      <c r="B4808" s="10"/>
      <c r="BPP4808" s="8" t="s">
        <v>567</v>
      </c>
    </row>
    <row r="4809" spans="2:2 1508:1977">
      <c r="B4809" s="10"/>
      <c r="BQN4809" s="8" t="s">
        <v>568</v>
      </c>
    </row>
    <row r="4810" spans="2:2 1508:1977">
      <c r="B4810" s="10"/>
      <c r="BXA4810" s="8" t="s">
        <v>569</v>
      </c>
    </row>
    <row r="4811" spans="2:2 1508:1977">
      <c r="B4811" s="10"/>
    </row>
    <row r="4812" spans="2:2 1508:1977">
      <c r="B4812" s="10"/>
    </row>
    <row r="4813" spans="2:2 1508:1977">
      <c r="B4813" s="10"/>
    </row>
    <row r="4814" spans="2:2 1508:1977">
      <c r="B4814" s="10"/>
    </row>
    <row r="4815" spans="2:2 1508:1977">
      <c r="B4815" s="10"/>
    </row>
    <row r="4816" spans="2:2 1508:1977">
      <c r="B4816" s="10"/>
    </row>
    <row r="4817" spans="2:2">
      <c r="B4817" s="10"/>
    </row>
    <row r="4818" spans="2:2">
      <c r="B4818" s="10"/>
    </row>
    <row r="4819" spans="2:2">
      <c r="B4819" s="10"/>
    </row>
    <row r="4820" spans="2:2">
      <c r="B4820" s="10"/>
    </row>
    <row r="4821" spans="2:2">
      <c r="B4821" s="10"/>
    </row>
    <row r="4822" spans="2:2">
      <c r="B4822" s="10"/>
    </row>
    <row r="4823" spans="2:2">
      <c r="B4823" s="10"/>
    </row>
    <row r="4824" spans="2:2">
      <c r="B4824" s="10"/>
    </row>
    <row r="4825" spans="2:2">
      <c r="B4825" s="10"/>
    </row>
    <row r="4826" spans="2:2">
      <c r="B4826" s="10"/>
    </row>
    <row r="4827" spans="2:2">
      <c r="B4827" s="10"/>
    </row>
    <row r="4828" spans="2:2">
      <c r="B4828" s="10"/>
    </row>
    <row r="4829" spans="2:2">
      <c r="B4829" s="10"/>
    </row>
    <row r="4830" spans="2:2">
      <c r="B4830" s="10"/>
    </row>
    <row r="4831" spans="2:2">
      <c r="B4831" s="10"/>
    </row>
    <row r="4832" spans="2:2">
      <c r="B4832" s="10"/>
    </row>
    <row r="4833" spans="2:2">
      <c r="B4833" s="10"/>
    </row>
    <row r="4834" spans="2:2">
      <c r="B4834" s="10"/>
    </row>
    <row r="4835" spans="2:2">
      <c r="B4835" s="10"/>
    </row>
    <row r="4836" spans="2:2">
      <c r="B4836" s="10"/>
    </row>
    <row r="4837" spans="2:2">
      <c r="B4837" s="10"/>
    </row>
    <row r="4838" spans="2:2">
      <c r="B4838" s="10"/>
    </row>
    <row r="4839" spans="2:2">
      <c r="B4839" s="10"/>
    </row>
    <row r="4840" spans="2:2">
      <c r="B4840" s="10"/>
    </row>
    <row r="4841" spans="2:2">
      <c r="B4841" s="10"/>
    </row>
    <row r="4842" spans="2:2">
      <c r="B4842" s="10"/>
    </row>
    <row r="4843" spans="2:2">
      <c r="B4843" s="10"/>
    </row>
    <row r="4844" spans="2:2">
      <c r="B4844" s="10"/>
    </row>
    <row r="4845" spans="2:2">
      <c r="B4845" s="10"/>
    </row>
    <row r="4846" spans="2:2">
      <c r="B4846" s="10"/>
    </row>
    <row r="4847" spans="2:2">
      <c r="B4847" s="10"/>
    </row>
    <row r="4848" spans="2:2">
      <c r="B4848" s="10"/>
    </row>
    <row r="4849" spans="2:2">
      <c r="B4849" s="10"/>
    </row>
    <row r="4850" spans="2:2">
      <c r="B4850" s="10"/>
    </row>
    <row r="4851" spans="2:2">
      <c r="B4851" s="10"/>
    </row>
    <row r="4852" spans="2:2">
      <c r="B4852" s="10"/>
    </row>
    <row r="4853" spans="2:2">
      <c r="B4853" s="10"/>
    </row>
    <row r="4854" spans="2:2">
      <c r="B4854" s="10"/>
    </row>
    <row r="4855" spans="2:2">
      <c r="B4855" s="10"/>
    </row>
    <row r="4856" spans="2:2">
      <c r="B4856" s="10"/>
    </row>
    <row r="4857" spans="2:2">
      <c r="B4857" s="10"/>
    </row>
    <row r="4858" spans="2:2">
      <c r="B4858" s="10"/>
    </row>
    <row r="4859" spans="2:2">
      <c r="B4859" s="10"/>
    </row>
    <row r="4860" spans="2:2">
      <c r="B4860" s="10"/>
    </row>
    <row r="4861" spans="2:2">
      <c r="B4861" s="10"/>
    </row>
    <row r="4862" spans="2:2">
      <c r="B4862" s="10"/>
    </row>
    <row r="4863" spans="2:2">
      <c r="B4863" s="10"/>
    </row>
    <row r="4864" spans="2:2">
      <c r="B4864" s="10"/>
    </row>
    <row r="4865" spans="2:2 1358:1673">
      <c r="B4865" s="10"/>
    </row>
    <row r="4866" spans="2:2 1358:1673">
      <c r="B4866" s="10"/>
    </row>
    <row r="4867" spans="2:2 1358:1673">
      <c r="B4867" s="10"/>
    </row>
    <row r="4868" spans="2:2 1358:1673">
      <c r="B4868" s="10"/>
    </row>
    <row r="4869" spans="2:2 1358:1673">
      <c r="B4869" s="10"/>
    </row>
    <row r="4870" spans="2:2 1358:1673">
      <c r="B4870" s="10"/>
      <c r="AZF4870" s="8" t="s">
        <v>600</v>
      </c>
    </row>
    <row r="4871" spans="2:2 1358:1673">
      <c r="B4871" s="10"/>
      <c r="AZX4871" s="8" t="s">
        <v>601</v>
      </c>
    </row>
    <row r="4872" spans="2:2 1358:1673">
      <c r="B4872" s="10"/>
      <c r="BAV4872" s="8" t="s">
        <v>602</v>
      </c>
    </row>
    <row r="4873" spans="2:2 1358:1673">
      <c r="B4873" s="10"/>
      <c r="BAV4873" s="8" t="s">
        <v>603</v>
      </c>
    </row>
    <row r="4874" spans="2:2 1358:1673">
      <c r="B4874" s="10"/>
      <c r="BBJ4874" s="8" t="s">
        <v>604</v>
      </c>
    </row>
    <row r="4875" spans="2:2 1358:1673">
      <c r="B4875" s="10"/>
      <c r="BCR4875" s="8" t="s">
        <v>605</v>
      </c>
    </row>
    <row r="4876" spans="2:2 1358:1673">
      <c r="B4876" s="10"/>
      <c r="BGL4876" s="8" t="s">
        <v>606</v>
      </c>
    </row>
    <row r="4877" spans="2:2 1358:1673">
      <c r="B4877" s="10"/>
      <c r="BIF4877" s="8" t="s">
        <v>607</v>
      </c>
    </row>
    <row r="4878" spans="2:2 1358:1673">
      <c r="B4878" s="10"/>
      <c r="BJD4878" s="8" t="s">
        <v>608</v>
      </c>
    </row>
    <row r="4879" spans="2:2 1358:1673">
      <c r="B4879" s="10"/>
      <c r="BKB4879" s="8" t="s">
        <v>609</v>
      </c>
    </row>
    <row r="4880" spans="2:2 1358:1673">
      <c r="B4880" s="10"/>
      <c r="BLI4880" s="8" t="s">
        <v>610</v>
      </c>
    </row>
    <row r="4881" spans="2:2 1691:2046 2055:2120">
      <c r="B4881" s="10"/>
      <c r="BMA4881" s="8" t="s">
        <v>611</v>
      </c>
    </row>
    <row r="4882" spans="2:2 1691:2046 2055:2120">
      <c r="B4882" s="10"/>
      <c r="BNB4882" s="8" t="s">
        <v>612</v>
      </c>
    </row>
    <row r="4883" spans="2:2 1691:2046 2055:2120">
      <c r="B4883" s="10"/>
      <c r="BNT4883" s="8" t="s">
        <v>613</v>
      </c>
    </row>
    <row r="4884" spans="2:2 1691:2046 2055:2120">
      <c r="B4884" s="10"/>
      <c r="BPP4884" s="8" t="s">
        <v>614</v>
      </c>
    </row>
    <row r="4885" spans="2:2 1691:2046 2055:2120">
      <c r="B4885" s="10"/>
      <c r="BUG4885" s="8" t="s">
        <v>615</v>
      </c>
    </row>
    <row r="4886" spans="2:2 1691:2046 2055:2120">
      <c r="B4886" s="10"/>
      <c r="BZR4886" s="8" t="s">
        <v>616</v>
      </c>
    </row>
    <row r="4887" spans="2:2 1691:2046 2055:2120">
      <c r="B4887" s="10"/>
      <c r="CAA4887" s="8" t="s">
        <v>617</v>
      </c>
    </row>
    <row r="4888" spans="2:2 1691:2046 2055:2120">
      <c r="B4888" s="10"/>
      <c r="CBP4888" s="8" t="s">
        <v>618</v>
      </c>
    </row>
    <row r="4889" spans="2:2 1691:2046 2055:2120">
      <c r="B4889" s="10"/>
      <c r="CCN4889" s="8" t="s">
        <v>619</v>
      </c>
    </row>
    <row r="4890" spans="2:2 1691:2046 2055:2120">
      <c r="B4890" s="10"/>
    </row>
    <row r="4891" spans="2:2 1691:2046 2055:2120">
      <c r="B4891" s="10"/>
    </row>
    <row r="4892" spans="2:2 1691:2046 2055:2120">
      <c r="B4892" s="10"/>
    </row>
    <row r="4893" spans="2:2 1691:2046 2055:2120">
      <c r="B4893" s="10"/>
    </row>
    <row r="4894" spans="2:2 1691:2046 2055:2120">
      <c r="B4894" s="10"/>
    </row>
    <row r="4895" spans="2:2 1691:2046 2055:2120">
      <c r="B4895" s="10"/>
    </row>
    <row r="4896" spans="2:2 1691:2046 2055:2120">
      <c r="B4896" s="10"/>
    </row>
    <row r="4897" spans="2:2">
      <c r="B4897" s="10"/>
    </row>
    <row r="4898" spans="2:2">
      <c r="B4898" s="10"/>
    </row>
    <row r="4899" spans="2:2">
      <c r="B4899" s="10"/>
    </row>
    <row r="4900" spans="2:2">
      <c r="B4900" s="10"/>
    </row>
    <row r="4901" spans="2:2">
      <c r="B4901" s="10"/>
    </row>
    <row r="4902" spans="2:2">
      <c r="B4902" s="10"/>
    </row>
    <row r="4903" spans="2:2">
      <c r="B4903" s="10"/>
    </row>
    <row r="4904" spans="2:2">
      <c r="B4904" s="10"/>
    </row>
    <row r="4905" spans="2:2">
      <c r="B4905" s="10"/>
    </row>
    <row r="4906" spans="2:2">
      <c r="B4906" s="10"/>
    </row>
    <row r="4907" spans="2:2">
      <c r="B4907" s="10"/>
    </row>
    <row r="4908" spans="2:2">
      <c r="B4908" s="10"/>
    </row>
    <row r="4909" spans="2:2">
      <c r="B4909" s="10"/>
    </row>
    <row r="4910" spans="2:2">
      <c r="B4910" s="10"/>
    </row>
    <row r="4911" spans="2:2">
      <c r="B4911" s="10"/>
    </row>
    <row r="4912" spans="2:2">
      <c r="B4912" s="10"/>
    </row>
    <row r="4913" spans="2:2">
      <c r="B4913" s="10"/>
    </row>
    <row r="4914" spans="2:2">
      <c r="B4914" s="10"/>
    </row>
    <row r="4915" spans="2:2">
      <c r="B4915" s="10"/>
    </row>
    <row r="4916" spans="2:2">
      <c r="B4916" s="10"/>
    </row>
    <row r="4917" spans="2:2">
      <c r="B4917" s="10"/>
    </row>
    <row r="4918" spans="2:2">
      <c r="B4918" s="10"/>
    </row>
    <row r="4919" spans="2:2">
      <c r="B4919" s="10"/>
    </row>
    <row r="4920" spans="2:2">
      <c r="B4920" s="10"/>
    </row>
    <row r="4921" spans="2:2">
      <c r="B4921" s="10"/>
    </row>
    <row r="4922" spans="2:2">
      <c r="B4922" s="10"/>
    </row>
    <row r="4923" spans="2:2">
      <c r="B4923" s="10"/>
    </row>
    <row r="4924" spans="2:2">
      <c r="B4924" s="10"/>
    </row>
    <row r="4925" spans="2:2">
      <c r="B4925" s="10"/>
    </row>
    <row r="4926" spans="2:2">
      <c r="B4926" s="10"/>
    </row>
    <row r="4927" spans="2:2">
      <c r="B4927" s="10"/>
    </row>
    <row r="4928" spans="2:2">
      <c r="B4928" s="10"/>
    </row>
    <row r="4929" spans="2:2">
      <c r="B4929" s="10"/>
    </row>
    <row r="4930" spans="2:2">
      <c r="B4930" s="10"/>
    </row>
    <row r="4931" spans="2:2">
      <c r="B4931" s="10"/>
    </row>
    <row r="4932" spans="2:2">
      <c r="B4932" s="10"/>
    </row>
    <row r="4933" spans="2:2">
      <c r="B4933" s="10"/>
    </row>
    <row r="4934" spans="2:2">
      <c r="B4934" s="10"/>
    </row>
    <row r="4935" spans="2:2">
      <c r="B4935" s="10"/>
    </row>
    <row r="4936" spans="2:2">
      <c r="B4936" s="10"/>
    </row>
    <row r="4937" spans="2:2">
      <c r="B4937" s="10"/>
    </row>
    <row r="4938" spans="2:2">
      <c r="B4938" s="10"/>
    </row>
    <row r="4939" spans="2:2">
      <c r="B4939" s="10"/>
    </row>
    <row r="4940" spans="2:2">
      <c r="B4940" s="10"/>
    </row>
    <row r="4941" spans="2:2">
      <c r="B4941" s="10"/>
    </row>
    <row r="4942" spans="2:2">
      <c r="B4942" s="10"/>
    </row>
    <row r="4943" spans="2:2">
      <c r="B4943" s="10"/>
    </row>
    <row r="4944" spans="2:2">
      <c r="B4944" s="10"/>
    </row>
    <row r="4945" spans="2:2">
      <c r="B4945" s="10"/>
    </row>
    <row r="4946" spans="2:2">
      <c r="B4946" s="10"/>
    </row>
    <row r="4947" spans="2:2">
      <c r="B4947" s="10"/>
    </row>
    <row r="4948" spans="2:2">
      <c r="B4948" s="10"/>
    </row>
    <row r="4949" spans="2:2">
      <c r="B4949" s="10"/>
    </row>
    <row r="4950" spans="2:2">
      <c r="B4950" s="10"/>
    </row>
    <row r="4951" spans="2:2">
      <c r="B4951" s="10"/>
    </row>
    <row r="4952" spans="2:2">
      <c r="B4952" s="10"/>
    </row>
    <row r="4953" spans="2:2">
      <c r="B4953" s="10"/>
    </row>
    <row r="4954" spans="2:2">
      <c r="B4954" s="10"/>
    </row>
    <row r="4955" spans="2:2">
      <c r="B4955" s="10"/>
    </row>
    <row r="4956" spans="2:2">
      <c r="B4956" s="10"/>
    </row>
    <row r="4957" spans="2:2">
      <c r="B4957" s="10"/>
    </row>
    <row r="4958" spans="2:2">
      <c r="B4958" s="10"/>
    </row>
    <row r="4959" spans="2:2">
      <c r="B4959" s="10"/>
    </row>
    <row r="4960" spans="2:2">
      <c r="B4960" s="10"/>
    </row>
    <row r="4961" spans="2:2 1361:1376">
      <c r="B4961" s="10"/>
    </row>
    <row r="4962" spans="2:2 1361:1376">
      <c r="B4962" s="10"/>
    </row>
    <row r="4963" spans="2:2 1361:1376">
      <c r="B4963" s="10"/>
    </row>
    <row r="4964" spans="2:2 1361:1376">
      <c r="B4964" s="10"/>
    </row>
    <row r="4965" spans="2:2 1361:1376">
      <c r="B4965" s="10"/>
    </row>
    <row r="4966" spans="2:2 1361:1376">
      <c r="B4966" s="10"/>
    </row>
    <row r="4967" spans="2:2 1361:1376">
      <c r="B4967" s="10"/>
    </row>
    <row r="4968" spans="2:2 1361:1376">
      <c r="B4968" s="10"/>
    </row>
    <row r="4969" spans="2:2 1361:1376">
      <c r="B4969" s="10"/>
    </row>
    <row r="4970" spans="2:2 1361:1376">
      <c r="B4970" s="10"/>
    </row>
    <row r="4971" spans="2:2 1361:1376">
      <c r="B4971" s="10"/>
    </row>
    <row r="4972" spans="2:2 1361:1376">
      <c r="B4972" s="10"/>
    </row>
    <row r="4973" spans="2:2 1361:1376">
      <c r="B4973" s="10"/>
    </row>
    <row r="4974" spans="2:2 1361:1376">
      <c r="B4974" s="10"/>
    </row>
    <row r="4975" spans="2:2 1361:1376">
      <c r="B4975" s="10"/>
      <c r="AZI4975" s="8" t="s">
        <v>643</v>
      </c>
    </row>
    <row r="4976" spans="2:2 1361:1376">
      <c r="B4976" s="10"/>
      <c r="AZX4976" s="8" t="s">
        <v>644</v>
      </c>
    </row>
    <row r="4977" spans="2:2 1472:1904">
      <c r="B4977" s="10"/>
      <c r="BDP4977" s="8" t="s">
        <v>645</v>
      </c>
    </row>
    <row r="4978" spans="2:2 1472:1904">
      <c r="B4978" s="10"/>
      <c r="BFL4978" s="8" t="s">
        <v>646</v>
      </c>
    </row>
    <row r="4979" spans="2:2 1472:1904">
      <c r="B4979" s="10"/>
      <c r="BGL4979" s="8" t="s">
        <v>647</v>
      </c>
    </row>
    <row r="4980" spans="2:2 1472:1904">
      <c r="B4980" s="10"/>
      <c r="BLX4980" s="8" t="s">
        <v>648</v>
      </c>
    </row>
    <row r="4981" spans="2:2 1472:1904">
      <c r="B4981" s="10"/>
      <c r="BMO4981" s="8" t="s">
        <v>649</v>
      </c>
    </row>
    <row r="4982" spans="2:2 1472:1904">
      <c r="B4982" s="10"/>
      <c r="BUF4982" s="8" t="s">
        <v>650</v>
      </c>
    </row>
    <row r="4983" spans="2:2 1472:1904">
      <c r="B4983" s="10"/>
    </row>
    <row r="4984" spans="2:2 1472:1904">
      <c r="B4984" s="10"/>
    </row>
    <row r="4985" spans="2:2 1472:1904">
      <c r="B4985" s="10"/>
    </row>
    <row r="4986" spans="2:2 1472:1904">
      <c r="B4986" s="10"/>
    </row>
    <row r="4987" spans="2:2 1472:1904">
      <c r="B4987" s="10"/>
    </row>
    <row r="4988" spans="2:2 1472:1904">
      <c r="B4988" s="10"/>
    </row>
    <row r="4989" spans="2:2 1472:1904">
      <c r="B4989" s="10"/>
    </row>
    <row r="4990" spans="2:2 1472:1904">
      <c r="B4990" s="10"/>
    </row>
    <row r="4991" spans="2:2 1472:1904">
      <c r="B4991" s="10"/>
    </row>
    <row r="4992" spans="2:2 1472:1904">
      <c r="B4992" s="10"/>
    </row>
    <row r="4993" spans="2:2">
      <c r="B4993" s="10"/>
    </row>
    <row r="4994" spans="2:2">
      <c r="B4994" s="10"/>
    </row>
    <row r="4995" spans="2:2">
      <c r="B4995" s="10"/>
    </row>
    <row r="4996" spans="2:2">
      <c r="B4996" s="10"/>
    </row>
    <row r="4997" spans="2:2">
      <c r="B4997" s="10"/>
    </row>
    <row r="4998" spans="2:2">
      <c r="B4998" s="10"/>
    </row>
    <row r="4999" spans="2:2">
      <c r="B4999" s="10"/>
    </row>
    <row r="5000" spans="2:2">
      <c r="B5000" s="10"/>
    </row>
    <row r="5001" spans="2:2">
      <c r="B5001" s="10"/>
    </row>
    <row r="5002" spans="2:2">
      <c r="B5002" s="10"/>
    </row>
    <row r="5003" spans="2:2">
      <c r="B5003" s="10"/>
    </row>
    <row r="5004" spans="2:2">
      <c r="B5004" s="10"/>
    </row>
    <row r="5005" spans="2:2">
      <c r="B5005" s="10"/>
    </row>
    <row r="5006" spans="2:2">
      <c r="B5006" s="10"/>
    </row>
    <row r="5007" spans="2:2">
      <c r="B5007" s="10"/>
    </row>
    <row r="5008" spans="2:2">
      <c r="B5008" s="10"/>
    </row>
    <row r="5009" spans="2:2">
      <c r="B5009" s="10"/>
    </row>
    <row r="5010" spans="2:2">
      <c r="B5010" s="10"/>
    </row>
    <row r="5011" spans="2:2">
      <c r="B5011" s="10"/>
    </row>
    <row r="5012" spans="2:2">
      <c r="B5012" s="10"/>
    </row>
    <row r="5013" spans="2:2">
      <c r="B5013" s="10"/>
    </row>
    <row r="5014" spans="2:2">
      <c r="B5014" s="10"/>
    </row>
    <row r="5015" spans="2:2">
      <c r="B5015" s="10"/>
    </row>
    <row r="5016" spans="2:2">
      <c r="B5016" s="10"/>
    </row>
    <row r="5017" spans="2:2">
      <c r="B5017" s="10"/>
    </row>
    <row r="5018" spans="2:2">
      <c r="B5018" s="10"/>
    </row>
    <row r="5019" spans="2:2">
      <c r="B5019" s="10"/>
    </row>
    <row r="5020" spans="2:2">
      <c r="B5020" s="10"/>
    </row>
    <row r="5021" spans="2:2">
      <c r="B5021" s="10"/>
    </row>
    <row r="5022" spans="2:2">
      <c r="B5022" s="10"/>
    </row>
    <row r="5023" spans="2:2">
      <c r="B5023" s="10"/>
    </row>
    <row r="5024" spans="2:2">
      <c r="B5024" s="10"/>
    </row>
    <row r="5025" spans="2:2">
      <c r="B5025" s="10"/>
    </row>
    <row r="5026" spans="2:2">
      <c r="B5026" s="10"/>
    </row>
    <row r="5027" spans="2:2">
      <c r="B5027" s="10"/>
    </row>
    <row r="5028" spans="2:2">
      <c r="B5028" s="10"/>
    </row>
    <row r="5029" spans="2:2">
      <c r="B5029" s="10"/>
    </row>
    <row r="5030" spans="2:2">
      <c r="B5030" s="10"/>
    </row>
    <row r="5031" spans="2:2">
      <c r="B5031" s="10"/>
    </row>
    <row r="5032" spans="2:2">
      <c r="B5032" s="10"/>
    </row>
    <row r="5033" spans="2:2">
      <c r="B5033" s="10"/>
    </row>
    <row r="5034" spans="2:2">
      <c r="B5034" s="10"/>
    </row>
    <row r="5035" spans="2:2">
      <c r="B5035" s="10"/>
    </row>
    <row r="5036" spans="2:2">
      <c r="B5036" s="10"/>
    </row>
    <row r="5037" spans="2:2">
      <c r="B5037" s="10"/>
    </row>
    <row r="5038" spans="2:2">
      <c r="B5038" s="10"/>
    </row>
    <row r="5039" spans="2:2">
      <c r="B5039" s="10"/>
    </row>
    <row r="5040" spans="2:2">
      <c r="B5040" s="10"/>
    </row>
    <row r="5041" spans="2:2">
      <c r="B5041" s="10"/>
    </row>
    <row r="5042" spans="2:2">
      <c r="B5042" s="10"/>
    </row>
    <row r="5043" spans="2:2">
      <c r="B5043" s="10"/>
    </row>
    <row r="5044" spans="2:2">
      <c r="B5044" s="10"/>
    </row>
    <row r="5045" spans="2:2">
      <c r="B5045" s="10"/>
    </row>
    <row r="5046" spans="2:2">
      <c r="B5046" s="10"/>
    </row>
    <row r="5047" spans="2:2">
      <c r="B5047" s="10"/>
    </row>
    <row r="5048" spans="2:2">
      <c r="B5048" s="10"/>
    </row>
    <row r="5049" spans="2:2">
      <c r="B5049" s="10"/>
    </row>
    <row r="5050" spans="2:2">
      <c r="B5050" s="10"/>
    </row>
    <row r="5051" spans="2:2">
      <c r="B5051" s="10"/>
    </row>
    <row r="5052" spans="2:2">
      <c r="B5052" s="10"/>
    </row>
    <row r="5053" spans="2:2">
      <c r="B5053" s="10"/>
    </row>
    <row r="5054" spans="2:2">
      <c r="B5054" s="10"/>
    </row>
    <row r="5055" spans="2:2">
      <c r="B5055" s="10"/>
    </row>
    <row r="5056" spans="2:2">
      <c r="B5056" s="10"/>
    </row>
    <row r="5057" spans="2:2">
      <c r="B5057" s="10"/>
    </row>
    <row r="5058" spans="2:2">
      <c r="B5058" s="10"/>
    </row>
    <row r="5059" spans="2:2">
      <c r="B5059" s="10"/>
    </row>
    <row r="5060" spans="2:2">
      <c r="B5060" s="10"/>
    </row>
    <row r="5061" spans="2:2">
      <c r="B5061" s="10"/>
    </row>
    <row r="5062" spans="2:2">
      <c r="B5062" s="10"/>
    </row>
    <row r="5063" spans="2:2">
      <c r="B5063" s="10"/>
    </row>
    <row r="5064" spans="2:2">
      <c r="B5064" s="10"/>
    </row>
    <row r="5065" spans="2:2">
      <c r="B5065" s="10"/>
    </row>
    <row r="5066" spans="2:2">
      <c r="B5066" s="10"/>
    </row>
    <row r="5067" spans="2:2">
      <c r="B5067" s="10"/>
    </row>
    <row r="5068" spans="2:2">
      <c r="B5068" s="10"/>
    </row>
    <row r="5069" spans="2:2">
      <c r="B5069" s="10"/>
    </row>
    <row r="5070" spans="2:2">
      <c r="B5070" s="10"/>
    </row>
    <row r="5071" spans="2:2">
      <c r="B5071" s="10"/>
    </row>
    <row r="5072" spans="2:2">
      <c r="B5072" s="10"/>
    </row>
    <row r="5073" spans="2:2 1400:1784">
      <c r="B5073" s="10"/>
    </row>
    <row r="5074" spans="2:2 1400:1784">
      <c r="B5074" s="10"/>
    </row>
    <row r="5075" spans="2:2 1400:1784">
      <c r="B5075" s="10"/>
    </row>
    <row r="5076" spans="2:2 1400:1784">
      <c r="B5076" s="10"/>
    </row>
    <row r="5077" spans="2:2 1400:1784">
      <c r="B5077" s="10"/>
    </row>
    <row r="5078" spans="2:2 1400:1784">
      <c r="B5078" s="10"/>
    </row>
    <row r="5079" spans="2:2 1400:1784">
      <c r="B5079" s="10"/>
    </row>
    <row r="5080" spans="2:2 1400:1784">
      <c r="B5080" s="10"/>
    </row>
    <row r="5081" spans="2:2 1400:1784">
      <c r="B5081" s="10"/>
    </row>
    <row r="5082" spans="2:2 1400:1784">
      <c r="B5082" s="10"/>
    </row>
    <row r="5083" spans="2:2 1400:1784">
      <c r="B5083" s="10"/>
    </row>
    <row r="5084" spans="2:2 1400:1784">
      <c r="B5084" s="10"/>
      <c r="BAV5084" s="8" t="s">
        <v>808</v>
      </c>
    </row>
    <row r="5085" spans="2:2 1400:1784">
      <c r="B5085" s="10"/>
      <c r="BPH5085" s="8" t="s">
        <v>668</v>
      </c>
    </row>
    <row r="5086" spans="2:2 1400:1784">
      <c r="B5086" s="10"/>
      <c r="BPP5086" s="8" t="s">
        <v>669</v>
      </c>
    </row>
    <row r="5087" spans="2:2 1400:1784">
      <c r="B5087" s="10"/>
    </row>
    <row r="5088" spans="2:2 1400:1784">
      <c r="B5088" s="10"/>
    </row>
    <row r="5089" spans="2:2">
      <c r="B5089" s="10"/>
    </row>
    <row r="5090" spans="2:2">
      <c r="B5090" s="10"/>
    </row>
    <row r="5091" spans="2:2">
      <c r="B5091" s="10"/>
    </row>
    <row r="5092" spans="2:2">
      <c r="B5092" s="10"/>
    </row>
    <row r="5093" spans="2:2">
      <c r="B5093" s="10"/>
    </row>
    <row r="5094" spans="2:2">
      <c r="B5094" s="10"/>
    </row>
    <row r="5095" spans="2:2">
      <c r="B5095" s="10"/>
    </row>
    <row r="5096" spans="2:2">
      <c r="B5096" s="10"/>
    </row>
    <row r="5097" spans="2:2">
      <c r="B5097" s="10"/>
    </row>
    <row r="5098" spans="2:2">
      <c r="B5098" s="10"/>
    </row>
    <row r="5099" spans="2:2">
      <c r="B5099" s="10"/>
    </row>
    <row r="5100" spans="2:2">
      <c r="B5100" s="10"/>
    </row>
    <row r="5101" spans="2:2">
      <c r="B5101" s="10"/>
    </row>
    <row r="5102" spans="2:2">
      <c r="B5102" s="10"/>
    </row>
    <row r="5103" spans="2:2">
      <c r="B5103" s="10"/>
    </row>
    <row r="5104" spans="2:2">
      <c r="B5104" s="10"/>
    </row>
    <row r="5105" spans="2:2 1400:1664 2120:2120">
      <c r="B5105" s="10"/>
    </row>
    <row r="5106" spans="2:2 1400:1664 2120:2120">
      <c r="B5106" s="10"/>
    </row>
    <row r="5107" spans="2:2 1400:1664 2120:2120">
      <c r="B5107" s="10"/>
    </row>
    <row r="5108" spans="2:2 1400:1664 2120:2120">
      <c r="B5108" s="10"/>
    </row>
    <row r="5109" spans="2:2 1400:1664 2120:2120">
      <c r="B5109" s="10"/>
    </row>
    <row r="5110" spans="2:2 1400:1664 2120:2120">
      <c r="B5110" s="10"/>
    </row>
    <row r="5111" spans="2:2 1400:1664 2120:2120">
      <c r="B5111" s="10"/>
    </row>
    <row r="5112" spans="2:2 1400:1664 2120:2120">
      <c r="B5112" s="10"/>
    </row>
    <row r="5113" spans="2:2 1400:1664 2120:2120">
      <c r="B5113" s="10"/>
    </row>
    <row r="5114" spans="2:2 1400:1664 2120:2120">
      <c r="B5114" s="10"/>
    </row>
    <row r="5115" spans="2:2 1400:1664 2120:2120">
      <c r="B5115" s="10"/>
    </row>
    <row r="5116" spans="2:2 1400:1664 2120:2120">
      <c r="B5116" s="10"/>
      <c r="BAV5116" s="8" t="s">
        <v>675</v>
      </c>
    </row>
    <row r="5117" spans="2:2 1400:1664 2120:2120">
      <c r="B5117" s="10"/>
      <c r="BKZ5117" s="8" t="s">
        <v>676</v>
      </c>
    </row>
    <row r="5118" spans="2:2 1400:1664 2120:2120">
      <c r="B5118" s="10"/>
      <c r="CCN5118" s="8" t="s">
        <v>677</v>
      </c>
    </row>
    <row r="5119" spans="2:2 1400:1664 2120:2120">
      <c r="B5119" s="10"/>
    </row>
    <row r="5120" spans="2:2 1400:1664 2120:2120">
      <c r="B5120" s="10"/>
    </row>
    <row r="5121" spans="2:2">
      <c r="B5121" s="10"/>
    </row>
    <row r="5122" spans="2:2">
      <c r="B5122" s="10"/>
    </row>
    <row r="5123" spans="2:2">
      <c r="B5123" s="10"/>
    </row>
    <row r="5124" spans="2:2">
      <c r="B5124" s="10"/>
    </row>
    <row r="5125" spans="2:2">
      <c r="B5125" s="10"/>
    </row>
    <row r="5126" spans="2:2">
      <c r="B5126" s="10"/>
    </row>
    <row r="5127" spans="2:2">
      <c r="B5127" s="10"/>
    </row>
    <row r="5128" spans="2:2">
      <c r="B5128" s="10"/>
    </row>
    <row r="5129" spans="2:2">
      <c r="B5129" s="10"/>
    </row>
    <row r="5130" spans="2:2">
      <c r="B5130" s="10"/>
    </row>
    <row r="5131" spans="2:2">
      <c r="B5131" s="10"/>
    </row>
    <row r="5132" spans="2:2">
      <c r="B5132" s="10"/>
    </row>
    <row r="5133" spans="2:2">
      <c r="B5133" s="10"/>
    </row>
    <row r="5134" spans="2:2">
      <c r="B5134" s="10"/>
    </row>
    <row r="5135" spans="2:2">
      <c r="B5135" s="10"/>
    </row>
    <row r="5136" spans="2:2">
      <c r="B5136" s="10"/>
    </row>
    <row r="5137" spans="2:2">
      <c r="B5137" s="10"/>
    </row>
    <row r="5138" spans="2:2">
      <c r="B5138" s="10"/>
    </row>
    <row r="5139" spans="2:2">
      <c r="B5139" s="10"/>
    </row>
    <row r="5140" spans="2:2">
      <c r="B5140" s="10"/>
    </row>
    <row r="5141" spans="2:2">
      <c r="B5141" s="10"/>
    </row>
    <row r="5142" spans="2:2">
      <c r="B5142" s="10"/>
    </row>
    <row r="5143" spans="2:2">
      <c r="B5143" s="10"/>
    </row>
    <row r="5144" spans="2:2">
      <c r="B5144" s="10"/>
    </row>
    <row r="5145" spans="2:2">
      <c r="B5145" s="10"/>
    </row>
    <row r="5146" spans="2:2">
      <c r="B5146" s="10"/>
    </row>
    <row r="5147" spans="2:2">
      <c r="B5147" s="10"/>
    </row>
    <row r="5148" spans="2:2">
      <c r="B5148" s="10"/>
    </row>
    <row r="5149" spans="2:2">
      <c r="B5149" s="10"/>
    </row>
    <row r="5150" spans="2:2">
      <c r="B5150" s="10"/>
    </row>
    <row r="5151" spans="2:2">
      <c r="B5151" s="10"/>
    </row>
    <row r="5152" spans="2:2">
      <c r="B5152" s="10"/>
    </row>
    <row r="5153" spans="2:2 1784:1784">
      <c r="B5153" s="10"/>
    </row>
    <row r="5154" spans="2:2 1784:1784">
      <c r="B5154" s="10"/>
    </row>
    <row r="5155" spans="2:2 1784:1784">
      <c r="B5155" s="10"/>
    </row>
    <row r="5156" spans="2:2 1784:1784">
      <c r="B5156" s="10"/>
    </row>
    <row r="5157" spans="2:2 1784:1784">
      <c r="B5157" s="10"/>
    </row>
    <row r="5158" spans="2:2 1784:1784">
      <c r="B5158" s="10"/>
    </row>
    <row r="5159" spans="2:2 1784:1784">
      <c r="B5159" s="10"/>
    </row>
    <row r="5160" spans="2:2 1784:1784">
      <c r="B5160" s="10"/>
    </row>
    <row r="5161" spans="2:2 1784:1784">
      <c r="B5161" s="10"/>
    </row>
    <row r="5162" spans="2:2 1784:1784">
      <c r="B5162" s="10"/>
    </row>
    <row r="5163" spans="2:2 1784:1784">
      <c r="B5163" s="10"/>
    </row>
    <row r="5164" spans="2:2 1784:1784">
      <c r="B5164" s="10"/>
    </row>
    <row r="5165" spans="2:2 1784:1784">
      <c r="B5165" s="10"/>
    </row>
    <row r="5166" spans="2:2 1784:1784">
      <c r="B5166" s="10"/>
    </row>
    <row r="5167" spans="2:2 1784:1784">
      <c r="B5167" s="10"/>
    </row>
    <row r="5168" spans="2:2 1784:1784">
      <c r="B5168" s="10"/>
      <c r="BPP5168" s="8" t="s">
        <v>692</v>
      </c>
    </row>
    <row r="5169" spans="2:2 1904:1904">
      <c r="B5169" s="10"/>
      <c r="BUF5169" s="8" t="s">
        <v>693</v>
      </c>
    </row>
    <row r="5170" spans="2:2 1904:1904">
      <c r="B5170" s="10"/>
    </row>
    <row r="5171" spans="2:2 1904:1904">
      <c r="B5171" s="10"/>
    </row>
    <row r="5172" spans="2:2 1904:1904">
      <c r="B5172" s="10"/>
    </row>
    <row r="5173" spans="2:2 1904:1904">
      <c r="B5173" s="10"/>
    </row>
    <row r="5174" spans="2:2 1904:1904">
      <c r="B5174" s="10"/>
    </row>
    <row r="5175" spans="2:2 1904:1904">
      <c r="B5175" s="10"/>
    </row>
    <row r="5176" spans="2:2 1904:1904">
      <c r="B5176" s="10"/>
    </row>
    <row r="5177" spans="2:2 1904:1904">
      <c r="B5177" s="10"/>
    </row>
    <row r="5178" spans="2:2 1904:1904">
      <c r="B5178" s="10"/>
    </row>
    <row r="5179" spans="2:2 1904:1904">
      <c r="B5179" s="10"/>
    </row>
    <row r="5180" spans="2:2 1904:1904">
      <c r="B5180" s="10"/>
    </row>
    <row r="5181" spans="2:2 1904:1904">
      <c r="B5181" s="10"/>
    </row>
    <row r="5182" spans="2:2 1904:1904">
      <c r="B5182" s="10"/>
    </row>
    <row r="5183" spans="2:2 1904:1904">
      <c r="B5183" s="10"/>
    </row>
    <row r="5184" spans="2:2 1904:1904">
      <c r="B5184" s="10"/>
    </row>
    <row r="5185" spans="2:2">
      <c r="B5185" s="10"/>
    </row>
    <row r="5186" spans="2:2">
      <c r="B5186" s="10"/>
    </row>
    <row r="5187" spans="2:2">
      <c r="B5187" s="10"/>
    </row>
    <row r="5188" spans="2:2">
      <c r="B5188" s="10"/>
    </row>
    <row r="5189" spans="2:2">
      <c r="B5189" s="10"/>
    </row>
    <row r="5190" spans="2:2">
      <c r="B5190" s="10"/>
    </row>
    <row r="5191" spans="2:2">
      <c r="B5191" s="10"/>
    </row>
    <row r="5192" spans="2:2">
      <c r="B5192" s="10"/>
    </row>
    <row r="5193" spans="2:2">
      <c r="B5193" s="10"/>
    </row>
    <row r="5194" spans="2:2">
      <c r="B5194" s="10"/>
    </row>
    <row r="5195" spans="2:2">
      <c r="B5195" s="10"/>
    </row>
    <row r="5196" spans="2:2">
      <c r="B5196" s="10"/>
    </row>
    <row r="5197" spans="2:2">
      <c r="B5197" s="10"/>
    </row>
    <row r="5198" spans="2:2">
      <c r="B5198" s="10"/>
    </row>
    <row r="5199" spans="2:2">
      <c r="B5199" s="10"/>
    </row>
    <row r="5200" spans="2:2">
      <c r="B5200" s="10"/>
    </row>
    <row r="5201" spans="2:2">
      <c r="B5201" s="10"/>
    </row>
    <row r="5202" spans="2:2">
      <c r="B5202" s="10"/>
    </row>
    <row r="5203" spans="2:2">
      <c r="B5203" s="10"/>
    </row>
    <row r="5204" spans="2:2">
      <c r="B5204" s="10"/>
    </row>
    <row r="5205" spans="2:2">
      <c r="B5205" s="10"/>
    </row>
    <row r="5206" spans="2:2">
      <c r="B5206" s="10"/>
    </row>
    <row r="5207" spans="2:2">
      <c r="B5207" s="10"/>
    </row>
    <row r="5208" spans="2:2">
      <c r="B5208" s="10"/>
    </row>
    <row r="5209" spans="2:2">
      <c r="B5209" s="10"/>
    </row>
    <row r="5210" spans="2:2">
      <c r="B5210" s="10"/>
    </row>
    <row r="5211" spans="2:2">
      <c r="B5211" s="10"/>
    </row>
    <row r="5212" spans="2:2">
      <c r="B5212" s="10"/>
    </row>
    <row r="5213" spans="2:2">
      <c r="B5213" s="10"/>
    </row>
    <row r="5214" spans="2:2">
      <c r="B5214" s="10"/>
    </row>
    <row r="5215" spans="2:2">
      <c r="B5215" s="10"/>
    </row>
    <row r="5216" spans="2:2">
      <c r="B5216" s="10"/>
    </row>
    <row r="5217" spans="2:2 1424:1424">
      <c r="B5217" s="10"/>
    </row>
    <row r="5218" spans="2:2 1424:1424">
      <c r="B5218" s="10"/>
    </row>
    <row r="5219" spans="2:2 1424:1424">
      <c r="B5219" s="10"/>
    </row>
    <row r="5220" spans="2:2 1424:1424">
      <c r="B5220" s="10"/>
    </row>
    <row r="5221" spans="2:2 1424:1424">
      <c r="B5221" s="10"/>
    </row>
    <row r="5222" spans="2:2 1424:1424">
      <c r="B5222" s="10"/>
      <c r="BBT5222" s="8" t="s">
        <v>699</v>
      </c>
    </row>
    <row r="5223" spans="2:2 1424:1424">
      <c r="B5223" s="10"/>
    </row>
    <row r="5224" spans="2:2 1424:1424">
      <c r="B5224" s="10"/>
    </row>
    <row r="5225" spans="2:2 1424:1424">
      <c r="B5225" s="10"/>
    </row>
    <row r="5226" spans="2:2 1424:1424">
      <c r="B5226" s="10"/>
    </row>
    <row r="5227" spans="2:2 1424:1424">
      <c r="B5227" s="10"/>
    </row>
    <row r="5228" spans="2:2 1424:1424">
      <c r="B5228" s="10"/>
    </row>
    <row r="5229" spans="2:2 1424:1424">
      <c r="B5229" s="10"/>
    </row>
    <row r="5230" spans="2:2 1424:1424">
      <c r="B5230" s="10"/>
    </row>
    <row r="5231" spans="2:2 1424:1424">
      <c r="B5231" s="10"/>
    </row>
    <row r="5232" spans="2:2 1424:1424">
      <c r="B5232" s="10"/>
    </row>
    <row r="5233" spans="2:2">
      <c r="B5233" s="10"/>
    </row>
    <row r="5234" spans="2:2">
      <c r="B5234" s="10"/>
    </row>
    <row r="5235" spans="2:2">
      <c r="B5235" s="10"/>
    </row>
    <row r="5236" spans="2:2">
      <c r="B5236" s="10"/>
    </row>
    <row r="5237" spans="2:2">
      <c r="B5237" s="10"/>
    </row>
    <row r="5238" spans="2:2">
      <c r="B5238" s="10"/>
    </row>
    <row r="5239" spans="2:2">
      <c r="B5239" s="10"/>
    </row>
    <row r="5240" spans="2:2">
      <c r="B5240" s="10"/>
    </row>
    <row r="5241" spans="2:2">
      <c r="B5241" s="10"/>
    </row>
    <row r="5242" spans="2:2">
      <c r="B5242" s="10"/>
    </row>
    <row r="5243" spans="2:2">
      <c r="B5243" s="10"/>
    </row>
    <row r="5244" spans="2:2">
      <c r="B5244" s="10"/>
    </row>
    <row r="5245" spans="2:2">
      <c r="B5245" s="10"/>
    </row>
    <row r="5246" spans="2:2">
      <c r="B5246" s="10"/>
    </row>
    <row r="5247" spans="2:2">
      <c r="B5247" s="10"/>
    </row>
    <row r="5248" spans="2:2">
      <c r="B5248" s="10"/>
    </row>
    <row r="5249" spans="2:2">
      <c r="B5249" s="10"/>
    </row>
    <row r="5250" spans="2:2">
      <c r="B5250" s="10"/>
    </row>
    <row r="5251" spans="2:2">
      <c r="B5251" s="10"/>
    </row>
    <row r="5252" spans="2:2">
      <c r="B5252" s="10"/>
    </row>
    <row r="5253" spans="2:2">
      <c r="B5253" s="10"/>
    </row>
    <row r="5254" spans="2:2">
      <c r="B5254" s="10"/>
    </row>
    <row r="5255" spans="2:2">
      <c r="B5255" s="10"/>
    </row>
    <row r="5256" spans="2:2">
      <c r="B5256" s="10"/>
    </row>
    <row r="5257" spans="2:2">
      <c r="B5257" s="10"/>
    </row>
    <row r="5258" spans="2:2">
      <c r="B5258" s="10"/>
    </row>
    <row r="5259" spans="2:2">
      <c r="B5259" s="10"/>
    </row>
    <row r="5260" spans="2:2">
      <c r="B5260" s="10"/>
    </row>
    <row r="5261" spans="2:2">
      <c r="B5261" s="10"/>
    </row>
    <row r="5262" spans="2:2">
      <c r="B5262" s="10"/>
    </row>
    <row r="5263" spans="2:2">
      <c r="B5263" s="10"/>
    </row>
    <row r="5264" spans="2:2">
      <c r="B5264" s="10"/>
    </row>
    <row r="5265" spans="2:2 1424:1424">
      <c r="B5265" s="10"/>
    </row>
    <row r="5266" spans="2:2 1424:1424">
      <c r="B5266" s="10"/>
    </row>
    <row r="5267" spans="2:2 1424:1424">
      <c r="B5267" s="10"/>
    </row>
    <row r="5268" spans="2:2 1424:1424">
      <c r="B5268" s="10"/>
    </row>
    <row r="5269" spans="2:2 1424:1424">
      <c r="B5269" s="10"/>
    </row>
    <row r="5270" spans="2:2 1424:1424">
      <c r="B5270" s="10"/>
    </row>
    <row r="5271" spans="2:2 1424:1424">
      <c r="B5271" s="10"/>
    </row>
    <row r="5272" spans="2:2 1424:1424">
      <c r="B5272" s="10"/>
    </row>
    <row r="5273" spans="2:2 1424:1424">
      <c r="B5273" s="10"/>
    </row>
    <row r="5274" spans="2:2 1424:1424">
      <c r="B5274" s="10"/>
    </row>
    <row r="5275" spans="2:2 1424:1424">
      <c r="B5275" s="10"/>
    </row>
    <row r="5276" spans="2:2 1424:1424">
      <c r="B5276" s="10"/>
    </row>
    <row r="5277" spans="2:2 1424:1424">
      <c r="B5277" s="10"/>
    </row>
    <row r="5278" spans="2:2 1424:1424">
      <c r="B5278" s="10"/>
    </row>
    <row r="5279" spans="2:2 1424:1424">
      <c r="B5279" s="10"/>
    </row>
    <row r="5280" spans="2:2 1424:1424">
      <c r="B5280" s="10"/>
      <c r="BBT5280" s="8" t="s">
        <v>712</v>
      </c>
    </row>
    <row r="5281" spans="2:2 1664:1664">
      <c r="B5281" s="10"/>
      <c r="BKZ5281" s="8" t="s">
        <v>713</v>
      </c>
    </row>
    <row r="5282" spans="2:2 1664:1664">
      <c r="B5282" s="10"/>
    </row>
    <row r="5283" spans="2:2 1664:1664">
      <c r="B5283" s="10"/>
    </row>
    <row r="5284" spans="2:2 1664:1664">
      <c r="B5284" s="10"/>
    </row>
    <row r="5285" spans="2:2 1664:1664">
      <c r="B5285" s="10"/>
    </row>
    <row r="5286" spans="2:2 1664:1664">
      <c r="B5286" s="10"/>
    </row>
    <row r="5287" spans="2:2 1664:1664">
      <c r="B5287" s="10"/>
    </row>
    <row r="5288" spans="2:2 1664:1664">
      <c r="B5288" s="10"/>
    </row>
    <row r="5289" spans="2:2 1664:1664">
      <c r="B5289" s="10"/>
    </row>
    <row r="5290" spans="2:2 1664:1664">
      <c r="B5290" s="10"/>
    </row>
    <row r="5291" spans="2:2 1664:1664">
      <c r="B5291" s="10"/>
    </row>
    <row r="5292" spans="2:2 1664:1664">
      <c r="B5292" s="10"/>
    </row>
    <row r="5293" spans="2:2 1664:1664">
      <c r="B5293" s="10"/>
    </row>
    <row r="5294" spans="2:2 1664:1664">
      <c r="B5294" s="10"/>
    </row>
    <row r="5295" spans="2:2 1664:1664">
      <c r="B5295" s="10"/>
    </row>
    <row r="5296" spans="2:2 1664:1664">
      <c r="B5296" s="10"/>
    </row>
    <row r="5297" spans="2:2 1400:1568 2072:2072">
      <c r="B5297" s="10"/>
    </row>
    <row r="5298" spans="2:2 1400:1568 2072:2072">
      <c r="B5298" s="10"/>
    </row>
    <row r="5299" spans="2:2 1400:1568 2072:2072">
      <c r="B5299" s="10"/>
    </row>
    <row r="5300" spans="2:2 1400:1568 2072:2072">
      <c r="B5300" s="10"/>
    </row>
    <row r="5301" spans="2:2 1400:1568 2072:2072">
      <c r="B5301" s="10"/>
    </row>
    <row r="5302" spans="2:2 1400:1568 2072:2072">
      <c r="B5302" s="10"/>
    </row>
    <row r="5303" spans="2:2 1400:1568 2072:2072">
      <c r="B5303" s="10"/>
      <c r="BAV5303" s="8" t="s">
        <v>730</v>
      </c>
    </row>
    <row r="5304" spans="2:2 1400:1568 2072:2072">
      <c r="B5304" s="10"/>
      <c r="BHH5304" s="8" t="s">
        <v>731</v>
      </c>
    </row>
    <row r="5305" spans="2:2 1400:1568 2072:2072">
      <c r="B5305" s="10"/>
      <c r="CAR5305" s="8" t="s">
        <v>732</v>
      </c>
    </row>
    <row r="5306" spans="2:2 1400:1568 2072:2072">
      <c r="B5306" s="10"/>
    </row>
    <row r="5307" spans="2:2 1400:1568 2072:2072">
      <c r="B5307" s="10"/>
    </row>
    <row r="5308" spans="2:2 1400:1568 2072:2072">
      <c r="B5308" s="10"/>
    </row>
    <row r="5309" spans="2:2 1400:1568 2072:2072">
      <c r="B5309" s="10"/>
    </row>
    <row r="5310" spans="2:2 1400:1568 2072:2072">
      <c r="B5310" s="10"/>
    </row>
    <row r="5311" spans="2:2 1400:1568 2072:2072">
      <c r="B5311" s="10"/>
    </row>
    <row r="5312" spans="2:2 1400:1568 2072:2072">
      <c r="B5312" s="10"/>
    </row>
    <row r="5313" spans="2:2">
      <c r="B5313" s="10"/>
    </row>
    <row r="5314" spans="2:2">
      <c r="B5314" s="10"/>
    </row>
    <row r="5315" spans="2:2">
      <c r="B5315" s="10"/>
    </row>
    <row r="5316" spans="2:2">
      <c r="B5316" s="10"/>
    </row>
    <row r="5317" spans="2:2">
      <c r="B5317" s="10"/>
    </row>
    <row r="5318" spans="2:2">
      <c r="B5318" s="10"/>
    </row>
    <row r="5319" spans="2:2">
      <c r="B5319" s="10"/>
    </row>
    <row r="5320" spans="2:2">
      <c r="B5320" s="10"/>
    </row>
    <row r="5321" spans="2:2">
      <c r="B5321" s="10"/>
    </row>
    <row r="5322" spans="2:2">
      <c r="B5322" s="10"/>
    </row>
    <row r="5323" spans="2:2">
      <c r="B5323" s="10"/>
    </row>
    <row r="5324" spans="2:2">
      <c r="B5324" s="10"/>
    </row>
    <row r="5325" spans="2:2">
      <c r="B5325" s="10"/>
    </row>
    <row r="5326" spans="2:2">
      <c r="B5326" s="10"/>
    </row>
    <row r="5327" spans="2:2">
      <c r="B5327" s="10"/>
    </row>
    <row r="5328" spans="2:2">
      <c r="B5328" s="10"/>
    </row>
    <row r="5329" spans="2:2">
      <c r="B5329" s="10"/>
    </row>
    <row r="5330" spans="2:2">
      <c r="B5330" s="10"/>
    </row>
    <row r="5331" spans="2:2">
      <c r="B5331" s="10"/>
    </row>
    <row r="5332" spans="2:2">
      <c r="B5332" s="10"/>
    </row>
    <row r="5333" spans="2:2">
      <c r="B5333" s="10"/>
    </row>
    <row r="5334" spans="2:2">
      <c r="B5334" s="10"/>
    </row>
    <row r="5335" spans="2:2">
      <c r="B5335" s="10"/>
    </row>
    <row r="5336" spans="2:2">
      <c r="B5336" s="10"/>
    </row>
    <row r="5337" spans="2:2">
      <c r="B5337" s="10"/>
    </row>
    <row r="5338" spans="2:2">
      <c r="B5338" s="10"/>
    </row>
    <row r="5339" spans="2:2">
      <c r="B5339" s="10"/>
    </row>
    <row r="5340" spans="2:2">
      <c r="B5340" s="10"/>
    </row>
    <row r="5341" spans="2:2">
      <c r="B5341" s="10"/>
    </row>
    <row r="5342" spans="2:2">
      <c r="B5342" s="10"/>
    </row>
    <row r="5343" spans="2:2">
      <c r="B5343" s="10"/>
    </row>
    <row r="5344" spans="2:2">
      <c r="B5344" s="10"/>
    </row>
    <row r="5345" spans="2:2">
      <c r="B5345" s="10"/>
    </row>
    <row r="5346" spans="2:2">
      <c r="B5346" s="10"/>
    </row>
    <row r="5347" spans="2:2">
      <c r="B5347" s="10"/>
    </row>
    <row r="5348" spans="2:2">
      <c r="B5348" s="10"/>
    </row>
    <row r="5349" spans="2:2">
      <c r="B5349" s="10"/>
    </row>
    <row r="5350" spans="2:2">
      <c r="B5350" s="10"/>
    </row>
    <row r="5351" spans="2:2">
      <c r="B5351" s="10"/>
    </row>
    <row r="5352" spans="2:2">
      <c r="B5352" s="10"/>
    </row>
    <row r="5353" spans="2:2">
      <c r="B5353" s="10"/>
    </row>
    <row r="5354" spans="2:2">
      <c r="B5354" s="10"/>
    </row>
    <row r="5355" spans="2:2">
      <c r="B5355" s="10"/>
    </row>
    <row r="5356" spans="2:2">
      <c r="B5356" s="10"/>
    </row>
    <row r="5357" spans="2:2">
      <c r="B5357" s="10"/>
    </row>
    <row r="5358" spans="2:2">
      <c r="B5358" s="10"/>
    </row>
    <row r="5359" spans="2:2">
      <c r="B5359" s="10"/>
    </row>
    <row r="5360" spans="2:2">
      <c r="B5360" s="10"/>
    </row>
    <row r="5361" spans="2:2">
      <c r="B5361" s="10"/>
    </row>
    <row r="5362" spans="2:2">
      <c r="B5362" s="10"/>
    </row>
    <row r="5363" spans="2:2">
      <c r="B5363" s="10"/>
    </row>
    <row r="5364" spans="2:2">
      <c r="B5364" s="10"/>
    </row>
    <row r="5365" spans="2:2">
      <c r="B5365" s="10"/>
    </row>
    <row r="5366" spans="2:2">
      <c r="B5366" s="10"/>
    </row>
    <row r="5367" spans="2:2">
      <c r="B5367" s="10"/>
    </row>
    <row r="5368" spans="2:2">
      <c r="B5368" s="10"/>
    </row>
    <row r="5369" spans="2:2">
      <c r="B5369" s="10"/>
    </row>
    <row r="5370" spans="2:2">
      <c r="B5370" s="10"/>
    </row>
    <row r="5371" spans="2:2">
      <c r="B5371" s="10"/>
    </row>
    <row r="5372" spans="2:2">
      <c r="B5372" s="10"/>
    </row>
    <row r="5373" spans="2:2">
      <c r="B5373" s="10"/>
    </row>
    <row r="5374" spans="2:2">
      <c r="B5374" s="10"/>
    </row>
    <row r="5375" spans="2:2">
      <c r="B5375" s="10"/>
    </row>
    <row r="5376" spans="2:2">
      <c r="B5376" s="10"/>
    </row>
    <row r="5377" spans="2:2 1472:1568">
      <c r="B5377" s="10"/>
    </row>
    <row r="5378" spans="2:2 1472:1568">
      <c r="B5378" s="10"/>
    </row>
    <row r="5379" spans="2:2 1472:1568">
      <c r="B5379" s="10"/>
    </row>
    <row r="5380" spans="2:2 1472:1568">
      <c r="B5380" s="10"/>
    </row>
    <row r="5381" spans="2:2 1472:1568">
      <c r="B5381" s="10"/>
    </row>
    <row r="5382" spans="2:2 1472:1568">
      <c r="B5382" s="10"/>
    </row>
    <row r="5383" spans="2:2 1472:1568">
      <c r="B5383" s="10"/>
    </row>
    <row r="5384" spans="2:2 1472:1568">
      <c r="B5384" s="10"/>
    </row>
    <row r="5385" spans="2:2 1472:1568">
      <c r="B5385" s="10"/>
    </row>
    <row r="5386" spans="2:2 1472:1568">
      <c r="B5386" s="10"/>
    </row>
    <row r="5387" spans="2:2 1472:1568">
      <c r="B5387" s="10"/>
    </row>
    <row r="5388" spans="2:2 1472:1568">
      <c r="B5388" s="10"/>
    </row>
    <row r="5389" spans="2:2 1472:1568">
      <c r="B5389" s="10"/>
      <c r="BDP5389" s="8" t="s">
        <v>741</v>
      </c>
    </row>
    <row r="5390" spans="2:2 1472:1568">
      <c r="B5390" s="10"/>
      <c r="BHH5390" s="8" t="s">
        <v>742</v>
      </c>
    </row>
    <row r="5391" spans="2:2 1472:1568">
      <c r="B5391" s="10"/>
    </row>
    <row r="5392" spans="2:2 1472:1568">
      <c r="B5392" s="10"/>
    </row>
    <row r="5393" spans="2:257">
      <c r="B5393" s="10"/>
    </row>
    <row r="5394" spans="2:257">
      <c r="B5394" s="10"/>
    </row>
    <row r="5395" spans="2:257">
      <c r="B5395" s="10"/>
    </row>
    <row r="5396" spans="2:257">
      <c r="B5396" s="10"/>
    </row>
    <row r="5397" spans="2:257">
      <c r="B5397" s="10"/>
    </row>
    <row r="5398" spans="2:257">
      <c r="B5398" s="10"/>
    </row>
    <row r="5399" spans="2:257">
      <c r="B5399" s="10"/>
    </row>
    <row r="5400" spans="2:257">
      <c r="B5400" s="10"/>
    </row>
    <row r="5401" spans="2:257">
      <c r="B5401" s="10"/>
    </row>
    <row r="5402" spans="2:257">
      <c r="B5402" s="10"/>
    </row>
    <row r="5403" spans="2:257">
      <c r="GR5403" s="8" t="s">
        <v>743</v>
      </c>
    </row>
    <row r="5404" spans="2:257">
      <c r="ID5404" s="8" t="s">
        <v>810</v>
      </c>
    </row>
    <row r="5405" spans="2:257">
      <c r="IG5405" s="8" t="s">
        <v>811</v>
      </c>
    </row>
    <row r="5406" spans="2:257">
      <c r="IN5406" s="8" t="s">
        <v>744</v>
      </c>
    </row>
    <row r="5407" spans="2:257">
      <c r="IQ5407" s="8" t="s">
        <v>745</v>
      </c>
    </row>
    <row r="5408" spans="2:257">
      <c r="IW5408" s="8" t="s">
        <v>829</v>
      </c>
    </row>
    <row r="5409" spans="270:872">
      <c r="JJ5409" s="8" t="s">
        <v>746</v>
      </c>
    </row>
    <row r="5410" spans="270:872">
      <c r="JQ5410" s="8" t="s">
        <v>747</v>
      </c>
    </row>
    <row r="5411" spans="270:872">
      <c r="MF5411" s="8" t="s">
        <v>748</v>
      </c>
    </row>
    <row r="5412" spans="270:872">
      <c r="MH5412" s="8" t="s">
        <v>812</v>
      </c>
    </row>
    <row r="5413" spans="270:872">
      <c r="NS5413" s="8" t="s">
        <v>749</v>
      </c>
    </row>
    <row r="5414" spans="270:872">
      <c r="NY5414" s="8" t="s">
        <v>750</v>
      </c>
    </row>
    <row r="5415" spans="270:872">
      <c r="OB5415" s="8" t="s">
        <v>751</v>
      </c>
    </row>
    <row r="5416" spans="270:872">
      <c r="OZ5416" s="8" t="s">
        <v>752</v>
      </c>
    </row>
    <row r="5417" spans="270:872">
      <c r="PX5417" s="8" t="s">
        <v>813</v>
      </c>
    </row>
    <row r="5418" spans="270:872">
      <c r="QR5418" s="8" t="s">
        <v>753</v>
      </c>
    </row>
    <row r="5419" spans="270:872">
      <c r="QV5419" s="8" t="s">
        <v>754</v>
      </c>
    </row>
    <row r="5420" spans="270:872">
      <c r="VL5420" s="8" t="s">
        <v>755</v>
      </c>
    </row>
    <row r="5421" spans="270:872">
      <c r="XD5421" s="19" t="s">
        <v>830</v>
      </c>
    </row>
    <row r="5422" spans="270:872">
      <c r="XH5422" s="8" t="s">
        <v>831</v>
      </c>
    </row>
    <row r="5423" spans="270:872">
      <c r="ABX5423" s="8" t="s">
        <v>756</v>
      </c>
    </row>
    <row r="5424" spans="270:872">
      <c r="AGN5424" s="8" t="s">
        <v>757</v>
      </c>
    </row>
    <row r="5425" spans="8:109 1280:1736">
      <c r="AWF5425" s="8" t="s">
        <v>758</v>
      </c>
    </row>
    <row r="5426" spans="8:109 1280:1736">
      <c r="BNT5426" s="8" t="s">
        <v>759</v>
      </c>
    </row>
    <row r="5427" spans="8:109 1280:1736">
      <c r="H5427" s="8" t="s">
        <v>760</v>
      </c>
    </row>
    <row r="5428" spans="8:109 1280:1736">
      <c r="H5428" s="8" t="s">
        <v>761</v>
      </c>
    </row>
    <row r="5429" spans="8:109 1280:1736">
      <c r="H5429" s="8" t="s">
        <v>784</v>
      </c>
    </row>
    <row r="5430" spans="8:109 1280:1736">
      <c r="H5430" s="8" t="s">
        <v>782</v>
      </c>
    </row>
    <row r="5431" spans="8:109 1280:1736">
      <c r="R5431" s="8" t="s">
        <v>762</v>
      </c>
    </row>
    <row r="5432" spans="8:109 1280:1736">
      <c r="V5432" s="8" t="s">
        <v>832</v>
      </c>
    </row>
    <row r="5433" spans="8:109 1280:1736">
      <c r="AA5433" s="8" t="s">
        <v>833</v>
      </c>
    </row>
    <row r="5434" spans="8:109 1280:1736">
      <c r="CN5434" s="8" t="s">
        <v>763</v>
      </c>
    </row>
    <row r="5435" spans="8:109 1280:1736">
      <c r="CE5435" s="8" t="s">
        <v>764</v>
      </c>
    </row>
    <row r="5436" spans="8:109 1280:1736">
      <c r="CG5436" s="8" t="s">
        <v>765</v>
      </c>
    </row>
    <row r="5437" spans="8:109 1280:1736">
      <c r="CI5437" s="8" t="s">
        <v>766</v>
      </c>
    </row>
    <row r="5438" spans="8:109 1280:1736">
      <c r="CO5438" s="8" t="s">
        <v>767</v>
      </c>
    </row>
    <row r="5439" spans="8:109 1280:1736">
      <c r="CU5439" s="8" t="s">
        <v>768</v>
      </c>
    </row>
    <row r="5440" spans="8:109 1280:1736">
      <c r="DE5440" s="8" t="s">
        <v>834</v>
      </c>
    </row>
    <row r="5441" spans="127:214">
      <c r="DW5441" s="8" t="s">
        <v>769</v>
      </c>
    </row>
    <row r="5442" spans="127:214">
      <c r="DY5442" s="8" t="s">
        <v>770</v>
      </c>
    </row>
    <row r="5443" spans="127:214">
      <c r="FE5443" s="8" t="s">
        <v>771</v>
      </c>
    </row>
    <row r="5444" spans="127:214">
      <c r="EF5444" s="8" t="s">
        <v>772</v>
      </c>
    </row>
    <row r="5445" spans="127:214">
      <c r="ET5445" s="8" t="s">
        <v>835</v>
      </c>
    </row>
    <row r="5446" spans="127:214">
      <c r="FP5446" s="8" t="s">
        <v>773</v>
      </c>
    </row>
    <row r="5447" spans="127:214">
      <c r="GB5447" s="8" t="s">
        <v>774</v>
      </c>
    </row>
    <row r="5448" spans="127:214">
      <c r="GA5448" s="8" t="s">
        <v>775</v>
      </c>
    </row>
    <row r="5449" spans="127:214">
      <c r="GD5449" s="8" t="s">
        <v>776</v>
      </c>
    </row>
    <row r="5450" spans="127:214">
      <c r="GH5450" s="8" t="s">
        <v>777</v>
      </c>
    </row>
    <row r="5451" spans="127:214">
      <c r="GN5451" s="19" t="s">
        <v>778</v>
      </c>
    </row>
    <row r="5452" spans="127:214">
      <c r="GR5452" s="8" t="s">
        <v>814</v>
      </c>
    </row>
    <row r="5453" spans="127:214">
      <c r="GR5453" s="8" t="s">
        <v>779</v>
      </c>
    </row>
    <row r="5454" spans="127:214">
      <c r="GT5454" s="8" t="s">
        <v>836</v>
      </c>
    </row>
    <row r="5455" spans="127:214">
      <c r="GU5455" s="8" t="s">
        <v>837</v>
      </c>
    </row>
    <row r="5456" spans="127:214">
      <c r="HF5456" s="8" t="s">
        <v>780</v>
      </c>
    </row>
    <row r="5457" spans="216:416">
      <c r="HH5457" s="8" t="s">
        <v>781</v>
      </c>
    </row>
    <row r="5458" spans="216:416">
      <c r="HR5458" s="8" t="s">
        <v>783</v>
      </c>
    </row>
    <row r="5459" spans="216:416">
      <c r="IB5459" s="8" t="s">
        <v>785</v>
      </c>
    </row>
    <row r="5460" spans="216:416">
      <c r="IB5460" s="8" t="s">
        <v>786</v>
      </c>
    </row>
    <row r="5461" spans="216:416">
      <c r="IG5461" s="8" t="s">
        <v>815</v>
      </c>
    </row>
    <row r="5462" spans="216:416">
      <c r="IH5462" s="8" t="s">
        <v>816</v>
      </c>
    </row>
    <row r="5463" spans="216:416">
      <c r="IK5463" s="8" t="s">
        <v>838</v>
      </c>
    </row>
    <row r="5464" spans="216:416">
      <c r="JA5464" s="8" t="s">
        <v>839</v>
      </c>
    </row>
    <row r="5465" spans="216:416">
      <c r="IY5465" s="8" t="s">
        <v>840</v>
      </c>
    </row>
    <row r="5466" spans="216:416">
      <c r="JZ5466" s="8" t="s">
        <v>817</v>
      </c>
    </row>
    <row r="5467" spans="216:416">
      <c r="KT5467" s="8" t="s">
        <v>787</v>
      </c>
    </row>
    <row r="5468" spans="216:416">
      <c r="KY5468" s="8" t="s">
        <v>788</v>
      </c>
    </row>
    <row r="5469" spans="216:416">
      <c r="LI5469" s="8" t="s">
        <v>789</v>
      </c>
    </row>
    <row r="5470" spans="216:416">
      <c r="NO5470" s="8" t="s">
        <v>790</v>
      </c>
    </row>
    <row r="5471" spans="216:416">
      <c r="OU5471" s="8" t="s">
        <v>791</v>
      </c>
    </row>
    <row r="5472" spans="216:416">
      <c r="OZ5472" s="8" t="s">
        <v>792</v>
      </c>
    </row>
    <row r="5473" spans="436:920 1064:1880">
      <c r="PT5473" s="19" t="s">
        <v>793</v>
      </c>
    </row>
    <row r="5474" spans="436:920 1064:1880">
      <c r="PX5474" s="8" t="s">
        <v>794</v>
      </c>
    </row>
    <row r="5475" spans="436:920 1064:1880">
      <c r="QU5475" s="8" t="s">
        <v>841</v>
      </c>
    </row>
    <row r="5476" spans="436:920 1064:1880">
      <c r="QV5476" s="8" t="s">
        <v>795</v>
      </c>
    </row>
    <row r="5477" spans="436:920 1064:1880">
      <c r="AAZ5477" s="8" t="s">
        <v>842</v>
      </c>
    </row>
    <row r="5478" spans="436:920 1064:1880">
      <c r="ACP5478" s="8" t="s">
        <v>797</v>
      </c>
    </row>
    <row r="5479" spans="436:920 1064:1880">
      <c r="AIJ5479" s="8" t="s">
        <v>798</v>
      </c>
    </row>
    <row r="5480" spans="436:920 1064:1880">
      <c r="ANX5480" s="8" t="s">
        <v>799</v>
      </c>
    </row>
    <row r="5481" spans="436:920 1064:1880">
      <c r="APP5481" s="19" t="s">
        <v>800</v>
      </c>
    </row>
    <row r="5482" spans="436:920 1064:1880">
      <c r="APT5482" s="8" t="s">
        <v>801</v>
      </c>
    </row>
    <row r="5483" spans="436:920 1064:1880">
      <c r="BTH5483" s="8" t="s">
        <v>843</v>
      </c>
    </row>
  </sheetData>
  <mergeCells count="29">
    <mergeCell ref="ATI2:AVD2"/>
    <mergeCell ref="AVE2:AWZ2"/>
    <mergeCell ref="AXA2:AYV2"/>
    <mergeCell ref="AYW2:BAR2"/>
    <mergeCell ref="AKC2:ALX2"/>
    <mergeCell ref="ALY2:ANT2"/>
    <mergeCell ref="ANU2:APP2"/>
    <mergeCell ref="APQ2:ARL2"/>
    <mergeCell ref="ARM2:ATH2"/>
    <mergeCell ref="AAW2:ACR2"/>
    <mergeCell ref="ACS2:AEN2"/>
    <mergeCell ref="AEO2:AGJ2"/>
    <mergeCell ref="AGK2:AIF2"/>
    <mergeCell ref="AIG2:AKB2"/>
    <mergeCell ref="XE2:YZ2"/>
    <mergeCell ref="ZA2:AAV2"/>
    <mergeCell ref="NY2:PT2"/>
    <mergeCell ref="PU2:RP2"/>
    <mergeCell ref="RQ2:TL2"/>
    <mergeCell ref="TM2:VH2"/>
    <mergeCell ref="VI2:XD2"/>
    <mergeCell ref="GO2:IJ2"/>
    <mergeCell ref="IK2:KF2"/>
    <mergeCell ref="KG2:MB2"/>
    <mergeCell ref="MC2:NX2"/>
    <mergeCell ref="E2:AZ2"/>
    <mergeCell ref="BA2:CV2"/>
    <mergeCell ref="CW2:ER2"/>
    <mergeCell ref="ES2:GN2"/>
  </mergeCells>
  <phoneticPr fontId="4" type="noConversion"/>
  <conditionalFormatting sqref="E3:AYV5402">
    <cfRule type="expression" dxfId="2" priority="3">
      <formula>RunningHours</formula>
    </cfRule>
  </conditionalFormatting>
  <conditionalFormatting sqref="A3:XFD5400">
    <cfRule type="expression" dxfId="1" priority="1">
      <formula>$A3&lt;&gt;$A4</formula>
    </cfRule>
  </conditionalFormatting>
  <pageMargins left="0.7" right="0.7" top="0.75" bottom="0.75" header="0.3" footer="0.3"/>
  <pageSetup paperSize="9" orientation="portrait" r:id="rId1"/>
  <headerFooter>
    <oddHeader>&amp;L&amp;"SABIC Typeface Headline Light"&amp;10 Classification: General Business Use&amp;1#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GanttChart1">
                <anchor moveWithCells="1" sizeWithCells="1">
                  <from>
                    <xdr:col>4</xdr:col>
                    <xdr:colOff>19050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0-0000-0000-000000000000}">
            <xm:f>AND(E$1&gt;($C3+$D3),E$1&lt;=($C3+$D3+Data!$AH2))</xm:f>
            <x14:dxf>
              <fill>
                <patternFill>
                  <fgColor indexed="64"/>
                  <bgColor rgb="FFC00000"/>
                </patternFill>
              </fill>
              <border>
                <left/>
                <right/>
              </border>
            </x14:dxf>
          </x14:cfRule>
          <xm:sqref>E3:AYV5402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20"/>
  <sheetViews>
    <sheetView workbookViewId="0">
      <selection activeCell="B12" sqref="B12"/>
    </sheetView>
  </sheetViews>
  <sheetFormatPr defaultRowHeight="12.75"/>
  <cols>
    <col min="1" max="1" width="23" bestFit="1" customWidth="1"/>
    <col min="2" max="2" width="20.140625" bestFit="1" customWidth="1"/>
    <col min="3" max="4" width="52.140625" bestFit="1" customWidth="1"/>
    <col min="5" max="5" width="20" customWidth="1"/>
    <col min="6" max="6" width="11.140625" bestFit="1" customWidth="1"/>
    <col min="7" max="7" width="13.140625" bestFit="1" customWidth="1"/>
    <col min="8" max="8" width="15.85546875" bestFit="1" customWidth="1"/>
  </cols>
  <sheetData>
    <row r="1" spans="1:8">
      <c r="A1" s="22" t="s">
        <v>1547</v>
      </c>
      <c r="B1" s="22" t="s">
        <v>4983</v>
      </c>
      <c r="C1" s="22" t="s">
        <v>4984</v>
      </c>
      <c r="D1" s="22" t="s">
        <v>4985</v>
      </c>
      <c r="E1" s="22" t="s">
        <v>4986</v>
      </c>
      <c r="F1" s="22" t="s">
        <v>4980</v>
      </c>
      <c r="G1" s="22" t="s">
        <v>4981</v>
      </c>
      <c r="H1" s="22" t="s">
        <v>4982</v>
      </c>
    </row>
    <row r="2" spans="1:8">
      <c r="A2" s="23" t="s">
        <v>4987</v>
      </c>
      <c r="B2" s="21">
        <f ca="1">TODAY()</f>
        <v>43272</v>
      </c>
      <c r="C2" s="21">
        <f t="shared" ref="C2:E2" ca="1" si="0">TODAY()</f>
        <v>43272</v>
      </c>
      <c r="D2" s="21">
        <f t="shared" ca="1" si="0"/>
        <v>43272</v>
      </c>
      <c r="E2" s="21">
        <f t="shared" ca="1" si="0"/>
        <v>43272</v>
      </c>
    </row>
    <row r="3" spans="1:8">
      <c r="A3" s="23" t="s">
        <v>4988</v>
      </c>
      <c r="B3" s="26">
        <v>0</v>
      </c>
      <c r="C3" s="27">
        <v>0</v>
      </c>
      <c r="D3" s="27">
        <v>0.33333333333333331</v>
      </c>
      <c r="E3" s="27">
        <v>0.33333333333333331</v>
      </c>
      <c r="F3" s="27"/>
      <c r="G3" s="27"/>
      <c r="H3" s="27"/>
    </row>
    <row r="4" spans="1:8">
      <c r="A4" s="23" t="s">
        <v>4976</v>
      </c>
      <c r="B4" s="7">
        <v>-1</v>
      </c>
      <c r="C4">
        <v>-1</v>
      </c>
      <c r="D4">
        <v>0</v>
      </c>
      <c r="E4">
        <v>0</v>
      </c>
    </row>
    <row r="5" spans="1:8">
      <c r="A5" s="23" t="s">
        <v>4977</v>
      </c>
      <c r="B5" s="7">
        <v>28</v>
      </c>
      <c r="C5" s="7">
        <v>5</v>
      </c>
      <c r="D5">
        <v>7</v>
      </c>
      <c r="E5">
        <v>4</v>
      </c>
    </row>
    <row r="6" spans="1:8">
      <c r="A6" s="23" t="s">
        <v>4989</v>
      </c>
      <c r="B6" t="s">
        <v>4990</v>
      </c>
      <c r="C6" s="28" t="str">
        <f ca="1">TEXT(TODAY(),"yyyymmdd")&amp;"PC51ProdSchedule.xlsb"</f>
        <v>20180621PC51ProdSchedule.xlsb</v>
      </c>
      <c r="D6" t="str">
        <f ca="1">TEXT(TODAY(),"yyyymmdd")&amp;"PC51ForPP_Review.xlsx"</f>
        <v>20180621PC51ForPP_Review.xlsx</v>
      </c>
    </row>
    <row r="7" spans="1:8">
      <c r="A7" s="23" t="s">
        <v>4991</v>
      </c>
      <c r="B7" s="30"/>
      <c r="D7" s="24" t="s">
        <v>4975</v>
      </c>
    </row>
    <row r="8" spans="1:8">
      <c r="A8" s="23" t="s">
        <v>4877</v>
      </c>
      <c r="C8" s="7"/>
      <c r="D8" s="7"/>
      <c r="E8" s="7"/>
      <c r="F8" s="7"/>
      <c r="G8" s="7"/>
      <c r="H8" s="7"/>
    </row>
    <row r="9" spans="1:8">
      <c r="A9" s="23" t="s">
        <v>7186</v>
      </c>
      <c r="B9" s="7" t="s">
        <v>5176</v>
      </c>
      <c r="C9" s="7"/>
      <c r="D9" s="7"/>
      <c r="E9" s="7"/>
      <c r="F9" s="7"/>
      <c r="G9" s="7"/>
      <c r="H9" s="7"/>
    </row>
    <row r="10" spans="1:8">
      <c r="A10" s="23" t="s">
        <v>7187</v>
      </c>
      <c r="B10" s="7"/>
      <c r="C10" s="7" t="str">
        <f ca="1">"Shanghai Production schedule updated on " &amp; TEXT(NOW(),"yyyy-mm-dd HH:mm")</f>
        <v>Shanghai Production schedule updated on 2018-06-21 10:09</v>
      </c>
      <c r="D10" s="7" t="str">
        <f ca="1">C10</f>
        <v>Shanghai Production schedule updated on 2018-06-21 10:09</v>
      </c>
      <c r="E10" s="7"/>
      <c r="F10" s="7"/>
      <c r="G10" s="7"/>
      <c r="H10" s="7"/>
    </row>
    <row r="11" spans="1:8">
      <c r="A11" t="s">
        <v>4992</v>
      </c>
      <c r="B11" s="7" t="s">
        <v>5687</v>
      </c>
    </row>
    <row r="12" spans="1:8">
      <c r="A12" s="7" t="s">
        <v>5845</v>
      </c>
      <c r="B12" s="7" t="s">
        <v>5844</v>
      </c>
    </row>
    <row r="13" spans="1:8">
      <c r="A13" t="s">
        <v>4978</v>
      </c>
      <c r="B13" s="7" t="s">
        <v>5684</v>
      </c>
      <c r="C13" s="7" t="s">
        <v>5686</v>
      </c>
      <c r="D13" s="7" t="s">
        <v>5685</v>
      </c>
      <c r="E13" t="s">
        <v>4979</v>
      </c>
      <c r="F13" s="7" t="s">
        <v>5688</v>
      </c>
      <c r="G13" s="7" t="s">
        <v>5689</v>
      </c>
      <c r="H13" s="7" t="s">
        <v>5690</v>
      </c>
    </row>
    <row r="17" spans="2:5">
      <c r="B17" s="7" t="s">
        <v>4975</v>
      </c>
      <c r="C17" s="24" t="s">
        <v>4975</v>
      </c>
    </row>
    <row r="19" spans="2:5">
      <c r="E19" s="7"/>
    </row>
    <row r="20" spans="2:5">
      <c r="D20" s="31">
        <f ca="1">NOW()</f>
        <v>43272.423251851855</v>
      </c>
    </row>
  </sheetData>
  <phoneticPr fontId="4" type="noConversion"/>
  <dataValidations count="1">
    <dataValidation type="whole" showInputMessage="1" showErrorMessage="1" sqref="B4:E5">
      <formula1>-15</formula1>
      <formula2>180</formula2>
    </dataValidation>
  </dataValidations>
  <hyperlinks>
    <hyperlink ref="C17" r:id="rId1"/>
    <hyperlink ref="D7" r:id="rId2"/>
  </hyperlinks>
  <pageMargins left="0.7" right="0.7" top="0.75" bottom="0.75" header="0.3" footer="0.3"/>
  <pageSetup paperSize="9" orientation="portrait" r:id="rId3"/>
  <headerFooter>
    <oddHeader>&amp;L&amp;"SABIC Typeface Headline Light"&amp;10 Classification: General Business Use&amp;1#</oddHead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CreatePrdScheduleFile">
                <anchor moveWithCells="1" sizeWithCells="1">
                  <from>
                    <xdr:col>2</xdr:col>
                    <xdr:colOff>47625</xdr:colOff>
                    <xdr:row>10</xdr:row>
                    <xdr:rowOff>28575</xdr:rowOff>
                  </from>
                  <to>
                    <xdr:col>2</xdr:col>
                    <xdr:colOff>1257300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GanttChart</vt:lpstr>
      <vt:lpstr>Para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Xiao, Jiuchang</cp:lastModifiedBy>
  <cp:revision>1</cp:revision>
  <dcterms:created xsi:type="dcterms:W3CDTF">2018-05-30T07:34:38Z</dcterms:created>
  <dcterms:modified xsi:type="dcterms:W3CDTF">2018-06-21T02:16:33Z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3321747-f206-4919-9520-29762f698e8e_Enabled">
    <vt:lpwstr>True</vt:lpwstr>
  </property>
  <property fmtid="{D5CDD505-2E9C-101B-9397-08002B2CF9AE}" pid="3" name="MSIP_Label_13321747-f206-4919-9520-29762f698e8e_SiteId">
    <vt:lpwstr>a77c517c-e95e-435b-bbb4-cb17e462491f</vt:lpwstr>
  </property>
  <property fmtid="{D5CDD505-2E9C-101B-9397-08002B2CF9AE}" pid="4" name="MSIP_Label_13321747-f206-4919-9520-29762f698e8e_Owner">
    <vt:lpwstr>301000666@SABICCORP.SABIC.COM</vt:lpwstr>
  </property>
  <property fmtid="{D5CDD505-2E9C-101B-9397-08002B2CF9AE}" pid="5" name="MSIP_Label_13321747-f206-4919-9520-29762f698e8e_SetDate">
    <vt:lpwstr>2018-06-05T16:26:31.4019619Z</vt:lpwstr>
  </property>
  <property fmtid="{D5CDD505-2E9C-101B-9397-08002B2CF9AE}" pid="6" name="MSIP_Label_13321747-f206-4919-9520-29762f698e8e_Name">
    <vt:lpwstr>General Business Use</vt:lpwstr>
  </property>
  <property fmtid="{D5CDD505-2E9C-101B-9397-08002B2CF9AE}" pid="7" name="MSIP_Label_13321747-f206-4919-9520-29762f698e8e_Application">
    <vt:lpwstr>Microsoft Azure Information Protection</vt:lpwstr>
  </property>
  <property fmtid="{D5CDD505-2E9C-101B-9397-08002B2CF9AE}" pid="8" name="MSIP_Label_13321747-f206-4919-9520-29762f698e8e_Extended_MSFT_Method">
    <vt:lpwstr>Manual</vt:lpwstr>
  </property>
  <property fmtid="{D5CDD505-2E9C-101B-9397-08002B2CF9AE}" pid="9" name="Sensitivity">
    <vt:lpwstr>General Business Use</vt:lpwstr>
  </property>
</Properties>
</file>